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.shortcut-targets-by-id\1hjus1hYf2MfkrUupgLi0HIY7z6odJbaD\03. CPD\3.1. CONTROLE DE ANIMAIS\3.1.3. PLANILHAS DE ESTOQUE\"/>
    </mc:Choice>
  </mc:AlternateContent>
  <xr:revisionPtr revIDLastSave="0" documentId="13_ncr:1_{7421FC88-0EC4-47F5-ADA7-0847648227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stoque de gado" sheetId="1" r:id="rId1"/>
    <sheet name="HISTORICO " sheetId="2" r:id="rId2"/>
    <sheet name="Movimentações" sheetId="3" r:id="rId3"/>
    <sheet name="Estoque verificação" sheetId="6" r:id="rId4"/>
  </sheets>
  <definedNames>
    <definedName name="_xlnm._FilterDatabase" localSheetId="0" hidden="1">'Estoque de gado'!$A$12:$Y$47</definedName>
    <definedName name="_xlnm._FilterDatabase" localSheetId="3" hidden="1">'Estoque verificação'!$A$12:$Y$46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3" i="2" l="1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G407" i="2"/>
  <c r="D407" i="2"/>
  <c r="G398" i="2"/>
  <c r="G399" i="2"/>
  <c r="G400" i="2"/>
  <c r="G401" i="2"/>
  <c r="G402" i="2"/>
  <c r="G403" i="2"/>
  <c r="G404" i="2"/>
  <c r="G405" i="2"/>
  <c r="G406" i="2"/>
  <c r="G408" i="2"/>
  <c r="G409" i="2"/>
  <c r="G410" i="2"/>
  <c r="G411" i="2"/>
  <c r="G412" i="2"/>
  <c r="G413" i="2"/>
  <c r="G414" i="2"/>
  <c r="G415" i="2"/>
  <c r="G416" i="2"/>
  <c r="D398" i="2"/>
  <c r="D399" i="2"/>
  <c r="D400" i="2"/>
  <c r="D401" i="2"/>
  <c r="D402" i="2"/>
  <c r="D403" i="2"/>
  <c r="D404" i="2"/>
  <c r="D405" i="2"/>
  <c r="D406" i="2"/>
  <c r="D408" i="2"/>
  <c r="D409" i="2"/>
  <c r="D410" i="2"/>
  <c r="D411" i="2"/>
  <c r="D412" i="2"/>
  <c r="D413" i="2"/>
  <c r="D414" i="2"/>
  <c r="D415" i="2"/>
  <c r="D416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67" i="2"/>
  <c r="G367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1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45" i="6"/>
  <c r="D44" i="6"/>
  <c r="D43" i="6"/>
  <c r="D42" i="6"/>
  <c r="D41" i="6"/>
  <c r="D46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S47" i="6"/>
  <c r="L47" i="6"/>
  <c r="C47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K8" i="6"/>
  <c r="E8" i="6"/>
  <c r="L7" i="6"/>
  <c r="K7" i="6"/>
  <c r="E7" i="6"/>
  <c r="K6" i="6"/>
  <c r="E6" i="6"/>
  <c r="K5" i="6"/>
  <c r="E5" i="6"/>
  <c r="L4" i="6"/>
  <c r="K4" i="6"/>
  <c r="E4" i="6"/>
  <c r="K3" i="6"/>
  <c r="E3" i="6"/>
  <c r="L2" i="6"/>
  <c r="K2" i="6"/>
  <c r="E2" i="6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G317" i="2"/>
  <c r="G318" i="2"/>
  <c r="G319" i="2"/>
  <c r="D317" i="2"/>
  <c r="D318" i="2"/>
  <c r="D319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268" i="2"/>
  <c r="G267" i="2"/>
  <c r="D267" i="2"/>
  <c r="G266" i="2"/>
  <c r="D266" i="2"/>
  <c r="G265" i="2"/>
  <c r="D265" i="2"/>
  <c r="G264" i="2"/>
  <c r="D264" i="2"/>
  <c r="G263" i="2"/>
  <c r="D263" i="2"/>
  <c r="G262" i="2"/>
  <c r="D262" i="2"/>
  <c r="G261" i="2"/>
  <c r="D261" i="2"/>
  <c r="G260" i="2"/>
  <c r="D260" i="2"/>
  <c r="G259" i="2"/>
  <c r="D259" i="2"/>
  <c r="G258" i="2"/>
  <c r="D258" i="2"/>
  <c r="G257" i="2"/>
  <c r="D257" i="2"/>
  <c r="G256" i="2"/>
  <c r="D256" i="2"/>
  <c r="G255" i="2"/>
  <c r="D255" i="2"/>
  <c r="G254" i="2"/>
  <c r="D254" i="2"/>
  <c r="G253" i="2"/>
  <c r="D253" i="2"/>
  <c r="G252" i="2"/>
  <c r="D252" i="2"/>
  <c r="G251" i="2"/>
  <c r="D251" i="2"/>
  <c r="G250" i="2"/>
  <c r="D250" i="2"/>
  <c r="G249" i="2"/>
  <c r="D249" i="2"/>
  <c r="G248" i="2"/>
  <c r="D248" i="2"/>
  <c r="G247" i="2"/>
  <c r="D247" i="2"/>
  <c r="G246" i="2"/>
  <c r="D246" i="2"/>
  <c r="G245" i="2"/>
  <c r="D245" i="2"/>
  <c r="G244" i="2"/>
  <c r="D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G89" i="2"/>
  <c r="D89" i="2"/>
  <c r="G88" i="2"/>
  <c r="D88" i="2"/>
  <c r="G87" i="2"/>
  <c r="D87" i="2"/>
  <c r="G86" i="2"/>
  <c r="D86" i="2"/>
  <c r="G85" i="2"/>
  <c r="D85" i="2"/>
  <c r="G84" i="2"/>
  <c r="D84" i="2"/>
  <c r="G83" i="2"/>
  <c r="D83" i="2"/>
  <c r="G82" i="2"/>
  <c r="D82" i="2"/>
  <c r="G81" i="2"/>
  <c r="D81" i="2"/>
  <c r="G80" i="2"/>
  <c r="D80" i="2"/>
  <c r="G79" i="2"/>
  <c r="D79" i="2"/>
  <c r="G78" i="2"/>
  <c r="D78" i="2"/>
  <c r="G77" i="2"/>
  <c r="D77" i="2"/>
  <c r="G76" i="2"/>
  <c r="D76" i="2"/>
  <c r="G75" i="2"/>
  <c r="D75" i="2"/>
  <c r="G74" i="2"/>
  <c r="D74" i="2"/>
  <c r="G73" i="2"/>
  <c r="D73" i="2"/>
  <c r="G72" i="2"/>
  <c r="D72" i="2"/>
  <c r="G71" i="2"/>
  <c r="D71" i="2"/>
  <c r="G70" i="2"/>
  <c r="D70" i="2"/>
  <c r="G69" i="2"/>
  <c r="D69" i="2"/>
  <c r="G68" i="2"/>
  <c r="D68" i="2"/>
  <c r="G67" i="2"/>
  <c r="D67" i="2"/>
  <c r="G66" i="2"/>
  <c r="D66" i="2"/>
  <c r="G65" i="2"/>
  <c r="D65" i="2"/>
  <c r="G64" i="2"/>
  <c r="D64" i="2"/>
  <c r="G63" i="2"/>
  <c r="D63" i="2"/>
  <c r="G62" i="2"/>
  <c r="D62" i="2"/>
  <c r="G61" i="2"/>
  <c r="D61" i="2"/>
  <c r="G60" i="2"/>
  <c r="D60" i="2"/>
  <c r="G59" i="2"/>
  <c r="D59" i="2"/>
  <c r="G58" i="2"/>
  <c r="D58" i="2"/>
  <c r="G57" i="2"/>
  <c r="D57" i="2"/>
  <c r="G56" i="2"/>
  <c r="D56" i="2"/>
  <c r="G55" i="2"/>
  <c r="D55" i="2"/>
  <c r="G54" i="2"/>
  <c r="D54" i="2"/>
  <c r="G53" i="2"/>
  <c r="D53" i="2"/>
  <c r="G52" i="2"/>
  <c r="D52" i="2"/>
  <c r="G51" i="2"/>
  <c r="D51" i="2"/>
  <c r="G50" i="2"/>
  <c r="D50" i="2"/>
  <c r="G49" i="2"/>
  <c r="D49" i="2"/>
  <c r="G48" i="2"/>
  <c r="D48" i="2"/>
  <c r="G47" i="2"/>
  <c r="D47" i="2"/>
  <c r="G46" i="2"/>
  <c r="D46" i="2"/>
  <c r="G45" i="2"/>
  <c r="D45" i="2"/>
  <c r="G44" i="2"/>
  <c r="D44" i="2"/>
  <c r="G43" i="2"/>
  <c r="D43" i="2"/>
  <c r="G42" i="2"/>
  <c r="D42" i="2"/>
  <c r="G41" i="2"/>
  <c r="D41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G4" i="2"/>
  <c r="D4" i="2"/>
  <c r="G3" i="2"/>
  <c r="D3" i="2"/>
  <c r="G2" i="2"/>
  <c r="D2" i="2"/>
  <c r="S48" i="1"/>
  <c r="L48" i="1"/>
  <c r="C48" i="1"/>
  <c r="T46" i="1"/>
  <c r="U46" i="1" s="1"/>
  <c r="T45" i="1"/>
  <c r="U45" i="1" s="1"/>
  <c r="T44" i="1"/>
  <c r="U44" i="1" s="1"/>
  <c r="T43" i="1"/>
  <c r="U43" i="1" s="1"/>
  <c r="T42" i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T14" i="1"/>
  <c r="U14" i="1" s="1"/>
  <c r="T13" i="1"/>
  <c r="U13" i="1" s="1"/>
  <c r="K8" i="1"/>
  <c r="E8" i="1"/>
  <c r="L7" i="1"/>
  <c r="O7" i="1" s="1"/>
  <c r="K7" i="1"/>
  <c r="E7" i="1"/>
  <c r="K6" i="1"/>
  <c r="E6" i="1"/>
  <c r="K5" i="1"/>
  <c r="E5" i="1"/>
  <c r="L4" i="1"/>
  <c r="K4" i="1"/>
  <c r="E4" i="1"/>
  <c r="K3" i="1"/>
  <c r="E3" i="1"/>
  <c r="L2" i="1"/>
  <c r="O2" i="1" s="1"/>
  <c r="K2" i="1"/>
  <c r="E2" i="1"/>
  <c r="J14" i="6" l="1"/>
  <c r="F38" i="6"/>
  <c r="M38" i="6"/>
  <c r="F37" i="6"/>
  <c r="M37" i="6"/>
  <c r="F36" i="6"/>
  <c r="M36" i="6"/>
  <c r="G33" i="6"/>
  <c r="M33" i="6"/>
  <c r="G31" i="6"/>
  <c r="M31" i="6"/>
  <c r="F29" i="6"/>
  <c r="M29" i="6"/>
  <c r="E25" i="6"/>
  <c r="F25" i="6"/>
  <c r="M25" i="6"/>
  <c r="J24" i="6"/>
  <c r="M24" i="6"/>
  <c r="I19" i="6"/>
  <c r="M19" i="6"/>
  <c r="M13" i="6"/>
  <c r="F13" i="6"/>
  <c r="E13" i="6"/>
  <c r="K18" i="6"/>
  <c r="K28" i="6"/>
  <c r="J38" i="6"/>
  <c r="K38" i="6"/>
  <c r="E39" i="6"/>
  <c r="F39" i="6"/>
  <c r="G39" i="6"/>
  <c r="H39" i="6"/>
  <c r="I39" i="6"/>
  <c r="J39" i="6"/>
  <c r="K39" i="6"/>
  <c r="M39" i="6"/>
  <c r="E40" i="6"/>
  <c r="F40" i="6"/>
  <c r="G40" i="6"/>
  <c r="H40" i="6"/>
  <c r="I40" i="6"/>
  <c r="J40" i="6"/>
  <c r="K40" i="6"/>
  <c r="M40" i="6"/>
  <c r="E41" i="6"/>
  <c r="F41" i="6"/>
  <c r="G41" i="6"/>
  <c r="H41" i="6"/>
  <c r="J41" i="6"/>
  <c r="K41" i="6"/>
  <c r="M41" i="6"/>
  <c r="E42" i="6"/>
  <c r="F42" i="6"/>
  <c r="G42" i="6"/>
  <c r="H42" i="6"/>
  <c r="I42" i="6"/>
  <c r="J42" i="6"/>
  <c r="K42" i="6"/>
  <c r="M42" i="6"/>
  <c r="E43" i="6"/>
  <c r="F43" i="6"/>
  <c r="G43" i="6"/>
  <c r="H43" i="6"/>
  <c r="I43" i="6"/>
  <c r="J43" i="6"/>
  <c r="K43" i="6"/>
  <c r="M43" i="6"/>
  <c r="E44" i="6"/>
  <c r="F44" i="6"/>
  <c r="G44" i="6"/>
  <c r="H44" i="6"/>
  <c r="I44" i="6"/>
  <c r="M44" i="6"/>
  <c r="J45" i="6"/>
  <c r="F46" i="6"/>
  <c r="M46" i="6"/>
  <c r="H13" i="6"/>
  <c r="M14" i="6"/>
  <c r="J15" i="6"/>
  <c r="H16" i="6"/>
  <c r="M16" i="6"/>
  <c r="G17" i="6"/>
  <c r="J17" i="6"/>
  <c r="F18" i="6"/>
  <c r="J18" i="6"/>
  <c r="H19" i="6"/>
  <c r="I20" i="6"/>
  <c r="E21" i="6"/>
  <c r="M21" i="6"/>
  <c r="H22" i="6"/>
  <c r="M22" i="6"/>
  <c r="J23" i="6"/>
  <c r="F24" i="6"/>
  <c r="I25" i="6"/>
  <c r="E26" i="6"/>
  <c r="H26" i="6"/>
  <c r="K26" i="6"/>
  <c r="F27" i="6"/>
  <c r="J27" i="6"/>
  <c r="E28" i="6"/>
  <c r="G28" i="6"/>
  <c r="J28" i="6"/>
  <c r="G29" i="6"/>
  <c r="J29" i="6"/>
  <c r="G30" i="6"/>
  <c r="J30" i="6"/>
  <c r="H31" i="6"/>
  <c r="J32" i="6"/>
  <c r="F33" i="6"/>
  <c r="J33" i="6"/>
  <c r="F34" i="6"/>
  <c r="J34" i="6"/>
  <c r="F35" i="6"/>
  <c r="J35" i="6"/>
  <c r="E36" i="6"/>
  <c r="I36" i="6"/>
  <c r="E37" i="6"/>
  <c r="I37" i="6"/>
  <c r="E38" i="6"/>
  <c r="I38" i="6"/>
  <c r="E45" i="6"/>
  <c r="K45" i="6"/>
  <c r="G46" i="6"/>
  <c r="G13" i="6"/>
  <c r="G14" i="6"/>
  <c r="F19" i="6"/>
  <c r="F21" i="6"/>
  <c r="H27" i="6"/>
  <c r="K29" i="6"/>
  <c r="I31" i="6"/>
  <c r="I32" i="6"/>
  <c r="I33" i="6"/>
  <c r="H34" i="6"/>
  <c r="H35" i="6"/>
  <c r="H36" i="6"/>
  <c r="G37" i="6"/>
  <c r="I45" i="6"/>
  <c r="K46" i="6"/>
  <c r="K16" i="6"/>
  <c r="E18" i="6"/>
  <c r="M18" i="6"/>
  <c r="J19" i="6"/>
  <c r="G20" i="6"/>
  <c r="K20" i="6"/>
  <c r="K21" i="6"/>
  <c r="G22" i="6"/>
  <c r="K22" i="6"/>
  <c r="I23" i="6"/>
  <c r="E24" i="6"/>
  <c r="H24" i="6"/>
  <c r="J25" i="6"/>
  <c r="F26" i="6"/>
  <c r="I26" i="6"/>
  <c r="M26" i="6"/>
  <c r="I27" i="6"/>
  <c r="M27" i="6"/>
  <c r="H28" i="6"/>
  <c r="M28" i="6"/>
  <c r="H29" i="6"/>
  <c r="H30" i="6"/>
  <c r="F31" i="6"/>
  <c r="J31" i="6"/>
  <c r="E32" i="6"/>
  <c r="K32" i="6"/>
  <c r="H33" i="6"/>
  <c r="K33" i="6"/>
  <c r="G34" i="6"/>
  <c r="K34" i="6"/>
  <c r="G35" i="6"/>
  <c r="K35" i="6"/>
  <c r="G36" i="6"/>
  <c r="K36" i="6"/>
  <c r="H37" i="6"/>
  <c r="K37" i="6"/>
  <c r="H38" i="6"/>
  <c r="K44" i="6"/>
  <c r="H45" i="6"/>
  <c r="E46" i="6"/>
  <c r="I46" i="6"/>
  <c r="K13" i="6"/>
  <c r="H14" i="6"/>
  <c r="E15" i="6"/>
  <c r="G15" i="6"/>
  <c r="H15" i="6"/>
  <c r="I15" i="6"/>
  <c r="K15" i="6"/>
  <c r="E16" i="6"/>
  <c r="G16" i="6"/>
  <c r="I16" i="6"/>
  <c r="E17" i="6"/>
  <c r="H17" i="6"/>
  <c r="K17" i="6"/>
  <c r="G18" i="6"/>
  <c r="E19" i="6"/>
  <c r="E20" i="6"/>
  <c r="H20" i="6"/>
  <c r="M20" i="6"/>
  <c r="E22" i="6"/>
  <c r="I22" i="6"/>
  <c r="E23" i="6"/>
  <c r="K23" i="6"/>
  <c r="G24" i="6"/>
  <c r="K24" i="6"/>
  <c r="G25" i="6"/>
  <c r="K25" i="6"/>
  <c r="G26" i="6"/>
  <c r="J26" i="6"/>
  <c r="E27" i="6"/>
  <c r="G27" i="6"/>
  <c r="K27" i="6"/>
  <c r="F28" i="6"/>
  <c r="I28" i="6"/>
  <c r="I29" i="6"/>
  <c r="F30" i="6"/>
  <c r="I30" i="6"/>
  <c r="K31" i="6"/>
  <c r="F32" i="6"/>
  <c r="E33" i="6"/>
  <c r="I34" i="6"/>
  <c r="E35" i="6"/>
  <c r="I35" i="6"/>
  <c r="M35" i="6"/>
  <c r="J36" i="6"/>
  <c r="J37" i="6"/>
  <c r="J44" i="6"/>
  <c r="F45" i="6"/>
  <c r="M45" i="6"/>
  <c r="J46" i="6"/>
  <c r="J13" i="6"/>
  <c r="I14" i="6"/>
  <c r="M15" i="6"/>
  <c r="F16" i="6"/>
  <c r="J16" i="6"/>
  <c r="F17" i="6"/>
  <c r="I17" i="6"/>
  <c r="M17" i="6"/>
  <c r="I18" i="6"/>
  <c r="G19" i="6"/>
  <c r="K19" i="6"/>
  <c r="F20" i="6"/>
  <c r="J20" i="6"/>
  <c r="J21" i="6"/>
  <c r="F22" i="6"/>
  <c r="J22" i="6"/>
  <c r="H23" i="6"/>
  <c r="M23" i="6"/>
  <c r="I24" i="6"/>
  <c r="H25" i="6"/>
  <c r="K14" i="6"/>
  <c r="H18" i="6"/>
  <c r="E29" i="6"/>
  <c r="E30" i="6"/>
  <c r="M30" i="6"/>
  <c r="M32" i="6"/>
  <c r="E34" i="6"/>
  <c r="M34" i="6"/>
  <c r="G38" i="6"/>
  <c r="G45" i="6"/>
  <c r="H46" i="6"/>
  <c r="I13" i="6"/>
  <c r="G21" i="6"/>
  <c r="H21" i="6"/>
  <c r="I21" i="6"/>
  <c r="K30" i="6"/>
  <c r="E31" i="6"/>
  <c r="M31" i="1"/>
  <c r="K31" i="1"/>
  <c r="J31" i="1"/>
  <c r="I31" i="1"/>
  <c r="H31" i="1"/>
  <c r="G31" i="1"/>
  <c r="F31" i="1"/>
  <c r="E31" i="1"/>
  <c r="U42" i="1"/>
  <c r="U23" i="1"/>
  <c r="E14" i="6"/>
  <c r="F14" i="6"/>
  <c r="F15" i="6"/>
  <c r="F23" i="6"/>
  <c r="G23" i="6"/>
  <c r="G32" i="6"/>
  <c r="H32" i="6"/>
  <c r="I41" i="6"/>
  <c r="M19" i="1"/>
  <c r="M21" i="1"/>
  <c r="M33" i="1"/>
  <c r="K14" i="1"/>
  <c r="K18" i="1"/>
  <c r="K21" i="1"/>
  <c r="K24" i="1"/>
  <c r="K27" i="1"/>
  <c r="K32" i="1"/>
  <c r="K37" i="1"/>
  <c r="K40" i="1"/>
  <c r="K44" i="1"/>
  <c r="K47" i="1"/>
  <c r="J16" i="1"/>
  <c r="J18" i="1"/>
  <c r="J21" i="1"/>
  <c r="J25" i="1"/>
  <c r="J30" i="1"/>
  <c r="G24" i="1"/>
  <c r="G29" i="1"/>
  <c r="G35" i="1"/>
  <c r="G41" i="1"/>
  <c r="G43" i="1"/>
  <c r="G45" i="1"/>
  <c r="G47" i="1"/>
  <c r="F17" i="1"/>
  <c r="F22" i="1"/>
  <c r="F24" i="1"/>
  <c r="F27" i="1"/>
  <c r="F35" i="1"/>
  <c r="F40" i="1"/>
  <c r="F44" i="1"/>
  <c r="E14" i="1"/>
  <c r="E17" i="1"/>
  <c r="E21" i="1"/>
  <c r="E25" i="1"/>
  <c r="E29" i="1"/>
  <c r="E34" i="1"/>
  <c r="E39" i="1"/>
  <c r="E42" i="1"/>
  <c r="E46" i="1"/>
  <c r="H13" i="1"/>
  <c r="M20" i="1"/>
  <c r="M24" i="1"/>
  <c r="M25" i="1"/>
  <c r="M26" i="1"/>
  <c r="M27" i="1"/>
  <c r="M28" i="1"/>
  <c r="M29" i="1"/>
  <c r="M30" i="1"/>
  <c r="M32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3" i="1"/>
  <c r="K15" i="1"/>
  <c r="K16" i="1"/>
  <c r="K17" i="1"/>
  <c r="K19" i="1"/>
  <c r="K20" i="1"/>
  <c r="K22" i="1"/>
  <c r="K23" i="1"/>
  <c r="K25" i="1"/>
  <c r="K26" i="1"/>
  <c r="K28" i="1"/>
  <c r="K29" i="1"/>
  <c r="K30" i="1"/>
  <c r="K33" i="1"/>
  <c r="K34" i="1"/>
  <c r="K35" i="1"/>
  <c r="K36" i="1"/>
  <c r="K38" i="1"/>
  <c r="K39" i="1"/>
  <c r="K41" i="1"/>
  <c r="K43" i="1"/>
  <c r="K45" i="1"/>
  <c r="K46" i="1"/>
  <c r="J14" i="1"/>
  <c r="J15" i="1"/>
  <c r="J17" i="1"/>
  <c r="J19" i="1"/>
  <c r="J20" i="1"/>
  <c r="J22" i="1"/>
  <c r="J24" i="1"/>
  <c r="J26" i="1"/>
  <c r="J27" i="1"/>
  <c r="J29" i="1"/>
  <c r="J32" i="1"/>
  <c r="J33" i="1"/>
  <c r="J34" i="1"/>
  <c r="J36" i="1"/>
  <c r="G23" i="1"/>
  <c r="G25" i="1"/>
  <c r="G26" i="1"/>
  <c r="G27" i="1"/>
  <c r="G30" i="1"/>
  <c r="G33" i="1"/>
  <c r="G34" i="1"/>
  <c r="G36" i="1"/>
  <c r="G38" i="1"/>
  <c r="G39" i="1"/>
  <c r="M14" i="1"/>
  <c r="J37" i="1"/>
  <c r="J38" i="1"/>
  <c r="J39" i="1"/>
  <c r="J40" i="1"/>
  <c r="J41" i="1"/>
  <c r="J42" i="1"/>
  <c r="J43" i="1"/>
  <c r="J44" i="1"/>
  <c r="J45" i="1"/>
  <c r="J46" i="1"/>
  <c r="J47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G14" i="1"/>
  <c r="G15" i="1"/>
  <c r="G16" i="1"/>
  <c r="G17" i="1"/>
  <c r="G18" i="1"/>
  <c r="G19" i="1"/>
  <c r="G20" i="1"/>
  <c r="G21" i="1"/>
  <c r="G22" i="1"/>
  <c r="G46" i="1"/>
  <c r="F14" i="1"/>
  <c r="F16" i="1"/>
  <c r="F18" i="1"/>
  <c r="F19" i="1"/>
  <c r="F21" i="1"/>
  <c r="F23" i="1"/>
  <c r="F26" i="1"/>
  <c r="F28" i="1"/>
  <c r="F30" i="1"/>
  <c r="F32" i="1"/>
  <c r="F34" i="1"/>
  <c r="F36" i="1"/>
  <c r="F37" i="1"/>
  <c r="F39" i="1"/>
  <c r="F41" i="1"/>
  <c r="F43" i="1"/>
  <c r="F45" i="1"/>
  <c r="F47" i="1"/>
  <c r="E15" i="1"/>
  <c r="E18" i="1"/>
  <c r="E20" i="1"/>
  <c r="E22" i="1"/>
  <c r="E24" i="1"/>
  <c r="E26" i="1"/>
  <c r="E28" i="1"/>
  <c r="E30" i="1"/>
  <c r="E33" i="1"/>
  <c r="E35" i="1"/>
  <c r="E36" i="1"/>
  <c r="E38" i="1"/>
  <c r="E41" i="1"/>
  <c r="E43" i="1"/>
  <c r="E45" i="1"/>
  <c r="E47" i="1"/>
  <c r="J13" i="1"/>
  <c r="I13" i="1"/>
  <c r="G13" i="1"/>
  <c r="G28" i="1"/>
  <c r="F13" i="1"/>
  <c r="M23" i="1"/>
  <c r="M17" i="1"/>
  <c r="M16" i="1"/>
  <c r="K42" i="1"/>
  <c r="J23" i="1"/>
  <c r="J28" i="1"/>
  <c r="J35" i="1"/>
  <c r="G32" i="1"/>
  <c r="G37" i="1"/>
  <c r="G40" i="1"/>
  <c r="G42" i="1"/>
  <c r="G44" i="1"/>
  <c r="F15" i="1"/>
  <c r="F20" i="1"/>
  <c r="F25" i="1"/>
  <c r="F29" i="1"/>
  <c r="F33" i="1"/>
  <c r="F38" i="1"/>
  <c r="F42" i="1"/>
  <c r="F46" i="1"/>
  <c r="E16" i="1"/>
  <c r="E19" i="1"/>
  <c r="E23" i="1"/>
  <c r="E27" i="1"/>
  <c r="E32" i="1"/>
  <c r="E37" i="1"/>
  <c r="E40" i="1"/>
  <c r="E44" i="1"/>
  <c r="K13" i="1"/>
  <c r="E13" i="1"/>
  <c r="M18" i="1"/>
  <c r="M15" i="1"/>
  <c r="M22" i="1"/>
  <c r="O4" i="1"/>
  <c r="T47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O7" i="6"/>
  <c r="U15" i="6"/>
  <c r="U14" i="6"/>
  <c r="U13" i="6"/>
  <c r="O4" i="6"/>
  <c r="U43" i="6"/>
  <c r="U42" i="6"/>
  <c r="U41" i="6"/>
  <c r="U40" i="6"/>
  <c r="U39" i="6"/>
  <c r="U38" i="6"/>
  <c r="U37" i="6"/>
  <c r="U36" i="6"/>
  <c r="U35" i="6"/>
  <c r="U34" i="6"/>
  <c r="U33" i="6"/>
  <c r="U32" i="6"/>
  <c r="U44" i="6"/>
  <c r="U45" i="6"/>
  <c r="O2" i="6"/>
  <c r="T48" i="1"/>
  <c r="N39" i="6" l="1"/>
  <c r="N42" i="6"/>
  <c r="N40" i="6"/>
  <c r="O39" i="6"/>
  <c r="N46" i="6"/>
  <c r="N45" i="6"/>
  <c r="N44" i="6"/>
  <c r="N43" i="6"/>
  <c r="N38" i="6"/>
  <c r="N37" i="6"/>
  <c r="N35" i="6"/>
  <c r="N34" i="6"/>
  <c r="N33" i="6"/>
  <c r="N31" i="6"/>
  <c r="N30" i="6"/>
  <c r="N29" i="6"/>
  <c r="N28" i="6"/>
  <c r="N27" i="6"/>
  <c r="N26" i="6"/>
  <c r="N25" i="6"/>
  <c r="N24" i="6"/>
  <c r="N22" i="6"/>
  <c r="N21" i="6"/>
  <c r="N20" i="6"/>
  <c r="N19" i="6"/>
  <c r="N18" i="6"/>
  <c r="N17" i="6"/>
  <c r="N16" i="6"/>
  <c r="N36" i="6"/>
  <c r="J47" i="6"/>
  <c r="K47" i="6"/>
  <c r="N13" i="6"/>
  <c r="O31" i="6"/>
  <c r="O30" i="6"/>
  <c r="O29" i="6"/>
  <c r="O28" i="6"/>
  <c r="O27" i="6"/>
  <c r="O26" i="6"/>
  <c r="O25" i="6"/>
  <c r="O24" i="6"/>
  <c r="O22" i="6"/>
  <c r="O21" i="6"/>
  <c r="O20" i="6"/>
  <c r="O19" i="6"/>
  <c r="O18" i="6"/>
  <c r="O17" i="6"/>
  <c r="O16" i="6"/>
  <c r="O13" i="6"/>
  <c r="O44" i="6"/>
  <c r="O43" i="6"/>
  <c r="O42" i="6"/>
  <c r="O41" i="6"/>
  <c r="O40" i="6"/>
  <c r="O38" i="6"/>
  <c r="O37" i="6"/>
  <c r="O36" i="6"/>
  <c r="O35" i="6"/>
  <c r="O34" i="6"/>
  <c r="O33" i="6"/>
  <c r="O45" i="6"/>
  <c r="O46" i="6"/>
  <c r="P46" i="6" s="1"/>
  <c r="N31" i="1"/>
  <c r="U48" i="1"/>
  <c r="O23" i="6"/>
  <c r="N23" i="6"/>
  <c r="N41" i="6"/>
  <c r="E47" i="6"/>
  <c r="N15" i="6"/>
  <c r="N14" i="6"/>
  <c r="I47" i="6"/>
  <c r="G47" i="6"/>
  <c r="F47" i="6"/>
  <c r="N32" i="6"/>
  <c r="H47" i="6"/>
  <c r="O32" i="6"/>
  <c r="O15" i="6"/>
  <c r="O14" i="6"/>
  <c r="N14" i="1"/>
  <c r="N15" i="1"/>
  <c r="N16" i="1"/>
  <c r="N17" i="1"/>
  <c r="N18" i="1"/>
  <c r="N19" i="1"/>
  <c r="J48" i="1"/>
  <c r="F48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6" i="1"/>
  <c r="O35" i="1"/>
  <c r="N13" i="1"/>
  <c r="K48" i="1"/>
  <c r="G48" i="1"/>
  <c r="H48" i="1"/>
  <c r="I48" i="1"/>
  <c r="E48" i="1"/>
  <c r="O21" i="1"/>
  <c r="O40" i="1"/>
  <c r="O18" i="1"/>
  <c r="O33" i="1"/>
  <c r="O26" i="1"/>
  <c r="O41" i="1"/>
  <c r="O45" i="1"/>
  <c r="O43" i="1"/>
  <c r="O42" i="1"/>
  <c r="O24" i="1"/>
  <c r="O16" i="1"/>
  <c r="O20" i="1"/>
  <c r="O37" i="1"/>
  <c r="O15" i="1"/>
  <c r="O23" i="1"/>
  <c r="O38" i="1"/>
  <c r="O28" i="1"/>
  <c r="O29" i="1"/>
  <c r="O13" i="1"/>
  <c r="O32" i="1"/>
  <c r="O36" i="1"/>
  <c r="O14" i="1"/>
  <c r="O22" i="1"/>
  <c r="O30" i="1"/>
  <c r="O39" i="1"/>
  <c r="O47" i="1"/>
  <c r="P47" i="1" s="1"/>
  <c r="O19" i="1"/>
  <c r="O27" i="1"/>
  <c r="O44" i="1"/>
  <c r="O17" i="1"/>
  <c r="O25" i="1"/>
  <c r="O34" i="1"/>
  <c r="U47" i="6"/>
  <c r="R19" i="6" l="1"/>
  <c r="R16" i="6"/>
  <c r="R44" i="6"/>
  <c r="P42" i="6"/>
  <c r="P41" i="6"/>
  <c r="R41" i="6"/>
  <c r="P39" i="6"/>
  <c r="R38" i="6"/>
  <c r="P35" i="6"/>
  <c r="P34" i="6"/>
  <c r="R34" i="6"/>
  <c r="P33" i="6"/>
  <c r="R33" i="6"/>
  <c r="P19" i="6"/>
  <c r="R18" i="6"/>
  <c r="P16" i="6"/>
  <c r="P13" i="6"/>
  <c r="R13" i="6"/>
  <c r="P44" i="6"/>
  <c r="P43" i="6"/>
  <c r="R43" i="6"/>
  <c r="P40" i="6"/>
  <c r="R40" i="6"/>
  <c r="P38" i="6"/>
  <c r="P37" i="6"/>
  <c r="R37" i="6"/>
  <c r="R35" i="6"/>
  <c r="P45" i="6"/>
  <c r="R45" i="6"/>
  <c r="P18" i="6"/>
  <c r="P17" i="6"/>
  <c r="R17" i="6"/>
  <c r="R42" i="6"/>
  <c r="R39" i="6"/>
  <c r="P36" i="6"/>
  <c r="R36" i="6"/>
  <c r="P31" i="6"/>
  <c r="R31" i="6"/>
  <c r="P30" i="6"/>
  <c r="R30" i="6"/>
  <c r="P29" i="6"/>
  <c r="R29" i="6"/>
  <c r="L6" i="6" s="1"/>
  <c r="O6" i="6" s="1"/>
  <c r="P28" i="6"/>
  <c r="R28" i="6"/>
  <c r="P27" i="6"/>
  <c r="R27" i="6"/>
  <c r="P26" i="6"/>
  <c r="R26" i="6"/>
  <c r="P25" i="6"/>
  <c r="R25" i="6"/>
  <c r="P24" i="6"/>
  <c r="R24" i="6"/>
  <c r="P22" i="6"/>
  <c r="R22" i="6"/>
  <c r="P21" i="6"/>
  <c r="R21" i="6"/>
  <c r="P20" i="6"/>
  <c r="R20" i="6"/>
  <c r="P23" i="6"/>
  <c r="R23" i="6"/>
  <c r="N47" i="6"/>
  <c r="R32" i="6"/>
  <c r="P32" i="6"/>
  <c r="P15" i="6"/>
  <c r="R15" i="6"/>
  <c r="P14" i="6"/>
  <c r="R14" i="6"/>
  <c r="O47" i="6"/>
  <c r="P47" i="6" s="1"/>
  <c r="P35" i="1"/>
  <c r="R46" i="1"/>
  <c r="P46" i="1"/>
  <c r="R35" i="1"/>
  <c r="P43" i="1"/>
  <c r="R43" i="1"/>
  <c r="R17" i="1"/>
  <c r="P17" i="1"/>
  <c r="P36" i="1"/>
  <c r="R36" i="1"/>
  <c r="P40" i="1"/>
  <c r="R40" i="1"/>
  <c r="R24" i="1"/>
  <c r="P24" i="1"/>
  <c r="R21" i="1"/>
  <c r="P21" i="1"/>
  <c r="R39" i="1"/>
  <c r="P39" i="1"/>
  <c r="R30" i="1"/>
  <c r="P30" i="1"/>
  <c r="P44" i="1"/>
  <c r="R44" i="1"/>
  <c r="R22" i="1"/>
  <c r="P22" i="1"/>
  <c r="P27" i="1"/>
  <c r="R27" i="1"/>
  <c r="R14" i="1"/>
  <c r="P14" i="1"/>
  <c r="R42" i="1"/>
  <c r="P42" i="1"/>
  <c r="P19" i="1"/>
  <c r="R19" i="1"/>
  <c r="R37" i="1"/>
  <c r="P37" i="1"/>
  <c r="R32" i="1"/>
  <c r="P32" i="1"/>
  <c r="O48" i="1"/>
  <c r="P48" i="1" s="1"/>
  <c r="R13" i="1"/>
  <c r="P13" i="1"/>
  <c r="R45" i="1"/>
  <c r="P45" i="1"/>
  <c r="R33" i="1"/>
  <c r="P33" i="1"/>
  <c r="R23" i="1"/>
  <c r="P23" i="1"/>
  <c r="R20" i="1"/>
  <c r="P20" i="1"/>
  <c r="P34" i="1"/>
  <c r="R34" i="1"/>
  <c r="P16" i="1"/>
  <c r="R16" i="1"/>
  <c r="R25" i="1"/>
  <c r="P25" i="1"/>
  <c r="P28" i="1"/>
  <c r="R28" i="1"/>
  <c r="R15" i="1"/>
  <c r="P15" i="1"/>
  <c r="R29" i="1"/>
  <c r="L6" i="1" s="1"/>
  <c r="O6" i="1" s="1"/>
  <c r="P29" i="1"/>
  <c r="P41" i="1"/>
  <c r="R41" i="1"/>
  <c r="P18" i="1"/>
  <c r="R18" i="1"/>
  <c r="R38" i="1"/>
  <c r="P38" i="1"/>
  <c r="R26" i="1"/>
  <c r="P26" i="1"/>
  <c r="N48" i="1"/>
  <c r="L8" i="6" l="1"/>
  <c r="O8" i="6" s="1"/>
  <c r="L3" i="6"/>
  <c r="O3" i="6" s="1"/>
  <c r="L5" i="6"/>
  <c r="O5" i="6" s="1"/>
  <c r="L5" i="1"/>
  <c r="O5" i="1" s="1"/>
  <c r="L8" i="1"/>
  <c r="O8" i="1" s="1"/>
  <c r="L3" i="1"/>
  <c r="O3" i="1" s="1"/>
</calcChain>
</file>

<file path=xl/sharedStrings.xml><?xml version="1.0" encoding="utf-8"?>
<sst xmlns="http://schemas.openxmlformats.org/spreadsheetml/2006/main" count="1363" uniqueCount="195">
  <si>
    <t>Categoria Animal</t>
  </si>
  <si>
    <t>Peso Est.</t>
  </si>
  <si>
    <t>uAs</t>
  </si>
  <si>
    <t>#</t>
  </si>
  <si>
    <t>Suplemento</t>
  </si>
  <si>
    <t>Gramas/100kg</t>
  </si>
  <si>
    <t>KG/uA</t>
  </si>
  <si>
    <t xml:space="preserve">KG/Dia </t>
  </si>
  <si>
    <t>KG/Mês</t>
  </si>
  <si>
    <t>Vaca Parida</t>
  </si>
  <si>
    <t>Sal Águas</t>
  </si>
  <si>
    <t>Vaca</t>
  </si>
  <si>
    <t>Sal Transição</t>
  </si>
  <si>
    <t>Novilha</t>
  </si>
  <si>
    <t>Sal Seca</t>
  </si>
  <si>
    <t>Novilhota</t>
  </si>
  <si>
    <t>Protéico 0.1%</t>
  </si>
  <si>
    <t>Bezerro Desm</t>
  </si>
  <si>
    <t>Protéico 0.3%</t>
  </si>
  <si>
    <t>Touro</t>
  </si>
  <si>
    <t>Ração</t>
  </si>
  <si>
    <t>Tropa</t>
  </si>
  <si>
    <t>Ração Tropa</t>
  </si>
  <si>
    <t>Pasto</t>
  </si>
  <si>
    <t>Hectares</t>
  </si>
  <si>
    <t>Data</t>
  </si>
  <si>
    <t>Garrote</t>
  </si>
  <si>
    <t>Bez(O/A)</t>
  </si>
  <si>
    <t>OBS</t>
  </si>
  <si>
    <t>Total Cabeças</t>
  </si>
  <si>
    <t>Total uAs</t>
  </si>
  <si>
    <t>uA/Ha real</t>
  </si>
  <si>
    <t>Kg/Dia</t>
  </si>
  <si>
    <t>uA/Hectare</t>
  </si>
  <si>
    <t>uAs [Águas]</t>
  </si>
  <si>
    <t>uAs [Seca]</t>
  </si>
  <si>
    <t>Corte 0-10</t>
  </si>
  <si>
    <t>Capim</t>
  </si>
  <si>
    <t>Forma</t>
  </si>
  <si>
    <t>Estado</t>
  </si>
  <si>
    <t>Rotacionado Entrada</t>
  </si>
  <si>
    <t>9 solteiras</t>
  </si>
  <si>
    <t>Massai</t>
  </si>
  <si>
    <t>Boa</t>
  </si>
  <si>
    <t>Cedro 1</t>
  </si>
  <si>
    <t>Ruim</t>
  </si>
  <si>
    <t>Cedro 2</t>
  </si>
  <si>
    <t>Braquiária</t>
  </si>
  <si>
    <t>Matinha</t>
  </si>
  <si>
    <t>Tamani</t>
  </si>
  <si>
    <t>PQT Garanhão</t>
  </si>
  <si>
    <t>Vila 1</t>
  </si>
  <si>
    <t>Média</t>
  </si>
  <si>
    <t>Vila 2</t>
  </si>
  <si>
    <t>Rotacionado Vila 1</t>
  </si>
  <si>
    <t>Piquete da Tropa</t>
  </si>
  <si>
    <t>Zuri</t>
  </si>
  <si>
    <t xml:space="preserve">Remanga </t>
  </si>
  <si>
    <t>-</t>
  </si>
  <si>
    <t>Arado</t>
  </si>
  <si>
    <t>Morro de trás</t>
  </si>
  <si>
    <t>Rotacionado Caixa d'Água</t>
  </si>
  <si>
    <t>Bezerros Desmamados</t>
  </si>
  <si>
    <t>Ruim/médio</t>
  </si>
  <si>
    <t>Rotacionado Macaúba</t>
  </si>
  <si>
    <t>Andropogon</t>
  </si>
  <si>
    <t>Jacaré 1</t>
  </si>
  <si>
    <t>Jacaré 2</t>
  </si>
  <si>
    <t>Lavoura</t>
  </si>
  <si>
    <t>Meio</t>
  </si>
  <si>
    <t>Barriguda 1</t>
  </si>
  <si>
    <t>Barriguda 2</t>
  </si>
  <si>
    <t>Forno 2</t>
  </si>
  <si>
    <t>Piquetes da Mata</t>
  </si>
  <si>
    <t>147 Vacas Prenhas; 157 Novilhas (Verificar M/D)</t>
  </si>
  <si>
    <t>Rotacionado Cipó Preto</t>
  </si>
  <si>
    <t>Bezerros Desmama</t>
  </si>
  <si>
    <t>Timbó 1</t>
  </si>
  <si>
    <t>Timbó 2</t>
  </si>
  <si>
    <t>Quicuio</t>
  </si>
  <si>
    <t>Piatã</t>
  </si>
  <si>
    <t>Pasto dos Ipês</t>
  </si>
  <si>
    <t>Vacas Vazias</t>
  </si>
  <si>
    <t>Mangas</t>
  </si>
  <si>
    <t>Novilhas Leve</t>
  </si>
  <si>
    <t xml:space="preserve">Cemitério </t>
  </si>
  <si>
    <t>Brachiária</t>
  </si>
  <si>
    <t>Avenida 1</t>
  </si>
  <si>
    <t>Avenida 2</t>
  </si>
  <si>
    <t xml:space="preserve">Piquete Curral do Retiro </t>
  </si>
  <si>
    <t>Caixa D'água Retiro</t>
  </si>
  <si>
    <t>Vacas Prenhas</t>
  </si>
  <si>
    <t>Boqueirão</t>
  </si>
  <si>
    <t xml:space="preserve">Reserva Boqueirão </t>
  </si>
  <si>
    <t>34</t>
  </si>
  <si>
    <t xml:space="preserve">Confinamento </t>
  </si>
  <si>
    <t xml:space="preserve">Categoria Animal </t>
  </si>
  <si>
    <t>Chave</t>
  </si>
  <si>
    <t>Quantidade</t>
  </si>
  <si>
    <t>Chave OBS</t>
  </si>
  <si>
    <t>Bez. Desm</t>
  </si>
  <si>
    <t xml:space="preserve">Boi capão </t>
  </si>
  <si>
    <t>vacas paridas leiteiras</t>
  </si>
  <si>
    <t>3 bezerras injeitadas</t>
  </si>
  <si>
    <t>novilhas cabeceiras</t>
  </si>
  <si>
    <t xml:space="preserve">novilhas fundo </t>
  </si>
  <si>
    <t>vacas prenhas</t>
  </si>
  <si>
    <t>217 vacas prenhas e 89 paridas</t>
  </si>
  <si>
    <t>277 vacas paridas e 53 vacas solteiras</t>
  </si>
  <si>
    <t xml:space="preserve">vacas e novilhas vazias </t>
  </si>
  <si>
    <t>Prenhas</t>
  </si>
  <si>
    <t xml:space="preserve">Origem </t>
  </si>
  <si>
    <t xml:space="preserve">Destino </t>
  </si>
  <si>
    <t xml:space="preserve">Categoria  </t>
  </si>
  <si>
    <t>Idade</t>
  </si>
  <si>
    <t>Pau D'arco</t>
  </si>
  <si>
    <t>Aurora</t>
  </si>
  <si>
    <t>novilhas</t>
  </si>
  <si>
    <t>19-36</t>
  </si>
  <si>
    <t xml:space="preserve">Pau D'arco </t>
  </si>
  <si>
    <t>novilhas p+</t>
  </si>
  <si>
    <t>novilhas vz</t>
  </si>
  <si>
    <t>novilhas morte</t>
  </si>
  <si>
    <t>bezerros</t>
  </si>
  <si>
    <t xml:space="preserve">Boi Brasil </t>
  </si>
  <si>
    <t>vacas e novilhas</t>
  </si>
  <si>
    <t xml:space="preserve">Tesla </t>
  </si>
  <si>
    <t>vacas paridas</t>
  </si>
  <si>
    <t xml:space="preserve">bezerros </t>
  </si>
  <si>
    <t>morte bezerro</t>
  </si>
  <si>
    <t>Chuva de manga</t>
  </si>
  <si>
    <t xml:space="preserve">DATA VERIFICAÇÃO </t>
  </si>
  <si>
    <t>147 Vacas Prenhas; 157 Novilhas (Meio Sangue)</t>
  </si>
  <si>
    <t>214 VACAS PARIDAS E 39 SOLTEIRAS</t>
  </si>
  <si>
    <t>153 Vacas Prenhas; 157 Novilhas Meio Sangue</t>
  </si>
  <si>
    <t>Vacas Vazias p/ abate</t>
  </si>
  <si>
    <t>Bezerros desmama</t>
  </si>
  <si>
    <t>Vacas enfermaria</t>
  </si>
  <si>
    <t xml:space="preserve">141 vacas paridas e 22 solteiras </t>
  </si>
  <si>
    <t>2 vacas paridas e 1 solteira</t>
  </si>
  <si>
    <t>Vacas solteiras prenhas</t>
  </si>
  <si>
    <t>151 novilhas meio sangue e 2 novilhas</t>
  </si>
  <si>
    <t>Vacas solteiras vazias</t>
  </si>
  <si>
    <t>Novilhas leves</t>
  </si>
  <si>
    <t>Novilhas enfermaria</t>
  </si>
  <si>
    <t>Bezerras desmama</t>
  </si>
  <si>
    <t xml:space="preserve">Novilhas meio sangue </t>
  </si>
  <si>
    <t>Reprodutores</t>
  </si>
  <si>
    <t>Novilha leves nelore</t>
  </si>
  <si>
    <t>Vacas prenhas</t>
  </si>
  <si>
    <t>Vacas para abate</t>
  </si>
  <si>
    <t>Novilhas vazias</t>
  </si>
  <si>
    <t>Forno 1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</si>
  <si>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</si>
  <si>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</si>
  <si>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</si>
  <si>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</si>
  <si>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</si>
  <si>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</si>
  <si>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</si>
  <si>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</si>
  <si>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</si>
  <si>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</si>
  <si>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</si>
  <si>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</si>
  <si>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</si>
  <si>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</si>
  <si>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</si>
  <si>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</si>
  <si>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104 vacas paridas e 23 solteiras</t>
  </si>
  <si>
    <t>desmama</t>
  </si>
  <si>
    <t>7 vacas solteiras e 6 bois na enfermaria</t>
  </si>
  <si>
    <t>123 novilhas MS e 40 novilhas nelore</t>
  </si>
  <si>
    <t xml:space="preserve">bezerros desmama </t>
  </si>
  <si>
    <t>Vacas prenhas dezembro</t>
  </si>
  <si>
    <t>vacas vazias</t>
  </si>
  <si>
    <t>Novilhas nelore</t>
  </si>
  <si>
    <t>Vacas prenhas em janeiro</t>
  </si>
  <si>
    <t>Bezerros desmama fundo 28 + 3 mamando</t>
  </si>
  <si>
    <t>3 Novilhas Nelore + 33 Novilhas F1</t>
  </si>
  <si>
    <t xml:space="preserve">Novilhas nelore </t>
  </si>
  <si>
    <t xml:space="preserve">Bezerros injeitados </t>
  </si>
  <si>
    <t xml:space="preserve">Machucado </t>
  </si>
  <si>
    <t>Nelore</t>
  </si>
  <si>
    <t>Enfermaria</t>
  </si>
  <si>
    <t>6 garrotes e 11 garrotes enfermaria</t>
  </si>
  <si>
    <t>Novilhas prenhas</t>
  </si>
  <si>
    <t>14 vacas paridas e 4 solteiras</t>
  </si>
  <si>
    <t>Novilhas F1</t>
  </si>
  <si>
    <t xml:space="preserve">Vacas solteiras Ribalta </t>
  </si>
  <si>
    <t xml:space="preserve">Novilhas </t>
  </si>
  <si>
    <t>Vacas solteiras</t>
  </si>
  <si>
    <t>vacas prenhas + 14 vacas paridas</t>
  </si>
  <si>
    <t>Vacas vazias</t>
  </si>
  <si>
    <t>16 vacas paridas + 21 solteiras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</si>
</sst>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m/d/yyyy"/>
    <numFmt numFmtId="167" formatCode="#,##0.0"/>
    <numFmt numFmtId="168" formatCode="_-&quot;R$ &quot;* #,##0.00_-;&quot;-R$ &quot;* #,##0.00_-;_-&quot;R$ &quot;* \-??_-;_-@_-"/>
  </numFmts>
  <fonts count="8">
    <font>
      <sz val="11"/>
      <color theme="1"/>
      <name val="Aptos Narrow"/>
      <family val="2"/>
      <charset val="1"/>
    </font>
    <font>
      <sz val="11"/>
      <color theme="1"/>
      <name val="Inter"/>
      <charset val="1"/>
    </font>
    <font>
      <b/>
      <sz val="11"/>
      <color theme="1"/>
      <name val="Inter"/>
      <charset val="1"/>
    </font>
    <font>
      <b/>
      <sz val="14"/>
      <color theme="1"/>
      <name val="Inter"/>
      <charset val="1"/>
    </font>
    <font>
      <b/>
      <sz val="12"/>
      <color theme="1"/>
      <name val="Inter"/>
      <charset val="1"/>
    </font>
    <font>
      <sz val="11"/>
      <color theme="1"/>
      <name val="Aptos Narrow"/>
      <family val="2"/>
      <charset val="1"/>
    </font>
    <font>
      <sz val="8"/>
      <name val="Aptos Narrow"/>
      <family val="2"/>
      <charset val="1"/>
    </font>
    <font>
      <b/>
      <sz val="11"/>
      <color theme="1"/>
      <name val="Inte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8" fontId="5" fillId="0" borderId="0"/>
  </cellStyleXfs>
  <cellXfs count="63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 indent="3"/>
    </xf>
    <xf numFmtId="164" fontId="1" fillId="0" borderId="1" xfId="0" applyNumberFormat="1" applyFont="1" applyBorder="1" applyAlignment="1">
      <alignment horizontal="left" indent="3"/>
    </xf>
    <xf numFmtId="165" fontId="1" fillId="0" borderId="1" xfId="0" applyNumberFormat="1" applyFont="1" applyBorder="1" applyAlignment="1">
      <alignment horizontal="left" indent="3"/>
    </xf>
    <xf numFmtId="3" fontId="1" fillId="0" borderId="1" xfId="0" applyNumberFormat="1" applyFont="1" applyBorder="1" applyAlignment="1">
      <alignment horizontal="left" indent="3"/>
    </xf>
    <xf numFmtId="3" fontId="1" fillId="0" borderId="0" xfId="0" applyNumberFormat="1" applyFont="1" applyAlignment="1">
      <alignment horizontal="left" indent="3"/>
    </xf>
    <xf numFmtId="164" fontId="1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/>
    <xf numFmtId="49" fontId="1" fillId="0" borderId="10" xfId="0" applyNumberFormat="1" applyFont="1" applyBorder="1" applyAlignment="1">
      <alignment horizontal="center"/>
    </xf>
    <xf numFmtId="0" fontId="1" fillId="0" borderId="11" xfId="0" applyFont="1" applyBorder="1"/>
    <xf numFmtId="164" fontId="1" fillId="0" borderId="12" xfId="0" applyNumberFormat="1" applyFont="1" applyBorder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1" fontId="2" fillId="2" borderId="12" xfId="0" applyNumberFormat="1" applyFont="1" applyFill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6" xfId="0" applyNumberFormat="1" applyFont="1" applyBorder="1" applyAlignment="1">
      <alignment horizontal="center"/>
    </xf>
    <xf numFmtId="0" fontId="1" fillId="0" borderId="17" xfId="0" applyFont="1" applyBorder="1"/>
    <xf numFmtId="164" fontId="1" fillId="0" borderId="18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0" fontId="1" fillId="0" borderId="20" xfId="0" applyFont="1" applyBorder="1"/>
    <xf numFmtId="167" fontId="3" fillId="0" borderId="21" xfId="0" applyNumberFormat="1" applyFont="1" applyBorder="1"/>
    <xf numFmtId="167" fontId="3" fillId="0" borderId="22" xfId="0" applyNumberFormat="1" applyFont="1" applyBorder="1"/>
    <xf numFmtId="167" fontId="4" fillId="0" borderId="19" xfId="0" applyNumberFormat="1" applyFont="1" applyBorder="1" applyAlignment="1">
      <alignment horizontal="center"/>
    </xf>
    <xf numFmtId="167" fontId="4" fillId="0" borderId="23" xfId="0" applyNumberFormat="1" applyFont="1" applyBorder="1" applyAlignment="1">
      <alignment horizontal="center"/>
    </xf>
    <xf numFmtId="167" fontId="4" fillId="0" borderId="24" xfId="0" applyNumberFormat="1" applyFont="1" applyBorder="1" applyAlignment="1">
      <alignment horizontal="center"/>
    </xf>
    <xf numFmtId="167" fontId="4" fillId="0" borderId="25" xfId="0" applyNumberFormat="1" applyFont="1" applyBorder="1" applyAlignment="1">
      <alignment horizontal="center"/>
    </xf>
    <xf numFmtId="167" fontId="3" fillId="0" borderId="21" xfId="0" applyNumberFormat="1" applyFont="1" applyBorder="1" applyAlignment="1">
      <alignment horizontal="center"/>
    </xf>
    <xf numFmtId="167" fontId="3" fillId="0" borderId="9" xfId="0" applyNumberFormat="1" applyFont="1" applyBorder="1"/>
    <xf numFmtId="167" fontId="3" fillId="0" borderId="1" xfId="0" applyNumberFormat="1" applyFont="1" applyBorder="1"/>
    <xf numFmtId="167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/>
    <xf numFmtId="168" fontId="1" fillId="0" borderId="1" xfId="1" applyFont="1" applyBorder="1"/>
    <xf numFmtId="166" fontId="0" fillId="0" borderId="0" xfId="0" applyNumberFormat="1"/>
    <xf numFmtId="0" fontId="0" fillId="0" borderId="1" xfId="0" applyBorder="1"/>
    <xf numFmtId="0" fontId="0" fillId="0" borderId="26" xfId="0" applyBorder="1"/>
    <xf numFmtId="14" fontId="0" fillId="0" borderId="0" xfId="0" applyNumberFormat="1"/>
    <xf numFmtId="14" fontId="1" fillId="0" borderId="0" xfId="0" applyNumberFormat="1" applyFont="1"/>
    <xf numFmtId="1" fontId="7" fillId="3" borderId="10" xfId="0" applyNumberFormat="1" applyFont="1" applyFill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1" fontId="7" fillId="3" borderId="14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14" fontId="1" fillId="0" borderId="13" xfId="0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8">
    <dxf>
      <font>
        <b/>
        <color rgb="FF9C5700"/>
      </font>
      <fill>
        <patternFill>
          <bgColor rgb="FFFFEB9C"/>
        </patternFill>
      </fill>
    </dxf>
    <dxf>
      <fill>
        <patternFill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b/>
        <color rgb="FF9C5700"/>
      </font>
      <fill>
        <patternFill>
          <bgColor rgb="FFFFEB9C"/>
        </patternFill>
      </fill>
    </dxf>
    <dxf>
      <fill>
        <patternFill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tabSelected="1" topLeftCell="A22" zoomScale="85" zoomScaleNormal="85" workbookViewId="0">
      <selection activeCell="B46" sqref="B46"/>
    </sheetView>
  </sheetViews>
  <sheetFormatPr defaultColWidth="9.21875" defaultRowHeight="13.8"/>
  <cols>
    <col min="1" max="1" width="5.44140625" style="1" customWidth="1"/>
    <col min="2" max="2" width="26" style="2" customWidth="1"/>
    <col min="3" max="3" width="18.44140625" style="2" customWidth="1"/>
    <col min="4" max="4" width="11.6640625" style="2" customWidth="1"/>
    <col min="5" max="5" width="15.6640625" style="2" customWidth="1"/>
    <col min="6" max="7" width="11.6640625" style="2" customWidth="1"/>
    <col min="8" max="9" width="13.6640625" style="2" customWidth="1"/>
    <col min="10" max="10" width="15.5546875" style="2" customWidth="1"/>
    <col min="11" max="12" width="11.6640625" style="2" customWidth="1"/>
    <col min="13" max="13" width="32.88671875" style="2" customWidth="1"/>
    <col min="14" max="14" width="18.109375" style="2" customWidth="1"/>
    <col min="15" max="15" width="15.44140625" style="2" customWidth="1"/>
    <col min="16" max="16" width="16.5546875" style="2" customWidth="1"/>
    <col min="17" max="17" width="11.77734375" style="2" customWidth="1"/>
    <col min="18" max="18" width="11.6640625" style="2" customWidth="1"/>
    <col min="19" max="19" width="8.33203125" style="2" customWidth="1"/>
    <col min="20" max="21" width="11.33203125" style="2" customWidth="1"/>
    <col min="22" max="22" width="13.33203125" style="2" customWidth="1"/>
    <col min="23" max="23" width="15.6640625" style="2" customWidth="1"/>
    <col min="24" max="24" width="20.109375" style="2" customWidth="1"/>
    <col min="25" max="25" width="13.88671875" style="2" customWidth="1"/>
    <col min="26" max="26" width="9.21875" style="2"/>
    <col min="27" max="27" width="16.88671875" style="2" customWidth="1"/>
    <col min="28" max="16384" width="9.21875" style="2"/>
  </cols>
  <sheetData>
    <row r="1" spans="1:25">
      <c r="C1" s="3" t="s">
        <v>0</v>
      </c>
      <c r="D1" s="3" t="s">
        <v>1</v>
      </c>
      <c r="E1" s="3" t="s">
        <v>2</v>
      </c>
      <c r="G1" s="3" t="s">
        <v>3</v>
      </c>
      <c r="H1" s="3" t="s">
        <v>4</v>
      </c>
      <c r="I1" s="3"/>
      <c r="J1" s="3" t="s">
        <v>5</v>
      </c>
      <c r="K1" s="3" t="s">
        <v>6</v>
      </c>
      <c r="L1" s="3" t="s">
        <v>7</v>
      </c>
      <c r="M1" s="3"/>
      <c r="N1" s="3"/>
      <c r="O1" s="3" t="s">
        <v>8</v>
      </c>
      <c r="P1" s="4"/>
      <c r="X1" s="5"/>
    </row>
    <row r="2" spans="1:25">
      <c r="C2" s="6" t="s">
        <v>9</v>
      </c>
      <c r="D2" s="7">
        <v>600</v>
      </c>
      <c r="E2" s="8">
        <f t="shared" ref="E2:E8" si="0">D2/450</f>
        <v>1.3333333333333333</v>
      </c>
      <c r="G2" s="3">
        <v>1</v>
      </c>
      <c r="H2" s="6" t="s">
        <v>10</v>
      </c>
      <c r="I2" s="6"/>
      <c r="J2" s="7">
        <v>30</v>
      </c>
      <c r="K2" s="9">
        <f t="shared" ref="K2:K8" si="1">J2*4.5/1000</f>
        <v>0.13500000000000001</v>
      </c>
      <c r="L2" s="10">
        <f t="shared" ref="L2:L8" si="2">SUMIF($Q$13:$Q$46,G2,$R$13:$R$46)</f>
        <v>0</v>
      </c>
      <c r="M2" s="10"/>
      <c r="N2" s="10"/>
      <c r="O2" s="10">
        <f t="shared" ref="O2:O8" si="3">30*L2</f>
        <v>0</v>
      </c>
      <c r="P2" s="11"/>
      <c r="X2" s="5"/>
    </row>
    <row r="3" spans="1:25">
      <c r="C3" s="6" t="s">
        <v>11</v>
      </c>
      <c r="D3" s="7">
        <v>450</v>
      </c>
      <c r="E3" s="8">
        <f t="shared" si="0"/>
        <v>1</v>
      </c>
      <c r="G3" s="3">
        <v>2</v>
      </c>
      <c r="H3" s="6" t="s">
        <v>12</v>
      </c>
      <c r="I3" s="6"/>
      <c r="J3" s="7">
        <v>50</v>
      </c>
      <c r="K3" s="9">
        <f t="shared" si="1"/>
        <v>0.22500000000000001</v>
      </c>
      <c r="L3" s="10">
        <f t="shared" si="2"/>
        <v>80.099999999999994</v>
      </c>
      <c r="M3" s="10"/>
      <c r="N3" s="10"/>
      <c r="O3" s="10">
        <f t="shared" si="3"/>
        <v>2403</v>
      </c>
      <c r="P3" s="11"/>
      <c r="X3" s="5"/>
    </row>
    <row r="4" spans="1:25">
      <c r="C4" s="6" t="s">
        <v>13</v>
      </c>
      <c r="D4" s="7">
        <v>340</v>
      </c>
      <c r="E4" s="8">
        <f t="shared" si="0"/>
        <v>0.75555555555555554</v>
      </c>
      <c r="G4" s="3">
        <v>3</v>
      </c>
      <c r="H4" s="6" t="s">
        <v>14</v>
      </c>
      <c r="I4" s="6"/>
      <c r="J4" s="7">
        <v>60</v>
      </c>
      <c r="K4" s="9">
        <f t="shared" si="1"/>
        <v>0.27</v>
      </c>
      <c r="L4" s="10">
        <f t="shared" si="2"/>
        <v>0</v>
      </c>
      <c r="M4" s="10"/>
      <c r="N4" s="10"/>
      <c r="O4" s="10">
        <f t="shared" si="3"/>
        <v>0</v>
      </c>
      <c r="P4" s="11"/>
      <c r="X4" s="5"/>
    </row>
    <row r="5" spans="1:25">
      <c r="C5" s="6" t="s">
        <v>15</v>
      </c>
      <c r="D5" s="7">
        <v>250</v>
      </c>
      <c r="E5" s="8">
        <f t="shared" si="0"/>
        <v>0.55555555555555558</v>
      </c>
      <c r="G5" s="3">
        <v>4</v>
      </c>
      <c r="H5" s="6" t="s">
        <v>16</v>
      </c>
      <c r="I5" s="6"/>
      <c r="J5" s="7">
        <v>100</v>
      </c>
      <c r="K5" s="9">
        <f t="shared" si="1"/>
        <v>0.45</v>
      </c>
      <c r="L5" s="10">
        <f t="shared" si="2"/>
        <v>299.41000000000003</v>
      </c>
      <c r="M5" s="10"/>
      <c r="N5" s="10"/>
      <c r="O5" s="10">
        <f t="shared" si="3"/>
        <v>8982.3000000000011</v>
      </c>
      <c r="P5" s="11"/>
      <c r="X5" s="5"/>
    </row>
    <row r="6" spans="1:25">
      <c r="C6" s="6" t="s">
        <v>17</v>
      </c>
      <c r="D6" s="7">
        <v>225</v>
      </c>
      <c r="E6" s="8">
        <f t="shared" si="0"/>
        <v>0.5</v>
      </c>
      <c r="G6" s="3">
        <v>5</v>
      </c>
      <c r="H6" s="6" t="s">
        <v>18</v>
      </c>
      <c r="I6" s="6"/>
      <c r="J6" s="7">
        <v>300</v>
      </c>
      <c r="K6" s="9">
        <f t="shared" si="1"/>
        <v>1.35</v>
      </c>
      <c r="L6" s="10">
        <f t="shared" si="2"/>
        <v>0</v>
      </c>
      <c r="M6" s="10"/>
      <c r="N6" s="10"/>
      <c r="O6" s="10">
        <f t="shared" si="3"/>
        <v>0</v>
      </c>
      <c r="P6" s="11"/>
      <c r="X6" s="5"/>
    </row>
    <row r="7" spans="1:25">
      <c r="C7" s="6" t="s">
        <v>19</v>
      </c>
      <c r="D7" s="7">
        <v>800</v>
      </c>
      <c r="E7" s="8">
        <f t="shared" si="0"/>
        <v>1.7777777777777777</v>
      </c>
      <c r="G7" s="3">
        <v>6</v>
      </c>
      <c r="H7" s="6" t="s">
        <v>20</v>
      </c>
      <c r="I7" s="6"/>
      <c r="J7" s="7">
        <v>1000</v>
      </c>
      <c r="K7" s="9">
        <f t="shared" si="1"/>
        <v>4.5</v>
      </c>
      <c r="L7" s="10">
        <f t="shared" si="2"/>
        <v>0</v>
      </c>
      <c r="M7" s="10"/>
      <c r="N7" s="10"/>
      <c r="O7" s="10">
        <f t="shared" si="3"/>
        <v>0</v>
      </c>
      <c r="P7" s="11"/>
      <c r="X7" s="5"/>
    </row>
    <row r="8" spans="1:25">
      <c r="C8" s="6" t="s">
        <v>21</v>
      </c>
      <c r="D8" s="7">
        <v>675</v>
      </c>
      <c r="E8" s="8">
        <f t="shared" si="0"/>
        <v>1.5</v>
      </c>
      <c r="G8" s="3">
        <v>7</v>
      </c>
      <c r="H8" s="6" t="s">
        <v>22</v>
      </c>
      <c r="I8" s="6"/>
      <c r="J8" s="7">
        <v>0</v>
      </c>
      <c r="K8" s="9">
        <f t="shared" si="1"/>
        <v>0</v>
      </c>
      <c r="L8" s="10">
        <f t="shared" si="2"/>
        <v>0</v>
      </c>
      <c r="M8" s="10"/>
      <c r="N8" s="10"/>
      <c r="O8" s="10">
        <f t="shared" si="3"/>
        <v>0</v>
      </c>
      <c r="P8" s="11"/>
      <c r="X8" s="5"/>
    </row>
    <row r="9" spans="1:25">
      <c r="G9" s="12"/>
      <c r="Y9" s="5"/>
    </row>
    <row r="10" spans="1:25">
      <c r="G10" s="12"/>
      <c r="Y10" s="5"/>
    </row>
    <row r="11" spans="1:25" ht="14.25" customHeight="1">
      <c r="G11" s="12"/>
      <c r="Y11" s="5"/>
    </row>
    <row r="12" spans="1:25">
      <c r="A12" s="13"/>
      <c r="B12" s="14" t="s">
        <v>23</v>
      </c>
      <c r="C12" s="15" t="s">
        <v>24</v>
      </c>
      <c r="D12" s="16" t="s">
        <v>25</v>
      </c>
      <c r="E12" s="17" t="s">
        <v>9</v>
      </c>
      <c r="F12" s="18" t="s">
        <v>11</v>
      </c>
      <c r="G12" s="18" t="s">
        <v>13</v>
      </c>
      <c r="H12" s="18" t="s">
        <v>15</v>
      </c>
      <c r="I12" s="18" t="s">
        <v>26</v>
      </c>
      <c r="J12" s="18" t="s">
        <v>27</v>
      </c>
      <c r="K12" s="18" t="s">
        <v>19</v>
      </c>
      <c r="L12" s="19" t="s">
        <v>21</v>
      </c>
      <c r="M12" s="20" t="s">
        <v>28</v>
      </c>
      <c r="N12" s="21" t="s">
        <v>29</v>
      </c>
      <c r="O12" s="22" t="s">
        <v>30</v>
      </c>
      <c r="P12" s="22" t="s">
        <v>31</v>
      </c>
      <c r="Q12" s="23" t="s">
        <v>4</v>
      </c>
      <c r="R12" s="3" t="s">
        <v>32</v>
      </c>
      <c r="S12" s="24" t="s">
        <v>33</v>
      </c>
      <c r="T12" s="24" t="s">
        <v>34</v>
      </c>
      <c r="U12" s="24" t="s">
        <v>35</v>
      </c>
      <c r="V12" s="24" t="s">
        <v>36</v>
      </c>
      <c r="W12" s="24" t="s">
        <v>37</v>
      </c>
      <c r="X12" s="24" t="s">
        <v>38</v>
      </c>
      <c r="Y12" s="24" t="s">
        <v>39</v>
      </c>
    </row>
    <row r="13" spans="1:25" ht="13.5" customHeight="1">
      <c r="A13" s="25">
        <v>1</v>
      </c>
      <c r="B13" s="26" t="s">
        <v>40</v>
      </c>
      <c r="C13" s="27">
        <v>89.9</v>
      </c>
      <c r="D13" s="62">
        <f>MAX('HISTORICO '!A:A)</f>
        <v>46237</v>
      </c>
      <c r="E13" s="58">
        <f>IFERROR(VLOOKUP(B13&amp;$E$12&amp;TEXT(D13,"dd/mm/aaaa"),'HISTORICO '!D:E,2,FALSE),0)</f>
        <v>0</v>
      </c>
      <c r="F13" s="59">
        <f>IFERROR(VLOOKUP(B13&amp;$F$12&amp;TEXT(D13,"dd/mm/aaaa"),'HISTORICO '!D:E,2,FALSE),0)</f>
        <v>37</v>
      </c>
      <c r="G13" s="59">
        <f>IFERROR(VLOOKUP(B13&amp;G$12&amp;TEXT(D13,"dd/mm/aaaa"),'HISTORICO '!D:E,2,FALSE),0)</f>
        <v>0</v>
      </c>
      <c r="H13" s="59">
        <f>IFERROR(VLOOKUP(B13&amp;H$12&amp;TEXT(D13,"dd/mm/aaaa"),'HISTORICO '!D:E,2,FALSE),0)</f>
        <v>0</v>
      </c>
      <c r="I13" s="59">
        <f>IFERROR(VLOOKUP(B13&amp;I$12&amp;TEXT(D13,"dd/mm/aaaa"),'HISTORICO '!D:E,2,FALSE),0)</f>
        <v>0</v>
      </c>
      <c r="J13" s="59">
        <f>IFERROR(VLOOKUP(B13&amp;J$12&amp;TEXT(D13,"dd/mm/aaaa"),'HISTORICO '!D:E,2,FALSE),0)</f>
        <v>16</v>
      </c>
      <c r="K13" s="59">
        <f>IFERROR(VLOOKUP(B13&amp;K$12&amp;TEXT(D13,"dd/mm/aaaa"),'HISTORICO '!D:E,2,FALSE),0)</f>
        <v>0</v>
      </c>
      <c r="L13" s="60"/>
      <c r="M13" s="61" t="str">
        <f>IFERROR(_xlfn.XLOOKUP(D13 &amp; B13,  'HISTORICO '!G:G, 'HISTORICO '!F:F),"")</f>
        <v>16 vacas paridas + 21 solteiras</v>
      </c>
      <c r="N13" s="29">
        <f>SUM(E13:L13)+IF(E13&gt;0,E13*1,0)</f>
        <v>53</v>
      </c>
      <c r="O13" s="30">
        <f t="shared" ref="O13:O47" si="4">E13*$E$2+F13*$E$3+G13*$E$4+H13*$E$5+J13*$E$6+K13*$E$7+L13*$E$8</f>
        <v>45</v>
      </c>
      <c r="P13" s="27">
        <f t="shared" ref="P13:P48" si="5">O13/C13</f>
        <v>0.50055617352614012</v>
      </c>
      <c r="Q13" s="31">
        <v>2</v>
      </c>
      <c r="R13" s="32">
        <f t="shared" ref="R13:R46" si="6">SUMIF($G$2:$G$8,Q13,$K$2:$K$8)*O13</f>
        <v>10.125</v>
      </c>
      <c r="S13" s="33">
        <v>2</v>
      </c>
      <c r="T13" s="34">
        <f t="shared" ref="T13:T46" si="7">S13*$C13</f>
        <v>179.8</v>
      </c>
      <c r="U13" s="34">
        <f t="shared" ref="U13:U46" si="8">0.5*T13</f>
        <v>89.9</v>
      </c>
      <c r="V13" s="6">
        <v>5</v>
      </c>
      <c r="W13" s="6" t="s">
        <v>42</v>
      </c>
      <c r="X13" s="6" t="s">
        <v>43</v>
      </c>
      <c r="Y13" s="6"/>
    </row>
    <row r="14" spans="1:25" ht="13.5" customHeight="1">
      <c r="A14" s="25">
        <v>2</v>
      </c>
      <c r="B14" s="26" t="s">
        <v>44</v>
      </c>
      <c r="C14" s="27">
        <v>18</v>
      </c>
      <c r="D14" s="62">
        <f>MAX('HISTORICO '!A:A)</f>
        <v>46237</v>
      </c>
      <c r="E14" s="58">
        <f>IFERROR(VLOOKUP(B14&amp;$E$12&amp;TEXT(D14,"dd/mm/aaaa"),'HISTORICO '!D:E,2,FALSE),0)</f>
        <v>0</v>
      </c>
      <c r="F14" s="59">
        <f>IFERROR(VLOOKUP(B14&amp;$F$12&amp;TEXT(D14,"dd/mm/aaaa"),'HISTORICO '!D:E,2,FALSE),0)</f>
        <v>0</v>
      </c>
      <c r="G14" s="59">
        <f>IFERROR(VLOOKUP(B14&amp;G$12&amp;TEXT(D14,"dd/mm/aaaa"),'HISTORICO '!D:E,2,FALSE),0)</f>
        <v>0</v>
      </c>
      <c r="H14" s="59">
        <f>IFERROR(VLOOKUP(B14&amp;H$12&amp;TEXT(D14,"dd/mm/aaaa"),'HISTORICO '!D:E,2,FALSE),0)</f>
        <v>0</v>
      </c>
      <c r="I14" s="59">
        <f>IFERROR(VLOOKUP(B14&amp;I$12&amp;TEXT(D14,"dd/mm/aaaa"),'HISTORICO '!D:E,2,FALSE),0)</f>
        <v>0</v>
      </c>
      <c r="J14" s="59">
        <f>IFERROR(VLOOKUP(B14&amp;J$12&amp;TEXT(D14,"dd/mm/aaaa"),'HISTORICO '!D:E,2,FALSE),0)</f>
        <v>0</v>
      </c>
      <c r="K14" s="59">
        <f>IFERROR(VLOOKUP(B14&amp;K$12&amp;TEXT(D14,"dd/mm/aaaa"),'HISTORICO '!D:E,2,FALSE),0)</f>
        <v>0</v>
      </c>
      <c r="L14" s="60"/>
      <c r="M14" s="61" t="str">
        <f>IFERROR(_xlfn.XLOOKUP(D14 &amp; B14,  'HISTORICO '!G:G, 'HISTORICO '!F:F),"")</f>
        <v/>
      </c>
      <c r="N14" s="29">
        <f t="shared" ref="N14:N47" si="9">SUM(E14:L14)+IF(E14&gt;0,E14*1,0)</f>
        <v>0</v>
      </c>
      <c r="O14" s="30">
        <f t="shared" si="4"/>
        <v>0</v>
      </c>
      <c r="P14" s="27">
        <f t="shared" si="5"/>
        <v>0</v>
      </c>
      <c r="Q14" s="31"/>
      <c r="R14" s="32">
        <f t="shared" si="6"/>
        <v>0</v>
      </c>
      <c r="S14" s="33">
        <v>0</v>
      </c>
      <c r="T14" s="34">
        <f t="shared" si="7"/>
        <v>0</v>
      </c>
      <c r="U14" s="34">
        <f t="shared" si="8"/>
        <v>0</v>
      </c>
      <c r="V14" s="6">
        <v>0</v>
      </c>
      <c r="W14" s="6" t="s">
        <v>42</v>
      </c>
      <c r="X14" s="6" t="s">
        <v>45</v>
      </c>
      <c r="Y14" s="6"/>
    </row>
    <row r="15" spans="1:25" ht="13.5" customHeight="1">
      <c r="A15" s="25">
        <v>3</v>
      </c>
      <c r="B15" s="26" t="s">
        <v>46</v>
      </c>
      <c r="C15" s="27">
        <v>51.7</v>
      </c>
      <c r="D15" s="62">
        <f>MAX('HISTORICO '!A:A)</f>
        <v>46237</v>
      </c>
      <c r="E15" s="58">
        <f>IFERROR(VLOOKUP(B15&amp;$E$12&amp;TEXT(D15,"dd/mm/aaaa"),'HISTORICO '!D:E,2,FALSE),0)</f>
        <v>0</v>
      </c>
      <c r="F15" s="59">
        <f>IFERROR(VLOOKUP(B15&amp;$F$12&amp;TEXT(D15,"dd/mm/aaaa"),'HISTORICO '!D:E,2,FALSE),0)</f>
        <v>0</v>
      </c>
      <c r="G15" s="59">
        <f>IFERROR(VLOOKUP(B15&amp;G$12&amp;TEXT(D15,"dd/mm/aaaa"),'HISTORICO '!D:E,2,FALSE),0)</f>
        <v>0</v>
      </c>
      <c r="H15" s="59">
        <f>IFERROR(VLOOKUP(B15&amp;H$12&amp;TEXT(D15,"dd/mm/aaaa"),'HISTORICO '!D:E,2,FALSE),0)</f>
        <v>0</v>
      </c>
      <c r="I15" s="59">
        <f>IFERROR(VLOOKUP(B15&amp;I$12&amp;TEXT(D15,"dd/mm/aaaa"),'HISTORICO '!D:E,2,FALSE),0)</f>
        <v>0</v>
      </c>
      <c r="J15" s="59">
        <f>IFERROR(VLOOKUP(B15&amp;J$12&amp;TEXT(D15,"dd/mm/aaaa"),'HISTORICO '!D:E,2,FALSE),0)</f>
        <v>0</v>
      </c>
      <c r="K15" s="59">
        <f>IFERROR(VLOOKUP(B15&amp;K$12&amp;TEXT(D15,"dd/mm/aaaa"),'HISTORICO '!D:E,2,FALSE),0)</f>
        <v>0</v>
      </c>
      <c r="L15" s="60"/>
      <c r="M15" s="61" t="str">
        <f>IFERROR(_xlfn.XLOOKUP(D15 &amp; B15,  'HISTORICO '!G:G, 'HISTORICO '!F:F),"")</f>
        <v/>
      </c>
      <c r="N15" s="29">
        <f t="shared" si="9"/>
        <v>0</v>
      </c>
      <c r="O15" s="30">
        <f t="shared" si="4"/>
        <v>0</v>
      </c>
      <c r="P15" s="27">
        <f t="shared" si="5"/>
        <v>0</v>
      </c>
      <c r="Q15" s="31"/>
      <c r="R15" s="32">
        <f t="shared" si="6"/>
        <v>0</v>
      </c>
      <c r="S15" s="33">
        <v>1</v>
      </c>
      <c r="T15" s="34">
        <f t="shared" si="7"/>
        <v>51.7</v>
      </c>
      <c r="U15" s="34">
        <f t="shared" si="8"/>
        <v>25.85</v>
      </c>
      <c r="V15" s="6">
        <v>4</v>
      </c>
      <c r="W15" s="6" t="s">
        <v>47</v>
      </c>
      <c r="X15" s="6" t="s">
        <v>45</v>
      </c>
      <c r="Y15" s="6"/>
    </row>
    <row r="16" spans="1:25" ht="13.5" customHeight="1">
      <c r="A16" s="25">
        <v>4</v>
      </c>
      <c r="B16" s="26" t="s">
        <v>48</v>
      </c>
      <c r="C16" s="27">
        <v>4.6900000000000004</v>
      </c>
      <c r="D16" s="62">
        <f>MAX('HISTORICO '!A:A)</f>
        <v>46237</v>
      </c>
      <c r="E16" s="58">
        <f>IFERROR(VLOOKUP(B16&amp;$E$12&amp;TEXT(D16,"dd/mm/aaaa"),'HISTORICO '!D:E,2,FALSE),0)</f>
        <v>0</v>
      </c>
      <c r="F16" s="59">
        <f>IFERROR(VLOOKUP(B16&amp;$F$12&amp;TEXT(D16,"dd/mm/aaaa"),'HISTORICO '!D:E,2,FALSE),0)</f>
        <v>0</v>
      </c>
      <c r="G16" s="59">
        <f>IFERROR(VLOOKUP(B16&amp;G$12&amp;TEXT(D16,"dd/mm/aaaa"),'HISTORICO '!D:E,2,FALSE),0)</f>
        <v>0</v>
      </c>
      <c r="H16" s="59">
        <f>IFERROR(VLOOKUP(B16&amp;H$12&amp;TEXT(D16,"dd/mm/aaaa"),'HISTORICO '!D:E,2,FALSE),0)</f>
        <v>0</v>
      </c>
      <c r="I16" s="59">
        <f>IFERROR(VLOOKUP(B16&amp;I$12&amp;TEXT(D16,"dd/mm/aaaa"),'HISTORICO '!D:E,2,FALSE),0)</f>
        <v>0</v>
      </c>
      <c r="J16" s="59">
        <f>IFERROR(VLOOKUP(B16&amp;J$12&amp;TEXT(D16,"dd/mm/aaaa"),'HISTORICO '!D:E,2,FALSE),0)</f>
        <v>0</v>
      </c>
      <c r="K16" s="59">
        <f>IFERROR(VLOOKUP(B16&amp;K$12&amp;TEXT(D16,"dd/mm/aaaa"),'HISTORICO '!D:E,2,FALSE),0)</f>
        <v>0</v>
      </c>
      <c r="L16" s="60"/>
      <c r="M16" s="61" t="str">
        <f>IFERROR(_xlfn.XLOOKUP(D16 &amp; B16,  'HISTORICO '!G:G, 'HISTORICO '!F:F),"")</f>
        <v/>
      </c>
      <c r="N16" s="29">
        <f t="shared" si="9"/>
        <v>0</v>
      </c>
      <c r="O16" s="30">
        <f t="shared" si="4"/>
        <v>0</v>
      </c>
      <c r="P16" s="27">
        <f t="shared" si="5"/>
        <v>0</v>
      </c>
      <c r="Q16" s="31">
        <v>2</v>
      </c>
      <c r="R16" s="32">
        <f t="shared" si="6"/>
        <v>0</v>
      </c>
      <c r="S16" s="33">
        <v>2</v>
      </c>
      <c r="T16" s="34">
        <f t="shared" si="7"/>
        <v>9.3800000000000008</v>
      </c>
      <c r="U16" s="34">
        <f t="shared" si="8"/>
        <v>4.6900000000000004</v>
      </c>
      <c r="V16" s="6"/>
      <c r="W16" s="6" t="s">
        <v>49</v>
      </c>
      <c r="X16" s="6" t="s">
        <v>43</v>
      </c>
      <c r="Y16" s="6"/>
    </row>
    <row r="17" spans="1:25" ht="13.5" customHeight="1">
      <c r="A17" s="25">
        <v>5</v>
      </c>
      <c r="B17" s="26" t="s">
        <v>50</v>
      </c>
      <c r="C17" s="27">
        <v>0.76</v>
      </c>
      <c r="D17" s="62">
        <f>MAX('HISTORICO '!A:A)</f>
        <v>46237</v>
      </c>
      <c r="E17" s="58">
        <f>IFERROR(VLOOKUP(B17&amp;$E$12&amp;TEXT(D17,"dd/mm/aaaa"),'HISTORICO '!D:E,2,FALSE),0)</f>
        <v>0</v>
      </c>
      <c r="F17" s="59">
        <f>IFERROR(VLOOKUP(B17&amp;$F$12&amp;TEXT(D17,"dd/mm/aaaa"),'HISTORICO '!D:E,2,FALSE),0)</f>
        <v>0</v>
      </c>
      <c r="G17" s="59">
        <f>IFERROR(VLOOKUP(B17&amp;G$12&amp;TEXT(D17,"dd/mm/aaaa"),'HISTORICO '!D:E,2,FALSE),0)</f>
        <v>0</v>
      </c>
      <c r="H17" s="59">
        <f>IFERROR(VLOOKUP(B17&amp;H$12&amp;TEXT(D17,"dd/mm/aaaa"),'HISTORICO '!D:E,2,FALSE),0)</f>
        <v>0</v>
      </c>
      <c r="I17" s="59">
        <f>IFERROR(VLOOKUP(B17&amp;I$12&amp;TEXT(D17,"dd/mm/aaaa"),'HISTORICO '!D:E,2,FALSE),0)</f>
        <v>0</v>
      </c>
      <c r="J17" s="59">
        <f>IFERROR(VLOOKUP(B17&amp;J$12&amp;TEXT(D17,"dd/mm/aaaa"),'HISTORICO '!D:E,2,FALSE),0)</f>
        <v>0</v>
      </c>
      <c r="K17" s="59">
        <f>IFERROR(VLOOKUP(B17&amp;K$12&amp;TEXT(D17,"dd/mm/aaaa"),'HISTORICO '!D:E,2,FALSE),0)</f>
        <v>0</v>
      </c>
      <c r="L17" s="60"/>
      <c r="M17" s="61" t="str">
        <f>IFERROR(_xlfn.XLOOKUP(D17 &amp; B17,  'HISTORICO '!G:G, 'HISTORICO '!F:F),"")</f>
        <v/>
      </c>
      <c r="N17" s="29">
        <f t="shared" si="9"/>
        <v>0</v>
      </c>
      <c r="O17" s="30">
        <f t="shared" si="4"/>
        <v>0</v>
      </c>
      <c r="P17" s="27">
        <f t="shared" si="5"/>
        <v>0</v>
      </c>
      <c r="Q17" s="31"/>
      <c r="R17" s="32">
        <f t="shared" si="6"/>
        <v>0</v>
      </c>
      <c r="S17" s="33">
        <v>1</v>
      </c>
      <c r="T17" s="34">
        <f t="shared" si="7"/>
        <v>0.76</v>
      </c>
      <c r="U17" s="34">
        <f t="shared" si="8"/>
        <v>0.38</v>
      </c>
      <c r="V17" s="6"/>
      <c r="W17" s="6" t="s">
        <v>49</v>
      </c>
      <c r="X17" s="6" t="s">
        <v>43</v>
      </c>
      <c r="Y17" s="6"/>
    </row>
    <row r="18" spans="1:25" ht="13.5" customHeight="1">
      <c r="A18" s="25">
        <v>6</v>
      </c>
      <c r="B18" s="26" t="s">
        <v>51</v>
      </c>
      <c r="C18" s="27">
        <v>7</v>
      </c>
      <c r="D18" s="62">
        <f>MAX('HISTORICO '!A:A)</f>
        <v>46237</v>
      </c>
      <c r="E18" s="58">
        <f>IFERROR(VLOOKUP(B18&amp;$E$12&amp;TEXT(D18,"dd/mm/aaaa"),'HISTORICO '!D:E,2,FALSE),0)</f>
        <v>0</v>
      </c>
      <c r="F18" s="59">
        <f>IFERROR(VLOOKUP(B18&amp;$F$12&amp;TEXT(D18,"dd/mm/aaaa"),'HISTORICO '!D:E,2,FALSE),0)</f>
        <v>0</v>
      </c>
      <c r="G18" s="59">
        <f>IFERROR(VLOOKUP(B18&amp;G$12&amp;TEXT(D18,"dd/mm/aaaa"),'HISTORICO '!D:E,2,FALSE),0)</f>
        <v>0</v>
      </c>
      <c r="H18" s="59">
        <f>IFERROR(VLOOKUP(B18&amp;H$12&amp;TEXT(D18,"dd/mm/aaaa"),'HISTORICO '!D:E,2,FALSE),0)</f>
        <v>0</v>
      </c>
      <c r="I18" s="59">
        <f>IFERROR(VLOOKUP(B18&amp;I$12&amp;TEXT(D18,"dd/mm/aaaa"),'HISTORICO '!D:E,2,FALSE),0)</f>
        <v>0</v>
      </c>
      <c r="J18" s="59">
        <f>IFERROR(VLOOKUP(B18&amp;J$12&amp;TEXT(D18,"dd/mm/aaaa"),'HISTORICO '!D:E,2,FALSE),0)</f>
        <v>0</v>
      </c>
      <c r="K18" s="59">
        <f>IFERROR(VLOOKUP(B18&amp;K$12&amp;TEXT(D18,"dd/mm/aaaa"),'HISTORICO '!D:E,2,FALSE),0)</f>
        <v>0</v>
      </c>
      <c r="L18" s="60"/>
      <c r="M18" s="61" t="str">
        <f>IFERROR(_xlfn.XLOOKUP(D18 &amp; B18,  'HISTORICO '!G:G, 'HISTORICO '!F:F),"")</f>
        <v/>
      </c>
      <c r="N18" s="29">
        <f t="shared" si="9"/>
        <v>0</v>
      </c>
      <c r="O18" s="30">
        <f t="shared" si="4"/>
        <v>0</v>
      </c>
      <c r="P18" s="27">
        <f t="shared" si="5"/>
        <v>0</v>
      </c>
      <c r="Q18" s="31"/>
      <c r="R18" s="32">
        <f t="shared" si="6"/>
        <v>0</v>
      </c>
      <c r="S18" s="33">
        <v>1.5</v>
      </c>
      <c r="T18" s="34">
        <f t="shared" si="7"/>
        <v>10.5</v>
      </c>
      <c r="U18" s="34">
        <f t="shared" si="8"/>
        <v>5.25</v>
      </c>
      <c r="V18" s="6"/>
      <c r="W18" s="6" t="s">
        <v>49</v>
      </c>
      <c r="X18" s="6" t="s">
        <v>52</v>
      </c>
      <c r="Y18" s="6"/>
    </row>
    <row r="19" spans="1:25" ht="13.5" customHeight="1">
      <c r="A19" s="25">
        <v>7</v>
      </c>
      <c r="B19" s="26" t="s">
        <v>53</v>
      </c>
      <c r="C19" s="27">
        <v>12.9</v>
      </c>
      <c r="D19" s="62">
        <f>MAX('HISTORICO '!A:A)</f>
        <v>46237</v>
      </c>
      <c r="E19" s="58">
        <f>IFERROR(VLOOKUP(B19&amp;$E$12&amp;TEXT(D19,"dd/mm/aaaa"),'HISTORICO '!D:E,2,FALSE),0)</f>
        <v>0</v>
      </c>
      <c r="F19" s="59">
        <f>IFERROR(VLOOKUP(B19&amp;$F$12&amp;TEXT(D19,"dd/mm/aaaa"),'HISTORICO '!D:E,2,FALSE),0)</f>
        <v>0</v>
      </c>
      <c r="G19" s="59">
        <f>IFERROR(VLOOKUP(B19&amp;G$12&amp;TEXT(D19,"dd/mm/aaaa"),'HISTORICO '!D:E,2,FALSE),0)</f>
        <v>0</v>
      </c>
      <c r="H19" s="59">
        <f>IFERROR(VLOOKUP(B19&amp;H$12&amp;TEXT(D19,"dd/mm/aaaa"),'HISTORICO '!D:E,2,FALSE),0)</f>
        <v>0</v>
      </c>
      <c r="I19" s="59">
        <f>IFERROR(VLOOKUP(B19&amp;I$12&amp;TEXT(D19,"dd/mm/aaaa"),'HISTORICO '!D:E,2,FALSE),0)</f>
        <v>0</v>
      </c>
      <c r="J19" s="59">
        <f>IFERROR(VLOOKUP(B19&amp;J$12&amp;TEXT(D19,"dd/mm/aaaa"),'HISTORICO '!D:E,2,FALSE),0)</f>
        <v>0</v>
      </c>
      <c r="K19" s="59">
        <f>IFERROR(VLOOKUP(B19&amp;K$12&amp;TEXT(D19,"dd/mm/aaaa"),'HISTORICO '!D:E,2,FALSE),0)</f>
        <v>0</v>
      </c>
      <c r="L19" s="60"/>
      <c r="M19" s="61" t="str">
        <f>IFERROR(_xlfn.XLOOKUP(D19 &amp; B19,  'HISTORICO '!G:G, 'HISTORICO '!F:F),"")</f>
        <v/>
      </c>
      <c r="N19" s="29">
        <f t="shared" si="9"/>
        <v>0</v>
      </c>
      <c r="O19" s="30">
        <f t="shared" si="4"/>
        <v>0</v>
      </c>
      <c r="P19" s="27">
        <f t="shared" si="5"/>
        <v>0</v>
      </c>
      <c r="Q19" s="31"/>
      <c r="R19" s="32">
        <f t="shared" si="6"/>
        <v>0</v>
      </c>
      <c r="S19" s="33">
        <v>1.5</v>
      </c>
      <c r="T19" s="34">
        <f t="shared" si="7"/>
        <v>19.350000000000001</v>
      </c>
      <c r="U19" s="34">
        <f t="shared" si="8"/>
        <v>9.6750000000000007</v>
      </c>
      <c r="V19" s="6"/>
      <c r="W19" s="6" t="s">
        <v>49</v>
      </c>
      <c r="X19" s="6" t="s">
        <v>52</v>
      </c>
      <c r="Y19" s="6"/>
    </row>
    <row r="20" spans="1:25" ht="13.5" customHeight="1">
      <c r="A20" s="25">
        <v>8</v>
      </c>
      <c r="B20" s="26" t="s">
        <v>54</v>
      </c>
      <c r="C20" s="27">
        <v>8.07</v>
      </c>
      <c r="D20" s="62">
        <f>MAX('HISTORICO '!A:A)</f>
        <v>46237</v>
      </c>
      <c r="E20" s="58">
        <f>IFERROR(VLOOKUP(B20&amp;$E$12&amp;TEXT(D20,"dd/mm/aaaa"),'HISTORICO '!D:E,2,FALSE),0)</f>
        <v>0</v>
      </c>
      <c r="F20" s="59">
        <f>IFERROR(VLOOKUP(B20&amp;$F$12&amp;TEXT(D20,"dd/mm/aaaa"),'HISTORICO '!D:E,2,FALSE),0)</f>
        <v>0</v>
      </c>
      <c r="G20" s="59">
        <f>IFERROR(VLOOKUP(B20&amp;G$12&amp;TEXT(D20,"dd/mm/aaaa"),'HISTORICO '!D:E,2,FALSE),0)</f>
        <v>0</v>
      </c>
      <c r="H20" s="59">
        <f>IFERROR(VLOOKUP(B20&amp;H$12&amp;TEXT(D20,"dd/mm/aaaa"),'HISTORICO '!D:E,2,FALSE),0)</f>
        <v>0</v>
      </c>
      <c r="I20" s="59">
        <f>IFERROR(VLOOKUP(B20&amp;I$12&amp;TEXT(D20,"dd/mm/aaaa"),'HISTORICO '!D:E,2,FALSE),0)</f>
        <v>0</v>
      </c>
      <c r="J20" s="59">
        <f>IFERROR(VLOOKUP(B20&amp;J$12&amp;TEXT(D20,"dd/mm/aaaa"),'HISTORICO '!D:E,2,FALSE),0)</f>
        <v>0</v>
      </c>
      <c r="K20" s="59">
        <f>IFERROR(VLOOKUP(B20&amp;K$12&amp;TEXT(D20,"dd/mm/aaaa"),'HISTORICO '!D:E,2,FALSE),0)</f>
        <v>0</v>
      </c>
      <c r="L20" s="60"/>
      <c r="M20" s="61" t="str">
        <f>IFERROR(_xlfn.XLOOKUP(D20 &amp; B20,  'HISTORICO '!G:G, 'HISTORICO '!F:F),"")</f>
        <v/>
      </c>
      <c r="N20" s="29">
        <f t="shared" si="9"/>
        <v>0</v>
      </c>
      <c r="O20" s="30">
        <f t="shared" si="4"/>
        <v>0</v>
      </c>
      <c r="P20" s="27">
        <f t="shared" si="5"/>
        <v>0</v>
      </c>
      <c r="Q20" s="31">
        <v>4</v>
      </c>
      <c r="R20" s="32">
        <f t="shared" si="6"/>
        <v>0</v>
      </c>
      <c r="S20" s="33">
        <v>2.5</v>
      </c>
      <c r="T20" s="34">
        <f t="shared" si="7"/>
        <v>20.175000000000001</v>
      </c>
      <c r="U20" s="34">
        <f t="shared" si="8"/>
        <v>10.0875</v>
      </c>
      <c r="V20" s="6"/>
      <c r="W20" s="6" t="s">
        <v>47</v>
      </c>
      <c r="X20" s="6" t="s">
        <v>52</v>
      </c>
      <c r="Y20" s="6"/>
    </row>
    <row r="21" spans="1:25" ht="13.5" customHeight="1">
      <c r="A21" s="25">
        <v>9</v>
      </c>
      <c r="B21" s="26" t="s">
        <v>55</v>
      </c>
      <c r="C21" s="27">
        <v>4.3099999999999996</v>
      </c>
      <c r="D21" s="62">
        <f>MAX('HISTORICO '!A:A)</f>
        <v>46237</v>
      </c>
      <c r="E21" s="58">
        <f>IFERROR(VLOOKUP(B21&amp;$E$12&amp;TEXT(D21,"dd/mm/aaaa"),'HISTORICO '!D:E,2,FALSE),0)</f>
        <v>0</v>
      </c>
      <c r="F21" s="59">
        <f>IFERROR(VLOOKUP(B21&amp;$F$12&amp;TEXT(D21,"dd/mm/aaaa"),'HISTORICO '!D:E,2,FALSE),0)</f>
        <v>0</v>
      </c>
      <c r="G21" s="59">
        <f>IFERROR(VLOOKUP(B21&amp;G$12&amp;TEXT(D21,"dd/mm/aaaa"),'HISTORICO '!D:E,2,FALSE),0)</f>
        <v>0</v>
      </c>
      <c r="H21" s="59">
        <f>IFERROR(VLOOKUP(B21&amp;H$12&amp;TEXT(D21,"dd/mm/aaaa"),'HISTORICO '!D:E,2,FALSE),0)</f>
        <v>0</v>
      </c>
      <c r="I21" s="59">
        <f>IFERROR(VLOOKUP(B21&amp;I$12&amp;TEXT(D21,"dd/mm/aaaa"),'HISTORICO '!D:E,2,FALSE),0)</f>
        <v>0</v>
      </c>
      <c r="J21" s="59">
        <f>IFERROR(VLOOKUP(B21&amp;J$12&amp;TEXT(D21,"dd/mm/aaaa"),'HISTORICO '!D:E,2,FALSE),0)</f>
        <v>0</v>
      </c>
      <c r="K21" s="59">
        <f>IFERROR(VLOOKUP(B21&amp;K$12&amp;TEXT(D21,"dd/mm/aaaa"),'HISTORICO '!D:E,2,FALSE),0)</f>
        <v>0</v>
      </c>
      <c r="L21" s="60"/>
      <c r="M21" s="61" t="str">
        <f>IFERROR(_xlfn.XLOOKUP(D21 &amp; B21,  'HISTORICO '!G:G, 'HISTORICO '!F:F),"")</f>
        <v/>
      </c>
      <c r="N21" s="29">
        <f t="shared" si="9"/>
        <v>0</v>
      </c>
      <c r="O21" s="30">
        <f t="shared" si="4"/>
        <v>0</v>
      </c>
      <c r="P21" s="27">
        <f t="shared" si="5"/>
        <v>0</v>
      </c>
      <c r="Q21" s="31"/>
      <c r="R21" s="32">
        <f t="shared" si="6"/>
        <v>0</v>
      </c>
      <c r="S21" s="33">
        <v>3</v>
      </c>
      <c r="T21" s="34">
        <f t="shared" si="7"/>
        <v>12.93</v>
      </c>
      <c r="U21" s="34">
        <f t="shared" si="8"/>
        <v>6.4649999999999999</v>
      </c>
      <c r="V21" s="6"/>
      <c r="W21" s="6" t="s">
        <v>56</v>
      </c>
      <c r="X21" s="6" t="s">
        <v>43</v>
      </c>
      <c r="Y21" s="6"/>
    </row>
    <row r="22" spans="1:25" ht="13.5" customHeight="1">
      <c r="A22" s="25">
        <v>10</v>
      </c>
      <c r="B22" s="26" t="s">
        <v>57</v>
      </c>
      <c r="C22" s="27">
        <v>2.48</v>
      </c>
      <c r="D22" s="62">
        <f>MAX('HISTORICO '!A:A)</f>
        <v>46237</v>
      </c>
      <c r="E22" s="58">
        <f>IFERROR(VLOOKUP(B22&amp;$E$12&amp;TEXT(D22,"dd/mm/aaaa"),'HISTORICO '!D:E,2,FALSE),0)</f>
        <v>0</v>
      </c>
      <c r="F22" s="59">
        <f>IFERROR(VLOOKUP(B22&amp;$F$12&amp;TEXT(D22,"dd/mm/aaaa"),'HISTORICO '!D:E,2,FALSE),0)</f>
        <v>0</v>
      </c>
      <c r="G22" s="59">
        <f>IFERROR(VLOOKUP(B22&amp;G$12&amp;TEXT(D22,"dd/mm/aaaa"),'HISTORICO '!D:E,2,FALSE),0)</f>
        <v>0</v>
      </c>
      <c r="H22" s="59">
        <f>IFERROR(VLOOKUP(B22&amp;H$12&amp;TEXT(D22,"dd/mm/aaaa"),'HISTORICO '!D:E,2,FALSE),0)</f>
        <v>0</v>
      </c>
      <c r="I22" s="59">
        <f>IFERROR(VLOOKUP(B22&amp;I$12&amp;TEXT(D22,"dd/mm/aaaa"),'HISTORICO '!D:E,2,FALSE),0)</f>
        <v>0</v>
      </c>
      <c r="J22" s="59">
        <f>IFERROR(VLOOKUP(B22&amp;J$12&amp;TEXT(D22,"dd/mm/aaaa"),'HISTORICO '!D:E,2,FALSE),0)</f>
        <v>0</v>
      </c>
      <c r="K22" s="59">
        <f>IFERROR(VLOOKUP(B22&amp;K$12&amp;TEXT(D22,"dd/mm/aaaa"),'HISTORICO '!D:E,2,FALSE),0)</f>
        <v>0</v>
      </c>
      <c r="L22" s="60"/>
      <c r="M22" s="61" t="str">
        <f>IFERROR(_xlfn.XLOOKUP(D22 &amp; B22,  'HISTORICO '!G:G, 'HISTORICO '!F:F),"")</f>
        <v/>
      </c>
      <c r="N22" s="29">
        <f t="shared" si="9"/>
        <v>0</v>
      </c>
      <c r="O22" s="30">
        <f t="shared" si="4"/>
        <v>0</v>
      </c>
      <c r="P22" s="27">
        <f t="shared" si="5"/>
        <v>0</v>
      </c>
      <c r="Q22" s="31"/>
      <c r="R22" s="32">
        <f t="shared" si="6"/>
        <v>0</v>
      </c>
      <c r="S22" s="33">
        <v>0</v>
      </c>
      <c r="T22" s="34">
        <f t="shared" si="7"/>
        <v>0</v>
      </c>
      <c r="U22" s="34">
        <f t="shared" si="8"/>
        <v>0</v>
      </c>
      <c r="V22" s="6"/>
      <c r="W22" s="6" t="s">
        <v>58</v>
      </c>
      <c r="X22" s="6" t="s">
        <v>59</v>
      </c>
      <c r="Y22" s="6"/>
    </row>
    <row r="23" spans="1:25" ht="13.5" customHeight="1">
      <c r="A23" s="25">
        <v>11</v>
      </c>
      <c r="B23" s="26" t="s">
        <v>60</v>
      </c>
      <c r="C23" s="27">
        <v>7.34</v>
      </c>
      <c r="D23" s="62">
        <f>MAX('HISTORICO '!A:A)</f>
        <v>46237</v>
      </c>
      <c r="E23" s="58">
        <f>IFERROR(VLOOKUP(B23&amp;$E$12&amp;TEXT(D23,"dd/mm/aaaa"),'HISTORICO '!D:E,2,FALSE),0)</f>
        <v>0</v>
      </c>
      <c r="F23" s="59">
        <f>IFERROR(VLOOKUP(B23&amp;$F$12&amp;TEXT(D23,"dd/mm/aaaa"),'HISTORICO '!D:E,2,FALSE),0)</f>
        <v>0</v>
      </c>
      <c r="G23" s="59">
        <f>IFERROR(VLOOKUP(B23&amp;G$12&amp;TEXT(D23,"dd/mm/aaaa"),'HISTORICO '!D:E,2,FALSE),0)</f>
        <v>0</v>
      </c>
      <c r="H23" s="59">
        <f>IFERROR(VLOOKUP(B23&amp;H$12&amp;TEXT(D23,"dd/mm/aaaa"),'HISTORICO '!D:E,2,FALSE),0)</f>
        <v>0</v>
      </c>
      <c r="I23" s="59">
        <f>IFERROR(VLOOKUP(B23&amp;I$12&amp;TEXT(D23,"dd/mm/aaaa"),'HISTORICO '!D:E,2,FALSE),0)</f>
        <v>0</v>
      </c>
      <c r="J23" s="59">
        <f>IFERROR(VLOOKUP(B23&amp;J$12&amp;TEXT(D23,"dd/mm/aaaa"),'HISTORICO '!D:E,2,FALSE),0)</f>
        <v>0</v>
      </c>
      <c r="K23" s="59">
        <f>IFERROR(VLOOKUP(B23&amp;K$12&amp;TEXT(D23,"dd/mm/aaaa"),'HISTORICO '!D:E,2,FALSE),0)</f>
        <v>0</v>
      </c>
      <c r="L23" s="60"/>
      <c r="M23" s="61" t="str">
        <f>IFERROR(_xlfn.XLOOKUP(D23 &amp; B23,  'HISTORICO '!G:G, 'HISTORICO '!F:F),"")</f>
        <v/>
      </c>
      <c r="N23" s="29">
        <f t="shared" si="9"/>
        <v>0</v>
      </c>
      <c r="O23" s="30">
        <f t="shared" si="4"/>
        <v>0</v>
      </c>
      <c r="P23" s="27">
        <f t="shared" si="5"/>
        <v>0</v>
      </c>
      <c r="Q23" s="31"/>
      <c r="R23" s="32">
        <f t="shared" si="6"/>
        <v>0</v>
      </c>
      <c r="S23" s="33">
        <v>0</v>
      </c>
      <c r="T23" s="34">
        <f t="shared" si="7"/>
        <v>0</v>
      </c>
      <c r="U23" s="34">
        <f t="shared" si="8"/>
        <v>0</v>
      </c>
      <c r="V23" s="6"/>
      <c r="W23" s="6" t="s">
        <v>58</v>
      </c>
      <c r="X23" s="6" t="s">
        <v>59</v>
      </c>
      <c r="Y23" s="6"/>
    </row>
    <row r="24" spans="1:25" ht="13.5" customHeight="1">
      <c r="A24" s="25">
        <v>12</v>
      </c>
      <c r="B24" s="26" t="s">
        <v>61</v>
      </c>
      <c r="C24" s="27">
        <v>24.45</v>
      </c>
      <c r="D24" s="62">
        <f>MAX('HISTORICO '!A:A)</f>
        <v>46237</v>
      </c>
      <c r="E24" s="58">
        <f>IFERROR(VLOOKUP(B24&amp;$E$12&amp;TEXT(D24,"dd/mm/aaaa"),'HISTORICO '!D:E,2,FALSE),0)</f>
        <v>0</v>
      </c>
      <c r="F24" s="59">
        <f>IFERROR(VLOOKUP(B24&amp;$F$12&amp;TEXT(D24,"dd/mm/aaaa"),'HISTORICO '!D:E,2,FALSE),0)</f>
        <v>0</v>
      </c>
      <c r="G24" s="59">
        <f>IFERROR(VLOOKUP(B24&amp;G$12&amp;TEXT(D24,"dd/mm/aaaa"),'HISTORICO '!D:E,2,FALSE),0)</f>
        <v>0</v>
      </c>
      <c r="H24" s="59">
        <f>IFERROR(VLOOKUP(B24&amp;H$12&amp;TEXT(D24,"dd/mm/aaaa"),'HISTORICO '!D:E,2,FALSE),0)</f>
        <v>0</v>
      </c>
      <c r="I24" s="59">
        <f>IFERROR(VLOOKUP(B24&amp;I$12&amp;TEXT(D24,"dd/mm/aaaa"),'HISTORICO '!D:E,2,FALSE),0)</f>
        <v>0</v>
      </c>
      <c r="J24" s="59">
        <f>IFERROR(VLOOKUP(B24&amp;J$12&amp;TEXT(D24,"dd/mm/aaaa"),'HISTORICO '!D:E,2,FALSE),0)</f>
        <v>0</v>
      </c>
      <c r="K24" s="59">
        <f>IFERROR(VLOOKUP(B24&amp;K$12&amp;TEXT(D24,"dd/mm/aaaa"),'HISTORICO '!D:E,2,FALSE),0)</f>
        <v>0</v>
      </c>
      <c r="L24" s="60"/>
      <c r="M24" s="61" t="str">
        <f>IFERROR(_xlfn.XLOOKUP(D24 &amp; B24,  'HISTORICO '!G:G, 'HISTORICO '!F:F),"")</f>
        <v/>
      </c>
      <c r="N24" s="29">
        <f t="shared" si="9"/>
        <v>0</v>
      </c>
      <c r="O24" s="30">
        <f t="shared" si="4"/>
        <v>0</v>
      </c>
      <c r="P24" s="27">
        <f t="shared" si="5"/>
        <v>0</v>
      </c>
      <c r="Q24" s="31">
        <v>4</v>
      </c>
      <c r="R24" s="32">
        <f t="shared" si="6"/>
        <v>0</v>
      </c>
      <c r="S24" s="33">
        <v>1.5</v>
      </c>
      <c r="T24" s="34">
        <f t="shared" si="7"/>
        <v>36.674999999999997</v>
      </c>
      <c r="U24" s="34">
        <f t="shared" si="8"/>
        <v>18.337499999999999</v>
      </c>
      <c r="V24" s="6"/>
      <c r="W24" s="6" t="s">
        <v>47</v>
      </c>
      <c r="X24" s="6" t="s">
        <v>63</v>
      </c>
      <c r="Y24" s="6"/>
    </row>
    <row r="25" spans="1:25" ht="13.5" customHeight="1">
      <c r="A25" s="25">
        <v>13</v>
      </c>
      <c r="B25" s="26" t="s">
        <v>64</v>
      </c>
      <c r="C25" s="27">
        <v>18.690000000000001</v>
      </c>
      <c r="D25" s="62">
        <f>MAX('HISTORICO '!A:A)</f>
        <v>46237</v>
      </c>
      <c r="E25" s="58">
        <f>IFERROR(VLOOKUP(B25&amp;$E$12&amp;TEXT(D25,"dd/mm/aaaa"),'HISTORICO '!D:E,2,FALSE),0)</f>
        <v>0</v>
      </c>
      <c r="F25" s="59">
        <f>IFERROR(VLOOKUP(B25&amp;$F$12&amp;TEXT(D25,"dd/mm/aaaa"),'HISTORICO '!D:E,2,FALSE),0)</f>
        <v>12</v>
      </c>
      <c r="G25" s="59">
        <f>IFERROR(VLOOKUP(B25&amp;G$12&amp;TEXT(D25,"dd/mm/aaaa"),'HISTORICO '!D:E,2,FALSE),0)</f>
        <v>14</v>
      </c>
      <c r="H25" s="59">
        <f>IFERROR(VLOOKUP(B25&amp;H$12&amp;TEXT(D25,"dd/mm/aaaa"),'HISTORICO '!D:E,2,FALSE),0)</f>
        <v>0</v>
      </c>
      <c r="I25" s="59">
        <f>IFERROR(VLOOKUP(B25&amp;I$12&amp;TEXT(D25,"dd/mm/aaaa"),'HISTORICO '!D:E,2,FALSE),0)</f>
        <v>0</v>
      </c>
      <c r="J25" s="59">
        <f>IFERROR(VLOOKUP(B25&amp;J$12&amp;TEXT(D25,"dd/mm/aaaa"),'HISTORICO '!D:E,2,FALSE),0)</f>
        <v>6</v>
      </c>
      <c r="K25" s="59">
        <f>IFERROR(VLOOKUP(B25&amp;K$12&amp;TEXT(D25,"dd/mm/aaaa"),'HISTORICO '!D:E,2,FALSE),0)</f>
        <v>10</v>
      </c>
      <c r="L25" s="60"/>
      <c r="M25" s="61">
        <f>IFERROR(_xlfn.XLOOKUP(D25 &amp; B25,  'HISTORICO '!G:G, 'HISTORICO '!F:F),"")</f>
        <v>0</v>
      </c>
      <c r="N25" s="29">
        <f t="shared" si="9"/>
        <v>42</v>
      </c>
      <c r="O25" s="30">
        <f t="shared" si="4"/>
        <v>43.355555555555554</v>
      </c>
      <c r="P25" s="27">
        <f t="shared" si="5"/>
        <v>2.3197193983710833</v>
      </c>
      <c r="Q25" s="31">
        <v>4</v>
      </c>
      <c r="R25" s="32">
        <f t="shared" si="6"/>
        <v>19.510000000000002</v>
      </c>
      <c r="S25" s="33">
        <v>1.5</v>
      </c>
      <c r="T25" s="34">
        <f t="shared" si="7"/>
        <v>28.035000000000004</v>
      </c>
      <c r="U25" s="34">
        <f t="shared" si="8"/>
        <v>14.017500000000002</v>
      </c>
      <c r="V25" s="6"/>
      <c r="W25" s="35" t="s">
        <v>65</v>
      </c>
      <c r="X25" s="6" t="s">
        <v>63</v>
      </c>
      <c r="Y25" s="6"/>
    </row>
    <row r="26" spans="1:25" ht="13.5" customHeight="1">
      <c r="A26" s="25">
        <v>14</v>
      </c>
      <c r="B26" s="26" t="s">
        <v>66</v>
      </c>
      <c r="C26" s="27">
        <v>37.700000000000003</v>
      </c>
      <c r="D26" s="62">
        <f>MAX('HISTORICO '!A:A)</f>
        <v>46237</v>
      </c>
      <c r="E26" s="58">
        <f>IFERROR(VLOOKUP(B26&amp;$E$12&amp;TEXT(D26,"dd/mm/aaaa"),'HISTORICO '!D:E,2,FALSE),0)</f>
        <v>0</v>
      </c>
      <c r="F26" s="59">
        <f>IFERROR(VLOOKUP(B26&amp;$F$12&amp;TEXT(D26,"dd/mm/aaaa"),'HISTORICO '!D:E,2,FALSE),0)</f>
        <v>0</v>
      </c>
      <c r="G26" s="59">
        <f>IFERROR(VLOOKUP(B26&amp;G$12&amp;TEXT(D26,"dd/mm/aaaa"),'HISTORICO '!D:E,2,FALSE),0)</f>
        <v>0</v>
      </c>
      <c r="H26" s="59">
        <f>IFERROR(VLOOKUP(B26&amp;H$12&amp;TEXT(D26,"dd/mm/aaaa"),'HISTORICO '!D:E,2,FALSE),0)</f>
        <v>0</v>
      </c>
      <c r="I26" s="59">
        <f>IFERROR(VLOOKUP(B26&amp;I$12&amp;TEXT(D26,"dd/mm/aaaa"),'HISTORICO '!D:E,2,FALSE),0)</f>
        <v>0</v>
      </c>
      <c r="J26" s="59">
        <f>IFERROR(VLOOKUP(B26&amp;J$12&amp;TEXT(D26,"dd/mm/aaaa"),'HISTORICO '!D:E,2,FALSE),0)</f>
        <v>0</v>
      </c>
      <c r="K26" s="59">
        <f>IFERROR(VLOOKUP(B26&amp;K$12&amp;TEXT(D26,"dd/mm/aaaa"),'HISTORICO '!D:E,2,FALSE),0)</f>
        <v>0</v>
      </c>
      <c r="L26" s="60"/>
      <c r="M26" s="61" t="str">
        <f>IFERROR(_xlfn.XLOOKUP(D26 &amp; B26,  'HISTORICO '!G:G, 'HISTORICO '!F:F),"")</f>
        <v/>
      </c>
      <c r="N26" s="29">
        <f t="shared" si="9"/>
        <v>0</v>
      </c>
      <c r="O26" s="30">
        <f t="shared" si="4"/>
        <v>0</v>
      </c>
      <c r="P26" s="27">
        <f t="shared" si="5"/>
        <v>0</v>
      </c>
      <c r="Q26" s="31"/>
      <c r="R26" s="32">
        <f t="shared" si="6"/>
        <v>0</v>
      </c>
      <c r="S26" s="33">
        <v>1</v>
      </c>
      <c r="T26" s="34">
        <f t="shared" si="7"/>
        <v>37.700000000000003</v>
      </c>
      <c r="U26" s="34">
        <f t="shared" si="8"/>
        <v>18.850000000000001</v>
      </c>
      <c r="V26" s="6"/>
      <c r="W26" s="6" t="s">
        <v>65</v>
      </c>
      <c r="X26" s="6" t="s">
        <v>45</v>
      </c>
      <c r="Y26" s="6"/>
    </row>
    <row r="27" spans="1:25" ht="13.5" customHeight="1">
      <c r="A27" s="25">
        <v>15</v>
      </c>
      <c r="B27" s="26" t="s">
        <v>67</v>
      </c>
      <c r="C27" s="27">
        <v>34.4</v>
      </c>
      <c r="D27" s="62">
        <f>MAX('HISTORICO '!A:A)</f>
        <v>46237</v>
      </c>
      <c r="E27" s="58">
        <f>IFERROR(VLOOKUP(B27&amp;$E$12&amp;TEXT(D27,"dd/mm/aaaa"),'HISTORICO '!D:E,2,FALSE),0)</f>
        <v>0</v>
      </c>
      <c r="F27" s="59">
        <f>IFERROR(VLOOKUP(B27&amp;$F$12&amp;TEXT(D27,"dd/mm/aaaa"),'HISTORICO '!D:E,2,FALSE),0)</f>
        <v>0</v>
      </c>
      <c r="G27" s="59">
        <f>IFERROR(VLOOKUP(B27&amp;G$12&amp;TEXT(D27,"dd/mm/aaaa"),'HISTORICO '!D:E,2,FALSE),0)</f>
        <v>0</v>
      </c>
      <c r="H27" s="59">
        <f>IFERROR(VLOOKUP(B27&amp;H$12&amp;TEXT(D27,"dd/mm/aaaa"),'HISTORICO '!D:E,2,FALSE),0)</f>
        <v>0</v>
      </c>
      <c r="I27" s="59">
        <f>IFERROR(VLOOKUP(B27&amp;I$12&amp;TEXT(D27,"dd/mm/aaaa"),'HISTORICO '!D:E,2,FALSE),0)</f>
        <v>0</v>
      </c>
      <c r="J27" s="59">
        <f>IFERROR(VLOOKUP(B27&amp;J$12&amp;TEXT(D27,"dd/mm/aaaa"),'HISTORICO '!D:E,2,FALSE),0)</f>
        <v>0</v>
      </c>
      <c r="K27" s="59">
        <f>IFERROR(VLOOKUP(B27&amp;K$12&amp;TEXT(D27,"dd/mm/aaaa"),'HISTORICO '!D:E,2,FALSE),0)</f>
        <v>0</v>
      </c>
      <c r="L27" s="60"/>
      <c r="M27" s="61" t="str">
        <f>IFERROR(_xlfn.XLOOKUP(D27 &amp; B27,  'HISTORICO '!G:G, 'HISTORICO '!F:F),"")</f>
        <v/>
      </c>
      <c r="N27" s="29">
        <f t="shared" si="9"/>
        <v>0</v>
      </c>
      <c r="O27" s="30">
        <f t="shared" si="4"/>
        <v>0</v>
      </c>
      <c r="P27" s="27">
        <f t="shared" si="5"/>
        <v>0</v>
      </c>
      <c r="Q27" s="31"/>
      <c r="R27" s="32">
        <f t="shared" si="6"/>
        <v>0</v>
      </c>
      <c r="S27" s="33">
        <v>0</v>
      </c>
      <c r="T27" s="34">
        <f t="shared" si="7"/>
        <v>0</v>
      </c>
      <c r="U27" s="34">
        <f t="shared" si="8"/>
        <v>0</v>
      </c>
      <c r="V27" s="6"/>
      <c r="W27" s="6" t="s">
        <v>56</v>
      </c>
      <c r="X27" s="6" t="s">
        <v>68</v>
      </c>
      <c r="Y27" s="6"/>
    </row>
    <row r="28" spans="1:25" ht="13.5" customHeight="1">
      <c r="A28" s="25">
        <v>16</v>
      </c>
      <c r="B28" s="26" t="s">
        <v>69</v>
      </c>
      <c r="C28" s="27">
        <v>28.8</v>
      </c>
      <c r="D28" s="62">
        <f>MAX('HISTORICO '!A:A)</f>
        <v>46237</v>
      </c>
      <c r="E28" s="58">
        <f>IFERROR(VLOOKUP(B28&amp;$E$12&amp;TEXT(D28,"dd/mm/aaaa"),'HISTORICO '!D:E,2,FALSE),0)</f>
        <v>0</v>
      </c>
      <c r="F28" s="59">
        <f>IFERROR(VLOOKUP(B28&amp;$F$12&amp;TEXT(D28,"dd/mm/aaaa"),'HISTORICO '!D:E,2,FALSE),0)</f>
        <v>0</v>
      </c>
      <c r="G28" s="59">
        <f>IFERROR(VLOOKUP(B28&amp;G$12&amp;TEXT(D28,"dd/mm/aaaa"),'HISTORICO '!D:E,2,FALSE),0)</f>
        <v>0</v>
      </c>
      <c r="H28" s="59">
        <f>IFERROR(VLOOKUP(B28&amp;H$12&amp;TEXT(D28,"dd/mm/aaaa"),'HISTORICO '!D:E,2,FALSE),0)</f>
        <v>0</v>
      </c>
      <c r="I28" s="59">
        <f>IFERROR(VLOOKUP(B28&amp;I$12&amp;TEXT(D28,"dd/mm/aaaa"),'HISTORICO '!D:E,2,FALSE),0)</f>
        <v>0</v>
      </c>
      <c r="J28" s="59">
        <f>IFERROR(VLOOKUP(B28&amp;J$12&amp;TEXT(D28,"dd/mm/aaaa"),'HISTORICO '!D:E,2,FALSE),0)</f>
        <v>0</v>
      </c>
      <c r="K28" s="59">
        <f>IFERROR(VLOOKUP(B28&amp;K$12&amp;TEXT(D28,"dd/mm/aaaa"),'HISTORICO '!D:E,2,FALSE),0)</f>
        <v>0</v>
      </c>
      <c r="L28" s="60"/>
      <c r="M28" s="61" t="str">
        <f>IFERROR(_xlfn.XLOOKUP(D28 &amp; B28,  'HISTORICO '!G:G, 'HISTORICO '!F:F),"")</f>
        <v/>
      </c>
      <c r="N28" s="29">
        <f t="shared" si="9"/>
        <v>0</v>
      </c>
      <c r="O28" s="30">
        <f t="shared" si="4"/>
        <v>0</v>
      </c>
      <c r="P28" s="27">
        <f t="shared" si="5"/>
        <v>0</v>
      </c>
      <c r="Q28" s="31"/>
      <c r="R28" s="32">
        <f t="shared" si="6"/>
        <v>0</v>
      </c>
      <c r="S28" s="33">
        <v>0</v>
      </c>
      <c r="T28" s="34">
        <f t="shared" si="7"/>
        <v>0</v>
      </c>
      <c r="U28" s="34">
        <f t="shared" si="8"/>
        <v>0</v>
      </c>
      <c r="V28" s="6"/>
      <c r="W28" s="6" t="s">
        <v>58</v>
      </c>
      <c r="X28" s="6" t="s">
        <v>59</v>
      </c>
      <c r="Y28" s="6"/>
    </row>
    <row r="29" spans="1:25" ht="13.5" customHeight="1">
      <c r="A29" s="25">
        <v>17</v>
      </c>
      <c r="B29" s="26" t="s">
        <v>70</v>
      </c>
      <c r="C29" s="27">
        <v>12.9</v>
      </c>
      <c r="D29" s="62">
        <f>MAX('HISTORICO '!A:A)</f>
        <v>46237</v>
      </c>
      <c r="E29" s="58">
        <f>IFERROR(VLOOKUP(B29&amp;$E$12&amp;TEXT(D29,"dd/mm/aaaa"),'HISTORICO '!D:E,2,FALSE),0)</f>
        <v>0</v>
      </c>
      <c r="F29" s="59">
        <f>IFERROR(VLOOKUP(B29&amp;$F$12&amp;TEXT(D29,"dd/mm/aaaa"),'HISTORICO '!D:E,2,FALSE),0)</f>
        <v>0</v>
      </c>
      <c r="G29" s="59">
        <f>IFERROR(VLOOKUP(B29&amp;G$12&amp;TEXT(D29,"dd/mm/aaaa"),'HISTORICO '!D:E,2,FALSE),0)</f>
        <v>0</v>
      </c>
      <c r="H29" s="59">
        <f>IFERROR(VLOOKUP(B29&amp;H$12&amp;TEXT(D29,"dd/mm/aaaa"),'HISTORICO '!D:E,2,FALSE),0)</f>
        <v>0</v>
      </c>
      <c r="I29" s="59">
        <f>IFERROR(VLOOKUP(B29&amp;I$12&amp;TEXT(D29,"dd/mm/aaaa"),'HISTORICO '!D:E,2,FALSE),0)</f>
        <v>0</v>
      </c>
      <c r="J29" s="59">
        <f>IFERROR(VLOOKUP(B29&amp;J$12&amp;TEXT(D29,"dd/mm/aaaa"),'HISTORICO '!D:E,2,FALSE),0)</f>
        <v>0</v>
      </c>
      <c r="K29" s="59">
        <f>IFERROR(VLOOKUP(B29&amp;K$12&amp;TEXT(D29,"dd/mm/aaaa"),'HISTORICO '!D:E,2,FALSE),0)</f>
        <v>0</v>
      </c>
      <c r="L29" s="60"/>
      <c r="M29" s="61" t="str">
        <f>IFERROR(_xlfn.XLOOKUP(D29 &amp; B29,  'HISTORICO '!G:G, 'HISTORICO '!F:F),"")</f>
        <v/>
      </c>
      <c r="N29" s="29">
        <f t="shared" si="9"/>
        <v>0</v>
      </c>
      <c r="O29" s="30">
        <f t="shared" si="4"/>
        <v>0</v>
      </c>
      <c r="P29" s="27">
        <f t="shared" si="5"/>
        <v>0</v>
      </c>
      <c r="Q29" s="31">
        <v>5</v>
      </c>
      <c r="R29" s="32">
        <f t="shared" si="6"/>
        <v>0</v>
      </c>
      <c r="S29" s="33">
        <v>2</v>
      </c>
      <c r="T29" s="34">
        <f t="shared" si="7"/>
        <v>25.8</v>
      </c>
      <c r="U29" s="34">
        <f t="shared" si="8"/>
        <v>12.9</v>
      </c>
      <c r="V29" s="6"/>
      <c r="W29" s="6" t="s">
        <v>56</v>
      </c>
      <c r="X29" s="6" t="s">
        <v>43</v>
      </c>
      <c r="Y29" s="6"/>
    </row>
    <row r="30" spans="1:25" ht="13.5" customHeight="1">
      <c r="A30" s="25">
        <v>18</v>
      </c>
      <c r="B30" s="26" t="s">
        <v>71</v>
      </c>
      <c r="C30" s="27">
        <v>25.2</v>
      </c>
      <c r="D30" s="62">
        <f>MAX('HISTORICO '!A:A)</f>
        <v>46237</v>
      </c>
      <c r="E30" s="58">
        <f>IFERROR(VLOOKUP(B30&amp;$E$12&amp;TEXT(D30,"dd/mm/aaaa"),'HISTORICO '!D:E,2,FALSE),0)</f>
        <v>0</v>
      </c>
      <c r="F30" s="59">
        <f>IFERROR(VLOOKUP(B30&amp;$F$12&amp;TEXT(D30,"dd/mm/aaaa"),'HISTORICO '!D:E,2,FALSE),0)</f>
        <v>0</v>
      </c>
      <c r="G30" s="59">
        <f>IFERROR(VLOOKUP(B30&amp;G$12&amp;TEXT(D30,"dd/mm/aaaa"),'HISTORICO '!D:E,2,FALSE),0)</f>
        <v>0</v>
      </c>
      <c r="H30" s="59">
        <f>IFERROR(VLOOKUP(B30&amp;H$12&amp;TEXT(D30,"dd/mm/aaaa"),'HISTORICO '!D:E,2,FALSE),0)</f>
        <v>0</v>
      </c>
      <c r="I30" s="59">
        <f>IFERROR(VLOOKUP(B30&amp;I$12&amp;TEXT(D30,"dd/mm/aaaa"),'HISTORICO '!D:E,2,FALSE),0)</f>
        <v>0</v>
      </c>
      <c r="J30" s="59">
        <f>IFERROR(VLOOKUP(B30&amp;J$12&amp;TEXT(D30,"dd/mm/aaaa"),'HISTORICO '!D:E,2,FALSE),0)</f>
        <v>0</v>
      </c>
      <c r="K30" s="59">
        <f>IFERROR(VLOOKUP(B30&amp;K$12&amp;TEXT(D30,"dd/mm/aaaa"),'HISTORICO '!D:E,2,FALSE),0)</f>
        <v>0</v>
      </c>
      <c r="L30" s="60"/>
      <c r="M30" s="61" t="str">
        <f>IFERROR(_xlfn.XLOOKUP(D30 &amp; B30,  'HISTORICO '!G:G, 'HISTORICO '!F:F),"")</f>
        <v/>
      </c>
      <c r="N30" s="29">
        <f t="shared" si="9"/>
        <v>0</v>
      </c>
      <c r="O30" s="30">
        <f t="shared" si="4"/>
        <v>0</v>
      </c>
      <c r="P30" s="27">
        <f t="shared" si="5"/>
        <v>0</v>
      </c>
      <c r="Q30" s="31"/>
      <c r="R30" s="32">
        <f t="shared" si="6"/>
        <v>0</v>
      </c>
      <c r="S30" s="33">
        <v>4</v>
      </c>
      <c r="T30" s="34">
        <f t="shared" si="7"/>
        <v>100.8</v>
      </c>
      <c r="U30" s="34">
        <f t="shared" si="8"/>
        <v>50.4</v>
      </c>
      <c r="V30" s="6"/>
      <c r="W30" s="6" t="s">
        <v>56</v>
      </c>
      <c r="X30" s="6" t="s">
        <v>43</v>
      </c>
      <c r="Y30" s="6"/>
    </row>
    <row r="31" spans="1:25" ht="13.5" customHeight="1">
      <c r="A31" s="25" t="s">
        <v>153</v>
      </c>
      <c r="B31" s="26" t="s">
        <v>152</v>
      </c>
      <c r="C31" s="27">
        <v>38</v>
      </c>
      <c r="D31" s="62">
        <f>MAX('HISTORICO '!A:A)</f>
        <v>46237</v>
      </c>
      <c r="E31" s="58">
        <f>IFERROR(VLOOKUP(B31&amp;$E$12&amp;TEXT(D31,"dd/mm/aaaa"),'HISTORICO '!D:E,2,FALSE),0)</f>
        <v>0</v>
      </c>
      <c r="F31" s="59">
        <f>IFERROR(VLOOKUP(B31&amp;$F$12&amp;TEXT(D31,"dd/mm/aaaa"),'HISTORICO '!D:E,2,FALSE),0)</f>
        <v>0</v>
      </c>
      <c r="G31" s="59">
        <f>IFERROR(VLOOKUP(B31&amp;G$12&amp;TEXT(D31,"dd/mm/aaaa"),'HISTORICO '!D:E,2,FALSE),0)</f>
        <v>0</v>
      </c>
      <c r="H31" s="59">
        <f>IFERROR(VLOOKUP(B31&amp;H$12&amp;TEXT(D31,"dd/mm/aaaa"),'HISTORICO '!D:E,2,FALSE),0)</f>
        <v>0</v>
      </c>
      <c r="I31" s="59">
        <f>IFERROR(VLOOKUP(B31&amp;I$12&amp;TEXT(D31,"dd/mm/aaaa"),'HISTORICO '!D:E,2,FALSE),0)</f>
        <v>0</v>
      </c>
      <c r="J31" s="59">
        <f>IFERROR(VLOOKUP(B31&amp;J$12&amp;TEXT(D31,"dd/mm/aaaa"),'HISTORICO '!D:E,2,FALSE),0)</f>
        <v>0</v>
      </c>
      <c r="K31" s="59">
        <f>IFERROR(VLOOKUP(B31&amp;K$12&amp;TEXT(D31,"dd/mm/aaaa"),'HISTORICO '!D:E,2,FALSE),0)</f>
        <v>0</v>
      </c>
      <c r="L31" s="60"/>
      <c r="M31" s="61" t="str">
        <f>IFERROR(_xlfn.XLOOKUP(D31 &amp; B31,  'HISTORICO '!G:G, 'HISTORICO '!F:F),"")</f>
        <v/>
      </c>
      <c r="N31" s="29">
        <f t="shared" si="9"/>
        <v>0</v>
      </c>
      <c r="O31" s="30"/>
      <c r="P31" s="27"/>
      <c r="Q31" s="31"/>
      <c r="R31" s="32"/>
      <c r="S31" s="33"/>
      <c r="T31" s="34"/>
      <c r="U31" s="34"/>
      <c r="V31" s="6"/>
      <c r="W31" s="6"/>
      <c r="X31" s="6"/>
      <c r="Y31" s="6"/>
    </row>
    <row r="32" spans="1:25" ht="13.5" customHeight="1">
      <c r="A32" s="25" t="s">
        <v>154</v>
      </c>
      <c r="B32" s="26" t="s">
        <v>72</v>
      </c>
      <c r="C32" s="27">
        <v>39.700000000000003</v>
      </c>
      <c r="D32" s="62">
        <f>MAX('HISTORICO '!A:A)</f>
        <v>46237</v>
      </c>
      <c r="E32" s="58">
        <f>IFERROR(VLOOKUP(B32&amp;$E$12&amp;TEXT(D32,"dd/mm/aaaa"),'HISTORICO '!D:E,2,FALSE),0)</f>
        <v>0</v>
      </c>
      <c r="F32" s="59">
        <f>IFERROR(VLOOKUP(B32&amp;$F$12&amp;TEXT(D32,"dd/mm/aaaa"),'HISTORICO '!D:E,2,FALSE),0)</f>
        <v>0</v>
      </c>
      <c r="G32" s="59">
        <f>IFERROR(VLOOKUP(B32&amp;G$12&amp;TEXT(D32,"dd/mm/aaaa"),'HISTORICO '!D:E,2,FALSE),0)</f>
        <v>0</v>
      </c>
      <c r="H32" s="59">
        <f>IFERROR(VLOOKUP(B32&amp;H$12&amp;TEXT(D32,"dd/mm/aaaa"),'HISTORICO '!D:E,2,FALSE),0)</f>
        <v>0</v>
      </c>
      <c r="I32" s="59">
        <f>IFERROR(VLOOKUP(B32&amp;I$12&amp;TEXT(D32,"dd/mm/aaaa"),'HISTORICO '!D:E,2,FALSE),0)</f>
        <v>0</v>
      </c>
      <c r="J32" s="59">
        <f>IFERROR(VLOOKUP(B32&amp;J$12&amp;TEXT(D32,"dd/mm/aaaa"),'HISTORICO '!D:E,2,FALSE),0)</f>
        <v>0</v>
      </c>
      <c r="K32" s="59">
        <f>IFERROR(VLOOKUP(B32&amp;K$12&amp;TEXT(D32,"dd/mm/aaaa"),'HISTORICO '!D:E,2,FALSE),0)</f>
        <v>0</v>
      </c>
      <c r="L32" s="60"/>
      <c r="M32" s="61" t="str">
        <f>IFERROR(_xlfn.XLOOKUP(D32 &amp; B32,  'HISTORICO '!G:G, 'HISTORICO '!F:F),"")</f>
        <v/>
      </c>
      <c r="N32" s="29">
        <f t="shared" si="9"/>
        <v>0</v>
      </c>
      <c r="O32" s="30">
        <f t="shared" si="4"/>
        <v>0</v>
      </c>
      <c r="P32" s="27">
        <f t="shared" si="5"/>
        <v>0</v>
      </c>
      <c r="Q32" s="31"/>
      <c r="R32" s="32">
        <f t="shared" si="6"/>
        <v>0</v>
      </c>
      <c r="S32" s="33">
        <v>4</v>
      </c>
      <c r="T32" s="34">
        <f t="shared" si="7"/>
        <v>158.80000000000001</v>
      </c>
      <c r="U32" s="34">
        <f t="shared" si="8"/>
        <v>79.400000000000006</v>
      </c>
      <c r="V32" s="6"/>
      <c r="W32" s="6" t="s">
        <v>65</v>
      </c>
      <c r="X32" s="6" t="s">
        <v>43</v>
      </c>
      <c r="Y32" s="6"/>
    </row>
    <row r="33" spans="1:25" ht="13.5" customHeight="1">
      <c r="A33" s="25" t="s">
        <v>155</v>
      </c>
      <c r="B33" s="26" t="s">
        <v>73</v>
      </c>
      <c r="C33" s="27">
        <v>106.47</v>
      </c>
      <c r="D33" s="62">
        <f>MAX('HISTORICO '!A:A)</f>
        <v>46237</v>
      </c>
      <c r="E33" s="58">
        <f>IFERROR(VLOOKUP(B33&amp;$E$12&amp;TEXT(D33,"dd/mm/aaaa"),'HISTORICO '!D:E,2,FALSE),0)</f>
        <v>0</v>
      </c>
      <c r="F33" s="59">
        <f>IFERROR(VLOOKUP(B33&amp;$F$12&amp;TEXT(D33,"dd/mm/aaaa"),'HISTORICO '!D:E,2,FALSE),0)</f>
        <v>102</v>
      </c>
      <c r="G33" s="59">
        <f>IFERROR(VLOOKUP(B33&amp;G$12&amp;TEXT(D33,"dd/mm/aaaa"),'HISTORICO '!D:E,2,FALSE),0)</f>
        <v>0</v>
      </c>
      <c r="H33" s="59">
        <f>IFERROR(VLOOKUP(B33&amp;H$12&amp;TEXT(D33,"dd/mm/aaaa"),'HISTORICO '!D:E,2,FALSE),0)</f>
        <v>0</v>
      </c>
      <c r="I33" s="59">
        <f>IFERROR(VLOOKUP(B33&amp;I$12&amp;TEXT(D33,"dd/mm/aaaa"),'HISTORICO '!D:E,2,FALSE),0)</f>
        <v>0</v>
      </c>
      <c r="J33" s="59">
        <f>IFERROR(VLOOKUP(B33&amp;J$12&amp;TEXT(D33,"dd/mm/aaaa"),'HISTORICO '!D:E,2,FALSE),0)</f>
        <v>0</v>
      </c>
      <c r="K33" s="59">
        <f>IFERROR(VLOOKUP(B33&amp;K$12&amp;TEXT(D33,"dd/mm/aaaa"),'HISTORICO '!D:E,2,FALSE),0)</f>
        <v>0</v>
      </c>
      <c r="L33" s="60"/>
      <c r="M33" s="61" t="str">
        <f>IFERROR(_xlfn.XLOOKUP(D33 &amp; B33,  'HISTORICO '!G:G, 'HISTORICO '!F:F),"")</f>
        <v>Vacas prenhas</v>
      </c>
      <c r="N33" s="29">
        <f t="shared" si="9"/>
        <v>102</v>
      </c>
      <c r="O33" s="30">
        <f t="shared" si="4"/>
        <v>102</v>
      </c>
      <c r="P33" s="27">
        <f t="shared" si="5"/>
        <v>0.9580163426317273</v>
      </c>
      <c r="Q33" s="31">
        <v>4</v>
      </c>
      <c r="R33" s="32">
        <f t="shared" si="6"/>
        <v>45.9</v>
      </c>
      <c r="S33" s="33">
        <v>2</v>
      </c>
      <c r="T33" s="34">
        <f t="shared" si="7"/>
        <v>212.94</v>
      </c>
      <c r="U33" s="34">
        <f t="shared" si="8"/>
        <v>106.47</v>
      </c>
      <c r="V33" s="6"/>
      <c r="W33" s="6" t="s">
        <v>47</v>
      </c>
      <c r="X33" s="6" t="s">
        <v>52</v>
      </c>
      <c r="Y33" s="6"/>
    </row>
    <row r="34" spans="1:25" ht="13.5" customHeight="1">
      <c r="A34" s="25" t="s">
        <v>156</v>
      </c>
      <c r="B34" s="26" t="s">
        <v>75</v>
      </c>
      <c r="C34" s="27">
        <v>77.3</v>
      </c>
      <c r="D34" s="62">
        <f>MAX('HISTORICO '!A:A)</f>
        <v>46237</v>
      </c>
      <c r="E34" s="58">
        <f>IFERROR(VLOOKUP(B34&amp;$E$12&amp;TEXT(D34,"dd/mm/aaaa"),'HISTORICO '!D:E,2,FALSE),0)</f>
        <v>0</v>
      </c>
      <c r="F34" s="59">
        <f>IFERROR(VLOOKUP(B34&amp;$F$12&amp;TEXT(D34,"dd/mm/aaaa"),'HISTORICO '!D:E,2,FALSE),0)</f>
        <v>171</v>
      </c>
      <c r="G34" s="59">
        <f>IFERROR(VLOOKUP(B34&amp;G$12&amp;TEXT(D34,"dd/mm/aaaa"),'HISTORICO '!D:E,2,FALSE),0)</f>
        <v>0</v>
      </c>
      <c r="H34" s="59">
        <f>IFERROR(VLOOKUP(B34&amp;H$12&amp;TEXT(D34,"dd/mm/aaaa"),'HISTORICO '!D:E,2,FALSE),0)</f>
        <v>0</v>
      </c>
      <c r="I34" s="59">
        <f>IFERROR(VLOOKUP(B34&amp;I$12&amp;TEXT(D34,"dd/mm/aaaa"),'HISTORICO '!D:E,2,FALSE),0)</f>
        <v>0</v>
      </c>
      <c r="J34" s="59">
        <f>IFERROR(VLOOKUP(B34&amp;J$12&amp;TEXT(D34,"dd/mm/aaaa"),'HISTORICO '!D:E,2,FALSE),0)</f>
        <v>0</v>
      </c>
      <c r="K34" s="59">
        <f>IFERROR(VLOOKUP(B34&amp;K$12&amp;TEXT(D34,"dd/mm/aaaa"),'HISTORICO '!D:E,2,FALSE),0)</f>
        <v>0</v>
      </c>
      <c r="L34" s="60"/>
      <c r="M34" s="61" t="str">
        <f>IFERROR(_xlfn.XLOOKUP(D34 &amp; B34,  'HISTORICO '!G:G, 'HISTORICO '!F:F),"")</f>
        <v>Vacas prenhas</v>
      </c>
      <c r="N34" s="29">
        <f t="shared" si="9"/>
        <v>171</v>
      </c>
      <c r="O34" s="30">
        <f t="shared" si="4"/>
        <v>171</v>
      </c>
      <c r="P34" s="27">
        <f t="shared" si="5"/>
        <v>2.2121604139715396</v>
      </c>
      <c r="Q34" s="31">
        <v>4</v>
      </c>
      <c r="R34" s="32">
        <f t="shared" si="6"/>
        <v>76.95</v>
      </c>
      <c r="S34" s="33">
        <v>2.5</v>
      </c>
      <c r="T34" s="34">
        <f t="shared" si="7"/>
        <v>193.25</v>
      </c>
      <c r="U34" s="34">
        <f t="shared" si="8"/>
        <v>96.625</v>
      </c>
      <c r="V34" s="6"/>
      <c r="W34" s="6" t="s">
        <v>65</v>
      </c>
      <c r="X34" s="6" t="s">
        <v>43</v>
      </c>
      <c r="Y34" s="6"/>
    </row>
    <row r="35" spans="1:25" ht="13.5" customHeight="1">
      <c r="A35" s="25" t="s">
        <v>157</v>
      </c>
      <c r="B35" s="26" t="s">
        <v>77</v>
      </c>
      <c r="C35" s="27">
        <v>17.2</v>
      </c>
      <c r="D35" s="62">
        <f>MAX('HISTORICO '!A:A)</f>
        <v>46237</v>
      </c>
      <c r="E35" s="58">
        <f>IFERROR(VLOOKUP(B35&amp;$E$12&amp;TEXT(D35,"dd/mm/aaaa"),'HISTORICO '!D:E,2,FALSE),0)</f>
        <v>0</v>
      </c>
      <c r="F35" s="59">
        <f>IFERROR(VLOOKUP(B35&amp;$F$12&amp;TEXT(D35,"dd/mm/aaaa"),'HISTORICO '!D:E,2,FALSE),0)</f>
        <v>0</v>
      </c>
      <c r="G35" s="59">
        <f>IFERROR(VLOOKUP(B35&amp;G$12&amp;TEXT(D35,"dd/mm/aaaa"),'HISTORICO '!D:E,2,FALSE),0)</f>
        <v>0</v>
      </c>
      <c r="H35" s="59">
        <f>IFERROR(VLOOKUP(B35&amp;H$12&amp;TEXT(D35,"dd/mm/aaaa"),'HISTORICO '!D:E,2,FALSE),0)</f>
        <v>0</v>
      </c>
      <c r="I35" s="59">
        <f>IFERROR(VLOOKUP(B35&amp;I$12&amp;TEXT(D35,"dd/mm/aaaa"),'HISTORICO '!D:E,2,FALSE),0)</f>
        <v>0</v>
      </c>
      <c r="J35" s="59">
        <f>IFERROR(VLOOKUP(B35&amp;J$12&amp;TEXT(D35,"dd/mm/aaaa"),'HISTORICO '!D:E,2,FALSE),0)</f>
        <v>0</v>
      </c>
      <c r="K35" s="59">
        <f>IFERROR(VLOOKUP(B35&amp;K$12&amp;TEXT(D35,"dd/mm/aaaa"),'HISTORICO '!D:E,2,FALSE),0)</f>
        <v>0</v>
      </c>
      <c r="L35" s="60"/>
      <c r="M35" s="61" t="str">
        <f>IFERROR(_xlfn.XLOOKUP(D35 &amp; B35,  'HISTORICO '!G:G, 'HISTORICO '!F:F),"")</f>
        <v/>
      </c>
      <c r="N35" s="29">
        <f t="shared" si="9"/>
        <v>0</v>
      </c>
      <c r="O35" s="30">
        <f t="shared" si="4"/>
        <v>0</v>
      </c>
      <c r="P35" s="27">
        <f t="shared" si="5"/>
        <v>0</v>
      </c>
      <c r="Q35" s="31"/>
      <c r="R35" s="32">
        <f t="shared" si="6"/>
        <v>0</v>
      </c>
      <c r="S35" s="33">
        <v>2.5</v>
      </c>
      <c r="T35" s="34">
        <f t="shared" si="7"/>
        <v>43</v>
      </c>
      <c r="U35" s="34">
        <f t="shared" si="8"/>
        <v>21.5</v>
      </c>
      <c r="V35" s="6"/>
      <c r="W35" s="6" t="s">
        <v>65</v>
      </c>
      <c r="X35" s="6" t="s">
        <v>43</v>
      </c>
      <c r="Y35" s="6"/>
    </row>
    <row r="36" spans="1:25" ht="13.5" customHeight="1">
      <c r="A36" s="25" t="s">
        <v>158</v>
      </c>
      <c r="B36" s="26" t="s">
        <v>78</v>
      </c>
      <c r="C36" s="27">
        <v>15.7</v>
      </c>
      <c r="D36" s="62">
        <f>MAX('HISTORICO '!A:A)</f>
        <v>46237</v>
      </c>
      <c r="E36" s="58">
        <f>IFERROR(VLOOKUP(B36&amp;$E$12&amp;TEXT(D36,"dd/mm/aaaa"),'HISTORICO '!D:E,2,FALSE),0)</f>
        <v>0</v>
      </c>
      <c r="F36" s="59">
        <f>IFERROR(VLOOKUP(B36&amp;$F$12&amp;TEXT(D36,"dd/mm/aaaa"),'HISTORICO '!D:E,2,FALSE),0)</f>
        <v>0</v>
      </c>
      <c r="G36" s="59">
        <f>IFERROR(VLOOKUP(B36&amp;G$12&amp;TEXT(D36,"dd/mm/aaaa"),'HISTORICO '!D:E,2,FALSE),0)</f>
        <v>0</v>
      </c>
      <c r="H36" s="59">
        <f>IFERROR(VLOOKUP(B36&amp;H$12&amp;TEXT(D36,"dd/mm/aaaa"),'HISTORICO '!D:E,2,FALSE),0)</f>
        <v>0</v>
      </c>
      <c r="I36" s="59">
        <f>IFERROR(VLOOKUP(B36&amp;I$12&amp;TEXT(D36,"dd/mm/aaaa"),'HISTORICO '!D:E,2,FALSE),0)</f>
        <v>0</v>
      </c>
      <c r="J36" s="59">
        <f>IFERROR(VLOOKUP(B36&amp;J$12&amp;TEXT(D36,"dd/mm/aaaa"),'HISTORICO '!D:E,2,FALSE),0)</f>
        <v>0</v>
      </c>
      <c r="K36" s="59">
        <f>IFERROR(VLOOKUP(B36&amp;K$12&amp;TEXT(D36,"dd/mm/aaaa"),'HISTORICO '!D:E,2,FALSE),0)</f>
        <v>0</v>
      </c>
      <c r="L36" s="60"/>
      <c r="M36" s="61" t="str">
        <f>IFERROR(_xlfn.XLOOKUP(D36 &amp; B36,  'HISTORICO '!G:G, 'HISTORICO '!F:F),"")</f>
        <v/>
      </c>
      <c r="N36" s="29">
        <f t="shared" si="9"/>
        <v>0</v>
      </c>
      <c r="O36" s="30">
        <f t="shared" si="4"/>
        <v>0</v>
      </c>
      <c r="P36" s="27">
        <f t="shared" si="5"/>
        <v>0</v>
      </c>
      <c r="Q36" s="31">
        <v>7</v>
      </c>
      <c r="R36" s="32">
        <f t="shared" si="6"/>
        <v>0</v>
      </c>
      <c r="S36" s="33">
        <v>2.5</v>
      </c>
      <c r="T36" s="34">
        <f t="shared" si="7"/>
        <v>39.25</v>
      </c>
      <c r="U36" s="34">
        <f t="shared" si="8"/>
        <v>19.625</v>
      </c>
      <c r="V36" s="6"/>
      <c r="W36" s="6" t="s">
        <v>79</v>
      </c>
      <c r="X36" s="6" t="s">
        <v>52</v>
      </c>
      <c r="Y36" s="6"/>
    </row>
    <row r="37" spans="1:25" ht="13.5" customHeight="1">
      <c r="A37" s="25" t="s">
        <v>159</v>
      </c>
      <c r="B37" s="26" t="s">
        <v>80</v>
      </c>
      <c r="C37" s="27">
        <v>69.400000000000006</v>
      </c>
      <c r="D37" s="62">
        <f>MAX('HISTORICO '!A:A)</f>
        <v>46237</v>
      </c>
      <c r="E37" s="58">
        <f>IFERROR(VLOOKUP(B37&amp;$E$12&amp;TEXT(D37,"dd/mm/aaaa"),'HISTORICO '!D:E,2,FALSE),0)</f>
        <v>0</v>
      </c>
      <c r="F37" s="59">
        <f>IFERROR(VLOOKUP(B37&amp;$F$12&amp;TEXT(D37,"dd/mm/aaaa"),'HISTORICO '!D:E,2,FALSE),0)</f>
        <v>115</v>
      </c>
      <c r="G37" s="59">
        <f>IFERROR(VLOOKUP(B37&amp;G$12&amp;TEXT(D37,"dd/mm/aaaa"),'HISTORICO '!D:E,2,FALSE),0)</f>
        <v>0</v>
      </c>
      <c r="H37" s="59">
        <f>IFERROR(VLOOKUP(B37&amp;H$12&amp;TEXT(D37,"dd/mm/aaaa"),'HISTORICO '!D:E,2,FALSE),0)</f>
        <v>0</v>
      </c>
      <c r="I37" s="59">
        <f>IFERROR(VLOOKUP(B37&amp;I$12&amp;TEXT(D37,"dd/mm/aaaa"),'HISTORICO '!D:E,2,FALSE),0)</f>
        <v>0</v>
      </c>
      <c r="J37" s="59">
        <f>IFERROR(VLOOKUP(B37&amp;J$12&amp;TEXT(D37,"dd/mm/aaaa"),'HISTORICO '!D:E,2,FALSE),0)</f>
        <v>0</v>
      </c>
      <c r="K37" s="59">
        <f>IFERROR(VLOOKUP(B37&amp;K$12&amp;TEXT(D37,"dd/mm/aaaa"),'HISTORICO '!D:E,2,FALSE),0)</f>
        <v>29</v>
      </c>
      <c r="L37" s="60"/>
      <c r="M37" s="61" t="str">
        <f>IFERROR(_xlfn.XLOOKUP(D37 &amp; B37,  'HISTORICO '!G:G, 'HISTORICO '!F:F),"")</f>
        <v>Vacas prenhas</v>
      </c>
      <c r="N37" s="29">
        <f t="shared" si="9"/>
        <v>144</v>
      </c>
      <c r="O37" s="30">
        <f t="shared" si="4"/>
        <v>166.55555555555554</v>
      </c>
      <c r="P37" s="27">
        <f t="shared" si="5"/>
        <v>2.3999359590137685</v>
      </c>
      <c r="Q37" s="31">
        <v>7</v>
      </c>
      <c r="R37" s="32">
        <f t="shared" si="6"/>
        <v>0</v>
      </c>
      <c r="S37" s="33">
        <v>2.5</v>
      </c>
      <c r="T37" s="34">
        <f t="shared" si="7"/>
        <v>173.5</v>
      </c>
      <c r="U37" s="34">
        <f t="shared" si="8"/>
        <v>86.75</v>
      </c>
      <c r="V37" s="6"/>
      <c r="W37" s="6" t="s">
        <v>65</v>
      </c>
      <c r="X37" s="6" t="s">
        <v>43</v>
      </c>
      <c r="Y37" s="6"/>
    </row>
    <row r="38" spans="1:25" ht="13.5" customHeight="1">
      <c r="A38" s="25" t="s">
        <v>160</v>
      </c>
      <c r="B38" s="26" t="s">
        <v>81</v>
      </c>
      <c r="C38" s="27">
        <v>55.7</v>
      </c>
      <c r="D38" s="62">
        <f>MAX('HISTORICO '!A:A)</f>
        <v>46237</v>
      </c>
      <c r="E38" s="58">
        <f>IFERROR(VLOOKUP(B38&amp;$E$12&amp;TEXT(D38,"dd/mm/aaaa"),'HISTORICO '!D:E,2,FALSE),0)</f>
        <v>0</v>
      </c>
      <c r="F38" s="59">
        <f>IFERROR(VLOOKUP(B38&amp;$F$12&amp;TEXT(D38,"dd/mm/aaaa"),'HISTORICO '!D:E,2,FALSE),0)</f>
        <v>154</v>
      </c>
      <c r="G38" s="59">
        <f>IFERROR(VLOOKUP(B38&amp;G$12&amp;TEXT(D38,"dd/mm/aaaa"),'HISTORICO '!D:E,2,FALSE),0)</f>
        <v>0</v>
      </c>
      <c r="H38" s="59">
        <f>IFERROR(VLOOKUP(B38&amp;H$12&amp;TEXT(D38,"dd/mm/aaaa"),'HISTORICO '!D:E,2,FALSE),0)</f>
        <v>0</v>
      </c>
      <c r="I38" s="59">
        <f>IFERROR(VLOOKUP(B38&amp;I$12&amp;TEXT(D38,"dd/mm/aaaa"),'HISTORICO '!D:E,2,FALSE),0)</f>
        <v>0</v>
      </c>
      <c r="J38" s="59">
        <f>IFERROR(VLOOKUP(B38&amp;J$12&amp;TEXT(D38,"dd/mm/aaaa"),'HISTORICO '!D:E,2,FALSE),0)</f>
        <v>0</v>
      </c>
      <c r="K38" s="59">
        <f>IFERROR(VLOOKUP(B38&amp;K$12&amp;TEXT(D38,"dd/mm/aaaa"),'HISTORICO '!D:E,2,FALSE),0)</f>
        <v>0</v>
      </c>
      <c r="L38" s="60"/>
      <c r="M38" s="61" t="str">
        <f>IFERROR(_xlfn.XLOOKUP(D38 &amp; B38,  'HISTORICO '!G:G, 'HISTORICO '!F:F),"")</f>
        <v>Vacas para abate</v>
      </c>
      <c r="N38" s="29">
        <f t="shared" si="9"/>
        <v>154</v>
      </c>
      <c r="O38" s="30">
        <f t="shared" si="4"/>
        <v>154</v>
      </c>
      <c r="P38" s="27">
        <f t="shared" si="5"/>
        <v>2.7648114901256733</v>
      </c>
      <c r="Q38" s="31">
        <v>2</v>
      </c>
      <c r="R38" s="32">
        <f t="shared" si="6"/>
        <v>34.65</v>
      </c>
      <c r="S38" s="33">
        <v>3.5</v>
      </c>
      <c r="T38" s="34">
        <f t="shared" si="7"/>
        <v>194.95000000000002</v>
      </c>
      <c r="U38" s="34">
        <f t="shared" si="8"/>
        <v>97.475000000000009</v>
      </c>
      <c r="V38" s="6"/>
      <c r="W38" s="6" t="s">
        <v>56</v>
      </c>
      <c r="X38" s="6" t="s">
        <v>43</v>
      </c>
      <c r="Y38" s="6"/>
    </row>
    <row r="39" spans="1:25" ht="13.5" customHeight="1">
      <c r="A39" s="25" t="s">
        <v>161</v>
      </c>
      <c r="B39" s="26" t="s">
        <v>83</v>
      </c>
      <c r="C39" s="27">
        <v>109</v>
      </c>
      <c r="D39" s="62">
        <f>MAX('HISTORICO '!A:A)</f>
        <v>46237</v>
      </c>
      <c r="E39" s="58">
        <f>IFERROR(VLOOKUP(B39&amp;$E$12&amp;TEXT(D39,"dd/mm/aaaa"),'HISTORICO '!D:E,2,FALSE),0)</f>
        <v>0</v>
      </c>
      <c r="F39" s="59">
        <f>IFERROR(VLOOKUP(B39&amp;$F$12&amp;TEXT(D39,"dd/mm/aaaa"),'HISTORICO '!D:E,2,FALSE),0)</f>
        <v>157</v>
      </c>
      <c r="G39" s="59">
        <f>IFERROR(VLOOKUP(B39&amp;G$12&amp;TEXT(D39,"dd/mm/aaaa"),'HISTORICO '!D:E,2,FALSE),0)</f>
        <v>0</v>
      </c>
      <c r="H39" s="59">
        <f>IFERROR(VLOOKUP(B39&amp;H$12&amp;TEXT(D39,"dd/mm/aaaa"),'HISTORICO '!D:E,2,FALSE),0)</f>
        <v>0</v>
      </c>
      <c r="I39" s="59">
        <f>IFERROR(VLOOKUP(B39&amp;I$12&amp;TEXT(D39,"dd/mm/aaaa"),'HISTORICO '!D:E,2,FALSE),0)</f>
        <v>0</v>
      </c>
      <c r="J39" s="59">
        <f>IFERROR(VLOOKUP(B39&amp;J$12&amp;TEXT(D39,"dd/mm/aaaa"),'HISTORICO '!D:E,2,FALSE),0)</f>
        <v>0</v>
      </c>
      <c r="K39" s="59">
        <f>IFERROR(VLOOKUP(B39&amp;K$12&amp;TEXT(D39,"dd/mm/aaaa"),'HISTORICO '!D:E,2,FALSE),0)</f>
        <v>0</v>
      </c>
      <c r="L39" s="60"/>
      <c r="M39" s="61" t="str">
        <f>IFERROR(_xlfn.XLOOKUP(D39 &amp; B39,  'HISTORICO '!G:G, 'HISTORICO '!F:F),"")</f>
        <v>Vacas prenhas</v>
      </c>
      <c r="N39" s="29">
        <f t="shared" si="9"/>
        <v>157</v>
      </c>
      <c r="O39" s="30">
        <f t="shared" si="4"/>
        <v>157</v>
      </c>
      <c r="P39" s="27">
        <f t="shared" si="5"/>
        <v>1.4403669724770642</v>
      </c>
      <c r="Q39" s="31">
        <v>2</v>
      </c>
      <c r="R39" s="32">
        <f t="shared" si="6"/>
        <v>35.325000000000003</v>
      </c>
      <c r="S39" s="33">
        <v>2</v>
      </c>
      <c r="T39" s="34">
        <f t="shared" si="7"/>
        <v>218</v>
      </c>
      <c r="U39" s="34">
        <f t="shared" si="8"/>
        <v>109</v>
      </c>
      <c r="V39" s="6"/>
      <c r="W39" s="6" t="s">
        <v>65</v>
      </c>
      <c r="X39" s="6" t="s">
        <v>43</v>
      </c>
      <c r="Y39" s="6"/>
    </row>
    <row r="40" spans="1:25" ht="13.5" customHeight="1">
      <c r="A40" s="25" t="s">
        <v>162</v>
      </c>
      <c r="B40" s="26" t="s">
        <v>85</v>
      </c>
      <c r="C40" s="27">
        <v>137</v>
      </c>
      <c r="D40" s="62">
        <f>MAX('HISTORICO '!A:A)</f>
        <v>46237</v>
      </c>
      <c r="E40" s="58">
        <f>IFERROR(VLOOKUP(B40&amp;$E$12&amp;TEXT(D40,"dd/mm/aaaa"),'HISTORICO '!D:E,2,FALSE),0)</f>
        <v>0</v>
      </c>
      <c r="F40" s="59">
        <f>IFERROR(VLOOKUP(B40&amp;$F$12&amp;TEXT(D40,"dd/mm/aaaa"),'HISTORICO '!D:E,2,FALSE),0)</f>
        <v>0</v>
      </c>
      <c r="G40" s="59">
        <f>IFERROR(VLOOKUP(B40&amp;G$12&amp;TEXT(D40,"dd/mm/aaaa"),'HISTORICO '!D:E,2,FALSE),0)</f>
        <v>0</v>
      </c>
      <c r="H40" s="59">
        <f>IFERROR(VLOOKUP(B40&amp;H$12&amp;TEXT(D40,"dd/mm/aaaa"),'HISTORICO '!D:E,2,FALSE),0)</f>
        <v>0</v>
      </c>
      <c r="I40" s="59">
        <f>IFERROR(VLOOKUP(B40&amp;I$12&amp;TEXT(D40,"dd/mm/aaaa"),'HISTORICO '!D:E,2,FALSE),0)</f>
        <v>0</v>
      </c>
      <c r="J40" s="59">
        <f>IFERROR(VLOOKUP(B40&amp;J$12&amp;TEXT(D40,"dd/mm/aaaa"),'HISTORICO '!D:E,2,FALSE),0)</f>
        <v>0</v>
      </c>
      <c r="K40" s="59">
        <f>IFERROR(VLOOKUP(B40&amp;K$12&amp;TEXT(D40,"dd/mm/aaaa"),'HISTORICO '!D:E,2,FALSE),0)</f>
        <v>0</v>
      </c>
      <c r="L40" s="60"/>
      <c r="M40" s="61" t="str">
        <f>IFERROR(_xlfn.XLOOKUP(D40 &amp; B40,  'HISTORICO '!G:G, 'HISTORICO '!F:F),"")</f>
        <v/>
      </c>
      <c r="N40" s="29">
        <f t="shared" si="9"/>
        <v>0</v>
      </c>
      <c r="O40" s="30">
        <f t="shared" si="4"/>
        <v>0</v>
      </c>
      <c r="P40" s="27">
        <f t="shared" si="5"/>
        <v>0</v>
      </c>
      <c r="Q40" s="31"/>
      <c r="R40" s="32">
        <f t="shared" si="6"/>
        <v>0</v>
      </c>
      <c r="S40" s="33">
        <v>2</v>
      </c>
      <c r="T40" s="34">
        <f t="shared" si="7"/>
        <v>274</v>
      </c>
      <c r="U40" s="34">
        <f t="shared" si="8"/>
        <v>137</v>
      </c>
      <c r="V40" s="6"/>
      <c r="W40" s="6" t="s">
        <v>86</v>
      </c>
      <c r="X40" s="6" t="s">
        <v>52</v>
      </c>
      <c r="Y40" s="6"/>
    </row>
    <row r="41" spans="1:25" ht="13.5" customHeight="1">
      <c r="A41" s="25" t="s">
        <v>163</v>
      </c>
      <c r="B41" s="26" t="s">
        <v>87</v>
      </c>
      <c r="C41" s="27">
        <v>48.8</v>
      </c>
      <c r="D41" s="62">
        <f>MAX('HISTORICO '!A:A)</f>
        <v>46237</v>
      </c>
      <c r="E41" s="58">
        <f>IFERROR(VLOOKUP(B41&amp;$E$12&amp;TEXT(D41,"dd/mm/aaaa"),'HISTORICO '!D:E,2,FALSE),0)</f>
        <v>0</v>
      </c>
      <c r="F41" s="59">
        <f>IFERROR(VLOOKUP(B41&amp;$F$12&amp;TEXT(D41,"dd/mm/aaaa"),'HISTORICO '!D:E,2,FALSE),0)</f>
        <v>0</v>
      </c>
      <c r="G41" s="59">
        <f>IFERROR(VLOOKUP(B41&amp;G$12&amp;TEXT(D41,"dd/mm/aaaa"),'HISTORICO '!D:E,2,FALSE),0)</f>
        <v>0</v>
      </c>
      <c r="H41" s="59">
        <f>IFERROR(VLOOKUP(B41&amp;H$12&amp;TEXT(D41,"dd/mm/aaaa"),'HISTORICO '!D:E,2,FALSE),0)</f>
        <v>0</v>
      </c>
      <c r="I41" s="59">
        <f>IFERROR(VLOOKUP(B41&amp;I$12&amp;TEXT(D41,"dd/mm/aaaa"),'HISTORICO '!D:E,2,FALSE),0)</f>
        <v>0</v>
      </c>
      <c r="J41" s="59">
        <f>IFERROR(VLOOKUP(B41&amp;J$12&amp;TEXT(D41,"dd/mm/aaaa"),'HISTORICO '!D:E,2,FALSE),0)</f>
        <v>0</v>
      </c>
      <c r="K41" s="59">
        <f>IFERROR(VLOOKUP(B41&amp;K$12&amp;TEXT(D41,"dd/mm/aaaa"),'HISTORICO '!D:E,2,FALSE),0)</f>
        <v>0</v>
      </c>
      <c r="L41" s="60"/>
      <c r="M41" s="61" t="str">
        <f>IFERROR(_xlfn.XLOOKUP(D41 &amp; B41,  'HISTORICO '!G:G, 'HISTORICO '!F:F),"")</f>
        <v/>
      </c>
      <c r="N41" s="29">
        <f t="shared" si="9"/>
        <v>0</v>
      </c>
      <c r="O41" s="30">
        <f t="shared" si="4"/>
        <v>0</v>
      </c>
      <c r="P41" s="27">
        <f t="shared" si="5"/>
        <v>0</v>
      </c>
      <c r="Q41" s="31"/>
      <c r="R41" s="32">
        <f t="shared" si="6"/>
        <v>0</v>
      </c>
      <c r="S41" s="33">
        <v>2</v>
      </c>
      <c r="T41" s="34">
        <f t="shared" si="7"/>
        <v>97.6</v>
      </c>
      <c r="U41" s="34">
        <f t="shared" si="8"/>
        <v>48.8</v>
      </c>
      <c r="V41" s="6"/>
      <c r="W41" s="6" t="s">
        <v>65</v>
      </c>
      <c r="X41" s="6" t="s">
        <v>52</v>
      </c>
      <c r="Y41" s="6"/>
    </row>
    <row r="42" spans="1:25" ht="13.5" customHeight="1">
      <c r="A42" s="25" t="s">
        <v>164</v>
      </c>
      <c r="B42" s="26" t="s">
        <v>88</v>
      </c>
      <c r="C42" s="27">
        <v>89</v>
      </c>
      <c r="D42" s="62">
        <f>MAX('HISTORICO '!A:A)</f>
        <v>46237</v>
      </c>
      <c r="E42" s="58">
        <f>IFERROR(VLOOKUP(B42&amp;$E$12&amp;TEXT(D42,"dd/mm/aaaa"),'HISTORICO '!D:E,2,FALSE),0)</f>
        <v>0</v>
      </c>
      <c r="F42" s="59">
        <f>IFERROR(VLOOKUP(B42&amp;$F$12&amp;TEXT(D42,"dd/mm/aaaa"),'HISTORICO '!D:E,2,FALSE),0)</f>
        <v>0</v>
      </c>
      <c r="G42" s="59">
        <f>IFERROR(VLOOKUP(B42&amp;G$12&amp;TEXT(D42,"dd/mm/aaaa"),'HISTORICO '!D:E,2,FALSE),0)</f>
        <v>51</v>
      </c>
      <c r="H42" s="59">
        <f>IFERROR(VLOOKUP(B42&amp;H$12&amp;TEXT(D42,"dd/mm/aaaa"),'HISTORICO '!D:E,2,FALSE),0)</f>
        <v>0</v>
      </c>
      <c r="I42" s="59">
        <f>IFERROR(VLOOKUP(B42&amp;I$12&amp;TEXT(D42,"dd/mm/aaaa"),'HISTORICO '!D:E,2,FALSE),0)</f>
        <v>0</v>
      </c>
      <c r="J42" s="59">
        <f>IFERROR(VLOOKUP(B42&amp;J$12&amp;TEXT(D42,"dd/mm/aaaa"),'HISTORICO '!D:E,2,FALSE),0)</f>
        <v>0</v>
      </c>
      <c r="K42" s="59">
        <f>IFERROR(VLOOKUP(B42&amp;K$12&amp;TEXT(D42,"dd/mm/aaaa"),'HISTORICO '!D:E,2,FALSE),0)</f>
        <v>0</v>
      </c>
      <c r="L42" s="60"/>
      <c r="M42" s="61">
        <f>IFERROR(_xlfn.XLOOKUP(D42 &amp; B42,  'HISTORICO '!G:G, 'HISTORICO '!F:F),"")</f>
        <v>0</v>
      </c>
      <c r="N42" s="29">
        <f t="shared" si="9"/>
        <v>51</v>
      </c>
      <c r="O42" s="30">
        <f t="shared" si="4"/>
        <v>38.533333333333331</v>
      </c>
      <c r="P42" s="27">
        <f t="shared" si="5"/>
        <v>0.43295880149812732</v>
      </c>
      <c r="Q42" s="31"/>
      <c r="R42" s="32">
        <f t="shared" si="6"/>
        <v>0</v>
      </c>
      <c r="S42" s="33">
        <v>2.5</v>
      </c>
      <c r="T42" s="34">
        <f t="shared" si="7"/>
        <v>222.5</v>
      </c>
      <c r="U42" s="34">
        <f t="shared" si="8"/>
        <v>111.25</v>
      </c>
      <c r="V42" s="6"/>
      <c r="W42" s="6" t="s">
        <v>65</v>
      </c>
      <c r="X42" s="6" t="s">
        <v>43</v>
      </c>
      <c r="Y42" s="6"/>
    </row>
    <row r="43" spans="1:25" ht="13.5" customHeight="1">
      <c r="A43" s="25" t="s">
        <v>165</v>
      </c>
      <c r="B43" s="26" t="s">
        <v>89</v>
      </c>
      <c r="C43" s="27">
        <v>17.2</v>
      </c>
      <c r="D43" s="62">
        <f>MAX('HISTORICO '!A:A)</f>
        <v>46237</v>
      </c>
      <c r="E43" s="58">
        <f>IFERROR(VLOOKUP(B43&amp;$E$12&amp;TEXT(D43,"dd/mm/aaaa"),'HISTORICO '!D:E,2,FALSE),0)</f>
        <v>0</v>
      </c>
      <c r="F43" s="59">
        <f>IFERROR(VLOOKUP(B43&amp;$F$12&amp;TEXT(D43,"dd/mm/aaaa"),'HISTORICO '!D:E,2,FALSE),0)</f>
        <v>0</v>
      </c>
      <c r="G43" s="59">
        <f>IFERROR(VLOOKUP(B43&amp;G$12&amp;TEXT(D43,"dd/mm/aaaa"),'HISTORICO '!D:E,2,FALSE),0)</f>
        <v>0</v>
      </c>
      <c r="H43" s="59">
        <f>IFERROR(VLOOKUP(B43&amp;H$12&amp;TEXT(D43,"dd/mm/aaaa"),'HISTORICO '!D:E,2,FALSE),0)</f>
        <v>0</v>
      </c>
      <c r="I43" s="59">
        <f>IFERROR(VLOOKUP(B43&amp;I$12&amp;TEXT(D43,"dd/mm/aaaa"),'HISTORICO '!D:E,2,FALSE),0)</f>
        <v>0</v>
      </c>
      <c r="J43" s="59">
        <f>IFERROR(VLOOKUP(B43&amp;J$12&amp;TEXT(D43,"dd/mm/aaaa"),'HISTORICO '!D:E,2,FALSE),0)</f>
        <v>0</v>
      </c>
      <c r="K43" s="59">
        <f>IFERROR(VLOOKUP(B43&amp;K$12&amp;TEXT(D43,"dd/mm/aaaa"),'HISTORICO '!D:E,2,FALSE),0)</f>
        <v>0</v>
      </c>
      <c r="L43" s="60"/>
      <c r="M43" s="61" t="str">
        <f>IFERROR(_xlfn.XLOOKUP(D43 &amp; B43,  'HISTORICO '!G:G, 'HISTORICO '!F:F),"")</f>
        <v/>
      </c>
      <c r="N43" s="29">
        <f t="shared" si="9"/>
        <v>0</v>
      </c>
      <c r="O43" s="30">
        <f t="shared" si="4"/>
        <v>0</v>
      </c>
      <c r="P43" s="27">
        <f t="shared" si="5"/>
        <v>0</v>
      </c>
      <c r="Q43" s="31"/>
      <c r="R43" s="32">
        <f t="shared" si="6"/>
        <v>0</v>
      </c>
      <c r="S43" s="33">
        <v>2.5</v>
      </c>
      <c r="T43" s="34">
        <f t="shared" si="7"/>
        <v>43</v>
      </c>
      <c r="U43" s="34">
        <f t="shared" si="8"/>
        <v>21.5</v>
      </c>
      <c r="V43" s="6"/>
      <c r="W43" s="6" t="s">
        <v>65</v>
      </c>
      <c r="X43" s="6" t="s">
        <v>43</v>
      </c>
      <c r="Y43" s="6"/>
    </row>
    <row r="44" spans="1:25" ht="13.5" customHeight="1">
      <c r="A44" s="25" t="s">
        <v>166</v>
      </c>
      <c r="B44" s="26" t="s">
        <v>90</v>
      </c>
      <c r="C44" s="27">
        <v>53.7</v>
      </c>
      <c r="D44" s="62">
        <f>MAX('HISTORICO '!A:A)</f>
        <v>46237</v>
      </c>
      <c r="E44" s="58">
        <f>IFERROR(VLOOKUP(B44&amp;$E$12&amp;TEXT(D44,"dd/mm/aaaa"),'HISTORICO '!D:E,2,FALSE),0)</f>
        <v>0</v>
      </c>
      <c r="F44" s="59">
        <f>IFERROR(VLOOKUP(B44&amp;$F$12&amp;TEXT(D44,"dd/mm/aaaa"),'HISTORICO '!D:E,2,FALSE),0)</f>
        <v>0</v>
      </c>
      <c r="G44" s="59">
        <f>IFERROR(VLOOKUP(B44&amp;G$12&amp;TEXT(D44,"dd/mm/aaaa"),'HISTORICO '!D:E,2,FALSE),0)</f>
        <v>0</v>
      </c>
      <c r="H44" s="59">
        <f>IFERROR(VLOOKUP(B44&amp;H$12&amp;TEXT(D44,"dd/mm/aaaa"),'HISTORICO '!D:E,2,FALSE),0)</f>
        <v>0</v>
      </c>
      <c r="I44" s="59">
        <f>IFERROR(VLOOKUP(B44&amp;I$12&amp;TEXT(D44,"dd/mm/aaaa"),'HISTORICO '!D:E,2,FALSE),0)</f>
        <v>0</v>
      </c>
      <c r="J44" s="59">
        <f>IFERROR(VLOOKUP(B44&amp;J$12&amp;TEXT(D44,"dd/mm/aaaa"),'HISTORICO '!D:E,2,FALSE),0)</f>
        <v>0</v>
      </c>
      <c r="K44" s="59">
        <f>IFERROR(VLOOKUP(B44&amp;K$12&amp;TEXT(D44,"dd/mm/aaaa"),'HISTORICO '!D:E,2,FALSE),0)</f>
        <v>0</v>
      </c>
      <c r="L44" s="60"/>
      <c r="M44" s="61" t="str">
        <f>IFERROR(_xlfn.XLOOKUP(D44 &amp; B44,  'HISTORICO '!G:G, 'HISTORICO '!F:F),"")</f>
        <v/>
      </c>
      <c r="N44" s="29">
        <f t="shared" si="9"/>
        <v>0</v>
      </c>
      <c r="O44" s="30">
        <f t="shared" si="4"/>
        <v>0</v>
      </c>
      <c r="P44" s="27">
        <f t="shared" si="5"/>
        <v>0</v>
      </c>
      <c r="Q44" s="31">
        <v>2</v>
      </c>
      <c r="R44" s="32">
        <f t="shared" si="6"/>
        <v>0</v>
      </c>
      <c r="S44" s="33">
        <v>2</v>
      </c>
      <c r="T44" s="34">
        <f t="shared" si="7"/>
        <v>107.4</v>
      </c>
      <c r="U44" s="34">
        <f t="shared" si="8"/>
        <v>53.7</v>
      </c>
      <c r="V44" s="6"/>
      <c r="W44" s="6" t="s">
        <v>65</v>
      </c>
      <c r="X44" s="6" t="s">
        <v>52</v>
      </c>
      <c r="Y44" s="6"/>
    </row>
    <row r="45" spans="1:25" ht="13.5" customHeight="1">
      <c r="A45" s="25" t="s">
        <v>167</v>
      </c>
      <c r="B45" s="26" t="s">
        <v>92</v>
      </c>
      <c r="C45" s="27">
        <v>63.2</v>
      </c>
      <c r="D45" s="62">
        <f>MAX('HISTORICO '!A:A)</f>
        <v>46237</v>
      </c>
      <c r="E45" s="58">
        <f>IFERROR(VLOOKUP(B45&amp;$E$12&amp;TEXT(D45,"dd/mm/aaaa"),'HISTORICO '!D:E,2,FALSE),0)</f>
        <v>0</v>
      </c>
      <c r="F45" s="59">
        <f>IFERROR(VLOOKUP(B45&amp;$F$12&amp;TEXT(D45,"dd/mm/aaaa"),'HISTORICO '!D:E,2,FALSE),0)</f>
        <v>0</v>
      </c>
      <c r="G45" s="59">
        <f>IFERROR(VLOOKUP(B45&amp;G$12&amp;TEXT(D45,"dd/mm/aaaa"),'HISTORICO '!D:E,2,FALSE),0)</f>
        <v>0</v>
      </c>
      <c r="H45" s="59">
        <f>IFERROR(VLOOKUP(B45&amp;H$12&amp;TEXT(D45,"dd/mm/aaaa"),'HISTORICO '!D:E,2,FALSE),0)</f>
        <v>0</v>
      </c>
      <c r="I45" s="59">
        <f>IFERROR(VLOOKUP(B45&amp;I$12&amp;TEXT(D45,"dd/mm/aaaa"),'HISTORICO '!D:E,2,FALSE),0)</f>
        <v>0</v>
      </c>
      <c r="J45" s="59">
        <f>IFERROR(VLOOKUP(B45&amp;J$12&amp;TEXT(D45,"dd/mm/aaaa"),'HISTORICO '!D:E,2,FALSE),0)</f>
        <v>0</v>
      </c>
      <c r="K45" s="59">
        <f>IFERROR(VLOOKUP(B45&amp;K$12&amp;TEXT(D45,"dd/mm/aaaa"),'HISTORICO '!D:E,2,FALSE),0)</f>
        <v>0</v>
      </c>
      <c r="L45" s="60"/>
      <c r="M45" s="61" t="str">
        <f>IFERROR(_xlfn.XLOOKUP(D45 &amp; B45,  'HISTORICO '!G:G, 'HISTORICO '!F:F),"")</f>
        <v/>
      </c>
      <c r="N45" s="29">
        <f t="shared" si="9"/>
        <v>0</v>
      </c>
      <c r="O45" s="30">
        <f t="shared" si="4"/>
        <v>0</v>
      </c>
      <c r="P45" s="27">
        <f t="shared" si="5"/>
        <v>0</v>
      </c>
      <c r="Q45" s="31"/>
      <c r="R45" s="32">
        <f t="shared" si="6"/>
        <v>0</v>
      </c>
      <c r="S45" s="33">
        <v>2.5</v>
      </c>
      <c r="T45" s="34">
        <f t="shared" si="7"/>
        <v>158</v>
      </c>
      <c r="U45" s="34">
        <f t="shared" si="8"/>
        <v>79</v>
      </c>
      <c r="V45" s="6"/>
      <c r="W45" s="6" t="s">
        <v>65</v>
      </c>
      <c r="X45" s="6" t="s">
        <v>43</v>
      </c>
      <c r="Y45" s="6"/>
    </row>
    <row r="46" spans="1:25" ht="13.5" customHeight="1">
      <c r="A46" s="25" t="s">
        <v>94</v>
      </c>
      <c r="B46" s="26" t="s">
        <v>93</v>
      </c>
      <c r="C46" s="27">
        <v>127</v>
      </c>
      <c r="D46" s="62">
        <f>MAX('HISTORICO '!A:A)</f>
        <v>46237</v>
      </c>
      <c r="E46" s="58">
        <f>IFERROR(VLOOKUP(B46&amp;$E$12&amp;TEXT(D46,"dd/mm/aaaa"),'HISTORICO '!D:E,2,FALSE),0)</f>
        <v>0</v>
      </c>
      <c r="F46" s="59">
        <f>IFERROR(VLOOKUP(B46&amp;$F$12&amp;TEXT(D46,"dd/mm/aaaa"),'HISTORICO '!D:E,2,FALSE),0)</f>
        <v>349</v>
      </c>
      <c r="G46" s="59">
        <f>IFERROR(VLOOKUP(B46&amp;G$12&amp;TEXT(D46,"dd/mm/aaaa"),'HISTORICO '!D:E,2,FALSE),0)</f>
        <v>0</v>
      </c>
      <c r="H46" s="59">
        <f>IFERROR(VLOOKUP(B46&amp;H$12&amp;TEXT(D46,"dd/mm/aaaa"),'HISTORICO '!D:E,2,FALSE),0)</f>
        <v>0</v>
      </c>
      <c r="I46" s="59">
        <f>IFERROR(VLOOKUP(B46&amp;I$12&amp;TEXT(D46,"dd/mm/aaaa"),'HISTORICO '!D:E,2,FALSE),0)</f>
        <v>0</v>
      </c>
      <c r="J46" s="59">
        <f>IFERROR(VLOOKUP(B46&amp;J$12&amp;TEXT(D46,"dd/mm/aaaa"),'HISTORICO '!D:E,2,FALSE),0)</f>
        <v>0</v>
      </c>
      <c r="K46" s="59">
        <f>IFERROR(VLOOKUP(B46&amp;K$12&amp;TEXT(D46,"dd/mm/aaaa"),'HISTORICO '!D:E,2,FALSE),0)</f>
        <v>0</v>
      </c>
      <c r="L46" s="60"/>
      <c r="M46" s="61" t="str">
        <f>IFERROR(_xlfn.XLOOKUP(D46 &amp; B46,  'HISTORICO '!G:G, 'HISTORICO '!F:F),"")</f>
        <v>Vacas prenhas</v>
      </c>
      <c r="N46" s="29">
        <f t="shared" si="9"/>
        <v>349</v>
      </c>
      <c r="O46" s="30">
        <f t="shared" si="4"/>
        <v>349</v>
      </c>
      <c r="P46" s="27">
        <f t="shared" si="5"/>
        <v>2.7480314960629921</v>
      </c>
      <c r="Q46" s="31">
        <v>4</v>
      </c>
      <c r="R46" s="32">
        <f t="shared" si="6"/>
        <v>157.05000000000001</v>
      </c>
      <c r="S46" s="33">
        <v>2</v>
      </c>
      <c r="T46" s="34">
        <f t="shared" si="7"/>
        <v>254</v>
      </c>
      <c r="U46" s="34">
        <f t="shared" si="8"/>
        <v>127</v>
      </c>
      <c r="V46" s="6"/>
      <c r="W46" s="6" t="s">
        <v>65</v>
      </c>
      <c r="X46" s="6" t="s">
        <v>43</v>
      </c>
      <c r="Y46" s="6"/>
    </row>
    <row r="47" spans="1:25" ht="13.5" customHeight="1">
      <c r="A47" s="25" t="s">
        <v>168</v>
      </c>
      <c r="B47" s="37" t="s">
        <v>95</v>
      </c>
      <c r="C47" s="38">
        <v>10</v>
      </c>
      <c r="D47" s="62">
        <f>MAX('HISTORICO '!A:A)</f>
        <v>46237</v>
      </c>
      <c r="E47" s="58">
        <f>IFERROR(VLOOKUP(B47&amp;$E$12&amp;TEXT(D47,"dd/mm/aaaa"),'HISTORICO '!D:E,2,FALSE),0)</f>
        <v>0</v>
      </c>
      <c r="F47" s="59">
        <f>IFERROR(VLOOKUP(B47&amp;$F$12&amp;TEXT(D47,"dd/mm/aaaa"),'HISTORICO '!D:E,2,FALSE),0)</f>
        <v>0</v>
      </c>
      <c r="G47" s="59">
        <f>IFERROR(VLOOKUP(B47&amp;G$12&amp;TEXT(D47,"dd/mm/aaaa"),'HISTORICO '!D:E,2,FALSE),0)</f>
        <v>0</v>
      </c>
      <c r="H47" s="59">
        <f>IFERROR(VLOOKUP(B47&amp;H$12&amp;TEXT(D47,"dd/mm/aaaa"),'HISTORICO '!D:E,2,FALSE),0)</f>
        <v>0</v>
      </c>
      <c r="I47" s="59">
        <f>IFERROR(VLOOKUP(B47&amp;I$12&amp;TEXT(D47,"dd/mm/aaaa"),'HISTORICO '!D:E,2,FALSE),0)</f>
        <v>0</v>
      </c>
      <c r="J47" s="59">
        <f>IFERROR(VLOOKUP(B47&amp;J$12&amp;TEXT(D47,"dd/mm/aaaa"),'HISTORICO '!D:E,2,FALSE),0)</f>
        <v>0</v>
      </c>
      <c r="K47" s="59">
        <f>IFERROR(VLOOKUP(B47&amp;K$12&amp;TEXT(D47,"dd/mm/aaaa"),'HISTORICO '!D:E,2,FALSE),0)</f>
        <v>0</v>
      </c>
      <c r="L47" s="60"/>
      <c r="M47" s="61" t="str">
        <f>IFERROR(_xlfn.XLOOKUP(D47 &amp; B47,  'HISTORICO '!G:G, 'HISTORICO '!F:F),"")</f>
        <v/>
      </c>
      <c r="N47" s="29">
        <f t="shared" si="9"/>
        <v>0</v>
      </c>
      <c r="O47" s="30">
        <f t="shared" si="4"/>
        <v>0</v>
      </c>
      <c r="P47" s="27">
        <f t="shared" si="5"/>
        <v>0</v>
      </c>
      <c r="Q47" s="31"/>
      <c r="R47" s="32"/>
      <c r="S47" s="33"/>
      <c r="T47" s="34"/>
      <c r="U47" s="34"/>
      <c r="V47" s="6"/>
      <c r="W47" s="6"/>
      <c r="X47" s="6"/>
      <c r="Y47" s="6"/>
    </row>
    <row r="48" spans="1:25" ht="18" customHeight="1">
      <c r="A48" s="39"/>
      <c r="B48" s="40"/>
      <c r="C48" s="41">
        <f>SUBTOTAL(9,C13:C47)</f>
        <v>1463.66</v>
      </c>
      <c r="D48" s="42"/>
      <c r="E48" s="43">
        <f>SUBTOTAL(9,E13:E46)</f>
        <v>0</v>
      </c>
      <c r="F48" s="44">
        <f t="shared" ref="F48:K48" si="10">SUBTOTAL(9,F13:F47)</f>
        <v>1097</v>
      </c>
      <c r="G48" s="44">
        <f t="shared" si="10"/>
        <v>65</v>
      </c>
      <c r="H48" s="44">
        <f t="shared" si="10"/>
        <v>0</v>
      </c>
      <c r="I48" s="44">
        <f t="shared" si="10"/>
        <v>0</v>
      </c>
      <c r="J48" s="44">
        <f t="shared" si="10"/>
        <v>22</v>
      </c>
      <c r="K48" s="44">
        <f t="shared" si="10"/>
        <v>39</v>
      </c>
      <c r="L48" s="45">
        <f>SUBTOTAL(9,L13:L46)</f>
        <v>0</v>
      </c>
      <c r="M48" s="46"/>
      <c r="N48" s="41">
        <f>SUBTOTAL(9,N13:N47)</f>
        <v>1223</v>
      </c>
      <c r="O48" s="41">
        <f>SUBTOTAL(9,O13:O46)</f>
        <v>1226.4444444444443</v>
      </c>
      <c r="P48" s="47">
        <f t="shared" si="5"/>
        <v>0.83792987746091596</v>
      </c>
      <c r="Q48" s="48"/>
      <c r="R48" s="49"/>
      <c r="S48" s="50">
        <f>SUBTOTAL(101,S13:S46)</f>
        <v>1.8636363636363635</v>
      </c>
      <c r="T48" s="51">
        <f>SUBTOTAL(9,T13:T46)</f>
        <v>2923.7950000000001</v>
      </c>
      <c r="U48" s="51">
        <f>SUBTOTAL(9,U13:U46)</f>
        <v>1461.8975</v>
      </c>
      <c r="V48" s="52"/>
      <c r="W48" s="6"/>
      <c r="X48" s="6"/>
      <c r="Y48" s="6"/>
    </row>
  </sheetData>
  <autoFilter ref="A12:Y47" xr:uid="{00000000-0009-0000-0000-000000000000}"/>
  <phoneticPr fontId="6" type="noConversion"/>
  <conditionalFormatting sqref="E13:M47">
    <cfRule type="expression" dxfId="7" priority="2">
      <formula>""</formula>
    </cfRule>
  </conditionalFormatting>
  <conditionalFormatting sqref="E13:N47">
    <cfRule type="cellIs" dxfId="6" priority="1" operator="greaterThan">
      <formula>0</formula>
    </cfRule>
  </conditionalFormatting>
  <conditionalFormatting sqref="N13:N47">
    <cfRule type="expression" dxfId="5" priority="6">
      <formula>""</formula>
    </cfRule>
  </conditionalFormatting>
  <conditionalFormatting sqref="O13:P47">
    <cfRule type="cellIs" dxfId="4" priority="4" operator="greater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6"/>
  <sheetViews>
    <sheetView topLeftCell="A425" zoomScaleNormal="100" workbookViewId="0">
      <selection activeCell="E448" sqref="E448"/>
    </sheetView>
  </sheetViews>
  <sheetFormatPr defaultColWidth="8.5546875" defaultRowHeight="14.4"/>
  <cols>
    <col min="1" max="1" width="16.88671875" customWidth="1"/>
    <col min="2" max="2" width="24.77734375" customWidth="1"/>
    <col min="3" max="3" width="16.77734375" customWidth="1"/>
    <col min="4" max="5" width="41.33203125" customWidth="1"/>
    <col min="6" max="6" width="28.44140625" customWidth="1"/>
    <col min="7" max="7" width="27" customWidth="1"/>
  </cols>
  <sheetData>
    <row r="1" spans="1:7" ht="15" customHeight="1">
      <c r="A1" t="s">
        <v>25</v>
      </c>
      <c r="B1" t="s">
        <v>23</v>
      </c>
      <c r="C1" t="s">
        <v>96</v>
      </c>
      <c r="D1" t="s">
        <v>97</v>
      </c>
      <c r="E1" t="s">
        <v>98</v>
      </c>
      <c r="F1" t="s">
        <v>28</v>
      </c>
      <c r="G1" t="s">
        <v>99</v>
      </c>
    </row>
    <row r="2" spans="1:7">
      <c r="A2" s="53">
        <v>45845</v>
      </c>
      <c r="B2" t="s">
        <v>40</v>
      </c>
      <c r="C2" s="17" t="s">
        <v>9</v>
      </c>
      <c r="D2" t="str">
        <f t="shared" ref="D2:D41" si="0">B2&amp;C2&amp;TEXT(A2,"dd/mm/aaaa")</f>
        <v>Rotacionado EntradaVaca Parida07/07/2025</v>
      </c>
      <c r="E2">
        <v>185</v>
      </c>
      <c r="G2" s="53" t="str">
        <f t="shared" ref="G2:G65" si="1">A2&amp;B2</f>
        <v>45845Rotacionado Entrada</v>
      </c>
    </row>
    <row r="3" spans="1:7">
      <c r="A3" s="53">
        <v>45845</v>
      </c>
      <c r="B3" t="s">
        <v>40</v>
      </c>
      <c r="C3" t="s">
        <v>100</v>
      </c>
      <c r="D3" t="str">
        <f t="shared" si="0"/>
        <v>Rotacionado EntradaBez. Desm07/07/2025</v>
      </c>
      <c r="E3">
        <v>191</v>
      </c>
      <c r="G3" s="53" t="str">
        <f t="shared" si="1"/>
        <v>45845Rotacionado Entrada</v>
      </c>
    </row>
    <row r="4" spans="1:7">
      <c r="A4" s="53">
        <v>45845</v>
      </c>
      <c r="B4" t="s">
        <v>40</v>
      </c>
      <c r="C4" t="s">
        <v>19</v>
      </c>
      <c r="D4" t="str">
        <f t="shared" si="0"/>
        <v>Rotacionado EntradaTouro07/07/2025</v>
      </c>
      <c r="E4">
        <v>15</v>
      </c>
      <c r="G4" s="53" t="str">
        <f t="shared" si="1"/>
        <v>45845Rotacionado Entrada</v>
      </c>
    </row>
    <row r="5" spans="1:7">
      <c r="A5" s="53">
        <v>45845</v>
      </c>
      <c r="B5" t="s">
        <v>61</v>
      </c>
      <c r="C5" t="s">
        <v>9</v>
      </c>
      <c r="D5" t="str">
        <f t="shared" si="0"/>
        <v>Rotacionado Caixa d'ÁguaVaca Parida07/07/2025</v>
      </c>
      <c r="E5">
        <v>7</v>
      </c>
      <c r="G5" s="53" t="str">
        <f t="shared" si="1"/>
        <v>45845Rotacionado Caixa d'Água</v>
      </c>
    </row>
    <row r="6" spans="1:7">
      <c r="A6" s="53">
        <v>45845</v>
      </c>
      <c r="B6" t="s">
        <v>61</v>
      </c>
      <c r="C6" t="s">
        <v>11</v>
      </c>
      <c r="D6" t="str">
        <f t="shared" si="0"/>
        <v>Rotacionado Caixa d'ÁguaVaca07/07/2025</v>
      </c>
      <c r="E6">
        <v>4</v>
      </c>
      <c r="G6" s="53" t="str">
        <f t="shared" si="1"/>
        <v>45845Rotacionado Caixa d'Água</v>
      </c>
    </row>
    <row r="7" spans="1:7">
      <c r="A7" s="53">
        <v>45845</v>
      </c>
      <c r="B7" t="s">
        <v>61</v>
      </c>
      <c r="C7" t="s">
        <v>13</v>
      </c>
      <c r="D7" t="str">
        <f t="shared" si="0"/>
        <v>Rotacionado Caixa d'ÁguaNovilha07/07/2025</v>
      </c>
      <c r="E7">
        <v>3</v>
      </c>
      <c r="G7" s="53" t="str">
        <f t="shared" si="1"/>
        <v>45845Rotacionado Caixa d'Água</v>
      </c>
    </row>
    <row r="8" spans="1:7">
      <c r="A8" s="53">
        <v>45845</v>
      </c>
      <c r="B8" t="s">
        <v>61</v>
      </c>
      <c r="C8" t="s">
        <v>19</v>
      </c>
      <c r="D8" t="str">
        <f t="shared" si="0"/>
        <v>Rotacionado Caixa d'ÁguaTouro07/07/2025</v>
      </c>
      <c r="E8">
        <v>11</v>
      </c>
      <c r="G8" s="53" t="str">
        <f t="shared" si="1"/>
        <v>45845Rotacionado Caixa d'Água</v>
      </c>
    </row>
    <row r="9" spans="1:7">
      <c r="A9" s="53">
        <v>45845</v>
      </c>
      <c r="B9" t="s">
        <v>71</v>
      </c>
      <c r="C9" t="s">
        <v>100</v>
      </c>
      <c r="D9" t="str">
        <f t="shared" si="0"/>
        <v>Barriguda 2Bez. Desm07/07/2025</v>
      </c>
      <c r="E9">
        <v>185</v>
      </c>
      <c r="G9" s="53" t="str">
        <f t="shared" si="1"/>
        <v>45845Barriguda 2</v>
      </c>
    </row>
    <row r="10" spans="1:7">
      <c r="A10" s="53">
        <v>45845</v>
      </c>
      <c r="B10" t="s">
        <v>71</v>
      </c>
      <c r="C10" t="s">
        <v>11</v>
      </c>
      <c r="D10" t="str">
        <f t="shared" si="0"/>
        <v>Barriguda 2Vaca07/07/2025</v>
      </c>
      <c r="E10">
        <v>6</v>
      </c>
      <c r="G10" s="53" t="str">
        <f t="shared" si="1"/>
        <v>45845Barriguda 2</v>
      </c>
    </row>
    <row r="11" spans="1:7">
      <c r="A11" s="53">
        <v>45845</v>
      </c>
      <c r="B11" t="s">
        <v>73</v>
      </c>
      <c r="C11" t="s">
        <v>13</v>
      </c>
      <c r="D11" t="str">
        <f t="shared" si="0"/>
        <v>Piquetes da MataNovilha07/07/2025</v>
      </c>
      <c r="E11">
        <v>25</v>
      </c>
      <c r="G11" s="53" t="str">
        <f t="shared" si="1"/>
        <v>45845Piquetes da Mata</v>
      </c>
    </row>
    <row r="12" spans="1:7">
      <c r="A12" s="53">
        <v>45845</v>
      </c>
      <c r="B12" t="s">
        <v>73</v>
      </c>
      <c r="C12" t="s">
        <v>11</v>
      </c>
      <c r="D12" t="str">
        <f t="shared" si="0"/>
        <v>Piquetes da MataVaca07/07/2025</v>
      </c>
      <c r="E12">
        <v>30</v>
      </c>
      <c r="G12" s="53" t="str">
        <f t="shared" si="1"/>
        <v>45845Piquetes da Mata</v>
      </c>
    </row>
    <row r="13" spans="1:7">
      <c r="A13" s="53">
        <v>45845</v>
      </c>
      <c r="B13" t="s">
        <v>73</v>
      </c>
      <c r="C13" t="s">
        <v>101</v>
      </c>
      <c r="D13" t="str">
        <f t="shared" si="0"/>
        <v>Piquetes da MataBoi capão 07/07/2025</v>
      </c>
      <c r="E13">
        <v>1</v>
      </c>
      <c r="G13" s="53" t="str">
        <f t="shared" si="1"/>
        <v>45845Piquetes da Mata</v>
      </c>
    </row>
    <row r="14" spans="1:7">
      <c r="A14" s="53">
        <v>45845</v>
      </c>
      <c r="B14" t="s">
        <v>75</v>
      </c>
      <c r="C14" t="s">
        <v>13</v>
      </c>
      <c r="D14" t="str">
        <f t="shared" si="0"/>
        <v>Rotacionado Cipó PretoNovilha07/07/2025</v>
      </c>
      <c r="E14">
        <v>317</v>
      </c>
      <c r="G14" s="53" t="str">
        <f t="shared" si="1"/>
        <v>45845Rotacionado Cipó Preto</v>
      </c>
    </row>
    <row r="15" spans="1:7">
      <c r="A15" s="53">
        <v>45845</v>
      </c>
      <c r="B15" t="s">
        <v>77</v>
      </c>
      <c r="C15" t="s">
        <v>11</v>
      </c>
      <c r="D15" t="str">
        <f t="shared" si="0"/>
        <v>Timbó 1Vaca07/07/2025</v>
      </c>
      <c r="E15">
        <v>2</v>
      </c>
      <c r="G15" s="53" t="str">
        <f t="shared" si="1"/>
        <v>45845Timbó 1</v>
      </c>
    </row>
    <row r="16" spans="1:7">
      <c r="A16" s="53">
        <v>45845</v>
      </c>
      <c r="B16" t="s">
        <v>77</v>
      </c>
      <c r="C16" t="s">
        <v>13</v>
      </c>
      <c r="D16" t="str">
        <f t="shared" si="0"/>
        <v>Timbó 1Novilha07/07/2025</v>
      </c>
      <c r="E16">
        <v>1</v>
      </c>
      <c r="G16" s="53" t="str">
        <f t="shared" si="1"/>
        <v>45845Timbó 1</v>
      </c>
    </row>
    <row r="17" spans="1:7">
      <c r="A17" s="53">
        <v>45845</v>
      </c>
      <c r="B17" t="s">
        <v>78</v>
      </c>
      <c r="C17" t="s">
        <v>13</v>
      </c>
      <c r="D17" t="str">
        <f t="shared" si="0"/>
        <v>Timbó 2Novilha07/07/2025</v>
      </c>
      <c r="E17">
        <v>56</v>
      </c>
      <c r="G17" s="53" t="str">
        <f t="shared" si="1"/>
        <v>45845Timbó 2</v>
      </c>
    </row>
    <row r="18" spans="1:7">
      <c r="A18" s="53">
        <v>45845</v>
      </c>
      <c r="B18" t="s">
        <v>83</v>
      </c>
      <c r="C18" t="s">
        <v>11</v>
      </c>
      <c r="D18" t="str">
        <f t="shared" si="0"/>
        <v>MangasVaca07/07/2025</v>
      </c>
      <c r="E18">
        <v>84</v>
      </c>
      <c r="G18" s="53" t="str">
        <f t="shared" si="1"/>
        <v>45845Mangas</v>
      </c>
    </row>
    <row r="19" spans="1:7">
      <c r="A19" s="53">
        <v>45845</v>
      </c>
      <c r="B19" t="s">
        <v>89</v>
      </c>
      <c r="C19" t="s">
        <v>11</v>
      </c>
      <c r="D19" t="str">
        <f t="shared" si="0"/>
        <v>Piquete Curral do Retiro Vaca07/07/2025</v>
      </c>
      <c r="E19">
        <v>72</v>
      </c>
      <c r="G19" s="53" t="str">
        <f t="shared" si="1"/>
        <v xml:space="preserve">45845Piquete Curral do Retiro </v>
      </c>
    </row>
    <row r="20" spans="1:7">
      <c r="A20" s="53">
        <v>45845</v>
      </c>
      <c r="B20" t="s">
        <v>80</v>
      </c>
      <c r="C20" t="s">
        <v>13</v>
      </c>
      <c r="D20" t="str">
        <f t="shared" si="0"/>
        <v>PiatãNovilha07/07/2025</v>
      </c>
      <c r="E20">
        <v>175</v>
      </c>
      <c r="G20" s="53" t="str">
        <f t="shared" si="1"/>
        <v>45845Piatã</v>
      </c>
    </row>
    <row r="21" spans="1:7">
      <c r="A21" s="53">
        <v>45845</v>
      </c>
      <c r="B21" t="s">
        <v>88</v>
      </c>
      <c r="C21" t="s">
        <v>13</v>
      </c>
      <c r="D21" t="str">
        <f t="shared" si="0"/>
        <v>Avenida 2Novilha07/07/2025</v>
      </c>
      <c r="E21">
        <v>366</v>
      </c>
      <c r="G21" s="53" t="str">
        <f t="shared" si="1"/>
        <v>45845Avenida 2</v>
      </c>
    </row>
    <row r="22" spans="1:7" ht="15" customHeight="1">
      <c r="A22" s="53">
        <v>45845</v>
      </c>
      <c r="B22" t="s">
        <v>93</v>
      </c>
      <c r="C22" t="s">
        <v>11</v>
      </c>
      <c r="D22" t="str">
        <f t="shared" si="0"/>
        <v>Reserva Boqueirão Vaca07/07/2025</v>
      </c>
      <c r="E22">
        <v>284</v>
      </c>
      <c r="G22" s="53" t="str">
        <f t="shared" si="1"/>
        <v xml:space="preserve">45845Reserva Boqueirão </v>
      </c>
    </row>
    <row r="23" spans="1:7">
      <c r="A23" s="53">
        <v>45852</v>
      </c>
      <c r="B23" t="s">
        <v>40</v>
      </c>
      <c r="C23" s="17" t="s">
        <v>9</v>
      </c>
      <c r="D23" t="str">
        <f t="shared" si="0"/>
        <v>Rotacionado EntradaVaca Parida14/07/2025</v>
      </c>
      <c r="E23">
        <v>18</v>
      </c>
      <c r="G23" s="53" t="str">
        <f t="shared" si="1"/>
        <v>45852Rotacionado Entrada</v>
      </c>
    </row>
    <row r="24" spans="1:7" ht="15" customHeight="1">
      <c r="A24" s="53">
        <v>45852</v>
      </c>
      <c r="B24" t="s">
        <v>40</v>
      </c>
      <c r="C24" t="s">
        <v>11</v>
      </c>
      <c r="D24" t="str">
        <f t="shared" si="0"/>
        <v>Rotacionado EntradaVaca14/07/2025</v>
      </c>
      <c r="E24">
        <v>79</v>
      </c>
      <c r="G24" s="53" t="str">
        <f t="shared" si="1"/>
        <v>45852Rotacionado Entrada</v>
      </c>
    </row>
    <row r="25" spans="1:7">
      <c r="A25" s="53">
        <v>45852</v>
      </c>
      <c r="B25" s="26" t="s">
        <v>61</v>
      </c>
      <c r="C25" s="17" t="s">
        <v>9</v>
      </c>
      <c r="D25" t="str">
        <f t="shared" si="0"/>
        <v>Rotacionado Caixa d'ÁguaVaca Parida14/07/2025</v>
      </c>
      <c r="E25">
        <v>8</v>
      </c>
      <c r="G25" s="53" t="str">
        <f t="shared" si="1"/>
        <v>45852Rotacionado Caixa d'Água</v>
      </c>
    </row>
    <row r="26" spans="1:7">
      <c r="A26" s="53">
        <v>45852</v>
      </c>
      <c r="B26" t="s">
        <v>61</v>
      </c>
      <c r="C26" t="s">
        <v>11</v>
      </c>
      <c r="D26" t="str">
        <f t="shared" si="0"/>
        <v>Rotacionado Caixa d'ÁguaVaca14/07/2025</v>
      </c>
      <c r="E26">
        <v>4</v>
      </c>
      <c r="G26" s="53" t="str">
        <f t="shared" si="1"/>
        <v>45852Rotacionado Caixa d'Água</v>
      </c>
    </row>
    <row r="27" spans="1:7">
      <c r="A27" s="53">
        <v>45852</v>
      </c>
      <c r="B27" t="s">
        <v>61</v>
      </c>
      <c r="C27" t="s">
        <v>19</v>
      </c>
      <c r="D27" t="str">
        <f t="shared" si="0"/>
        <v>Rotacionado Caixa d'ÁguaTouro14/07/2025</v>
      </c>
      <c r="E27">
        <v>11</v>
      </c>
      <c r="G27" s="53" t="str">
        <f t="shared" si="1"/>
        <v>45852Rotacionado Caixa d'Água</v>
      </c>
    </row>
    <row r="28" spans="1:7">
      <c r="A28" s="53">
        <v>45852</v>
      </c>
      <c r="B28" t="s">
        <v>61</v>
      </c>
      <c r="C28" t="s">
        <v>13</v>
      </c>
      <c r="D28" t="str">
        <f t="shared" si="0"/>
        <v>Rotacionado Caixa d'ÁguaNovilha14/07/2025</v>
      </c>
      <c r="E28">
        <v>4</v>
      </c>
      <c r="G28" s="53" t="str">
        <f t="shared" si="1"/>
        <v>45852Rotacionado Caixa d'Água</v>
      </c>
    </row>
    <row r="29" spans="1:7">
      <c r="A29" s="53">
        <v>45852</v>
      </c>
      <c r="B29" t="s">
        <v>71</v>
      </c>
      <c r="C29" t="s">
        <v>100</v>
      </c>
      <c r="D29" t="str">
        <f t="shared" si="0"/>
        <v>Barriguda 2Bez. Desm14/07/2025</v>
      </c>
      <c r="E29">
        <v>181</v>
      </c>
      <c r="G29" s="53" t="str">
        <f t="shared" si="1"/>
        <v>45852Barriguda 2</v>
      </c>
    </row>
    <row r="30" spans="1:7">
      <c r="A30" s="53">
        <v>45852</v>
      </c>
      <c r="B30" t="s">
        <v>71</v>
      </c>
      <c r="C30" t="s">
        <v>11</v>
      </c>
      <c r="D30" t="str">
        <f t="shared" si="0"/>
        <v>Barriguda 2Vaca14/07/2025</v>
      </c>
      <c r="E30">
        <v>4</v>
      </c>
      <c r="G30" s="53" t="str">
        <f t="shared" si="1"/>
        <v>45852Barriguda 2</v>
      </c>
    </row>
    <row r="31" spans="1:7">
      <c r="A31" s="53">
        <v>45852</v>
      </c>
      <c r="B31" t="s">
        <v>71</v>
      </c>
      <c r="C31" t="s">
        <v>13</v>
      </c>
      <c r="D31" t="str">
        <f t="shared" si="0"/>
        <v>Barriguda 2Novilha14/07/2025</v>
      </c>
      <c r="E31">
        <v>2</v>
      </c>
      <c r="G31" s="53" t="str">
        <f t="shared" si="1"/>
        <v>45852Barriguda 2</v>
      </c>
    </row>
    <row r="32" spans="1:7">
      <c r="A32" s="53">
        <v>45852</v>
      </c>
      <c r="B32" t="s">
        <v>66</v>
      </c>
      <c r="C32" t="s">
        <v>11</v>
      </c>
      <c r="D32" t="str">
        <f t="shared" si="0"/>
        <v>Jacaré 1Vaca14/07/2025</v>
      </c>
      <c r="E32">
        <v>134</v>
      </c>
      <c r="G32" s="53" t="str">
        <f t="shared" si="1"/>
        <v>45852Jacaré 1</v>
      </c>
    </row>
    <row r="33" spans="1:7">
      <c r="A33" s="53">
        <v>45852</v>
      </c>
      <c r="B33" t="s">
        <v>73</v>
      </c>
      <c r="C33" t="s">
        <v>11</v>
      </c>
      <c r="D33" t="str">
        <f t="shared" si="0"/>
        <v>Piquetes da MataVaca14/07/2025</v>
      </c>
      <c r="E33">
        <v>30</v>
      </c>
      <c r="G33" s="53" t="str">
        <f t="shared" si="1"/>
        <v>45852Piquetes da Mata</v>
      </c>
    </row>
    <row r="34" spans="1:7">
      <c r="A34" s="53">
        <v>45852</v>
      </c>
      <c r="B34" t="s">
        <v>73</v>
      </c>
      <c r="C34" t="s">
        <v>13</v>
      </c>
      <c r="D34" t="str">
        <f t="shared" si="0"/>
        <v>Piquetes da MataNovilha14/07/2025</v>
      </c>
      <c r="E34">
        <v>25</v>
      </c>
      <c r="G34" s="53" t="str">
        <f t="shared" si="1"/>
        <v>45852Piquetes da Mata</v>
      </c>
    </row>
    <row r="35" spans="1:7">
      <c r="A35" s="53">
        <v>45852</v>
      </c>
      <c r="B35" t="s">
        <v>80</v>
      </c>
      <c r="C35" t="s">
        <v>13</v>
      </c>
      <c r="D35" t="str">
        <f t="shared" si="0"/>
        <v>PiatãNovilha14/07/2025</v>
      </c>
      <c r="E35">
        <v>175</v>
      </c>
      <c r="G35" s="53" t="str">
        <f t="shared" si="1"/>
        <v>45852Piatã</v>
      </c>
    </row>
    <row r="36" spans="1:7">
      <c r="A36" s="53">
        <v>45852</v>
      </c>
      <c r="B36" t="s">
        <v>80</v>
      </c>
      <c r="C36" t="s">
        <v>19</v>
      </c>
      <c r="D36" t="str">
        <f t="shared" si="0"/>
        <v>PiatãTouro14/07/2025</v>
      </c>
      <c r="E36">
        <v>6</v>
      </c>
      <c r="G36" s="53" t="str">
        <f t="shared" si="1"/>
        <v>45852Piatã</v>
      </c>
    </row>
    <row r="37" spans="1:7">
      <c r="A37" s="53">
        <v>45852</v>
      </c>
      <c r="B37" t="s">
        <v>75</v>
      </c>
      <c r="C37" t="s">
        <v>13</v>
      </c>
      <c r="D37" t="str">
        <f t="shared" si="0"/>
        <v>Rotacionado Cipó PretoNovilha14/07/2025</v>
      </c>
      <c r="E37">
        <v>318</v>
      </c>
      <c r="G37" s="53" t="str">
        <f t="shared" si="1"/>
        <v>45852Rotacionado Cipó Preto</v>
      </c>
    </row>
    <row r="38" spans="1:7">
      <c r="A38" s="53">
        <v>45852</v>
      </c>
      <c r="B38" t="s">
        <v>75</v>
      </c>
      <c r="C38" t="s">
        <v>11</v>
      </c>
      <c r="D38" t="str">
        <f t="shared" si="0"/>
        <v>Rotacionado Cipó PretoVaca14/07/2025</v>
      </c>
      <c r="E38">
        <v>2</v>
      </c>
      <c r="G38" s="53" t="str">
        <f t="shared" si="1"/>
        <v>45852Rotacionado Cipó Preto</v>
      </c>
    </row>
    <row r="39" spans="1:7" ht="15" customHeight="1">
      <c r="A39" s="53">
        <v>45852</v>
      </c>
      <c r="B39" t="s">
        <v>78</v>
      </c>
      <c r="C39" t="s">
        <v>13</v>
      </c>
      <c r="D39" t="str">
        <f t="shared" si="0"/>
        <v>Timbó 2Novilha14/07/2025</v>
      </c>
      <c r="E39">
        <v>56</v>
      </c>
      <c r="G39" s="53" t="str">
        <f t="shared" si="1"/>
        <v>45852Timbó 2</v>
      </c>
    </row>
    <row r="40" spans="1:7">
      <c r="A40" s="53">
        <v>45852</v>
      </c>
      <c r="B40" t="s">
        <v>83</v>
      </c>
      <c r="C40" s="17" t="s">
        <v>9</v>
      </c>
      <c r="D40" t="str">
        <f t="shared" si="0"/>
        <v>MangasVaca Parida14/07/2025</v>
      </c>
      <c r="E40">
        <v>40</v>
      </c>
      <c r="G40" s="53" t="str">
        <f t="shared" si="1"/>
        <v>45852Mangas</v>
      </c>
    </row>
    <row r="41" spans="1:7">
      <c r="A41" s="53">
        <v>45852</v>
      </c>
      <c r="B41" t="s">
        <v>83</v>
      </c>
      <c r="C41" t="s">
        <v>11</v>
      </c>
      <c r="D41" t="str">
        <f t="shared" si="0"/>
        <v>MangasVaca14/07/2025</v>
      </c>
      <c r="E41">
        <v>4</v>
      </c>
      <c r="G41" s="53" t="str">
        <f t="shared" si="1"/>
        <v>45852Mangas</v>
      </c>
    </row>
    <row r="42" spans="1:7">
      <c r="A42" s="53">
        <v>45852</v>
      </c>
      <c r="B42" t="s">
        <v>92</v>
      </c>
      <c r="C42" t="s">
        <v>11</v>
      </c>
      <c r="D42" t="str">
        <f>B42&amp;C42&amp;TEXT(A43,"dd/mm/aaaa")</f>
        <v>BoqueirãoVaca14/07/2025</v>
      </c>
      <c r="E42">
        <v>71</v>
      </c>
      <c r="G42" s="53" t="str">
        <f t="shared" si="1"/>
        <v>45852Boqueirão</v>
      </c>
    </row>
    <row r="43" spans="1:7">
      <c r="A43" s="53">
        <v>45852</v>
      </c>
      <c r="B43" t="s">
        <v>93</v>
      </c>
      <c r="C43" t="s">
        <v>11</v>
      </c>
      <c r="D43" t="str">
        <f>B43&amp;C43&amp;TEXT(A44,"dd/mm/aaaa")</f>
        <v>Reserva Boqueirão Vaca14/07/2025</v>
      </c>
      <c r="E43">
        <v>284</v>
      </c>
      <c r="G43" s="53" t="str">
        <f t="shared" si="1"/>
        <v xml:space="preserve">45852Reserva Boqueirão </v>
      </c>
    </row>
    <row r="44" spans="1:7" ht="15" customHeight="1">
      <c r="A44" s="53">
        <v>45852</v>
      </c>
      <c r="B44" t="s">
        <v>90</v>
      </c>
      <c r="C44" t="s">
        <v>13</v>
      </c>
      <c r="D44" t="str">
        <f>B44&amp;C44&amp;TEXT(A45,"dd/mm/aaaa")</f>
        <v>Caixa D'água RetiroNovilha21/07/2025</v>
      </c>
      <c r="E44">
        <v>366</v>
      </c>
      <c r="G44" s="53" t="str">
        <f t="shared" si="1"/>
        <v>45852Caixa D'água Retiro</v>
      </c>
    </row>
    <row r="45" spans="1:7">
      <c r="A45" s="53">
        <v>45859</v>
      </c>
      <c r="B45" t="s">
        <v>40</v>
      </c>
      <c r="C45" s="17" t="s">
        <v>9</v>
      </c>
      <c r="D45" t="str">
        <f>B45&amp;C45&amp;TEXT(A47,"dd/mm/aaaa")</f>
        <v>Rotacionado EntradaVaca Parida21/07/2025</v>
      </c>
      <c r="E45">
        <v>189</v>
      </c>
      <c r="G45" s="53" t="str">
        <f t="shared" si="1"/>
        <v>45859Rotacionado Entrada</v>
      </c>
    </row>
    <row r="46" spans="1:7">
      <c r="A46" s="53">
        <v>45859</v>
      </c>
      <c r="B46" t="s">
        <v>40</v>
      </c>
      <c r="C46" t="s">
        <v>11</v>
      </c>
      <c r="D46" t="str">
        <f>B46&amp;C46&amp;TEXT(A48,"dd/mm/aaaa")</f>
        <v>Rotacionado EntradaVaca21/07/2025</v>
      </c>
      <c r="E46">
        <v>15</v>
      </c>
      <c r="G46" s="53" t="str">
        <f t="shared" si="1"/>
        <v>45859Rotacionado Entrada</v>
      </c>
    </row>
    <row r="47" spans="1:7">
      <c r="A47" s="53">
        <v>45859</v>
      </c>
      <c r="B47" t="s">
        <v>40</v>
      </c>
      <c r="C47" t="s">
        <v>19</v>
      </c>
      <c r="D47" t="str">
        <f>B47&amp;C47&amp;TEXT(A48,"dd/mm/aaaa")</f>
        <v>Rotacionado EntradaTouro21/07/2025</v>
      </c>
      <c r="E47">
        <v>35</v>
      </c>
      <c r="G47" s="53" t="str">
        <f t="shared" si="1"/>
        <v>45859Rotacionado Entrada</v>
      </c>
    </row>
    <row r="48" spans="1:7" ht="15" customHeight="1">
      <c r="A48" s="53">
        <v>45859</v>
      </c>
      <c r="B48" t="s">
        <v>48</v>
      </c>
      <c r="C48" t="s">
        <v>11</v>
      </c>
      <c r="D48" t="str">
        <f>B48&amp;C48&amp;TEXT(A50,"dd/mm/aaaa")</f>
        <v>MatinhaVaca21/07/2025</v>
      </c>
      <c r="E48">
        <v>2</v>
      </c>
      <c r="G48" s="53" t="str">
        <f t="shared" si="1"/>
        <v>45859Matinha</v>
      </c>
    </row>
    <row r="49" spans="1:7">
      <c r="A49" s="53">
        <v>45859</v>
      </c>
      <c r="B49" t="s">
        <v>48</v>
      </c>
      <c r="C49" s="17" t="s">
        <v>9</v>
      </c>
      <c r="D49" t="str">
        <f>B49&amp;C49&amp;TEXT(A51,"dd/mm/aaaa")</f>
        <v>MatinhaVaca Parida21/07/2025</v>
      </c>
      <c r="E49">
        <v>2</v>
      </c>
      <c r="G49" s="53" t="str">
        <f t="shared" si="1"/>
        <v>45859Matinha</v>
      </c>
    </row>
    <row r="50" spans="1:7">
      <c r="A50" s="53">
        <v>45859</v>
      </c>
      <c r="B50" t="s">
        <v>48</v>
      </c>
      <c r="C50" t="s">
        <v>13</v>
      </c>
      <c r="D50" t="str">
        <f t="shared" ref="D50:D84" si="2">B50&amp;C50&amp;TEXT(A51,"dd/mm/aaaa")</f>
        <v>MatinhaNovilha21/07/2025</v>
      </c>
      <c r="E50">
        <v>1</v>
      </c>
      <c r="G50" s="53" t="str">
        <f t="shared" si="1"/>
        <v>45859Matinha</v>
      </c>
    </row>
    <row r="51" spans="1:7" ht="15" customHeight="1">
      <c r="A51" s="53">
        <v>45859</v>
      </c>
      <c r="B51" t="s">
        <v>53</v>
      </c>
      <c r="C51" t="s">
        <v>21</v>
      </c>
      <c r="D51" t="str">
        <f t="shared" si="2"/>
        <v>Vila 2Tropa21/07/2025</v>
      </c>
      <c r="E51">
        <v>6</v>
      </c>
      <c r="G51" s="53" t="str">
        <f t="shared" si="1"/>
        <v>45859Vila 2</v>
      </c>
    </row>
    <row r="52" spans="1:7">
      <c r="A52" s="53">
        <v>45859</v>
      </c>
      <c r="B52" t="s">
        <v>61</v>
      </c>
      <c r="C52" s="17" t="s">
        <v>9</v>
      </c>
      <c r="D52" t="str">
        <f t="shared" si="2"/>
        <v>Rotacionado Caixa d'ÁguaVaca Parida21/07/2025</v>
      </c>
      <c r="E52">
        <v>4</v>
      </c>
      <c r="G52" s="53" t="str">
        <f t="shared" si="1"/>
        <v>45859Rotacionado Caixa d'Água</v>
      </c>
    </row>
    <row r="53" spans="1:7">
      <c r="A53" s="53">
        <v>45859</v>
      </c>
      <c r="B53" t="s">
        <v>61</v>
      </c>
      <c r="C53" t="s">
        <v>11</v>
      </c>
      <c r="D53" t="str">
        <f t="shared" si="2"/>
        <v>Rotacionado Caixa d'ÁguaVaca21/07/2025</v>
      </c>
      <c r="E53">
        <v>1</v>
      </c>
      <c r="G53" s="53" t="str">
        <f t="shared" si="1"/>
        <v>45859Rotacionado Caixa d'Água</v>
      </c>
    </row>
    <row r="54" spans="1:7">
      <c r="A54" s="53">
        <v>45859</v>
      </c>
      <c r="B54" t="s">
        <v>61</v>
      </c>
      <c r="C54" t="s">
        <v>19</v>
      </c>
      <c r="D54" t="str">
        <f t="shared" si="2"/>
        <v>Rotacionado Caixa d'ÁguaTouro21/07/2025</v>
      </c>
      <c r="E54">
        <v>4</v>
      </c>
      <c r="G54" s="53" t="str">
        <f t="shared" si="1"/>
        <v>45859Rotacionado Caixa d'Água</v>
      </c>
    </row>
    <row r="55" spans="1:7">
      <c r="A55" s="53">
        <v>45859</v>
      </c>
      <c r="B55" t="s">
        <v>70</v>
      </c>
      <c r="C55" t="s">
        <v>100</v>
      </c>
      <c r="D55" t="str">
        <f t="shared" si="2"/>
        <v>Barriguda 1Bez. Desm21/07/2025</v>
      </c>
      <c r="E55">
        <v>173</v>
      </c>
      <c r="G55" s="53" t="str">
        <f t="shared" si="1"/>
        <v>45859Barriguda 1</v>
      </c>
    </row>
    <row r="56" spans="1:7">
      <c r="A56" s="53">
        <v>45859</v>
      </c>
      <c r="B56" t="s">
        <v>70</v>
      </c>
      <c r="C56" t="s">
        <v>13</v>
      </c>
      <c r="D56" t="str">
        <f t="shared" si="2"/>
        <v>Barriguda 1Novilha21/07/2025</v>
      </c>
      <c r="E56">
        <v>2</v>
      </c>
      <c r="G56" s="53" t="str">
        <f t="shared" si="1"/>
        <v>45859Barriguda 1</v>
      </c>
    </row>
    <row r="57" spans="1:7">
      <c r="A57" s="53">
        <v>45859</v>
      </c>
      <c r="B57" t="s">
        <v>80</v>
      </c>
      <c r="C57" t="s">
        <v>21</v>
      </c>
      <c r="D57" t="str">
        <f t="shared" si="2"/>
        <v>PiatãTropa21/07/2025</v>
      </c>
      <c r="E57">
        <v>2</v>
      </c>
      <c r="G57" s="53" t="str">
        <f t="shared" si="1"/>
        <v>45859Piatã</v>
      </c>
    </row>
    <row r="58" spans="1:7">
      <c r="A58" s="53">
        <v>45859</v>
      </c>
      <c r="B58" t="s">
        <v>81</v>
      </c>
      <c r="C58" t="s">
        <v>13</v>
      </c>
      <c r="D58" t="str">
        <f t="shared" si="2"/>
        <v>Pasto dos IpêsNovilha21/07/2025</v>
      </c>
      <c r="E58">
        <v>6</v>
      </c>
      <c r="G58" s="53" t="str">
        <f t="shared" si="1"/>
        <v>45859Pasto dos Ipês</v>
      </c>
    </row>
    <row r="59" spans="1:7">
      <c r="A59" s="53">
        <v>45859</v>
      </c>
      <c r="B59" t="s">
        <v>75</v>
      </c>
      <c r="C59" t="s">
        <v>13</v>
      </c>
      <c r="D59" t="str">
        <f t="shared" si="2"/>
        <v>Rotacionado Cipó PretoNovilha21/07/2025</v>
      </c>
      <c r="E59">
        <v>314</v>
      </c>
      <c r="G59" s="53" t="str">
        <f t="shared" si="1"/>
        <v>45859Rotacionado Cipó Preto</v>
      </c>
    </row>
    <row r="60" spans="1:7">
      <c r="A60" s="53">
        <v>45859</v>
      </c>
      <c r="B60" t="s">
        <v>75</v>
      </c>
      <c r="C60" t="s">
        <v>11</v>
      </c>
      <c r="D60" t="str">
        <f t="shared" si="2"/>
        <v>Rotacionado Cipó PretoVaca21/07/2025</v>
      </c>
      <c r="E60">
        <v>1</v>
      </c>
      <c r="G60" s="53" t="str">
        <f t="shared" si="1"/>
        <v>45859Rotacionado Cipó Preto</v>
      </c>
    </row>
    <row r="61" spans="1:7">
      <c r="A61" s="53">
        <v>45859</v>
      </c>
      <c r="B61" t="s">
        <v>90</v>
      </c>
      <c r="C61" t="s">
        <v>11</v>
      </c>
      <c r="D61" t="str">
        <f t="shared" si="2"/>
        <v>Caixa D'água RetiroVaca21/07/2025</v>
      </c>
      <c r="E61">
        <v>134</v>
      </c>
      <c r="G61" s="53" t="str">
        <f t="shared" si="1"/>
        <v>45859Caixa D'água Retiro</v>
      </c>
    </row>
    <row r="62" spans="1:7">
      <c r="A62" s="53">
        <v>45859</v>
      </c>
      <c r="B62" t="s">
        <v>90</v>
      </c>
      <c r="C62" t="s">
        <v>13</v>
      </c>
      <c r="D62" t="str">
        <f t="shared" si="2"/>
        <v>Caixa D'água RetiroNovilha21/07/2025</v>
      </c>
      <c r="E62">
        <v>2</v>
      </c>
      <c r="G62" s="53" t="str">
        <f t="shared" si="1"/>
        <v>45859Caixa D'água Retiro</v>
      </c>
    </row>
    <row r="63" spans="1:7">
      <c r="A63" s="53">
        <v>45859</v>
      </c>
      <c r="B63" t="s">
        <v>93</v>
      </c>
      <c r="C63" t="s">
        <v>13</v>
      </c>
      <c r="D63" t="str">
        <f t="shared" si="2"/>
        <v>Reserva Boqueirão Novilha21/07/2025</v>
      </c>
      <c r="E63">
        <v>560</v>
      </c>
      <c r="G63" s="53" t="str">
        <f t="shared" si="1"/>
        <v xml:space="preserve">45859Reserva Boqueirão </v>
      </c>
    </row>
    <row r="64" spans="1:7">
      <c r="A64" s="53">
        <v>45859</v>
      </c>
      <c r="B64" t="s">
        <v>83</v>
      </c>
      <c r="C64" t="s">
        <v>11</v>
      </c>
      <c r="D64" t="str">
        <f t="shared" si="2"/>
        <v>MangasVaca21/07/2025</v>
      </c>
      <c r="E64">
        <v>377</v>
      </c>
      <c r="G64" s="53" t="str">
        <f t="shared" si="1"/>
        <v>45859Mangas</v>
      </c>
    </row>
    <row r="65" spans="1:7">
      <c r="A65" s="53">
        <v>45859</v>
      </c>
      <c r="B65" t="s">
        <v>83</v>
      </c>
      <c r="C65" t="s">
        <v>100</v>
      </c>
      <c r="D65" t="str">
        <f t="shared" si="2"/>
        <v>MangasBez. Desm04/08/2025</v>
      </c>
      <c r="E65">
        <v>1</v>
      </c>
      <c r="G65" s="53" t="str">
        <f t="shared" si="1"/>
        <v>45859Mangas</v>
      </c>
    </row>
    <row r="66" spans="1:7">
      <c r="A66" s="53">
        <v>45873</v>
      </c>
      <c r="B66" t="s">
        <v>61</v>
      </c>
      <c r="C66" t="s">
        <v>19</v>
      </c>
      <c r="D66" t="str">
        <f t="shared" si="2"/>
        <v>Rotacionado Caixa d'ÁguaTouro04/08/2025</v>
      </c>
      <c r="E66">
        <v>34</v>
      </c>
      <c r="G66" s="53" t="str">
        <f t="shared" ref="G66:G129" si="3">A66&amp;B66</f>
        <v>45873Rotacionado Caixa d'Água</v>
      </c>
    </row>
    <row r="67" spans="1:7">
      <c r="A67" s="53">
        <v>45873</v>
      </c>
      <c r="B67" t="s">
        <v>73</v>
      </c>
      <c r="C67" t="s">
        <v>19</v>
      </c>
      <c r="D67" t="str">
        <f t="shared" si="2"/>
        <v>Piquetes da MataTouro04/08/2025</v>
      </c>
      <c r="E67">
        <v>2</v>
      </c>
      <c r="G67" s="53" t="str">
        <f t="shared" si="3"/>
        <v>45873Piquetes da Mata</v>
      </c>
    </row>
    <row r="68" spans="1:7">
      <c r="A68" s="53">
        <v>45873</v>
      </c>
      <c r="B68" t="s">
        <v>80</v>
      </c>
      <c r="C68" t="s">
        <v>19</v>
      </c>
      <c r="D68" t="str">
        <f t="shared" si="2"/>
        <v>PiatãTouro04/08/2025</v>
      </c>
      <c r="E68">
        <v>2</v>
      </c>
      <c r="G68" s="53" t="str">
        <f t="shared" si="3"/>
        <v>45873Piatã</v>
      </c>
    </row>
    <row r="69" spans="1:7">
      <c r="A69" s="53">
        <v>45873</v>
      </c>
      <c r="B69" t="s">
        <v>40</v>
      </c>
      <c r="C69" t="s">
        <v>11</v>
      </c>
      <c r="D69" t="str">
        <f t="shared" si="2"/>
        <v>Rotacionado EntradaVaca04/08/2025</v>
      </c>
      <c r="E69">
        <v>103</v>
      </c>
      <c r="G69" s="53" t="str">
        <f t="shared" si="3"/>
        <v>45873Rotacionado Entrada</v>
      </c>
    </row>
    <row r="70" spans="1:7">
      <c r="A70" s="53">
        <v>45873</v>
      </c>
      <c r="B70" t="s">
        <v>61</v>
      </c>
      <c r="C70" t="s">
        <v>11</v>
      </c>
      <c r="D70" t="str">
        <f t="shared" si="2"/>
        <v>Rotacionado Caixa d'ÁguaVaca04/08/2025</v>
      </c>
      <c r="E70">
        <v>19</v>
      </c>
      <c r="G70" s="53" t="str">
        <f t="shared" si="3"/>
        <v>45873Rotacionado Caixa d'Água</v>
      </c>
    </row>
    <row r="71" spans="1:7">
      <c r="A71" s="53">
        <v>45873</v>
      </c>
      <c r="B71" t="s">
        <v>64</v>
      </c>
      <c r="C71" t="s">
        <v>11</v>
      </c>
      <c r="D71" t="str">
        <f t="shared" si="2"/>
        <v>Rotacionado MacaúbaVaca04/08/2025</v>
      </c>
      <c r="E71">
        <v>4</v>
      </c>
      <c r="G71" s="53" t="str">
        <f t="shared" si="3"/>
        <v>45873Rotacionado Macaúba</v>
      </c>
    </row>
    <row r="72" spans="1:7">
      <c r="A72" s="53">
        <v>45873</v>
      </c>
      <c r="B72" t="s">
        <v>83</v>
      </c>
      <c r="C72" t="s">
        <v>11</v>
      </c>
      <c r="D72" t="str">
        <f t="shared" si="2"/>
        <v>MangasVaca04/08/2025</v>
      </c>
      <c r="E72">
        <v>48</v>
      </c>
      <c r="G72" s="53" t="str">
        <f t="shared" si="3"/>
        <v>45873Mangas</v>
      </c>
    </row>
    <row r="73" spans="1:7">
      <c r="A73" s="53">
        <v>45873</v>
      </c>
      <c r="B73" t="s">
        <v>92</v>
      </c>
      <c r="C73" t="s">
        <v>11</v>
      </c>
      <c r="D73" t="str">
        <f t="shared" si="2"/>
        <v>BoqueirãoVaca04/08/2025</v>
      </c>
      <c r="E73">
        <v>95</v>
      </c>
      <c r="G73" s="53" t="str">
        <f t="shared" si="3"/>
        <v>45873Boqueirão</v>
      </c>
    </row>
    <row r="74" spans="1:7">
      <c r="A74" s="53">
        <v>45873</v>
      </c>
      <c r="B74" t="s">
        <v>93</v>
      </c>
      <c r="C74" t="s">
        <v>11</v>
      </c>
      <c r="D74" t="str">
        <f t="shared" si="2"/>
        <v>Reserva Boqueirão Vaca04/08/2025</v>
      </c>
      <c r="E74">
        <v>318</v>
      </c>
      <c r="G74" s="53" t="str">
        <f t="shared" si="3"/>
        <v xml:space="preserve">45873Reserva Boqueirão </v>
      </c>
    </row>
    <row r="75" spans="1:7">
      <c r="A75" s="53">
        <v>45873</v>
      </c>
      <c r="B75" t="s">
        <v>75</v>
      </c>
      <c r="C75" t="s">
        <v>13</v>
      </c>
      <c r="D75" t="str">
        <f t="shared" si="2"/>
        <v>Rotacionado Cipó PretoNovilha04/08/2025</v>
      </c>
      <c r="E75">
        <v>307</v>
      </c>
      <c r="G75" s="53" t="str">
        <f t="shared" si="3"/>
        <v>45873Rotacionado Cipó Preto</v>
      </c>
    </row>
    <row r="76" spans="1:7">
      <c r="A76" s="53">
        <v>45873</v>
      </c>
      <c r="B76" t="s">
        <v>77</v>
      </c>
      <c r="C76" t="s">
        <v>13</v>
      </c>
      <c r="D76" t="str">
        <f t="shared" si="2"/>
        <v>Timbó 1Novilha04/08/2025</v>
      </c>
      <c r="E76">
        <v>54</v>
      </c>
      <c r="G76" s="53" t="str">
        <f t="shared" si="3"/>
        <v>45873Timbó 1</v>
      </c>
    </row>
    <row r="77" spans="1:7">
      <c r="A77" s="53">
        <v>45873</v>
      </c>
      <c r="B77" t="s">
        <v>80</v>
      </c>
      <c r="C77" t="s">
        <v>13</v>
      </c>
      <c r="D77" t="str">
        <f t="shared" si="2"/>
        <v>PiatãNovilha04/08/2025</v>
      </c>
      <c r="E77">
        <v>175</v>
      </c>
      <c r="G77" s="53" t="str">
        <f t="shared" si="3"/>
        <v>45873Piatã</v>
      </c>
    </row>
    <row r="78" spans="1:7">
      <c r="A78" s="53">
        <v>45873</v>
      </c>
      <c r="B78" t="s">
        <v>90</v>
      </c>
      <c r="C78" t="s">
        <v>13</v>
      </c>
      <c r="D78" t="str">
        <f t="shared" si="2"/>
        <v>Caixa D'água RetiroNovilha04/08/2025</v>
      </c>
      <c r="E78">
        <v>373</v>
      </c>
      <c r="G78" s="53" t="str">
        <f t="shared" si="3"/>
        <v>45873Caixa D'água Retiro</v>
      </c>
    </row>
    <row r="79" spans="1:7">
      <c r="A79" s="53">
        <v>45873</v>
      </c>
      <c r="B79" t="s">
        <v>40</v>
      </c>
      <c r="C79" t="s">
        <v>27</v>
      </c>
      <c r="D79" t="str">
        <f t="shared" si="2"/>
        <v>Rotacionado EntradaBez(O/A)04/08/2025</v>
      </c>
      <c r="E79">
        <v>21</v>
      </c>
      <c r="G79" s="53" t="str">
        <f t="shared" si="3"/>
        <v>45873Rotacionado Entrada</v>
      </c>
    </row>
    <row r="80" spans="1:7">
      <c r="A80" s="53">
        <v>45873</v>
      </c>
      <c r="B80" t="s">
        <v>61</v>
      </c>
      <c r="C80" t="s">
        <v>27</v>
      </c>
      <c r="D80" t="str">
        <f t="shared" si="2"/>
        <v>Rotacionado Caixa d'ÁguaBez(O/A)04/08/2025</v>
      </c>
      <c r="E80">
        <v>9</v>
      </c>
      <c r="G80" s="53" t="str">
        <f t="shared" si="3"/>
        <v>45873Rotacionado Caixa d'Água</v>
      </c>
    </row>
    <row r="81" spans="1:7">
      <c r="A81" s="53">
        <v>45873</v>
      </c>
      <c r="B81" t="s">
        <v>73</v>
      </c>
      <c r="C81" t="s">
        <v>27</v>
      </c>
      <c r="D81" t="str">
        <f t="shared" si="2"/>
        <v>Piquetes da MataBez(O/A)04/08/2025</v>
      </c>
      <c r="E81">
        <v>153</v>
      </c>
      <c r="G81" s="53" t="str">
        <f t="shared" si="3"/>
        <v>45873Piquetes da Mata</v>
      </c>
    </row>
    <row r="82" spans="1:7">
      <c r="A82" s="53">
        <v>45873</v>
      </c>
      <c r="B82" t="s">
        <v>77</v>
      </c>
      <c r="C82" t="s">
        <v>27</v>
      </c>
      <c r="D82" t="str">
        <f t="shared" si="2"/>
        <v>Timbó 1Bez(O/A)04/08/2025</v>
      </c>
      <c r="E82">
        <v>6</v>
      </c>
      <c r="G82" s="53" t="str">
        <f t="shared" si="3"/>
        <v>45873Timbó 1</v>
      </c>
    </row>
    <row r="83" spans="1:7">
      <c r="A83" s="53">
        <v>45873</v>
      </c>
      <c r="B83" t="s">
        <v>83</v>
      </c>
      <c r="C83" t="s">
        <v>27</v>
      </c>
      <c r="D83" t="str">
        <f t="shared" si="2"/>
        <v>MangasBez(O/A)04/08/2025</v>
      </c>
      <c r="E83">
        <v>46</v>
      </c>
      <c r="G83" s="53" t="str">
        <f t="shared" si="3"/>
        <v>45873Mangas</v>
      </c>
    </row>
    <row r="84" spans="1:7">
      <c r="A84" s="53">
        <v>45873</v>
      </c>
      <c r="B84" t="s">
        <v>95</v>
      </c>
      <c r="C84" t="s">
        <v>11</v>
      </c>
      <c r="D84" t="str">
        <f t="shared" si="2"/>
        <v>Confinamento Vaca04/08/2025</v>
      </c>
      <c r="E84">
        <v>129</v>
      </c>
      <c r="G84" s="53" t="str">
        <f t="shared" si="3"/>
        <v xml:space="preserve">45873Confinamento </v>
      </c>
    </row>
    <row r="85" spans="1:7">
      <c r="A85" s="53">
        <v>45873</v>
      </c>
      <c r="B85" t="s">
        <v>95</v>
      </c>
      <c r="C85" t="s">
        <v>19</v>
      </c>
      <c r="D85" t="str">
        <f t="shared" ref="D85:D116" si="4">B85&amp;C85&amp;TEXT(A85,"dd/mm/aaaa")</f>
        <v>Confinamento Touro04/08/2025</v>
      </c>
      <c r="E85">
        <v>3</v>
      </c>
      <c r="G85" s="53" t="str">
        <f t="shared" si="3"/>
        <v xml:space="preserve">45873Confinamento </v>
      </c>
    </row>
    <row r="86" spans="1:7">
      <c r="A86" s="53">
        <v>45915</v>
      </c>
      <c r="B86" t="s">
        <v>40</v>
      </c>
      <c r="C86" t="s">
        <v>11</v>
      </c>
      <c r="D86" t="str">
        <f t="shared" si="4"/>
        <v>Rotacionado EntradaVaca15/09/2025</v>
      </c>
      <c r="E86">
        <v>235</v>
      </c>
      <c r="G86" s="53" t="str">
        <f t="shared" si="3"/>
        <v>45915Rotacionado Entrada</v>
      </c>
    </row>
    <row r="87" spans="1:7">
      <c r="A87" s="53">
        <v>45915</v>
      </c>
      <c r="B87" t="s">
        <v>40</v>
      </c>
      <c r="C87" t="s">
        <v>27</v>
      </c>
      <c r="D87" t="str">
        <f t="shared" si="4"/>
        <v>Rotacionado EntradaBez(O/A)15/09/2025</v>
      </c>
      <c r="E87">
        <v>49</v>
      </c>
      <c r="G87" s="53" t="str">
        <f t="shared" si="3"/>
        <v>45915Rotacionado Entrada</v>
      </c>
    </row>
    <row r="88" spans="1:7">
      <c r="A88" s="53">
        <v>45915</v>
      </c>
      <c r="B88" t="s">
        <v>95</v>
      </c>
      <c r="C88" t="s">
        <v>19</v>
      </c>
      <c r="D88" t="str">
        <f t="shared" si="4"/>
        <v>Confinamento Touro15/09/2025</v>
      </c>
      <c r="E88">
        <v>38</v>
      </c>
      <c r="G88" s="53" t="str">
        <f t="shared" si="3"/>
        <v xml:space="preserve">45915Confinamento </v>
      </c>
    </row>
    <row r="89" spans="1:7">
      <c r="A89" s="53">
        <v>45915</v>
      </c>
      <c r="B89" t="s">
        <v>95</v>
      </c>
      <c r="C89" t="s">
        <v>13</v>
      </c>
      <c r="D89" t="str">
        <f t="shared" si="4"/>
        <v>Confinamento Novilha15/09/2025</v>
      </c>
      <c r="E89">
        <v>90</v>
      </c>
      <c r="G89" s="53" t="str">
        <f t="shared" si="3"/>
        <v xml:space="preserve">45915Confinamento </v>
      </c>
    </row>
    <row r="90" spans="1:7">
      <c r="A90" s="53">
        <v>45915</v>
      </c>
      <c r="B90" t="s">
        <v>95</v>
      </c>
      <c r="C90" t="s">
        <v>11</v>
      </c>
      <c r="D90" t="str">
        <f t="shared" si="4"/>
        <v>Confinamento Vaca15/09/2025</v>
      </c>
      <c r="E90">
        <v>62</v>
      </c>
      <c r="G90" s="53" t="str">
        <f t="shared" si="3"/>
        <v xml:space="preserve">45915Confinamento </v>
      </c>
    </row>
    <row r="91" spans="1:7">
      <c r="A91" s="53">
        <v>45915</v>
      </c>
      <c r="B91" t="s">
        <v>61</v>
      </c>
      <c r="C91" t="s">
        <v>11</v>
      </c>
      <c r="D91" t="str">
        <f t="shared" si="4"/>
        <v>Rotacionado Caixa d'ÁguaVaca15/09/2025</v>
      </c>
      <c r="E91">
        <v>29</v>
      </c>
      <c r="G91" s="53" t="str">
        <f t="shared" si="3"/>
        <v>45915Rotacionado Caixa d'Água</v>
      </c>
    </row>
    <row r="92" spans="1:7">
      <c r="A92" s="53">
        <v>45915</v>
      </c>
      <c r="B92" t="s">
        <v>61</v>
      </c>
      <c r="C92" t="s">
        <v>13</v>
      </c>
      <c r="D92" t="str">
        <f t="shared" si="4"/>
        <v>Rotacionado Caixa d'ÁguaNovilha15/09/2025</v>
      </c>
      <c r="E92">
        <v>40</v>
      </c>
      <c r="G92" s="53" t="str">
        <f t="shared" si="3"/>
        <v>45915Rotacionado Caixa d'Água</v>
      </c>
    </row>
    <row r="93" spans="1:7">
      <c r="A93" s="53">
        <v>45915</v>
      </c>
      <c r="B93" t="s">
        <v>61</v>
      </c>
      <c r="C93" t="s">
        <v>27</v>
      </c>
      <c r="D93" t="str">
        <f t="shared" si="4"/>
        <v>Rotacionado Caixa d'ÁguaBez(O/A)15/09/2025</v>
      </c>
      <c r="E93">
        <v>29</v>
      </c>
      <c r="G93" s="53" t="str">
        <f t="shared" si="3"/>
        <v>45915Rotacionado Caixa d'Água</v>
      </c>
    </row>
    <row r="94" spans="1:7">
      <c r="A94" s="53">
        <v>45915</v>
      </c>
      <c r="B94" t="s">
        <v>64</v>
      </c>
      <c r="C94" t="s">
        <v>11</v>
      </c>
      <c r="D94" t="str">
        <f t="shared" si="4"/>
        <v>Rotacionado MacaúbaVaca15/09/2025</v>
      </c>
      <c r="E94">
        <v>6</v>
      </c>
      <c r="G94" s="53" t="str">
        <f t="shared" si="3"/>
        <v>45915Rotacionado Macaúba</v>
      </c>
    </row>
    <row r="95" spans="1:7">
      <c r="A95" s="53">
        <v>45915</v>
      </c>
      <c r="B95" t="s">
        <v>64</v>
      </c>
      <c r="C95" t="s">
        <v>27</v>
      </c>
      <c r="D95" t="str">
        <f t="shared" si="4"/>
        <v>Rotacionado MacaúbaBez(O/A)15/09/2025</v>
      </c>
      <c r="E95">
        <v>6</v>
      </c>
      <c r="G95" s="53" t="str">
        <f t="shared" si="3"/>
        <v>45915Rotacionado Macaúba</v>
      </c>
    </row>
    <row r="96" spans="1:7">
      <c r="A96" s="53">
        <v>45915</v>
      </c>
      <c r="B96" t="s">
        <v>64</v>
      </c>
      <c r="C96" t="s">
        <v>11</v>
      </c>
      <c r="D96" t="str">
        <f t="shared" si="4"/>
        <v>Rotacionado MacaúbaVaca15/09/2025</v>
      </c>
      <c r="E96">
        <v>7</v>
      </c>
      <c r="G96" s="53" t="str">
        <f t="shared" si="3"/>
        <v>45915Rotacionado Macaúba</v>
      </c>
    </row>
    <row r="97" spans="1:7">
      <c r="A97" s="53">
        <v>45915</v>
      </c>
      <c r="B97" t="s">
        <v>71</v>
      </c>
      <c r="C97" t="s">
        <v>27</v>
      </c>
      <c r="D97" t="str">
        <f t="shared" si="4"/>
        <v>Barriguda 2Bez(O/A)15/09/2025</v>
      </c>
      <c r="E97">
        <v>165</v>
      </c>
      <c r="G97" s="53" t="str">
        <f t="shared" si="3"/>
        <v>45915Barriguda 2</v>
      </c>
    </row>
    <row r="98" spans="1:7">
      <c r="A98" s="53">
        <v>45915</v>
      </c>
      <c r="B98" t="s">
        <v>73</v>
      </c>
      <c r="C98" t="s">
        <v>11</v>
      </c>
      <c r="D98" t="str">
        <f t="shared" si="4"/>
        <v>Piquetes da MataVaca15/09/2025</v>
      </c>
      <c r="E98">
        <v>340</v>
      </c>
      <c r="G98" s="53" t="str">
        <f t="shared" si="3"/>
        <v>45915Piquetes da Mata</v>
      </c>
    </row>
    <row r="99" spans="1:7">
      <c r="A99" s="53">
        <v>45915</v>
      </c>
      <c r="B99" t="s">
        <v>73</v>
      </c>
      <c r="C99" t="s">
        <v>27</v>
      </c>
      <c r="D99" t="str">
        <f t="shared" si="4"/>
        <v>Piquetes da MataBez(O/A)15/09/2025</v>
      </c>
      <c r="E99">
        <v>38</v>
      </c>
      <c r="G99" s="53" t="str">
        <f t="shared" si="3"/>
        <v>45915Piquetes da Mata</v>
      </c>
    </row>
    <row r="100" spans="1:7">
      <c r="A100" s="53">
        <v>45915</v>
      </c>
      <c r="B100" t="s">
        <v>77</v>
      </c>
      <c r="C100" t="s">
        <v>11</v>
      </c>
      <c r="D100" t="str">
        <f t="shared" si="4"/>
        <v>Timbó 1Vaca15/09/2025</v>
      </c>
      <c r="E100">
        <v>235</v>
      </c>
      <c r="G100" s="53" t="str">
        <f t="shared" si="3"/>
        <v>45915Timbó 1</v>
      </c>
    </row>
    <row r="101" spans="1:7">
      <c r="A101" s="53">
        <v>45915</v>
      </c>
      <c r="B101" t="s">
        <v>77</v>
      </c>
      <c r="C101" t="s">
        <v>27</v>
      </c>
      <c r="D101" t="str">
        <f t="shared" si="4"/>
        <v>Timbó 1Bez(O/A)15/09/2025</v>
      </c>
      <c r="E101">
        <v>7</v>
      </c>
      <c r="G101" s="53" t="str">
        <f t="shared" si="3"/>
        <v>45915Timbó 1</v>
      </c>
    </row>
    <row r="102" spans="1:7">
      <c r="A102" s="53">
        <v>45922</v>
      </c>
      <c r="B102" t="s">
        <v>40</v>
      </c>
      <c r="C102" t="s">
        <v>11</v>
      </c>
      <c r="D102" t="str">
        <f t="shared" si="4"/>
        <v>Rotacionado EntradaVaca22/09/2025</v>
      </c>
      <c r="E102">
        <v>4</v>
      </c>
      <c r="G102" s="53" t="str">
        <f t="shared" si="3"/>
        <v>45922Rotacionado Entrada</v>
      </c>
    </row>
    <row r="103" spans="1:7">
      <c r="A103" s="53">
        <v>45922</v>
      </c>
      <c r="B103" t="s">
        <v>40</v>
      </c>
      <c r="C103" t="s">
        <v>27</v>
      </c>
      <c r="D103" t="str">
        <f t="shared" si="4"/>
        <v>Rotacionado EntradaBez(O/A)22/09/2025</v>
      </c>
      <c r="E103">
        <v>4</v>
      </c>
      <c r="G103" s="53" t="str">
        <f t="shared" si="3"/>
        <v>45922Rotacionado Entrada</v>
      </c>
    </row>
    <row r="104" spans="1:7">
      <c r="A104" s="53">
        <v>45922</v>
      </c>
      <c r="B104" t="s">
        <v>95</v>
      </c>
      <c r="C104" t="s">
        <v>19</v>
      </c>
      <c r="D104" t="str">
        <f t="shared" si="4"/>
        <v>Confinamento Touro22/09/2025</v>
      </c>
      <c r="E104">
        <v>38</v>
      </c>
      <c r="G104" s="53" t="str">
        <f t="shared" si="3"/>
        <v xml:space="preserve">45922Confinamento </v>
      </c>
    </row>
    <row r="105" spans="1:7">
      <c r="A105" s="53">
        <v>45922</v>
      </c>
      <c r="B105" t="s">
        <v>95</v>
      </c>
      <c r="C105" t="s">
        <v>13</v>
      </c>
      <c r="D105" t="str">
        <f t="shared" si="4"/>
        <v>Confinamento Novilha22/09/2025</v>
      </c>
      <c r="E105">
        <v>40</v>
      </c>
      <c r="G105" s="53" t="str">
        <f t="shared" si="3"/>
        <v xml:space="preserve">45922Confinamento </v>
      </c>
    </row>
    <row r="106" spans="1:7">
      <c r="A106" s="53">
        <v>45922</v>
      </c>
      <c r="B106" t="s">
        <v>95</v>
      </c>
      <c r="C106" t="s">
        <v>11</v>
      </c>
      <c r="D106" t="str">
        <f t="shared" si="4"/>
        <v>Confinamento Vaca22/09/2025</v>
      </c>
      <c r="E106">
        <v>52</v>
      </c>
      <c r="G106" s="53" t="str">
        <f t="shared" si="3"/>
        <v xml:space="preserve">45922Confinamento </v>
      </c>
    </row>
    <row r="107" spans="1:7">
      <c r="A107" s="53">
        <v>45922</v>
      </c>
      <c r="B107" t="s">
        <v>61</v>
      </c>
      <c r="C107" t="s">
        <v>11</v>
      </c>
      <c r="D107" t="str">
        <f t="shared" si="4"/>
        <v>Rotacionado Caixa d'ÁguaVaca22/09/2025</v>
      </c>
      <c r="E107">
        <v>2</v>
      </c>
      <c r="G107" s="53" t="str">
        <f t="shared" si="3"/>
        <v>45922Rotacionado Caixa d'Água</v>
      </c>
    </row>
    <row r="108" spans="1:7">
      <c r="A108" s="53">
        <v>45922</v>
      </c>
      <c r="B108" t="s">
        <v>61</v>
      </c>
      <c r="C108" t="s">
        <v>27</v>
      </c>
      <c r="D108" t="str">
        <f t="shared" si="4"/>
        <v>Rotacionado Caixa d'ÁguaBez(O/A)22/09/2025</v>
      </c>
      <c r="E108">
        <v>1</v>
      </c>
      <c r="G108" s="53" t="str">
        <f t="shared" si="3"/>
        <v>45922Rotacionado Caixa d'Água</v>
      </c>
    </row>
    <row r="109" spans="1:7">
      <c r="A109" s="53">
        <v>45922</v>
      </c>
      <c r="B109" t="s">
        <v>53</v>
      </c>
      <c r="C109" t="s">
        <v>11</v>
      </c>
      <c r="D109" t="str">
        <f t="shared" si="4"/>
        <v>Vila 2Vaca22/09/2025</v>
      </c>
      <c r="E109">
        <v>13</v>
      </c>
      <c r="G109" s="53" t="str">
        <f t="shared" si="3"/>
        <v>45922Vila 2</v>
      </c>
    </row>
    <row r="110" spans="1:7">
      <c r="A110" s="53">
        <v>45922</v>
      </c>
      <c r="B110" t="s">
        <v>53</v>
      </c>
      <c r="C110" t="s">
        <v>27</v>
      </c>
      <c r="D110" t="str">
        <f t="shared" si="4"/>
        <v>Vila 2Bez(O/A)22/09/2025</v>
      </c>
      <c r="E110">
        <v>8</v>
      </c>
      <c r="G110" s="53" t="str">
        <f t="shared" si="3"/>
        <v>45922Vila 2</v>
      </c>
    </row>
    <row r="111" spans="1:7">
      <c r="A111" s="53">
        <v>45922</v>
      </c>
      <c r="B111" t="s">
        <v>71</v>
      </c>
      <c r="C111" t="s">
        <v>27</v>
      </c>
      <c r="D111" t="str">
        <f t="shared" si="4"/>
        <v>Barriguda 2Bez(O/A)22/09/2025</v>
      </c>
      <c r="E111">
        <v>165</v>
      </c>
      <c r="G111" s="53" t="str">
        <f t="shared" si="3"/>
        <v>45922Barriguda 2</v>
      </c>
    </row>
    <row r="112" spans="1:7">
      <c r="A112" s="53">
        <v>45922</v>
      </c>
      <c r="B112" t="s">
        <v>73</v>
      </c>
      <c r="C112" t="s">
        <v>11</v>
      </c>
      <c r="D112" t="str">
        <f t="shared" si="4"/>
        <v>Piquetes da MataVaca22/09/2025</v>
      </c>
      <c r="E112">
        <v>477</v>
      </c>
      <c r="G112" s="53" t="str">
        <f t="shared" si="3"/>
        <v>45922Piquetes da Mata</v>
      </c>
    </row>
    <row r="113" spans="1:7">
      <c r="A113" s="53">
        <v>45922</v>
      </c>
      <c r="B113" t="s">
        <v>73</v>
      </c>
      <c r="C113" t="s">
        <v>11</v>
      </c>
      <c r="D113" t="str">
        <f t="shared" si="4"/>
        <v>Piquetes da MataVaca22/09/2025</v>
      </c>
      <c r="E113">
        <v>42</v>
      </c>
      <c r="G113" s="53" t="str">
        <f t="shared" si="3"/>
        <v>45922Piquetes da Mata</v>
      </c>
    </row>
    <row r="114" spans="1:7">
      <c r="A114" s="53">
        <v>45922</v>
      </c>
      <c r="B114" t="s">
        <v>73</v>
      </c>
      <c r="C114" t="s">
        <v>27</v>
      </c>
      <c r="D114" t="str">
        <f t="shared" si="4"/>
        <v>Piquetes da MataBez(O/A)22/09/2025</v>
      </c>
      <c r="E114">
        <v>42</v>
      </c>
      <c r="G114" s="53" t="str">
        <f t="shared" si="3"/>
        <v>45922Piquetes da Mata</v>
      </c>
    </row>
    <row r="115" spans="1:7">
      <c r="A115" s="53">
        <v>45922</v>
      </c>
      <c r="B115" t="s">
        <v>85</v>
      </c>
      <c r="C115" t="s">
        <v>11</v>
      </c>
      <c r="D115" t="str">
        <f t="shared" si="4"/>
        <v>Cemitério Vaca22/09/2025</v>
      </c>
      <c r="E115">
        <v>151</v>
      </c>
      <c r="G115" s="53" t="str">
        <f t="shared" si="3"/>
        <v xml:space="preserve">45922Cemitério </v>
      </c>
    </row>
    <row r="116" spans="1:7">
      <c r="A116" s="53">
        <v>45922</v>
      </c>
      <c r="B116" t="s">
        <v>85</v>
      </c>
      <c r="C116" t="s">
        <v>27</v>
      </c>
      <c r="D116" t="str">
        <f t="shared" si="4"/>
        <v>Cemitério Bez(O/A)22/09/2025</v>
      </c>
      <c r="E116">
        <v>151</v>
      </c>
      <c r="G116" s="53" t="str">
        <f t="shared" si="3"/>
        <v xml:space="preserve">45922Cemitério </v>
      </c>
    </row>
    <row r="117" spans="1:7">
      <c r="A117" s="53">
        <v>45922</v>
      </c>
      <c r="B117" t="s">
        <v>85</v>
      </c>
      <c r="C117" t="s">
        <v>11</v>
      </c>
      <c r="D117" t="str">
        <f t="shared" ref="D117:D148" si="5">B117&amp;C117&amp;TEXT(A117,"dd/mm/aaaa")</f>
        <v>Cemitério Vaca22/09/2025</v>
      </c>
      <c r="E117">
        <v>153</v>
      </c>
      <c r="G117" s="53" t="str">
        <f t="shared" si="3"/>
        <v xml:space="preserve">45922Cemitério </v>
      </c>
    </row>
    <row r="118" spans="1:7">
      <c r="A118" s="53">
        <v>45922</v>
      </c>
      <c r="B118" t="s">
        <v>83</v>
      </c>
      <c r="C118" t="s">
        <v>11</v>
      </c>
      <c r="D118" t="str">
        <f t="shared" si="5"/>
        <v>MangasVaca22/09/2025</v>
      </c>
      <c r="E118">
        <v>3</v>
      </c>
      <c r="G118" s="53" t="str">
        <f t="shared" si="3"/>
        <v>45922Mangas</v>
      </c>
    </row>
    <row r="119" spans="1:7">
      <c r="A119" s="53">
        <v>45922</v>
      </c>
      <c r="B119" t="s">
        <v>88</v>
      </c>
      <c r="C119" t="s">
        <v>13</v>
      </c>
      <c r="D119" t="str">
        <f t="shared" si="5"/>
        <v>Avenida 2Novilha22/09/2025</v>
      </c>
      <c r="E119">
        <v>61</v>
      </c>
      <c r="G119" s="53" t="str">
        <f t="shared" si="3"/>
        <v>45922Avenida 2</v>
      </c>
    </row>
    <row r="120" spans="1:7">
      <c r="A120" s="53">
        <v>45930</v>
      </c>
      <c r="B120" t="s">
        <v>40</v>
      </c>
      <c r="C120" t="s">
        <v>11</v>
      </c>
      <c r="D120" t="str">
        <f t="shared" si="5"/>
        <v>Rotacionado EntradaVaca30/09/2025</v>
      </c>
      <c r="E120">
        <v>4</v>
      </c>
      <c r="G120" s="53" t="str">
        <f t="shared" si="3"/>
        <v>45930Rotacionado Entrada</v>
      </c>
    </row>
    <row r="121" spans="1:7">
      <c r="A121" s="53">
        <v>45930</v>
      </c>
      <c r="B121" t="s">
        <v>40</v>
      </c>
      <c r="C121" t="s">
        <v>27</v>
      </c>
      <c r="D121" t="str">
        <f t="shared" si="5"/>
        <v>Rotacionado EntradaBez(O/A)30/09/2025</v>
      </c>
      <c r="E121">
        <v>4</v>
      </c>
      <c r="G121" s="53" t="str">
        <f t="shared" si="3"/>
        <v>45930Rotacionado Entrada</v>
      </c>
    </row>
    <row r="122" spans="1:7">
      <c r="A122" s="53">
        <v>45930</v>
      </c>
      <c r="B122" t="s">
        <v>53</v>
      </c>
      <c r="C122" t="s">
        <v>11</v>
      </c>
      <c r="D122" t="str">
        <f t="shared" si="5"/>
        <v>Vila 2Vaca30/09/2025</v>
      </c>
      <c r="E122">
        <v>5</v>
      </c>
      <c r="G122" s="53" t="str">
        <f t="shared" si="3"/>
        <v>45930Vila 2</v>
      </c>
    </row>
    <row r="123" spans="1:7">
      <c r="A123" s="53">
        <v>45930</v>
      </c>
      <c r="B123" t="s">
        <v>51</v>
      </c>
      <c r="C123" t="s">
        <v>11</v>
      </c>
      <c r="D123" t="str">
        <f t="shared" si="5"/>
        <v>Vila 1Vaca30/09/2025</v>
      </c>
      <c r="E123">
        <v>8</v>
      </c>
      <c r="G123" s="53" t="str">
        <f t="shared" si="3"/>
        <v>45930Vila 1</v>
      </c>
    </row>
    <row r="124" spans="1:7">
      <c r="A124" s="53">
        <v>45930</v>
      </c>
      <c r="B124" t="s">
        <v>51</v>
      </c>
      <c r="C124" t="s">
        <v>27</v>
      </c>
      <c r="D124" t="str">
        <f t="shared" si="5"/>
        <v>Vila 1Bez(O/A)30/09/2025</v>
      </c>
      <c r="E124">
        <v>8</v>
      </c>
      <c r="G124" s="53" t="str">
        <f t="shared" si="3"/>
        <v>45930Vila 1</v>
      </c>
    </row>
    <row r="125" spans="1:7">
      <c r="A125" s="53">
        <v>45930</v>
      </c>
      <c r="B125" t="s">
        <v>61</v>
      </c>
      <c r="C125" t="s">
        <v>11</v>
      </c>
      <c r="D125" t="str">
        <f t="shared" si="5"/>
        <v>Rotacionado Caixa d'ÁguaVaca30/09/2025</v>
      </c>
      <c r="E125">
        <v>4</v>
      </c>
      <c r="G125" s="53" t="str">
        <f t="shared" si="3"/>
        <v>45930Rotacionado Caixa d'Água</v>
      </c>
    </row>
    <row r="126" spans="1:7">
      <c r="A126" s="53">
        <v>45930</v>
      </c>
      <c r="B126" t="s">
        <v>61</v>
      </c>
      <c r="C126" t="s">
        <v>27</v>
      </c>
      <c r="D126" t="str">
        <f t="shared" si="5"/>
        <v>Rotacionado Caixa d'ÁguaBez(O/A)30/09/2025</v>
      </c>
      <c r="E126">
        <v>2</v>
      </c>
      <c r="G126" s="53" t="str">
        <f t="shared" si="3"/>
        <v>45930Rotacionado Caixa d'Água</v>
      </c>
    </row>
    <row r="127" spans="1:7">
      <c r="A127" s="53">
        <v>45930</v>
      </c>
      <c r="B127" t="s">
        <v>73</v>
      </c>
      <c r="C127" t="s">
        <v>11</v>
      </c>
      <c r="D127" t="str">
        <f t="shared" si="5"/>
        <v>Piquetes da MataVaca30/09/2025</v>
      </c>
      <c r="E127">
        <v>437</v>
      </c>
      <c r="G127" s="53" t="str">
        <f t="shared" si="3"/>
        <v>45930Piquetes da Mata</v>
      </c>
    </row>
    <row r="128" spans="1:7">
      <c r="A128" s="53">
        <v>45930</v>
      </c>
      <c r="B128" t="s">
        <v>73</v>
      </c>
      <c r="C128" t="s">
        <v>27</v>
      </c>
      <c r="D128" t="str">
        <f t="shared" si="5"/>
        <v>Piquetes da MataBez(O/A)30/09/2025</v>
      </c>
      <c r="E128">
        <v>42</v>
      </c>
      <c r="G128" s="53" t="str">
        <f t="shared" si="3"/>
        <v>45930Piquetes da Mata</v>
      </c>
    </row>
    <row r="129" spans="1:7">
      <c r="A129" s="53">
        <v>45930</v>
      </c>
      <c r="B129" t="s">
        <v>80</v>
      </c>
      <c r="C129" t="s">
        <v>13</v>
      </c>
      <c r="D129" t="str">
        <f t="shared" si="5"/>
        <v>PiatãNovilha30/09/2025</v>
      </c>
      <c r="E129">
        <v>177</v>
      </c>
      <c r="G129" s="53" t="str">
        <f t="shared" si="3"/>
        <v>45930Piatã</v>
      </c>
    </row>
    <row r="130" spans="1:7">
      <c r="A130" s="53">
        <v>45930</v>
      </c>
      <c r="B130" t="s">
        <v>80</v>
      </c>
      <c r="C130" t="s">
        <v>26</v>
      </c>
      <c r="D130" t="str">
        <f t="shared" si="5"/>
        <v>PiatãGarrote30/09/2025</v>
      </c>
      <c r="E130">
        <v>6</v>
      </c>
      <c r="G130" s="53" t="str">
        <f t="shared" ref="G130:G193" si="6">A130&amp;B130</f>
        <v>45930Piatã</v>
      </c>
    </row>
    <row r="131" spans="1:7">
      <c r="A131" s="53">
        <v>45930</v>
      </c>
      <c r="B131" t="s">
        <v>85</v>
      </c>
      <c r="C131" t="s">
        <v>11</v>
      </c>
      <c r="D131" t="str">
        <f t="shared" si="5"/>
        <v>Cemitério Vaca30/09/2025</v>
      </c>
      <c r="E131">
        <v>376</v>
      </c>
      <c r="G131" s="53" t="str">
        <f t="shared" si="6"/>
        <v xml:space="preserve">45930Cemitério </v>
      </c>
    </row>
    <row r="132" spans="1:7">
      <c r="A132" s="53">
        <v>45930</v>
      </c>
      <c r="B132" t="s">
        <v>85</v>
      </c>
      <c r="C132" t="s">
        <v>27</v>
      </c>
      <c r="D132" t="str">
        <f t="shared" si="5"/>
        <v>Cemitério Bez(O/A)30/09/2025</v>
      </c>
      <c r="E132">
        <v>190</v>
      </c>
      <c r="G132" s="53" t="str">
        <f t="shared" si="6"/>
        <v xml:space="preserve">45930Cemitério </v>
      </c>
    </row>
    <row r="133" spans="1:7">
      <c r="A133" s="53">
        <v>45930</v>
      </c>
      <c r="B133" t="s">
        <v>88</v>
      </c>
      <c r="C133" t="s">
        <v>13</v>
      </c>
      <c r="D133" t="str">
        <f t="shared" si="5"/>
        <v>Avenida 2Novilha30/09/2025</v>
      </c>
      <c r="E133">
        <v>61</v>
      </c>
      <c r="G133" s="53" t="str">
        <f t="shared" si="6"/>
        <v>45930Avenida 2</v>
      </c>
    </row>
    <row r="134" spans="1:7">
      <c r="A134" s="53">
        <v>45930</v>
      </c>
      <c r="B134" t="s">
        <v>95</v>
      </c>
      <c r="C134" t="s">
        <v>19</v>
      </c>
      <c r="D134" t="str">
        <f t="shared" si="5"/>
        <v>Confinamento Touro30/09/2025</v>
      </c>
      <c r="E134">
        <v>42</v>
      </c>
      <c r="G134" s="53" t="str">
        <f t="shared" si="6"/>
        <v xml:space="preserve">45930Confinamento </v>
      </c>
    </row>
    <row r="135" spans="1:7">
      <c r="A135" s="53">
        <v>45930</v>
      </c>
      <c r="B135" t="s">
        <v>95</v>
      </c>
      <c r="C135" t="s">
        <v>11</v>
      </c>
      <c r="D135" t="str">
        <f t="shared" si="5"/>
        <v>Confinamento Vaca30/09/2025</v>
      </c>
      <c r="E135">
        <v>8</v>
      </c>
      <c r="G135" s="53" t="str">
        <f t="shared" si="6"/>
        <v xml:space="preserve">45930Confinamento </v>
      </c>
    </row>
    <row r="136" spans="1:7">
      <c r="A136" s="53">
        <v>45930</v>
      </c>
      <c r="B136" t="s">
        <v>95</v>
      </c>
      <c r="C136" t="s">
        <v>13</v>
      </c>
      <c r="D136" t="str">
        <f t="shared" si="5"/>
        <v>Confinamento Novilha30/09/2025</v>
      </c>
      <c r="E136">
        <v>80</v>
      </c>
      <c r="G136" s="53" t="str">
        <f t="shared" si="6"/>
        <v xml:space="preserve">45930Confinamento </v>
      </c>
    </row>
    <row r="137" spans="1:7">
      <c r="A137" s="53">
        <v>45930</v>
      </c>
      <c r="B137" t="s">
        <v>95</v>
      </c>
      <c r="C137" t="s">
        <v>13</v>
      </c>
      <c r="D137" t="str">
        <f t="shared" si="5"/>
        <v>Confinamento Novilha30/09/2025</v>
      </c>
      <c r="E137">
        <v>4</v>
      </c>
      <c r="G137" s="53" t="str">
        <f t="shared" si="6"/>
        <v xml:space="preserve">45930Confinamento </v>
      </c>
    </row>
    <row r="138" spans="1:7">
      <c r="A138" s="53">
        <v>45978</v>
      </c>
      <c r="B138" t="s">
        <v>40</v>
      </c>
      <c r="C138" t="s">
        <v>13</v>
      </c>
      <c r="D138" t="str">
        <f t="shared" si="5"/>
        <v>Rotacionado EntradaNovilha17/11/2025</v>
      </c>
      <c r="E138">
        <v>157</v>
      </c>
      <c r="G138" s="53" t="str">
        <f t="shared" si="6"/>
        <v>45978Rotacionado Entrada</v>
      </c>
    </row>
    <row r="139" spans="1:7">
      <c r="A139" s="53">
        <v>45978</v>
      </c>
      <c r="B139" t="s">
        <v>61</v>
      </c>
      <c r="C139" t="s">
        <v>26</v>
      </c>
      <c r="D139" t="str">
        <f t="shared" si="5"/>
        <v>Rotacionado Caixa d'ÁguaGarrote17/11/2025</v>
      </c>
      <c r="E139">
        <v>32</v>
      </c>
      <c r="G139" s="53" t="str">
        <f t="shared" si="6"/>
        <v>45978Rotacionado Caixa d'Água</v>
      </c>
    </row>
    <row r="140" spans="1:7">
      <c r="A140" s="53">
        <v>45978</v>
      </c>
      <c r="B140" t="s">
        <v>53</v>
      </c>
      <c r="C140" t="s">
        <v>11</v>
      </c>
      <c r="D140" t="str">
        <f t="shared" si="5"/>
        <v>Vila 2Vaca17/11/2025</v>
      </c>
      <c r="E140">
        <v>6</v>
      </c>
      <c r="G140" s="53" t="str">
        <f t="shared" si="6"/>
        <v>45978Vila 2</v>
      </c>
    </row>
    <row r="141" spans="1:7">
      <c r="A141" s="53">
        <v>45978</v>
      </c>
      <c r="B141" t="s">
        <v>53</v>
      </c>
      <c r="C141" t="s">
        <v>27</v>
      </c>
      <c r="D141" t="str">
        <f t="shared" si="5"/>
        <v>Vila 2Bez(O/A)17/11/2025</v>
      </c>
      <c r="E141">
        <v>6</v>
      </c>
      <c r="G141" s="53" t="str">
        <f t="shared" si="6"/>
        <v>45978Vila 2</v>
      </c>
    </row>
    <row r="142" spans="1:7">
      <c r="A142" s="53">
        <v>45978</v>
      </c>
      <c r="B142" t="s">
        <v>53</v>
      </c>
      <c r="C142" t="s">
        <v>13</v>
      </c>
      <c r="D142" t="str">
        <f t="shared" si="5"/>
        <v>Vila 2Novilha17/11/2025</v>
      </c>
      <c r="E142">
        <v>2</v>
      </c>
      <c r="G142" s="53" t="str">
        <f t="shared" si="6"/>
        <v>45978Vila 2</v>
      </c>
    </row>
    <row r="143" spans="1:7">
      <c r="A143" s="53">
        <v>45978</v>
      </c>
      <c r="B143" t="s">
        <v>48</v>
      </c>
      <c r="C143" t="s">
        <v>11</v>
      </c>
      <c r="D143" t="str">
        <f t="shared" si="5"/>
        <v>MatinhaVaca17/11/2025</v>
      </c>
      <c r="E143">
        <v>8</v>
      </c>
      <c r="G143" s="53" t="str">
        <f t="shared" si="6"/>
        <v>45978Matinha</v>
      </c>
    </row>
    <row r="144" spans="1:7">
      <c r="A144" s="53">
        <v>45978</v>
      </c>
      <c r="B144" t="s">
        <v>48</v>
      </c>
      <c r="C144" t="s">
        <v>27</v>
      </c>
      <c r="D144" t="str">
        <f t="shared" si="5"/>
        <v>MatinhaBez(O/A)17/11/2025</v>
      </c>
      <c r="E144">
        <v>8</v>
      </c>
      <c r="G144" s="53" t="str">
        <f t="shared" si="6"/>
        <v>45978Matinha</v>
      </c>
    </row>
    <row r="145" spans="1:7">
      <c r="A145" s="53">
        <v>45978</v>
      </c>
      <c r="B145" t="s">
        <v>48</v>
      </c>
      <c r="C145" t="s">
        <v>19</v>
      </c>
      <c r="D145" t="str">
        <f t="shared" si="5"/>
        <v>MatinhaTouro17/11/2025</v>
      </c>
      <c r="E145">
        <v>1</v>
      </c>
      <c r="G145" s="53" t="str">
        <f t="shared" si="6"/>
        <v>45978Matinha</v>
      </c>
    </row>
    <row r="146" spans="1:7">
      <c r="A146" s="53">
        <v>45978</v>
      </c>
      <c r="B146" t="s">
        <v>70</v>
      </c>
      <c r="C146" t="s">
        <v>13</v>
      </c>
      <c r="D146" t="str">
        <f t="shared" si="5"/>
        <v>Barriguda 1Novilha17/11/2025</v>
      </c>
      <c r="E146">
        <v>16</v>
      </c>
      <c r="G146" s="53" t="str">
        <f t="shared" si="6"/>
        <v>45978Barriguda 1</v>
      </c>
    </row>
    <row r="147" spans="1:7">
      <c r="A147" s="53">
        <v>45978</v>
      </c>
      <c r="B147" t="s">
        <v>71</v>
      </c>
      <c r="C147" t="s">
        <v>13</v>
      </c>
      <c r="D147" t="str">
        <f t="shared" si="5"/>
        <v>Barriguda 2Novilha17/11/2025</v>
      </c>
      <c r="E147">
        <v>22</v>
      </c>
      <c r="G147" s="53" t="str">
        <f t="shared" si="6"/>
        <v>45978Barriguda 2</v>
      </c>
    </row>
    <row r="148" spans="1:7">
      <c r="A148" s="53">
        <v>45978</v>
      </c>
      <c r="B148" t="s">
        <v>73</v>
      </c>
      <c r="C148" t="s">
        <v>11</v>
      </c>
      <c r="D148" t="str">
        <f t="shared" si="5"/>
        <v>Piquetes da MataVaca17/11/2025</v>
      </c>
      <c r="E148">
        <v>69</v>
      </c>
      <c r="G148" s="53" t="str">
        <f t="shared" si="6"/>
        <v>45978Piquetes da Mata</v>
      </c>
    </row>
    <row r="149" spans="1:7">
      <c r="A149" s="53">
        <v>45978</v>
      </c>
      <c r="B149" t="s">
        <v>81</v>
      </c>
      <c r="C149" t="s">
        <v>11</v>
      </c>
      <c r="D149" t="str">
        <f t="shared" ref="D149:D180" si="7">B149&amp;C149&amp;TEXT(A149,"dd/mm/aaaa")</f>
        <v>Pasto dos IpêsVaca17/11/2025</v>
      </c>
      <c r="E149">
        <v>302</v>
      </c>
      <c r="G149" s="53" t="str">
        <f t="shared" si="6"/>
        <v>45978Pasto dos Ipês</v>
      </c>
    </row>
    <row r="150" spans="1:7">
      <c r="A150" s="53">
        <v>45978</v>
      </c>
      <c r="B150" t="s">
        <v>81</v>
      </c>
      <c r="C150" t="s">
        <v>27</v>
      </c>
      <c r="D150" t="str">
        <f t="shared" si="7"/>
        <v>Pasto dos IpêsBez(O/A)17/11/2025</v>
      </c>
      <c r="E150">
        <v>180</v>
      </c>
      <c r="G150" s="53" t="str">
        <f t="shared" si="6"/>
        <v>45978Pasto dos Ipês</v>
      </c>
    </row>
    <row r="151" spans="1:7">
      <c r="A151" s="53">
        <v>45978</v>
      </c>
      <c r="B151" t="s">
        <v>83</v>
      </c>
      <c r="C151" t="s">
        <v>11</v>
      </c>
      <c r="D151" t="str">
        <f t="shared" si="7"/>
        <v>MangasVaca17/11/2025</v>
      </c>
      <c r="E151">
        <v>420</v>
      </c>
      <c r="G151" s="53" t="str">
        <f t="shared" si="6"/>
        <v>45978Mangas</v>
      </c>
    </row>
    <row r="152" spans="1:7">
      <c r="A152" s="53">
        <v>45978</v>
      </c>
      <c r="B152" t="s">
        <v>83</v>
      </c>
      <c r="C152" t="s">
        <v>27</v>
      </c>
      <c r="D152" t="str">
        <f t="shared" si="7"/>
        <v>MangasBez(O/A)17/11/2025</v>
      </c>
      <c r="E152">
        <v>275</v>
      </c>
      <c r="G152" s="53" t="str">
        <f t="shared" si="6"/>
        <v>45978Mangas</v>
      </c>
    </row>
    <row r="153" spans="1:7">
      <c r="A153" s="53">
        <v>45978</v>
      </c>
      <c r="B153" t="s">
        <v>88</v>
      </c>
      <c r="C153" t="s">
        <v>11</v>
      </c>
      <c r="D153" t="str">
        <f t="shared" si="7"/>
        <v>Avenida 2Vaca17/11/2025</v>
      </c>
      <c r="E153">
        <v>68</v>
      </c>
      <c r="G153" s="53" t="str">
        <f t="shared" si="6"/>
        <v>45978Avenida 2</v>
      </c>
    </row>
    <row r="154" spans="1:7">
      <c r="A154" s="53">
        <v>45985</v>
      </c>
      <c r="B154" t="s">
        <v>40</v>
      </c>
      <c r="C154" t="s">
        <v>13</v>
      </c>
      <c r="D154" t="str">
        <f t="shared" si="7"/>
        <v>Rotacionado EntradaNovilha24/11/2025</v>
      </c>
      <c r="E154">
        <v>157</v>
      </c>
      <c r="G154" s="53" t="str">
        <f t="shared" si="6"/>
        <v>45985Rotacionado Entrada</v>
      </c>
    </row>
    <row r="155" spans="1:7">
      <c r="A155" s="53">
        <v>45985</v>
      </c>
      <c r="B155" t="s">
        <v>48</v>
      </c>
      <c r="C155" t="s">
        <v>11</v>
      </c>
      <c r="D155" t="str">
        <f t="shared" si="7"/>
        <v>MatinhaVaca24/11/2025</v>
      </c>
      <c r="E155">
        <v>8</v>
      </c>
      <c r="F155" t="s">
        <v>102</v>
      </c>
      <c r="G155" s="53" t="str">
        <f t="shared" si="6"/>
        <v>45985Matinha</v>
      </c>
    </row>
    <row r="156" spans="1:7">
      <c r="A156" s="53">
        <v>45985</v>
      </c>
      <c r="B156" t="s">
        <v>48</v>
      </c>
      <c r="C156" t="s">
        <v>27</v>
      </c>
      <c r="D156" t="str">
        <f t="shared" si="7"/>
        <v>MatinhaBez(O/A)24/11/2025</v>
      </c>
      <c r="E156">
        <v>8</v>
      </c>
      <c r="G156" s="53" t="str">
        <f t="shared" si="6"/>
        <v>45985Matinha</v>
      </c>
    </row>
    <row r="157" spans="1:7">
      <c r="A157" s="53">
        <v>45985</v>
      </c>
      <c r="B157" t="s">
        <v>53</v>
      </c>
      <c r="C157" t="s">
        <v>11</v>
      </c>
      <c r="D157" t="str">
        <f t="shared" si="7"/>
        <v>Vila 2Vaca24/11/2025</v>
      </c>
      <c r="E157">
        <v>6</v>
      </c>
      <c r="G157" s="53" t="str">
        <f t="shared" si="6"/>
        <v>45985Vila 2</v>
      </c>
    </row>
    <row r="158" spans="1:7">
      <c r="A158" s="53">
        <v>45985</v>
      </c>
      <c r="B158" t="s">
        <v>53</v>
      </c>
      <c r="C158" t="s">
        <v>27</v>
      </c>
      <c r="D158" t="str">
        <f t="shared" si="7"/>
        <v>Vila 2Bez(O/A)24/11/2025</v>
      </c>
      <c r="E158">
        <v>9</v>
      </c>
      <c r="F158" t="s">
        <v>103</v>
      </c>
      <c r="G158" s="53" t="str">
        <f t="shared" si="6"/>
        <v>45985Vila 2</v>
      </c>
    </row>
    <row r="159" spans="1:7">
      <c r="A159" s="53">
        <v>45985</v>
      </c>
      <c r="B159" t="s">
        <v>53</v>
      </c>
      <c r="C159" t="s">
        <v>13</v>
      </c>
      <c r="D159" t="str">
        <f t="shared" si="7"/>
        <v>Vila 2Novilha24/11/2025</v>
      </c>
      <c r="E159">
        <v>2</v>
      </c>
      <c r="G159" s="53" t="str">
        <f t="shared" si="6"/>
        <v>45985Vila 2</v>
      </c>
    </row>
    <row r="160" spans="1:7">
      <c r="A160" s="53">
        <v>45985</v>
      </c>
      <c r="B160" t="s">
        <v>61</v>
      </c>
      <c r="C160" t="s">
        <v>26</v>
      </c>
      <c r="D160" t="str">
        <f t="shared" si="7"/>
        <v>Rotacionado Caixa d'ÁguaGarrote24/11/2025</v>
      </c>
      <c r="E160">
        <v>32</v>
      </c>
      <c r="G160" s="53" t="str">
        <f t="shared" si="6"/>
        <v>45985Rotacionado Caixa d'Água</v>
      </c>
    </row>
    <row r="161" spans="1:7">
      <c r="A161" s="53">
        <v>45985</v>
      </c>
      <c r="B161" t="s">
        <v>70</v>
      </c>
      <c r="C161" t="s">
        <v>13</v>
      </c>
      <c r="D161" t="str">
        <f t="shared" si="7"/>
        <v>Barriguda 1Novilha24/11/2025</v>
      </c>
      <c r="E161">
        <v>16</v>
      </c>
      <c r="F161" t="s">
        <v>104</v>
      </c>
      <c r="G161" s="53" t="str">
        <f t="shared" si="6"/>
        <v>45985Barriguda 1</v>
      </c>
    </row>
    <row r="162" spans="1:7">
      <c r="A162" s="53">
        <v>45985</v>
      </c>
      <c r="B162" t="s">
        <v>71</v>
      </c>
      <c r="C162" t="s">
        <v>13</v>
      </c>
      <c r="D162" t="str">
        <f t="shared" si="7"/>
        <v>Barriguda 2Novilha24/11/2025</v>
      </c>
      <c r="E162">
        <v>22</v>
      </c>
      <c r="F162" t="s">
        <v>105</v>
      </c>
      <c r="G162" s="53" t="str">
        <f t="shared" si="6"/>
        <v>45985Barriguda 2</v>
      </c>
    </row>
    <row r="163" spans="1:7">
      <c r="A163" s="53">
        <v>45985</v>
      </c>
      <c r="B163" t="s">
        <v>73</v>
      </c>
      <c r="C163" t="s">
        <v>11</v>
      </c>
      <c r="D163" t="str">
        <f t="shared" si="7"/>
        <v>Piquetes da MataVaca24/11/2025</v>
      </c>
      <c r="E163">
        <v>79</v>
      </c>
      <c r="F163" t="s">
        <v>106</v>
      </c>
      <c r="G163" s="53" t="str">
        <f t="shared" si="6"/>
        <v>45985Piquetes da Mata</v>
      </c>
    </row>
    <row r="164" spans="1:7">
      <c r="A164" s="53">
        <v>45985</v>
      </c>
      <c r="B164" t="s">
        <v>72</v>
      </c>
      <c r="C164" t="s">
        <v>11</v>
      </c>
      <c r="D164" t="str">
        <f t="shared" si="7"/>
        <v>Forno 2Vaca24/11/2025</v>
      </c>
      <c r="E164">
        <v>306</v>
      </c>
      <c r="F164" t="s">
        <v>107</v>
      </c>
      <c r="G164" s="53" t="str">
        <f t="shared" si="6"/>
        <v>45985Forno 2</v>
      </c>
    </row>
    <row r="165" spans="1:7">
      <c r="A165" s="53">
        <v>45985</v>
      </c>
      <c r="B165" t="s">
        <v>72</v>
      </c>
      <c r="C165" t="s">
        <v>27</v>
      </c>
      <c r="D165" t="str">
        <f t="shared" si="7"/>
        <v>Forno 2Bez(O/A)24/11/2025</v>
      </c>
      <c r="E165">
        <v>89</v>
      </c>
      <c r="G165" s="53" t="str">
        <f t="shared" si="6"/>
        <v>45985Forno 2</v>
      </c>
    </row>
    <row r="166" spans="1:7">
      <c r="A166" s="53">
        <v>45985</v>
      </c>
      <c r="B166" t="s">
        <v>83</v>
      </c>
      <c r="C166" t="s">
        <v>19</v>
      </c>
      <c r="D166" t="str">
        <f t="shared" si="7"/>
        <v>MangasTouro24/11/2025</v>
      </c>
      <c r="E166">
        <v>40</v>
      </c>
      <c r="G166" s="53" t="str">
        <f t="shared" si="6"/>
        <v>45985Mangas</v>
      </c>
    </row>
    <row r="167" spans="1:7">
      <c r="A167" s="53">
        <v>45985</v>
      </c>
      <c r="B167" t="s">
        <v>83</v>
      </c>
      <c r="C167" t="s">
        <v>11</v>
      </c>
      <c r="D167" t="str">
        <f t="shared" si="7"/>
        <v>MangasVaca24/11/2025</v>
      </c>
      <c r="E167">
        <v>330</v>
      </c>
      <c r="F167" t="s">
        <v>108</v>
      </c>
      <c r="G167" s="53" t="str">
        <f t="shared" si="6"/>
        <v>45985Mangas</v>
      </c>
    </row>
    <row r="168" spans="1:7">
      <c r="A168" s="53">
        <v>45985</v>
      </c>
      <c r="B168" t="s">
        <v>83</v>
      </c>
      <c r="C168" t="s">
        <v>27</v>
      </c>
      <c r="D168" t="str">
        <f t="shared" si="7"/>
        <v>MangasBez(O/A)24/11/2025</v>
      </c>
      <c r="E168">
        <v>277</v>
      </c>
      <c r="G168" s="53" t="str">
        <f t="shared" si="6"/>
        <v>45985Mangas</v>
      </c>
    </row>
    <row r="169" spans="1:7">
      <c r="A169" s="53">
        <v>45985</v>
      </c>
      <c r="B169" t="s">
        <v>88</v>
      </c>
      <c r="C169" t="s">
        <v>13</v>
      </c>
      <c r="D169" t="str">
        <f t="shared" si="7"/>
        <v>Avenida 2Novilha24/11/2025</v>
      </c>
      <c r="E169">
        <v>68</v>
      </c>
      <c r="F169" t="s">
        <v>109</v>
      </c>
      <c r="G169" s="53" t="str">
        <f t="shared" si="6"/>
        <v>45985Avenida 2</v>
      </c>
    </row>
    <row r="170" spans="1:7">
      <c r="A170" s="53">
        <v>45985</v>
      </c>
      <c r="B170" t="s">
        <v>85</v>
      </c>
      <c r="C170" t="s">
        <v>11</v>
      </c>
      <c r="D170" t="str">
        <f t="shared" si="7"/>
        <v>Cemitério Vaca24/11/2025</v>
      </c>
      <c r="E170">
        <v>90</v>
      </c>
      <c r="F170" t="s">
        <v>109</v>
      </c>
      <c r="G170" s="53" t="str">
        <f t="shared" si="6"/>
        <v xml:space="preserve">45985Cemitério </v>
      </c>
    </row>
    <row r="171" spans="1:7">
      <c r="A171" s="53">
        <v>46003</v>
      </c>
      <c r="B171" t="s">
        <v>40</v>
      </c>
      <c r="C171" t="s">
        <v>11</v>
      </c>
      <c r="D171" t="str">
        <f t="shared" si="7"/>
        <v>Rotacionado EntradaVaca12/12/2025</v>
      </c>
      <c r="E171">
        <v>72</v>
      </c>
      <c r="G171" s="53" t="str">
        <f t="shared" si="6"/>
        <v>46003Rotacionado Entrada</v>
      </c>
    </row>
    <row r="172" spans="1:7">
      <c r="A172" s="53">
        <v>46003</v>
      </c>
      <c r="B172" t="s">
        <v>48</v>
      </c>
      <c r="C172" t="s">
        <v>11</v>
      </c>
      <c r="D172" t="str">
        <f t="shared" si="7"/>
        <v>MatinhaVaca12/12/2025</v>
      </c>
      <c r="E172">
        <v>13</v>
      </c>
      <c r="G172" s="53" t="str">
        <f t="shared" si="6"/>
        <v>46003Matinha</v>
      </c>
    </row>
    <row r="173" spans="1:7">
      <c r="A173" s="53">
        <v>46003</v>
      </c>
      <c r="B173" t="s">
        <v>48</v>
      </c>
      <c r="C173" t="s">
        <v>13</v>
      </c>
      <c r="D173" t="str">
        <f t="shared" si="7"/>
        <v>MatinhaNovilha12/12/2025</v>
      </c>
      <c r="E173">
        <v>2</v>
      </c>
      <c r="G173" s="53" t="str">
        <f t="shared" si="6"/>
        <v>46003Matinha</v>
      </c>
    </row>
    <row r="174" spans="1:7">
      <c r="A174" s="53">
        <v>46003</v>
      </c>
      <c r="B174" t="s">
        <v>48</v>
      </c>
      <c r="C174" t="s">
        <v>27</v>
      </c>
      <c r="D174" t="str">
        <f t="shared" si="7"/>
        <v>MatinhaBez(O/A)12/12/2025</v>
      </c>
      <c r="E174">
        <v>16</v>
      </c>
      <c r="G174" s="53" t="str">
        <f t="shared" si="6"/>
        <v>46003Matinha</v>
      </c>
    </row>
    <row r="175" spans="1:7">
      <c r="A175" s="53">
        <v>46003</v>
      </c>
      <c r="B175" t="s">
        <v>54</v>
      </c>
      <c r="C175" t="s">
        <v>26</v>
      </c>
      <c r="D175" t="str">
        <f t="shared" si="7"/>
        <v>Rotacionado Vila 1Garrote12/12/2025</v>
      </c>
      <c r="E175">
        <v>32</v>
      </c>
      <c r="G175" s="53" t="str">
        <f t="shared" si="6"/>
        <v>46003Rotacionado Vila 1</v>
      </c>
    </row>
    <row r="176" spans="1:7">
      <c r="A176" s="53">
        <v>46003</v>
      </c>
      <c r="B176" t="s">
        <v>70</v>
      </c>
      <c r="C176" t="s">
        <v>19</v>
      </c>
      <c r="D176" t="str">
        <f t="shared" si="7"/>
        <v>Barriguda 1Touro12/12/2025</v>
      </c>
      <c r="E176">
        <v>37</v>
      </c>
      <c r="G176" s="53" t="str">
        <f t="shared" si="6"/>
        <v>46003Barriguda 1</v>
      </c>
    </row>
    <row r="177" spans="1:7">
      <c r="A177" s="53">
        <v>46003</v>
      </c>
      <c r="B177" t="s">
        <v>71</v>
      </c>
      <c r="C177" t="s">
        <v>13</v>
      </c>
      <c r="D177" t="str">
        <f t="shared" si="7"/>
        <v>Barriguda 2Novilha12/12/2025</v>
      </c>
      <c r="E177">
        <v>155</v>
      </c>
      <c r="G177" s="53" t="str">
        <f t="shared" si="6"/>
        <v>46003Barriguda 2</v>
      </c>
    </row>
    <row r="178" spans="1:7">
      <c r="A178" s="53">
        <v>46003</v>
      </c>
      <c r="B178" t="s">
        <v>77</v>
      </c>
      <c r="C178" t="s">
        <v>11</v>
      </c>
      <c r="D178" t="str">
        <f t="shared" si="7"/>
        <v>Timbó 1Vaca12/12/2025</v>
      </c>
      <c r="E178">
        <v>74</v>
      </c>
      <c r="G178" s="53" t="str">
        <f t="shared" si="6"/>
        <v>46003Timbó 1</v>
      </c>
    </row>
    <row r="179" spans="1:7">
      <c r="A179" s="53">
        <v>46003</v>
      </c>
      <c r="B179" t="s">
        <v>78</v>
      </c>
      <c r="C179" t="s">
        <v>11</v>
      </c>
      <c r="D179" t="str">
        <f t="shared" si="7"/>
        <v>Timbó 2Vaca12/12/2025</v>
      </c>
      <c r="E179">
        <v>105</v>
      </c>
      <c r="G179" s="53" t="str">
        <f t="shared" si="6"/>
        <v>46003Timbó 2</v>
      </c>
    </row>
    <row r="180" spans="1:7">
      <c r="A180" s="53">
        <v>46003</v>
      </c>
      <c r="B180" t="s">
        <v>81</v>
      </c>
      <c r="C180" t="s">
        <v>11</v>
      </c>
      <c r="D180" t="str">
        <f t="shared" si="7"/>
        <v>Pasto dos IpêsVaca12/12/2025</v>
      </c>
      <c r="E180">
        <v>79</v>
      </c>
      <c r="G180" s="53" t="str">
        <f t="shared" si="6"/>
        <v>46003Pasto dos Ipês</v>
      </c>
    </row>
    <row r="181" spans="1:7">
      <c r="A181" s="53">
        <v>46003</v>
      </c>
      <c r="B181" t="s">
        <v>83</v>
      </c>
      <c r="C181" t="s">
        <v>11</v>
      </c>
      <c r="D181" t="str">
        <f t="shared" ref="D181:D212" si="8">B181&amp;C181&amp;TEXT(A181,"dd/mm/aaaa")</f>
        <v>MangasVaca12/12/2025</v>
      </c>
      <c r="E181">
        <v>245</v>
      </c>
      <c r="G181" s="53" t="str">
        <f t="shared" si="6"/>
        <v>46003Mangas</v>
      </c>
    </row>
    <row r="182" spans="1:7">
      <c r="A182" s="53">
        <v>46003</v>
      </c>
      <c r="B182" t="s">
        <v>83</v>
      </c>
      <c r="C182" t="s">
        <v>27</v>
      </c>
      <c r="D182" t="str">
        <f t="shared" si="8"/>
        <v>MangasBez(O/A)12/12/2025</v>
      </c>
      <c r="E182">
        <v>229</v>
      </c>
      <c r="G182" s="53" t="str">
        <f t="shared" si="6"/>
        <v>46003Mangas</v>
      </c>
    </row>
    <row r="183" spans="1:7">
      <c r="A183" s="53">
        <v>46003</v>
      </c>
      <c r="B183" t="s">
        <v>85</v>
      </c>
      <c r="C183" t="s">
        <v>11</v>
      </c>
      <c r="D183" t="str">
        <f t="shared" si="8"/>
        <v>Cemitério Vaca12/12/2025</v>
      </c>
      <c r="E183">
        <v>121</v>
      </c>
      <c r="G183" s="53" t="str">
        <f t="shared" si="6"/>
        <v xml:space="preserve">46003Cemitério </v>
      </c>
    </row>
    <row r="184" spans="1:7">
      <c r="A184" s="53">
        <v>46003</v>
      </c>
      <c r="B184" t="s">
        <v>85</v>
      </c>
      <c r="C184" t="s">
        <v>27</v>
      </c>
      <c r="D184" t="str">
        <f t="shared" si="8"/>
        <v>Cemitério Bez(O/A)12/12/2025</v>
      </c>
      <c r="E184">
        <v>110</v>
      </c>
      <c r="G184" s="53" t="str">
        <f t="shared" si="6"/>
        <v xml:space="preserve">46003Cemitério </v>
      </c>
    </row>
    <row r="185" spans="1:7">
      <c r="A185" s="53">
        <v>46003</v>
      </c>
      <c r="B185" t="s">
        <v>87</v>
      </c>
      <c r="C185" t="s">
        <v>11</v>
      </c>
      <c r="D185" t="str">
        <f t="shared" si="8"/>
        <v>Avenida 1Vaca12/12/2025</v>
      </c>
      <c r="E185">
        <v>181</v>
      </c>
      <c r="G185" s="53" t="str">
        <f t="shared" si="6"/>
        <v>46003Avenida 1</v>
      </c>
    </row>
    <row r="186" spans="1:7">
      <c r="A186" s="53">
        <v>46003</v>
      </c>
      <c r="B186" t="s">
        <v>87</v>
      </c>
      <c r="C186" t="s">
        <v>27</v>
      </c>
      <c r="D186" t="str">
        <f t="shared" si="8"/>
        <v>Avenida 1Bez(O/A)12/12/2025</v>
      </c>
      <c r="E186">
        <v>166</v>
      </c>
      <c r="G186" s="53" t="str">
        <f t="shared" si="6"/>
        <v>46003Avenida 1</v>
      </c>
    </row>
    <row r="187" spans="1:7">
      <c r="A187" s="53">
        <v>46048</v>
      </c>
      <c r="B187" t="s">
        <v>40</v>
      </c>
      <c r="C187" t="s">
        <v>11</v>
      </c>
      <c r="D187" t="str">
        <f t="shared" si="8"/>
        <v>Rotacionado EntradaVaca26/01/2026</v>
      </c>
      <c r="E187">
        <v>183</v>
      </c>
      <c r="G187" s="53" t="str">
        <f t="shared" si="6"/>
        <v>46048Rotacionado Entrada</v>
      </c>
    </row>
    <row r="188" spans="1:7">
      <c r="A188" s="53">
        <v>46048</v>
      </c>
      <c r="B188" t="s">
        <v>40</v>
      </c>
      <c r="C188" t="s">
        <v>27</v>
      </c>
      <c r="D188" t="str">
        <f t="shared" si="8"/>
        <v>Rotacionado EntradaBez(O/A)26/01/2026</v>
      </c>
      <c r="E188">
        <v>93</v>
      </c>
      <c r="G188" s="53" t="str">
        <f t="shared" si="6"/>
        <v>46048Rotacionado Entrada</v>
      </c>
    </row>
    <row r="189" spans="1:7">
      <c r="A189" s="53">
        <v>46048</v>
      </c>
      <c r="B189" t="s">
        <v>48</v>
      </c>
      <c r="C189" t="s">
        <v>11</v>
      </c>
      <c r="D189" t="str">
        <f t="shared" si="8"/>
        <v>MatinhaVaca26/01/2026</v>
      </c>
      <c r="E189">
        <v>4</v>
      </c>
      <c r="G189" s="53" t="str">
        <f t="shared" si="6"/>
        <v>46048Matinha</v>
      </c>
    </row>
    <row r="190" spans="1:7">
      <c r="A190" s="53">
        <v>46048</v>
      </c>
      <c r="B190" t="s">
        <v>48</v>
      </c>
      <c r="C190" t="s">
        <v>13</v>
      </c>
      <c r="D190" t="str">
        <f t="shared" si="8"/>
        <v>MatinhaNovilha26/01/2026</v>
      </c>
      <c r="E190">
        <v>2</v>
      </c>
      <c r="G190" s="53" t="str">
        <f t="shared" si="6"/>
        <v>46048Matinha</v>
      </c>
    </row>
    <row r="191" spans="1:7">
      <c r="A191" s="53">
        <v>46048</v>
      </c>
      <c r="B191" t="s">
        <v>48</v>
      </c>
      <c r="C191" t="s">
        <v>27</v>
      </c>
      <c r="D191" t="str">
        <f t="shared" si="8"/>
        <v>MatinhaBez(O/A)26/01/2026</v>
      </c>
      <c r="E191">
        <v>4</v>
      </c>
      <c r="G191" s="53" t="str">
        <f t="shared" si="6"/>
        <v>46048Matinha</v>
      </c>
    </row>
    <row r="192" spans="1:7">
      <c r="A192" s="53">
        <v>46048</v>
      </c>
      <c r="B192" t="s">
        <v>53</v>
      </c>
      <c r="C192" t="s">
        <v>26</v>
      </c>
      <c r="D192" t="str">
        <f t="shared" si="8"/>
        <v>Vila 2Garrote26/01/2026</v>
      </c>
      <c r="E192">
        <v>33</v>
      </c>
      <c r="G192" s="53" t="str">
        <f t="shared" si="6"/>
        <v>46048Vila 2</v>
      </c>
    </row>
    <row r="193" spans="1:7">
      <c r="A193" s="53">
        <v>46048</v>
      </c>
      <c r="B193" t="s">
        <v>61</v>
      </c>
      <c r="C193" t="s">
        <v>19</v>
      </c>
      <c r="D193" t="str">
        <f t="shared" si="8"/>
        <v>Rotacionado Caixa d'ÁguaTouro26/01/2026</v>
      </c>
      <c r="E193">
        <v>1</v>
      </c>
      <c r="G193" s="53" t="str">
        <f t="shared" si="6"/>
        <v>46048Rotacionado Caixa d'Água</v>
      </c>
    </row>
    <row r="194" spans="1:7">
      <c r="A194" s="53">
        <v>46048</v>
      </c>
      <c r="B194" t="s">
        <v>61</v>
      </c>
      <c r="C194" t="s">
        <v>11</v>
      </c>
      <c r="D194" t="str">
        <f t="shared" si="8"/>
        <v>Rotacionado Caixa d'ÁguaVaca26/01/2026</v>
      </c>
      <c r="E194">
        <v>8</v>
      </c>
      <c r="G194" s="53" t="str">
        <f t="shared" ref="G194:G257" si="9">A194&amp;B194</f>
        <v>46048Rotacionado Caixa d'Água</v>
      </c>
    </row>
    <row r="195" spans="1:7">
      <c r="A195" s="53">
        <v>46048</v>
      </c>
      <c r="B195" t="s">
        <v>61</v>
      </c>
      <c r="C195" t="s">
        <v>27</v>
      </c>
      <c r="D195" t="str">
        <f t="shared" si="8"/>
        <v>Rotacionado Caixa d'ÁguaBez(O/A)26/01/2026</v>
      </c>
      <c r="E195">
        <v>8</v>
      </c>
      <c r="G195" s="53" t="str">
        <f t="shared" si="9"/>
        <v>46048Rotacionado Caixa d'Água</v>
      </c>
    </row>
    <row r="196" spans="1:7">
      <c r="A196" s="53">
        <v>46048</v>
      </c>
      <c r="B196" t="s">
        <v>64</v>
      </c>
      <c r="C196" t="s">
        <v>13</v>
      </c>
      <c r="D196" t="str">
        <f t="shared" si="8"/>
        <v>Rotacionado MacaúbaNovilha26/01/2026</v>
      </c>
      <c r="E196">
        <v>16</v>
      </c>
      <c r="G196" s="53" t="str">
        <f t="shared" si="9"/>
        <v>46048Rotacionado Macaúba</v>
      </c>
    </row>
    <row r="197" spans="1:7">
      <c r="A197" s="53">
        <v>46048</v>
      </c>
      <c r="B197" t="s">
        <v>70</v>
      </c>
      <c r="C197" t="s">
        <v>19</v>
      </c>
      <c r="D197" t="str">
        <f t="shared" si="8"/>
        <v>Barriguda 1Touro26/01/2026</v>
      </c>
      <c r="E197">
        <v>11</v>
      </c>
      <c r="G197" s="53" t="str">
        <f t="shared" si="9"/>
        <v>46048Barriguda 1</v>
      </c>
    </row>
    <row r="198" spans="1:7">
      <c r="A198" s="53">
        <v>46048</v>
      </c>
      <c r="B198" t="s">
        <v>70</v>
      </c>
      <c r="C198" t="s">
        <v>13</v>
      </c>
      <c r="D198" t="str">
        <f t="shared" si="8"/>
        <v>Barriguda 1Novilha26/01/2026</v>
      </c>
      <c r="E198">
        <v>154</v>
      </c>
      <c r="G198" s="53" t="str">
        <f t="shared" si="9"/>
        <v>46048Barriguda 1</v>
      </c>
    </row>
    <row r="199" spans="1:7">
      <c r="A199" s="53">
        <v>46048</v>
      </c>
      <c r="B199" t="s">
        <v>80</v>
      </c>
      <c r="C199" t="s">
        <v>19</v>
      </c>
      <c r="D199" t="str">
        <f t="shared" si="8"/>
        <v>PiatãTouro26/01/2026</v>
      </c>
      <c r="E199">
        <v>2</v>
      </c>
      <c r="G199" s="53" t="str">
        <f t="shared" si="9"/>
        <v>46048Piatã</v>
      </c>
    </row>
    <row r="200" spans="1:7">
      <c r="A200" s="53">
        <v>46048</v>
      </c>
      <c r="B200" t="s">
        <v>80</v>
      </c>
      <c r="C200" t="s">
        <v>11</v>
      </c>
      <c r="D200" t="str">
        <f t="shared" si="8"/>
        <v>PiatãVaca26/01/2026</v>
      </c>
      <c r="E200">
        <v>237</v>
      </c>
      <c r="G200" s="53" t="str">
        <f t="shared" si="9"/>
        <v>46048Piatã</v>
      </c>
    </row>
    <row r="201" spans="1:7">
      <c r="A201" s="53">
        <v>46048</v>
      </c>
      <c r="B201" t="s">
        <v>80</v>
      </c>
      <c r="C201" t="s">
        <v>13</v>
      </c>
      <c r="D201" t="str">
        <f t="shared" si="8"/>
        <v>PiatãNovilha26/01/2026</v>
      </c>
      <c r="E201">
        <v>4</v>
      </c>
      <c r="G201" s="53" t="str">
        <f t="shared" si="9"/>
        <v>46048Piatã</v>
      </c>
    </row>
    <row r="202" spans="1:7">
      <c r="A202" s="53">
        <v>46048</v>
      </c>
      <c r="B202" t="s">
        <v>80</v>
      </c>
      <c r="C202" t="s">
        <v>27</v>
      </c>
      <c r="D202" t="str">
        <f t="shared" si="8"/>
        <v>PiatãBez(O/A)26/01/2026</v>
      </c>
      <c r="E202">
        <v>237</v>
      </c>
      <c r="G202" s="53" t="str">
        <f t="shared" si="9"/>
        <v>46048Piatã</v>
      </c>
    </row>
    <row r="203" spans="1:7">
      <c r="A203" s="53">
        <v>46048</v>
      </c>
      <c r="B203" t="s">
        <v>83</v>
      </c>
      <c r="C203" t="s">
        <v>19</v>
      </c>
      <c r="D203" t="str">
        <f t="shared" si="8"/>
        <v>MangasTouro26/01/2026</v>
      </c>
      <c r="E203">
        <v>6</v>
      </c>
      <c r="G203" s="53" t="str">
        <f t="shared" si="9"/>
        <v>46048Mangas</v>
      </c>
    </row>
    <row r="204" spans="1:7">
      <c r="A204" s="53">
        <v>46048</v>
      </c>
      <c r="B204" t="s">
        <v>83</v>
      </c>
      <c r="C204" t="s">
        <v>11</v>
      </c>
      <c r="D204" t="str">
        <f t="shared" si="8"/>
        <v>MangasVaca26/01/2026</v>
      </c>
      <c r="E204">
        <v>293</v>
      </c>
      <c r="G204" s="53" t="str">
        <f t="shared" si="9"/>
        <v>46048Mangas</v>
      </c>
    </row>
    <row r="205" spans="1:7">
      <c r="A205" s="53">
        <v>46048</v>
      </c>
      <c r="B205" t="s">
        <v>83</v>
      </c>
      <c r="C205" t="s">
        <v>13</v>
      </c>
      <c r="D205" t="str">
        <f t="shared" si="8"/>
        <v>MangasNovilha26/01/2026</v>
      </c>
      <c r="E205">
        <v>4</v>
      </c>
      <c r="G205" s="53" t="str">
        <f t="shared" si="9"/>
        <v>46048Mangas</v>
      </c>
    </row>
    <row r="206" spans="1:7">
      <c r="A206" s="53">
        <v>46048</v>
      </c>
      <c r="B206" t="s">
        <v>83</v>
      </c>
      <c r="C206" t="s">
        <v>27</v>
      </c>
      <c r="D206" t="str">
        <f t="shared" si="8"/>
        <v>MangasBez(O/A)26/01/2026</v>
      </c>
      <c r="E206">
        <v>293</v>
      </c>
      <c r="G206" s="53" t="str">
        <f t="shared" si="9"/>
        <v>46048Mangas</v>
      </c>
    </row>
    <row r="207" spans="1:7">
      <c r="A207" s="53">
        <v>46048</v>
      </c>
      <c r="B207" t="s">
        <v>88</v>
      </c>
      <c r="C207" t="s">
        <v>19</v>
      </c>
      <c r="D207" t="str">
        <f t="shared" si="8"/>
        <v>Avenida 2Touro26/01/2026</v>
      </c>
      <c r="E207">
        <v>6</v>
      </c>
      <c r="G207" s="53" t="str">
        <f t="shared" si="9"/>
        <v>46048Avenida 2</v>
      </c>
    </row>
    <row r="208" spans="1:7">
      <c r="A208" s="53">
        <v>46048</v>
      </c>
      <c r="B208" t="s">
        <v>88</v>
      </c>
      <c r="C208" t="s">
        <v>11</v>
      </c>
      <c r="D208" t="str">
        <f t="shared" si="8"/>
        <v>Avenida 2Vaca26/01/2026</v>
      </c>
      <c r="E208">
        <v>168</v>
      </c>
      <c r="G208" s="53" t="str">
        <f t="shared" si="9"/>
        <v>46048Avenida 2</v>
      </c>
    </row>
    <row r="209" spans="1:7">
      <c r="A209" s="53">
        <v>46075</v>
      </c>
      <c r="B209" t="s">
        <v>40</v>
      </c>
      <c r="C209" t="s">
        <v>19</v>
      </c>
      <c r="D209" t="str">
        <f t="shared" si="8"/>
        <v>Rotacionado EntradaTouro22/02/2026</v>
      </c>
      <c r="E209">
        <v>4</v>
      </c>
      <c r="G209" s="53" t="str">
        <f t="shared" si="9"/>
        <v>46075Rotacionado Entrada</v>
      </c>
    </row>
    <row r="210" spans="1:7">
      <c r="A210" s="53">
        <v>46075</v>
      </c>
      <c r="B210" t="s">
        <v>40</v>
      </c>
      <c r="C210" t="s">
        <v>11</v>
      </c>
      <c r="D210" t="str">
        <f t="shared" si="8"/>
        <v>Rotacionado EntradaVaca22/02/2026</v>
      </c>
      <c r="E210">
        <v>152</v>
      </c>
      <c r="G210" s="53" t="str">
        <f t="shared" si="9"/>
        <v>46075Rotacionado Entrada</v>
      </c>
    </row>
    <row r="211" spans="1:7">
      <c r="A211" s="53">
        <v>46075</v>
      </c>
      <c r="B211" t="s">
        <v>40</v>
      </c>
      <c r="C211" t="s">
        <v>27</v>
      </c>
      <c r="D211" t="str">
        <f t="shared" si="8"/>
        <v>Rotacionado EntradaBez(O/A)22/02/2026</v>
      </c>
      <c r="E211">
        <v>124</v>
      </c>
      <c r="G211" s="53" t="str">
        <f t="shared" si="9"/>
        <v>46075Rotacionado Entrada</v>
      </c>
    </row>
    <row r="212" spans="1:7">
      <c r="A212" s="53">
        <v>46075</v>
      </c>
      <c r="B212" t="s">
        <v>48</v>
      </c>
      <c r="C212" t="s">
        <v>11</v>
      </c>
      <c r="D212" t="str">
        <f t="shared" si="8"/>
        <v>MatinhaVaca22/02/2026</v>
      </c>
      <c r="E212">
        <v>9</v>
      </c>
      <c r="G212" s="53" t="str">
        <f t="shared" si="9"/>
        <v>46075Matinha</v>
      </c>
    </row>
    <row r="213" spans="1:7">
      <c r="A213" s="53">
        <v>46075</v>
      </c>
      <c r="B213" t="s">
        <v>48</v>
      </c>
      <c r="C213" t="s">
        <v>13</v>
      </c>
      <c r="D213" t="str">
        <f t="shared" ref="D213:D244" si="10">B213&amp;C213&amp;TEXT(A213,"dd/mm/aaaa")</f>
        <v>MatinhaNovilha22/02/2026</v>
      </c>
      <c r="E213">
        <v>2</v>
      </c>
      <c r="G213" s="53" t="str">
        <f t="shared" si="9"/>
        <v>46075Matinha</v>
      </c>
    </row>
    <row r="214" spans="1:7">
      <c r="A214" s="53">
        <v>46075</v>
      </c>
      <c r="B214" t="s">
        <v>48</v>
      </c>
      <c r="C214" t="s">
        <v>27</v>
      </c>
      <c r="D214" t="str">
        <f t="shared" si="10"/>
        <v>MatinhaBez(O/A)22/02/2026</v>
      </c>
      <c r="E214">
        <v>7</v>
      </c>
      <c r="G214" s="53" t="str">
        <f t="shared" si="9"/>
        <v>46075Matinha</v>
      </c>
    </row>
    <row r="215" spans="1:7">
      <c r="A215" s="53">
        <v>46075</v>
      </c>
      <c r="B215" t="s">
        <v>54</v>
      </c>
      <c r="C215" t="s">
        <v>26</v>
      </c>
      <c r="D215" t="str">
        <f t="shared" si="10"/>
        <v>Rotacionado Vila 1Garrote22/02/2026</v>
      </c>
      <c r="E215">
        <v>37</v>
      </c>
      <c r="G215" s="53" t="str">
        <f t="shared" si="9"/>
        <v>46075Rotacionado Vila 1</v>
      </c>
    </row>
    <row r="216" spans="1:7">
      <c r="A216" s="53">
        <v>46075</v>
      </c>
      <c r="B216" t="s">
        <v>61</v>
      </c>
      <c r="C216" t="s">
        <v>13</v>
      </c>
      <c r="D216" t="str">
        <f t="shared" si="10"/>
        <v>Rotacionado Caixa d'ÁguaNovilha22/02/2026</v>
      </c>
      <c r="E216">
        <v>15</v>
      </c>
      <c r="G216" s="53" t="str">
        <f t="shared" si="9"/>
        <v>46075Rotacionado Caixa d'Água</v>
      </c>
    </row>
    <row r="217" spans="1:7">
      <c r="A217" s="53">
        <v>46075</v>
      </c>
      <c r="B217" t="s">
        <v>64</v>
      </c>
      <c r="C217" t="s">
        <v>19</v>
      </c>
      <c r="D217" t="str">
        <f t="shared" si="10"/>
        <v>Rotacionado MacaúbaTouro22/02/2026</v>
      </c>
      <c r="E217">
        <v>3</v>
      </c>
      <c r="G217" s="53" t="str">
        <f t="shared" si="9"/>
        <v>46075Rotacionado Macaúba</v>
      </c>
    </row>
    <row r="218" spans="1:7">
      <c r="A218" s="53">
        <v>46075</v>
      </c>
      <c r="B218" t="s">
        <v>64</v>
      </c>
      <c r="C218" t="s">
        <v>11</v>
      </c>
      <c r="D218" t="str">
        <f t="shared" si="10"/>
        <v>Rotacionado MacaúbaVaca22/02/2026</v>
      </c>
      <c r="E218">
        <v>6</v>
      </c>
      <c r="G218" s="53" t="str">
        <f t="shared" si="9"/>
        <v>46075Rotacionado Macaúba</v>
      </c>
    </row>
    <row r="219" spans="1:7">
      <c r="A219" s="53">
        <v>46075</v>
      </c>
      <c r="B219" t="s">
        <v>64</v>
      </c>
      <c r="C219" t="s">
        <v>27</v>
      </c>
      <c r="D219" t="str">
        <f t="shared" si="10"/>
        <v>Rotacionado MacaúbaBez(O/A)22/02/2026</v>
      </c>
      <c r="E219">
        <v>5</v>
      </c>
      <c r="G219" s="53" t="str">
        <f t="shared" si="9"/>
        <v>46075Rotacionado Macaúba</v>
      </c>
    </row>
    <row r="220" spans="1:7">
      <c r="A220" s="53">
        <v>46075</v>
      </c>
      <c r="B220" t="s">
        <v>71</v>
      </c>
      <c r="C220" t="s">
        <v>19</v>
      </c>
      <c r="D220" t="str">
        <f t="shared" si="10"/>
        <v>Barriguda 2Touro22/02/2026</v>
      </c>
      <c r="E220">
        <v>7</v>
      </c>
      <c r="G220" s="53" t="str">
        <f t="shared" si="9"/>
        <v>46075Barriguda 2</v>
      </c>
    </row>
    <row r="221" spans="1:7">
      <c r="A221" s="53">
        <v>46075</v>
      </c>
      <c r="B221" t="s">
        <v>71</v>
      </c>
      <c r="C221" t="s">
        <v>13</v>
      </c>
      <c r="D221" t="str">
        <f t="shared" si="10"/>
        <v>Barriguda 2Novilha22/02/2026</v>
      </c>
      <c r="E221">
        <v>156</v>
      </c>
      <c r="G221" s="53" t="str">
        <f t="shared" si="9"/>
        <v>46075Barriguda 2</v>
      </c>
    </row>
    <row r="222" spans="1:7">
      <c r="A222" s="53">
        <v>46075</v>
      </c>
      <c r="B222" t="s">
        <v>72</v>
      </c>
      <c r="C222" t="s">
        <v>19</v>
      </c>
      <c r="D222" t="str">
        <f t="shared" si="10"/>
        <v>Forno 2Touro22/02/2026</v>
      </c>
      <c r="E222">
        <v>5</v>
      </c>
      <c r="G222" s="53" t="str">
        <f t="shared" si="9"/>
        <v>46075Forno 2</v>
      </c>
    </row>
    <row r="223" spans="1:7">
      <c r="A223" s="53">
        <v>46075</v>
      </c>
      <c r="B223" t="s">
        <v>72</v>
      </c>
      <c r="C223" t="s">
        <v>11</v>
      </c>
      <c r="D223" t="str">
        <f t="shared" si="10"/>
        <v>Forno 2Vaca22/02/2026</v>
      </c>
      <c r="E223">
        <v>232</v>
      </c>
      <c r="G223" s="53" t="str">
        <f t="shared" si="9"/>
        <v>46075Forno 2</v>
      </c>
    </row>
    <row r="224" spans="1:7">
      <c r="A224" s="53">
        <v>46075</v>
      </c>
      <c r="B224" t="s">
        <v>72</v>
      </c>
      <c r="C224" t="s">
        <v>27</v>
      </c>
      <c r="D224" t="str">
        <f t="shared" si="10"/>
        <v>Forno 2Bez(O/A)22/02/2026</v>
      </c>
      <c r="E224">
        <v>186</v>
      </c>
      <c r="G224" s="53" t="str">
        <f t="shared" si="9"/>
        <v>46075Forno 2</v>
      </c>
    </row>
    <row r="225" spans="1:7">
      <c r="A225" s="53">
        <v>46075</v>
      </c>
      <c r="B225" t="s">
        <v>73</v>
      </c>
      <c r="C225" t="s">
        <v>19</v>
      </c>
      <c r="D225" t="str">
        <f t="shared" si="10"/>
        <v>Piquetes da MataTouro22/02/2026</v>
      </c>
      <c r="E225">
        <v>8</v>
      </c>
      <c r="G225" s="53" t="str">
        <f t="shared" si="9"/>
        <v>46075Piquetes da Mata</v>
      </c>
    </row>
    <row r="226" spans="1:7">
      <c r="A226" s="53">
        <v>46075</v>
      </c>
      <c r="B226" t="s">
        <v>75</v>
      </c>
      <c r="C226" t="s">
        <v>19</v>
      </c>
      <c r="D226" t="str">
        <f t="shared" si="10"/>
        <v>Rotacionado Cipó PretoTouro22/02/2026</v>
      </c>
      <c r="E226">
        <v>3</v>
      </c>
      <c r="G226" s="53" t="str">
        <f t="shared" si="9"/>
        <v>46075Rotacionado Cipó Preto</v>
      </c>
    </row>
    <row r="227" spans="1:7">
      <c r="A227" s="53">
        <v>46075</v>
      </c>
      <c r="B227" t="s">
        <v>75</v>
      </c>
      <c r="C227" t="s">
        <v>11</v>
      </c>
      <c r="D227" t="str">
        <f t="shared" si="10"/>
        <v>Rotacionado Cipó PretoVaca22/02/2026</v>
      </c>
      <c r="E227">
        <v>272</v>
      </c>
      <c r="G227" s="53" t="str">
        <f t="shared" si="9"/>
        <v>46075Rotacionado Cipó Preto</v>
      </c>
    </row>
    <row r="228" spans="1:7">
      <c r="A228" s="53">
        <v>46075</v>
      </c>
      <c r="B228" t="s">
        <v>75</v>
      </c>
      <c r="C228" t="s">
        <v>27</v>
      </c>
      <c r="D228" t="str">
        <f t="shared" si="10"/>
        <v>Rotacionado Cipó PretoBez(O/A)22/02/2026</v>
      </c>
      <c r="E228">
        <v>272</v>
      </c>
      <c r="G228" s="53" t="str">
        <f t="shared" si="9"/>
        <v>46075Rotacionado Cipó Preto</v>
      </c>
    </row>
    <row r="229" spans="1:7">
      <c r="A229" s="53">
        <v>46075</v>
      </c>
      <c r="B229" t="s">
        <v>93</v>
      </c>
      <c r="C229" t="s">
        <v>11</v>
      </c>
      <c r="D229" t="str">
        <f t="shared" si="10"/>
        <v>Reserva Boqueirão Vaca22/02/2026</v>
      </c>
      <c r="E229">
        <v>536</v>
      </c>
      <c r="G229" s="53" t="str">
        <f t="shared" si="9"/>
        <v xml:space="preserve">46075Reserva Boqueirão </v>
      </c>
    </row>
    <row r="230" spans="1:7">
      <c r="A230" s="53">
        <v>46104</v>
      </c>
      <c r="B230" t="s">
        <v>40</v>
      </c>
      <c r="C230" t="s">
        <v>11</v>
      </c>
      <c r="D230" t="str">
        <f t="shared" si="10"/>
        <v>Rotacionado EntradaVaca23/03/2026</v>
      </c>
      <c r="E230">
        <v>162</v>
      </c>
      <c r="G230" s="53" t="str">
        <f t="shared" si="9"/>
        <v>46104Rotacionado Entrada</v>
      </c>
    </row>
    <row r="231" spans="1:7">
      <c r="A231" s="53">
        <v>46104</v>
      </c>
      <c r="B231" t="s">
        <v>40</v>
      </c>
      <c r="C231" t="s">
        <v>27</v>
      </c>
      <c r="D231" t="str">
        <f t="shared" si="10"/>
        <v>Rotacionado EntradaBez(O/A)23/03/2026</v>
      </c>
      <c r="E231">
        <v>137</v>
      </c>
      <c r="G231" s="53" t="str">
        <f t="shared" si="9"/>
        <v>46104Rotacionado Entrada</v>
      </c>
    </row>
    <row r="232" spans="1:7">
      <c r="A232" s="53">
        <v>46104</v>
      </c>
      <c r="B232" t="s">
        <v>53</v>
      </c>
      <c r="C232" t="s">
        <v>26</v>
      </c>
      <c r="D232" t="str">
        <f t="shared" si="10"/>
        <v>Vila 2Garrote23/03/2026</v>
      </c>
      <c r="E232">
        <v>37</v>
      </c>
      <c r="G232" s="53" t="str">
        <f t="shared" si="9"/>
        <v>46104Vila 2</v>
      </c>
    </row>
    <row r="233" spans="1:7">
      <c r="A233" s="53">
        <v>46104</v>
      </c>
      <c r="B233" t="s">
        <v>53</v>
      </c>
      <c r="C233" t="s">
        <v>11</v>
      </c>
      <c r="D233" t="str">
        <f t="shared" si="10"/>
        <v>Vila 2Vaca23/03/2026</v>
      </c>
      <c r="E233">
        <v>3</v>
      </c>
      <c r="G233" s="53" t="str">
        <f t="shared" si="9"/>
        <v>46104Vila 2</v>
      </c>
    </row>
    <row r="234" spans="1:7">
      <c r="A234" s="53">
        <v>46104</v>
      </c>
      <c r="B234" t="s">
        <v>53</v>
      </c>
      <c r="C234" t="s">
        <v>27</v>
      </c>
      <c r="D234" t="str">
        <f t="shared" si="10"/>
        <v>Vila 2Bez(O/A)23/03/2026</v>
      </c>
      <c r="E234">
        <v>6</v>
      </c>
      <c r="G234" s="53" t="str">
        <f t="shared" si="9"/>
        <v>46104Vila 2</v>
      </c>
    </row>
    <row r="235" spans="1:7">
      <c r="A235" s="53">
        <v>46104</v>
      </c>
      <c r="B235" t="s">
        <v>64</v>
      </c>
      <c r="C235" t="s">
        <v>11</v>
      </c>
      <c r="D235" t="str">
        <f t="shared" si="10"/>
        <v>Rotacionado MacaúbaVaca23/03/2026</v>
      </c>
      <c r="E235">
        <v>28</v>
      </c>
      <c r="G235" s="53" t="str">
        <f t="shared" si="9"/>
        <v>46104Rotacionado Macaúba</v>
      </c>
    </row>
    <row r="236" spans="1:7">
      <c r="A236" s="53">
        <v>46104</v>
      </c>
      <c r="B236" t="s">
        <v>64</v>
      </c>
      <c r="C236" t="s">
        <v>27</v>
      </c>
      <c r="D236" t="str">
        <f t="shared" si="10"/>
        <v>Rotacionado MacaúbaBez(O/A)23/03/2026</v>
      </c>
      <c r="E236">
        <v>6</v>
      </c>
      <c r="G236" s="53" t="str">
        <f t="shared" si="9"/>
        <v>46104Rotacionado Macaúba</v>
      </c>
    </row>
    <row r="237" spans="1:7">
      <c r="A237" s="53">
        <v>46104</v>
      </c>
      <c r="B237" t="s">
        <v>61</v>
      </c>
      <c r="C237" t="s">
        <v>13</v>
      </c>
      <c r="D237" t="str">
        <f t="shared" si="10"/>
        <v>Rotacionado Caixa d'ÁguaNovilha23/03/2026</v>
      </c>
      <c r="E237">
        <v>15</v>
      </c>
      <c r="G237" s="53" t="str">
        <f t="shared" si="9"/>
        <v>46104Rotacionado Caixa d'Água</v>
      </c>
    </row>
    <row r="238" spans="1:7">
      <c r="A238" s="53">
        <v>46104</v>
      </c>
      <c r="B238" t="s">
        <v>61</v>
      </c>
      <c r="C238" t="s">
        <v>11</v>
      </c>
      <c r="D238" t="str">
        <f t="shared" si="10"/>
        <v>Rotacionado Caixa d'ÁguaVaca23/03/2026</v>
      </c>
      <c r="E238">
        <v>1</v>
      </c>
      <c r="G238" s="53" t="str">
        <f t="shared" si="9"/>
        <v>46104Rotacionado Caixa d'Água</v>
      </c>
    </row>
    <row r="239" spans="1:7">
      <c r="A239" s="53">
        <v>46104</v>
      </c>
      <c r="B239" t="s">
        <v>61</v>
      </c>
      <c r="C239" t="s">
        <v>27</v>
      </c>
      <c r="D239" t="str">
        <f t="shared" si="10"/>
        <v>Rotacionado Caixa d'ÁguaBez(O/A)23/03/2026</v>
      </c>
      <c r="E239">
        <v>1</v>
      </c>
      <c r="G239" s="53" t="str">
        <f t="shared" si="9"/>
        <v>46104Rotacionado Caixa d'Água</v>
      </c>
    </row>
    <row r="240" spans="1:7">
      <c r="A240" s="53">
        <v>46104</v>
      </c>
      <c r="B240" t="s">
        <v>89</v>
      </c>
      <c r="C240" t="s">
        <v>13</v>
      </c>
      <c r="D240" t="str">
        <f t="shared" si="10"/>
        <v>Piquete Curral do Retiro Novilha23/03/2026</v>
      </c>
      <c r="E240">
        <v>7</v>
      </c>
      <c r="G240" s="53" t="str">
        <f t="shared" si="9"/>
        <v xml:space="preserve">46104Piquete Curral do Retiro </v>
      </c>
    </row>
    <row r="241" spans="1:7">
      <c r="A241" s="53">
        <v>46104</v>
      </c>
      <c r="B241" t="s">
        <v>70</v>
      </c>
      <c r="C241" t="s">
        <v>13</v>
      </c>
      <c r="D241" t="str">
        <f t="shared" si="10"/>
        <v>Barriguda 1Novilha23/03/2026</v>
      </c>
      <c r="E241">
        <v>157</v>
      </c>
      <c r="G241" s="53" t="str">
        <f t="shared" si="9"/>
        <v>46104Barriguda 1</v>
      </c>
    </row>
    <row r="242" spans="1:7">
      <c r="A242" s="53">
        <v>46104</v>
      </c>
      <c r="B242" t="s">
        <v>70</v>
      </c>
      <c r="C242" t="s">
        <v>19</v>
      </c>
      <c r="D242" t="str">
        <f t="shared" si="10"/>
        <v>Barriguda 1Touro23/03/2026</v>
      </c>
      <c r="E242">
        <v>30</v>
      </c>
      <c r="G242" s="53" t="str">
        <f t="shared" si="9"/>
        <v>46104Barriguda 1</v>
      </c>
    </row>
    <row r="243" spans="1:7">
      <c r="A243" s="53">
        <v>46104</v>
      </c>
      <c r="B243" t="s">
        <v>80</v>
      </c>
      <c r="C243" t="s">
        <v>11</v>
      </c>
      <c r="D243" t="str">
        <f t="shared" si="10"/>
        <v>PiatãVaca23/03/2026</v>
      </c>
      <c r="E243">
        <v>180</v>
      </c>
      <c r="G243" s="53" t="str">
        <f t="shared" si="9"/>
        <v>46104Piatã</v>
      </c>
    </row>
    <row r="244" spans="1:7">
      <c r="A244" s="53">
        <v>46104</v>
      </c>
      <c r="B244" t="s">
        <v>80</v>
      </c>
      <c r="C244" t="s">
        <v>27</v>
      </c>
      <c r="D244" t="str">
        <f t="shared" si="10"/>
        <v>PiatãBez(O/A)23/03/2026</v>
      </c>
      <c r="E244">
        <v>180</v>
      </c>
      <c r="G244" s="53" t="str">
        <f t="shared" si="9"/>
        <v>46104Piatã</v>
      </c>
    </row>
    <row r="245" spans="1:7">
      <c r="A245" s="53">
        <v>46104</v>
      </c>
      <c r="B245" t="s">
        <v>78</v>
      </c>
      <c r="C245" t="s">
        <v>11</v>
      </c>
      <c r="D245" t="str">
        <f t="shared" ref="D245:D308" si="11">B245&amp;C245&amp;TEXT(A245,"dd/mm/aaaa")</f>
        <v>Timbó 2Vaca23/03/2026</v>
      </c>
      <c r="E245">
        <v>267</v>
      </c>
      <c r="G245" s="53" t="str">
        <f t="shared" si="9"/>
        <v>46104Timbó 2</v>
      </c>
    </row>
    <row r="246" spans="1:7">
      <c r="A246" s="53">
        <v>46104</v>
      </c>
      <c r="B246" t="s">
        <v>78</v>
      </c>
      <c r="C246" t="s">
        <v>27</v>
      </c>
      <c r="D246" t="str">
        <f t="shared" si="11"/>
        <v>Timbó 2Bez(O/A)23/03/2026</v>
      </c>
      <c r="E246">
        <v>260</v>
      </c>
      <c r="G246" s="53" t="str">
        <f t="shared" si="9"/>
        <v>46104Timbó 2</v>
      </c>
    </row>
    <row r="247" spans="1:7">
      <c r="A247" s="53">
        <v>46104</v>
      </c>
      <c r="B247" t="s">
        <v>88</v>
      </c>
      <c r="C247" t="s">
        <v>13</v>
      </c>
      <c r="D247" t="str">
        <f t="shared" si="11"/>
        <v>Avenida 2Novilha23/03/2026</v>
      </c>
      <c r="E247">
        <v>296</v>
      </c>
      <c r="G247" s="53" t="str">
        <f t="shared" si="9"/>
        <v>46104Avenida 2</v>
      </c>
    </row>
    <row r="248" spans="1:7">
      <c r="A248" s="53">
        <v>46104</v>
      </c>
      <c r="B248" t="s">
        <v>93</v>
      </c>
      <c r="C248" t="s">
        <v>13</v>
      </c>
      <c r="D248" t="str">
        <f t="shared" si="11"/>
        <v>Reserva Boqueirão Novilha23/03/2026</v>
      </c>
      <c r="E248">
        <v>371</v>
      </c>
      <c r="F248" t="s">
        <v>110</v>
      </c>
      <c r="G248" s="53" t="str">
        <f t="shared" si="9"/>
        <v xml:space="preserve">46104Reserva Boqueirão </v>
      </c>
    </row>
    <row r="249" spans="1:7">
      <c r="A249" s="53">
        <v>46090</v>
      </c>
      <c r="B249" t="s">
        <v>40</v>
      </c>
      <c r="C249" t="s">
        <v>19</v>
      </c>
      <c r="D249" t="str">
        <f t="shared" si="11"/>
        <v>Rotacionado EntradaTouro09/03/2026</v>
      </c>
      <c r="E249">
        <v>4</v>
      </c>
      <c r="G249" s="53" t="str">
        <f t="shared" si="9"/>
        <v>46090Rotacionado Entrada</v>
      </c>
    </row>
    <row r="250" spans="1:7">
      <c r="A250" s="53">
        <v>46090</v>
      </c>
      <c r="B250" t="s">
        <v>40</v>
      </c>
      <c r="C250" t="s">
        <v>11</v>
      </c>
      <c r="D250" t="str">
        <f t="shared" si="11"/>
        <v>Rotacionado EntradaVaca09/03/2026</v>
      </c>
      <c r="E250">
        <v>146</v>
      </c>
      <c r="G250" s="53" t="str">
        <f t="shared" si="9"/>
        <v>46090Rotacionado Entrada</v>
      </c>
    </row>
    <row r="251" spans="1:7">
      <c r="A251" s="53">
        <v>46090</v>
      </c>
      <c r="B251" t="s">
        <v>40</v>
      </c>
      <c r="C251" t="s">
        <v>27</v>
      </c>
      <c r="D251" t="str">
        <f t="shared" si="11"/>
        <v>Rotacionado EntradaBez(O/A)09/03/2026</v>
      </c>
      <c r="E251">
        <v>130</v>
      </c>
      <c r="G251" s="53" t="str">
        <f t="shared" si="9"/>
        <v>46090Rotacionado Entrada</v>
      </c>
    </row>
    <row r="252" spans="1:7">
      <c r="A252" s="53">
        <v>46090</v>
      </c>
      <c r="B252" t="s">
        <v>48</v>
      </c>
      <c r="C252" t="s">
        <v>11</v>
      </c>
      <c r="D252" t="str">
        <f t="shared" si="11"/>
        <v>MatinhaVaca09/03/2026</v>
      </c>
      <c r="E252">
        <v>9</v>
      </c>
      <c r="G252" s="53" t="str">
        <f t="shared" si="9"/>
        <v>46090Matinha</v>
      </c>
    </row>
    <row r="253" spans="1:7">
      <c r="A253" s="53">
        <v>46090</v>
      </c>
      <c r="B253" t="s">
        <v>48</v>
      </c>
      <c r="C253" t="s">
        <v>27</v>
      </c>
      <c r="D253" t="str">
        <f t="shared" si="11"/>
        <v>MatinhaBez(O/A)09/03/2026</v>
      </c>
      <c r="E253">
        <v>7</v>
      </c>
      <c r="G253" s="53" t="str">
        <f t="shared" si="9"/>
        <v>46090Matinha</v>
      </c>
    </row>
    <row r="254" spans="1:7">
      <c r="A254" s="53">
        <v>46090</v>
      </c>
      <c r="B254" t="s">
        <v>48</v>
      </c>
      <c r="C254" t="s">
        <v>13</v>
      </c>
      <c r="D254" t="str">
        <f t="shared" si="11"/>
        <v>MatinhaNovilha09/03/2026</v>
      </c>
      <c r="E254">
        <v>2</v>
      </c>
      <c r="G254" s="53" t="str">
        <f t="shared" si="9"/>
        <v>46090Matinha</v>
      </c>
    </row>
    <row r="255" spans="1:7">
      <c r="A255" s="53">
        <v>46090</v>
      </c>
      <c r="B255" t="s">
        <v>54</v>
      </c>
      <c r="C255" t="s">
        <v>26</v>
      </c>
      <c r="D255" t="str">
        <f t="shared" si="11"/>
        <v>Rotacionado Vila 1Garrote09/03/2026</v>
      </c>
      <c r="E255">
        <v>36</v>
      </c>
      <c r="G255" s="53" t="str">
        <f t="shared" si="9"/>
        <v>46090Rotacionado Vila 1</v>
      </c>
    </row>
    <row r="256" spans="1:7">
      <c r="A256" s="53">
        <v>46090</v>
      </c>
      <c r="B256" t="s">
        <v>64</v>
      </c>
      <c r="C256" t="s">
        <v>11</v>
      </c>
      <c r="D256" t="str">
        <f t="shared" si="11"/>
        <v>Rotacionado MacaúbaVaca09/03/2026</v>
      </c>
      <c r="E256">
        <v>6</v>
      </c>
      <c r="G256" s="53" t="str">
        <f t="shared" si="9"/>
        <v>46090Rotacionado Macaúba</v>
      </c>
    </row>
    <row r="257" spans="1:7">
      <c r="A257" s="53">
        <v>46090</v>
      </c>
      <c r="B257" t="s">
        <v>64</v>
      </c>
      <c r="C257" t="s">
        <v>27</v>
      </c>
      <c r="D257" t="str">
        <f t="shared" si="11"/>
        <v>Rotacionado MacaúbaBez(O/A)09/03/2026</v>
      </c>
      <c r="E257">
        <v>6</v>
      </c>
      <c r="G257" s="53" t="str">
        <f t="shared" si="9"/>
        <v>46090Rotacionado Macaúba</v>
      </c>
    </row>
    <row r="258" spans="1:7">
      <c r="A258" s="53">
        <v>46090</v>
      </c>
      <c r="B258" t="s">
        <v>64</v>
      </c>
      <c r="C258" t="s">
        <v>19</v>
      </c>
      <c r="D258" t="str">
        <f t="shared" si="11"/>
        <v>Rotacionado MacaúbaTouro09/03/2026</v>
      </c>
      <c r="E258">
        <v>1</v>
      </c>
      <c r="G258" s="53" t="str">
        <f t="shared" ref="G258:G321" si="12">A258&amp;B258</f>
        <v>46090Rotacionado Macaúba</v>
      </c>
    </row>
    <row r="259" spans="1:7">
      <c r="A259" s="53">
        <v>46090</v>
      </c>
      <c r="B259" t="s">
        <v>64</v>
      </c>
      <c r="C259" t="s">
        <v>13</v>
      </c>
      <c r="D259" t="str">
        <f t="shared" si="11"/>
        <v>Rotacionado MacaúbaNovilha09/03/2026</v>
      </c>
      <c r="E259">
        <v>50</v>
      </c>
      <c r="G259" s="53" t="str">
        <f t="shared" si="12"/>
        <v>46090Rotacionado Macaúba</v>
      </c>
    </row>
    <row r="260" spans="1:7">
      <c r="A260" s="53">
        <v>46090</v>
      </c>
      <c r="B260" t="s">
        <v>61</v>
      </c>
      <c r="C260" t="s">
        <v>13</v>
      </c>
      <c r="D260" t="str">
        <f t="shared" si="11"/>
        <v>Rotacionado Caixa d'ÁguaNovilha09/03/2026</v>
      </c>
      <c r="E260">
        <v>15</v>
      </c>
      <c r="G260" s="53" t="str">
        <f t="shared" si="12"/>
        <v>46090Rotacionado Caixa d'Água</v>
      </c>
    </row>
    <row r="261" spans="1:7">
      <c r="A261" s="53">
        <v>46090</v>
      </c>
      <c r="B261" t="s">
        <v>72</v>
      </c>
      <c r="C261" t="s">
        <v>13</v>
      </c>
      <c r="D261" t="str">
        <f t="shared" si="11"/>
        <v>Forno 2Novilha09/03/2026</v>
      </c>
      <c r="E261">
        <v>248</v>
      </c>
      <c r="G261" s="53" t="str">
        <f t="shared" si="12"/>
        <v>46090Forno 2</v>
      </c>
    </row>
    <row r="262" spans="1:7">
      <c r="A262" s="53">
        <v>46090</v>
      </c>
      <c r="B262" t="s">
        <v>71</v>
      </c>
      <c r="C262" t="s">
        <v>13</v>
      </c>
      <c r="D262" t="str">
        <f t="shared" si="11"/>
        <v>Barriguda 2Novilha09/03/2026</v>
      </c>
      <c r="E262">
        <v>157</v>
      </c>
      <c r="G262" s="53" t="str">
        <f t="shared" si="12"/>
        <v>46090Barriguda 2</v>
      </c>
    </row>
    <row r="263" spans="1:7">
      <c r="A263" s="53">
        <v>46090</v>
      </c>
      <c r="B263" t="s">
        <v>71</v>
      </c>
      <c r="C263" t="s">
        <v>19</v>
      </c>
      <c r="D263" t="str">
        <f t="shared" si="11"/>
        <v>Barriguda 2Touro09/03/2026</v>
      </c>
      <c r="E263">
        <v>18</v>
      </c>
      <c r="G263" s="53" t="str">
        <f t="shared" si="12"/>
        <v>46090Barriguda 2</v>
      </c>
    </row>
    <row r="264" spans="1:7">
      <c r="A264" s="53">
        <v>46090</v>
      </c>
      <c r="B264" t="s">
        <v>81</v>
      </c>
      <c r="C264" t="s">
        <v>11</v>
      </c>
      <c r="D264" t="str">
        <f t="shared" si="11"/>
        <v>Pasto dos IpêsVaca09/03/2026</v>
      </c>
      <c r="E264">
        <v>228</v>
      </c>
      <c r="G264" s="53" t="str">
        <f t="shared" si="12"/>
        <v>46090Pasto dos Ipês</v>
      </c>
    </row>
    <row r="265" spans="1:7">
      <c r="A265" s="53">
        <v>46090</v>
      </c>
      <c r="B265" t="s">
        <v>81</v>
      </c>
      <c r="C265" t="s">
        <v>27</v>
      </c>
      <c r="D265" t="str">
        <f t="shared" si="11"/>
        <v>Pasto dos IpêsBez(O/A)09/03/2026</v>
      </c>
      <c r="E265">
        <v>228</v>
      </c>
      <c r="G265" s="53" t="str">
        <f t="shared" si="12"/>
        <v>46090Pasto dos Ipês</v>
      </c>
    </row>
    <row r="266" spans="1:7">
      <c r="A266" s="53">
        <v>46090</v>
      </c>
      <c r="B266" t="s">
        <v>81</v>
      </c>
      <c r="C266" t="s">
        <v>19</v>
      </c>
      <c r="D266" t="str">
        <f t="shared" si="11"/>
        <v>Pasto dos IpêsTouro09/03/2026</v>
      </c>
      <c r="E266">
        <v>6</v>
      </c>
      <c r="G266" s="53" t="str">
        <f t="shared" si="12"/>
        <v>46090Pasto dos Ipês</v>
      </c>
    </row>
    <row r="267" spans="1:7">
      <c r="A267" s="53">
        <v>46090</v>
      </c>
      <c r="B267" t="s">
        <v>75</v>
      </c>
      <c r="C267" t="s">
        <v>11</v>
      </c>
      <c r="D267" t="str">
        <f t="shared" si="11"/>
        <v>Rotacionado Cipó PretoVaca09/03/2026</v>
      </c>
      <c r="E267">
        <v>272</v>
      </c>
      <c r="G267" s="53" t="str">
        <f t="shared" si="12"/>
        <v>46090Rotacionado Cipó Preto</v>
      </c>
    </row>
    <row r="268" spans="1:7">
      <c r="A268" s="53">
        <v>46090</v>
      </c>
      <c r="B268" t="s">
        <v>75</v>
      </c>
      <c r="C268" t="s">
        <v>27</v>
      </c>
      <c r="D268" t="str">
        <f t="shared" si="11"/>
        <v>Rotacionado Cipó PretoBez(O/A)09/03/2026</v>
      </c>
      <c r="E268">
        <v>272</v>
      </c>
      <c r="G268" s="53" t="str">
        <f t="shared" si="12"/>
        <v>46090Rotacionado Cipó Preto</v>
      </c>
    </row>
    <row r="269" spans="1:7">
      <c r="A269" s="53">
        <v>46090</v>
      </c>
      <c r="B269" t="s">
        <v>93</v>
      </c>
      <c r="C269" t="s">
        <v>11</v>
      </c>
      <c r="D269" t="str">
        <f t="shared" si="11"/>
        <v>Reserva Boqueirão Vaca09/03/2026</v>
      </c>
      <c r="E269">
        <v>536</v>
      </c>
      <c r="G269" s="53" t="str">
        <f t="shared" si="12"/>
        <v xml:space="preserve">46090Reserva Boqueirão </v>
      </c>
    </row>
    <row r="270" spans="1:7">
      <c r="A270" s="56">
        <v>46125</v>
      </c>
      <c r="B270" t="s">
        <v>40</v>
      </c>
      <c r="C270" t="s">
        <v>9</v>
      </c>
      <c r="D270" t="str">
        <f t="shared" si="11"/>
        <v>Rotacionado EntradaVaca Parida13/04/2026</v>
      </c>
      <c r="E270">
        <v>191</v>
      </c>
      <c r="G270" s="53" t="str">
        <f t="shared" si="12"/>
        <v>46125Rotacionado Entrada</v>
      </c>
    </row>
    <row r="271" spans="1:7">
      <c r="A271" s="56">
        <v>46125</v>
      </c>
      <c r="B271" t="s">
        <v>40</v>
      </c>
      <c r="C271" t="s">
        <v>11</v>
      </c>
      <c r="D271" t="str">
        <f t="shared" si="11"/>
        <v>Rotacionado EntradaVaca13/04/2026</v>
      </c>
      <c r="E271">
        <v>60</v>
      </c>
      <c r="G271" s="53" t="str">
        <f t="shared" si="12"/>
        <v>46125Rotacionado Entrada</v>
      </c>
    </row>
    <row r="272" spans="1:7">
      <c r="A272" s="56">
        <v>46125</v>
      </c>
      <c r="B272" t="s">
        <v>48</v>
      </c>
      <c r="C272" t="s">
        <v>26</v>
      </c>
      <c r="D272" t="str">
        <f t="shared" si="11"/>
        <v>MatinhaGarrote13/04/2026</v>
      </c>
      <c r="E272">
        <v>36</v>
      </c>
      <c r="G272" s="53" t="str">
        <f t="shared" si="12"/>
        <v>46125Matinha</v>
      </c>
    </row>
    <row r="273" spans="1:7">
      <c r="A273" s="56">
        <v>46125</v>
      </c>
      <c r="B273" t="s">
        <v>48</v>
      </c>
      <c r="C273" t="s">
        <v>11</v>
      </c>
      <c r="D273" t="str">
        <f t="shared" si="11"/>
        <v>MatinhaVaca13/04/2026</v>
      </c>
      <c r="E273">
        <v>3</v>
      </c>
      <c r="G273" s="53" t="str">
        <f t="shared" si="12"/>
        <v>46125Matinha</v>
      </c>
    </row>
    <row r="274" spans="1:7">
      <c r="A274" s="56">
        <v>46125</v>
      </c>
      <c r="B274" t="s">
        <v>64</v>
      </c>
      <c r="C274" t="s">
        <v>9</v>
      </c>
      <c r="D274" t="str">
        <f t="shared" si="11"/>
        <v>Rotacionado MacaúbaVaca Parida13/04/2026</v>
      </c>
      <c r="E274">
        <v>5</v>
      </c>
      <c r="G274" s="53" t="str">
        <f t="shared" si="12"/>
        <v>46125Rotacionado Macaúba</v>
      </c>
    </row>
    <row r="275" spans="1:7">
      <c r="A275" s="56">
        <v>46125</v>
      </c>
      <c r="B275" t="s">
        <v>64</v>
      </c>
      <c r="C275" t="s">
        <v>11</v>
      </c>
      <c r="D275" t="str">
        <f t="shared" si="11"/>
        <v>Rotacionado MacaúbaVaca13/04/2026</v>
      </c>
      <c r="E275">
        <v>2</v>
      </c>
      <c r="G275" s="53" t="str">
        <f t="shared" si="12"/>
        <v>46125Rotacionado Macaúba</v>
      </c>
    </row>
    <row r="276" spans="1:7">
      <c r="A276" s="56">
        <v>46125</v>
      </c>
      <c r="B276" t="s">
        <v>64</v>
      </c>
      <c r="C276" t="s">
        <v>19</v>
      </c>
      <c r="D276" t="str">
        <f t="shared" si="11"/>
        <v>Rotacionado MacaúbaTouro13/04/2026</v>
      </c>
      <c r="E276">
        <v>4</v>
      </c>
      <c r="G276" s="53" t="str">
        <f t="shared" si="12"/>
        <v>46125Rotacionado Macaúba</v>
      </c>
    </row>
    <row r="277" spans="1:7">
      <c r="A277" s="56">
        <v>46125</v>
      </c>
      <c r="B277" t="s">
        <v>61</v>
      </c>
      <c r="C277" t="s">
        <v>13</v>
      </c>
      <c r="D277" t="str">
        <f t="shared" si="11"/>
        <v>Rotacionado Caixa d'ÁguaNovilha13/04/2026</v>
      </c>
      <c r="E277">
        <v>15</v>
      </c>
      <c r="G277" s="53" t="str">
        <f t="shared" si="12"/>
        <v>46125Rotacionado Caixa d'Água</v>
      </c>
    </row>
    <row r="278" spans="1:7">
      <c r="A278" s="56">
        <v>46125</v>
      </c>
      <c r="B278" t="s">
        <v>70</v>
      </c>
      <c r="C278" t="s">
        <v>13</v>
      </c>
      <c r="D278" t="str">
        <f t="shared" si="11"/>
        <v>Barriguda 1Novilha13/04/2026</v>
      </c>
      <c r="E278">
        <v>157</v>
      </c>
      <c r="G278" s="53" t="str">
        <f t="shared" si="12"/>
        <v>46125Barriguda 1</v>
      </c>
    </row>
    <row r="279" spans="1:7">
      <c r="A279" s="56">
        <v>46125</v>
      </c>
      <c r="B279" t="s">
        <v>70</v>
      </c>
      <c r="C279" t="s">
        <v>19</v>
      </c>
      <c r="D279" t="str">
        <f t="shared" si="11"/>
        <v>Barriguda 1Touro13/04/2026</v>
      </c>
      <c r="E279">
        <v>30</v>
      </c>
      <c r="G279" s="53" t="str">
        <f t="shared" si="12"/>
        <v>46125Barriguda 1</v>
      </c>
    </row>
    <row r="280" spans="1:7">
      <c r="A280" s="56">
        <v>46125</v>
      </c>
      <c r="B280" t="s">
        <v>80</v>
      </c>
      <c r="C280" t="s">
        <v>9</v>
      </c>
      <c r="D280" t="str">
        <f t="shared" si="11"/>
        <v>PiatãVaca Parida13/04/2026</v>
      </c>
      <c r="E280">
        <v>89</v>
      </c>
      <c r="G280" s="53" t="str">
        <f t="shared" si="12"/>
        <v>46125Piatã</v>
      </c>
    </row>
    <row r="281" spans="1:7">
      <c r="A281" s="56">
        <v>46125</v>
      </c>
      <c r="B281" t="s">
        <v>80</v>
      </c>
      <c r="C281" t="s">
        <v>11</v>
      </c>
      <c r="D281" t="str">
        <f t="shared" si="11"/>
        <v>PiatãVaca13/04/2026</v>
      </c>
      <c r="E281">
        <v>59</v>
      </c>
      <c r="G281" s="53" t="str">
        <f t="shared" si="12"/>
        <v>46125Piatã</v>
      </c>
    </row>
    <row r="282" spans="1:7">
      <c r="A282" s="56">
        <v>46125</v>
      </c>
      <c r="B282" t="s">
        <v>81</v>
      </c>
      <c r="C282" t="s">
        <v>11</v>
      </c>
      <c r="D282" t="str">
        <f t="shared" si="11"/>
        <v>Pasto dos IpêsVaca13/04/2026</v>
      </c>
      <c r="E282">
        <v>196</v>
      </c>
      <c r="G282" s="53" t="str">
        <f t="shared" si="12"/>
        <v>46125Pasto dos Ipês</v>
      </c>
    </row>
    <row r="283" spans="1:7">
      <c r="A283" s="56">
        <v>46125</v>
      </c>
      <c r="B283" t="s">
        <v>75</v>
      </c>
      <c r="C283" t="s">
        <v>27</v>
      </c>
      <c r="D283" t="str">
        <f t="shared" si="11"/>
        <v>Rotacionado Cipó PretoBez(O/A)13/04/2026</v>
      </c>
      <c r="E283">
        <v>190</v>
      </c>
      <c r="G283" s="53" t="str">
        <f t="shared" si="12"/>
        <v>46125Rotacionado Cipó Preto</v>
      </c>
    </row>
    <row r="284" spans="1:7">
      <c r="A284" s="56">
        <v>46125</v>
      </c>
      <c r="B284" t="s">
        <v>75</v>
      </c>
      <c r="C284" t="s">
        <v>13</v>
      </c>
      <c r="D284" t="str">
        <f t="shared" si="11"/>
        <v>Rotacionado Cipó PretoNovilha13/04/2026</v>
      </c>
      <c r="E284">
        <v>1</v>
      </c>
      <c r="G284" s="53" t="str">
        <f t="shared" si="12"/>
        <v>46125Rotacionado Cipó Preto</v>
      </c>
    </row>
    <row r="285" spans="1:7">
      <c r="A285" s="56">
        <v>46125</v>
      </c>
      <c r="B285" t="s">
        <v>87</v>
      </c>
      <c r="C285" t="s">
        <v>13</v>
      </c>
      <c r="D285" t="str">
        <f t="shared" si="11"/>
        <v>Avenida 1Novilha13/04/2026</v>
      </c>
      <c r="E285">
        <v>241</v>
      </c>
      <c r="G285" s="53" t="str">
        <f t="shared" si="12"/>
        <v>46125Avenida 1</v>
      </c>
    </row>
    <row r="286" spans="1:7">
      <c r="A286" s="56">
        <v>46125</v>
      </c>
      <c r="B286" t="s">
        <v>93</v>
      </c>
      <c r="C286" t="s">
        <v>13</v>
      </c>
      <c r="D286" t="str">
        <f t="shared" si="11"/>
        <v>Reserva Boqueirão Novilha13/04/2026</v>
      </c>
      <c r="E286">
        <v>371</v>
      </c>
      <c r="F286" t="s">
        <v>110</v>
      </c>
      <c r="G286" s="53" t="str">
        <f t="shared" si="12"/>
        <v xml:space="preserve">46125Reserva Boqueirão </v>
      </c>
    </row>
    <row r="287" spans="1:7">
      <c r="A287" s="56">
        <v>46146</v>
      </c>
      <c r="B287" t="s">
        <v>40</v>
      </c>
      <c r="C287" t="s">
        <v>9</v>
      </c>
      <c r="D287" t="str">
        <f t="shared" si="11"/>
        <v>Rotacionado EntradaVaca Parida04/05/2026</v>
      </c>
      <c r="E287">
        <v>250</v>
      </c>
      <c r="F287" t="s">
        <v>41</v>
      </c>
      <c r="G287" s="53" t="str">
        <f t="shared" si="12"/>
        <v>46146Rotacionado Entrada</v>
      </c>
    </row>
    <row r="288" spans="1:7">
      <c r="A288" s="56">
        <v>46146</v>
      </c>
      <c r="B288" t="s">
        <v>40</v>
      </c>
      <c r="C288" t="s">
        <v>11</v>
      </c>
      <c r="D288" t="str">
        <f t="shared" si="11"/>
        <v>Rotacionado EntradaVaca04/05/2026</v>
      </c>
      <c r="E288">
        <v>9</v>
      </c>
      <c r="F288" t="s">
        <v>41</v>
      </c>
      <c r="G288" s="53" t="str">
        <f t="shared" si="12"/>
        <v>46146Rotacionado Entrada</v>
      </c>
    </row>
    <row r="289" spans="1:7">
      <c r="A289" s="56">
        <v>46146</v>
      </c>
      <c r="B289" t="s">
        <v>53</v>
      </c>
      <c r="C289" t="s">
        <v>11</v>
      </c>
      <c r="D289" t="str">
        <f t="shared" si="11"/>
        <v>Vila 2Vaca04/05/2026</v>
      </c>
      <c r="E289">
        <v>2</v>
      </c>
      <c r="G289" s="53" t="str">
        <f t="shared" si="12"/>
        <v>46146Vila 2</v>
      </c>
    </row>
    <row r="290" spans="1:7">
      <c r="A290" s="56">
        <v>46146</v>
      </c>
      <c r="B290" t="s">
        <v>53</v>
      </c>
      <c r="C290" t="s">
        <v>26</v>
      </c>
      <c r="D290" t="str">
        <f t="shared" si="11"/>
        <v>Vila 2Garrote04/05/2026</v>
      </c>
      <c r="E290">
        <v>36</v>
      </c>
      <c r="G290" s="53" t="str">
        <f t="shared" si="12"/>
        <v>46146Vila 2</v>
      </c>
    </row>
    <row r="291" spans="1:7">
      <c r="A291" s="56">
        <v>46146</v>
      </c>
      <c r="B291" t="s">
        <v>61</v>
      </c>
      <c r="C291" t="s">
        <v>11</v>
      </c>
      <c r="D291" t="str">
        <f t="shared" si="11"/>
        <v>Rotacionado Caixa d'ÁguaVaca04/05/2026</v>
      </c>
      <c r="E291">
        <v>5</v>
      </c>
      <c r="F291" t="s">
        <v>62</v>
      </c>
      <c r="G291" s="53" t="str">
        <f t="shared" si="12"/>
        <v>46146Rotacionado Caixa d'Água</v>
      </c>
    </row>
    <row r="292" spans="1:7">
      <c r="A292" s="56">
        <v>46146</v>
      </c>
      <c r="B292" t="s">
        <v>61</v>
      </c>
      <c r="C292" t="s">
        <v>27</v>
      </c>
      <c r="D292" t="str">
        <f t="shared" si="11"/>
        <v>Rotacionado Caixa d'ÁguaBez(O/A)04/05/2026</v>
      </c>
      <c r="E292">
        <v>177</v>
      </c>
      <c r="F292" t="s">
        <v>62</v>
      </c>
      <c r="G292" s="53" t="str">
        <f t="shared" si="12"/>
        <v>46146Rotacionado Caixa d'Água</v>
      </c>
    </row>
    <row r="293" spans="1:7">
      <c r="A293" s="56">
        <v>46146</v>
      </c>
      <c r="B293" t="s">
        <v>64</v>
      </c>
      <c r="C293" t="s">
        <v>9</v>
      </c>
      <c r="D293" t="str">
        <f t="shared" si="11"/>
        <v>Rotacionado MacaúbaVaca Parida04/05/2026</v>
      </c>
      <c r="E293">
        <v>2</v>
      </c>
      <c r="G293" s="53" t="str">
        <f t="shared" si="12"/>
        <v>46146Rotacionado Macaúba</v>
      </c>
    </row>
    <row r="294" spans="1:7">
      <c r="A294" s="56">
        <v>46146</v>
      </c>
      <c r="B294" t="s">
        <v>64</v>
      </c>
      <c r="C294" t="s">
        <v>11</v>
      </c>
      <c r="D294" t="str">
        <f t="shared" si="11"/>
        <v>Rotacionado MacaúbaVaca04/05/2026</v>
      </c>
      <c r="E294">
        <v>1</v>
      </c>
      <c r="G294" s="53" t="str">
        <f t="shared" si="12"/>
        <v>46146Rotacionado Macaúba</v>
      </c>
    </row>
    <row r="295" spans="1:7">
      <c r="A295" s="56">
        <v>46146</v>
      </c>
      <c r="B295" t="s">
        <v>73</v>
      </c>
      <c r="C295" t="s">
        <v>11</v>
      </c>
      <c r="D295" t="str">
        <f t="shared" si="11"/>
        <v>Piquetes da MataVaca04/05/2026</v>
      </c>
      <c r="E295">
        <v>147</v>
      </c>
      <c r="F295" t="s">
        <v>74</v>
      </c>
      <c r="G295" s="53" t="str">
        <f t="shared" si="12"/>
        <v>46146Piquetes da Mata</v>
      </c>
    </row>
    <row r="296" spans="1:7">
      <c r="A296" s="56">
        <v>46146</v>
      </c>
      <c r="B296" t="s">
        <v>73</v>
      </c>
      <c r="C296" t="s">
        <v>13</v>
      </c>
      <c r="D296" t="str">
        <f t="shared" si="11"/>
        <v>Piquetes da MataNovilha04/05/2026</v>
      </c>
      <c r="E296">
        <v>157</v>
      </c>
      <c r="F296" t="s">
        <v>132</v>
      </c>
      <c r="G296" s="53" t="str">
        <f t="shared" si="12"/>
        <v>46146Piquetes da Mata</v>
      </c>
    </row>
    <row r="297" spans="1:7">
      <c r="A297" s="56">
        <v>46146</v>
      </c>
      <c r="B297" t="s">
        <v>73</v>
      </c>
      <c r="C297" t="s">
        <v>19</v>
      </c>
      <c r="D297" t="str">
        <f t="shared" si="11"/>
        <v>Piquetes da MataTouro04/05/2026</v>
      </c>
      <c r="E297">
        <v>33</v>
      </c>
      <c r="F297" t="s">
        <v>74</v>
      </c>
      <c r="G297" s="53" t="str">
        <f t="shared" si="12"/>
        <v>46146Piquetes da Mata</v>
      </c>
    </row>
    <row r="298" spans="1:7">
      <c r="A298" s="56">
        <v>46146</v>
      </c>
      <c r="B298" t="s">
        <v>75</v>
      </c>
      <c r="C298" t="s">
        <v>27</v>
      </c>
      <c r="D298" t="str">
        <f t="shared" si="11"/>
        <v>Rotacionado Cipó PretoBez(O/A)04/05/2026</v>
      </c>
      <c r="E298">
        <v>187</v>
      </c>
      <c r="F298" t="s">
        <v>76</v>
      </c>
      <c r="G298" s="53" t="str">
        <f t="shared" si="12"/>
        <v>46146Rotacionado Cipó Preto</v>
      </c>
    </row>
    <row r="299" spans="1:7">
      <c r="A299" s="56">
        <v>46146</v>
      </c>
      <c r="B299" t="s">
        <v>81</v>
      </c>
      <c r="C299" t="s">
        <v>11</v>
      </c>
      <c r="D299" t="str">
        <f t="shared" si="11"/>
        <v>Pasto dos IpêsVaca04/05/2026</v>
      </c>
      <c r="E299">
        <v>213</v>
      </c>
      <c r="F299" t="s">
        <v>82</v>
      </c>
      <c r="G299" s="53" t="str">
        <f t="shared" si="12"/>
        <v>46146Pasto dos Ipês</v>
      </c>
    </row>
    <row r="300" spans="1:7">
      <c r="A300" s="56">
        <v>46146</v>
      </c>
      <c r="B300" t="s">
        <v>83</v>
      </c>
      <c r="C300" t="s">
        <v>13</v>
      </c>
      <c r="D300" t="str">
        <f t="shared" si="11"/>
        <v>MangasNovilha04/05/2026</v>
      </c>
      <c r="E300">
        <v>295</v>
      </c>
      <c r="F300" t="s">
        <v>84</v>
      </c>
      <c r="G300" s="53" t="str">
        <f t="shared" si="12"/>
        <v>46146Mangas</v>
      </c>
    </row>
    <row r="301" spans="1:7">
      <c r="A301" s="56">
        <v>46146</v>
      </c>
      <c r="B301" t="s">
        <v>90</v>
      </c>
      <c r="C301" t="s">
        <v>11</v>
      </c>
      <c r="D301" t="str">
        <f t="shared" si="11"/>
        <v>Caixa D'água RetiroVaca04/05/2026</v>
      </c>
      <c r="E301">
        <v>463</v>
      </c>
      <c r="F301" t="s">
        <v>91</v>
      </c>
      <c r="G301" s="53" t="str">
        <f t="shared" si="12"/>
        <v>46146Caixa D'água Retiro</v>
      </c>
    </row>
    <row r="302" spans="1:7">
      <c r="A302" s="56">
        <v>46157</v>
      </c>
      <c r="B302" t="s">
        <v>40</v>
      </c>
      <c r="C302" t="s">
        <v>9</v>
      </c>
      <c r="D302" t="str">
        <f t="shared" si="11"/>
        <v>Rotacionado EntradaVaca Parida15/05/2026</v>
      </c>
      <c r="E302">
        <v>214</v>
      </c>
      <c r="F302" t="s">
        <v>133</v>
      </c>
      <c r="G302" s="53" t="str">
        <f t="shared" si="12"/>
        <v>46157Rotacionado Entrada</v>
      </c>
    </row>
    <row r="303" spans="1:7">
      <c r="A303" s="56">
        <v>46157</v>
      </c>
      <c r="B303" t="s">
        <v>40</v>
      </c>
      <c r="C303" t="s">
        <v>11</v>
      </c>
      <c r="D303" t="str">
        <f t="shared" si="11"/>
        <v>Rotacionado EntradaVaca15/05/2026</v>
      </c>
      <c r="E303">
        <v>39</v>
      </c>
      <c r="G303" s="53" t="str">
        <f t="shared" si="12"/>
        <v>46157Rotacionado Entrada</v>
      </c>
    </row>
    <row r="304" spans="1:7">
      <c r="A304" s="56">
        <v>46157</v>
      </c>
      <c r="B304" t="s">
        <v>53</v>
      </c>
      <c r="C304" t="s">
        <v>11</v>
      </c>
      <c r="D304" t="str">
        <f t="shared" si="11"/>
        <v>Vila 2Vaca15/05/2026</v>
      </c>
      <c r="E304">
        <v>2</v>
      </c>
      <c r="G304" s="53" t="str">
        <f t="shared" si="12"/>
        <v>46157Vila 2</v>
      </c>
    </row>
    <row r="305" spans="1:7">
      <c r="A305" s="56">
        <v>46157</v>
      </c>
      <c r="B305" t="s">
        <v>53</v>
      </c>
      <c r="C305" t="s">
        <v>26</v>
      </c>
      <c r="D305" t="str">
        <f t="shared" si="11"/>
        <v>Vila 2Garrote15/05/2026</v>
      </c>
      <c r="E305">
        <v>36</v>
      </c>
      <c r="G305" s="53" t="str">
        <f t="shared" si="12"/>
        <v>46157Vila 2</v>
      </c>
    </row>
    <row r="306" spans="1:7">
      <c r="A306" s="56">
        <v>46157</v>
      </c>
      <c r="B306" t="s">
        <v>61</v>
      </c>
      <c r="C306" t="s">
        <v>11</v>
      </c>
      <c r="D306" t="str">
        <f t="shared" si="11"/>
        <v>Rotacionado Caixa d'ÁguaVaca15/05/2026</v>
      </c>
      <c r="E306">
        <v>1</v>
      </c>
      <c r="F306" t="s">
        <v>62</v>
      </c>
      <c r="G306" s="53" t="str">
        <f t="shared" si="12"/>
        <v>46157Rotacionado Caixa d'Água</v>
      </c>
    </row>
    <row r="307" spans="1:7">
      <c r="A307" s="56">
        <v>46157</v>
      </c>
      <c r="B307" t="s">
        <v>61</v>
      </c>
      <c r="C307" t="s">
        <v>27</v>
      </c>
      <c r="D307" t="str">
        <f t="shared" si="11"/>
        <v>Rotacionado Caixa d'ÁguaBez(O/A)15/05/2026</v>
      </c>
      <c r="E307">
        <v>177</v>
      </c>
      <c r="F307" t="s">
        <v>62</v>
      </c>
      <c r="G307" s="53" t="str">
        <f t="shared" si="12"/>
        <v>46157Rotacionado Caixa d'Água</v>
      </c>
    </row>
    <row r="308" spans="1:7">
      <c r="A308" s="56">
        <v>46157</v>
      </c>
      <c r="B308" t="s">
        <v>64</v>
      </c>
      <c r="C308" t="s">
        <v>9</v>
      </c>
      <c r="D308" t="str">
        <f t="shared" si="11"/>
        <v>Rotacionado MacaúbaVaca Parida15/05/2026</v>
      </c>
      <c r="E308">
        <v>2</v>
      </c>
      <c r="G308" s="53" t="str">
        <f t="shared" si="12"/>
        <v>46157Rotacionado Macaúba</v>
      </c>
    </row>
    <row r="309" spans="1:7">
      <c r="A309" s="56">
        <v>46157</v>
      </c>
      <c r="B309" t="s">
        <v>64</v>
      </c>
      <c r="C309" t="s">
        <v>11</v>
      </c>
      <c r="D309" t="str">
        <f t="shared" ref="D309:D372" si="13">B309&amp;C309&amp;TEXT(A309,"dd/mm/aaaa")</f>
        <v>Rotacionado MacaúbaVaca15/05/2026</v>
      </c>
      <c r="E309">
        <v>1</v>
      </c>
      <c r="G309" s="53" t="str">
        <f t="shared" si="12"/>
        <v>46157Rotacionado Macaúba</v>
      </c>
    </row>
    <row r="310" spans="1:7">
      <c r="A310" s="56">
        <v>46157</v>
      </c>
      <c r="B310" t="s">
        <v>80</v>
      </c>
      <c r="C310" t="s">
        <v>11</v>
      </c>
      <c r="D310" t="str">
        <f t="shared" si="13"/>
        <v>PiatãVaca15/05/2026</v>
      </c>
      <c r="E310">
        <v>153</v>
      </c>
      <c r="F310" t="s">
        <v>134</v>
      </c>
      <c r="G310" s="53" t="str">
        <f t="shared" si="12"/>
        <v>46157Piatã</v>
      </c>
    </row>
    <row r="311" spans="1:7">
      <c r="A311" s="56">
        <v>46157</v>
      </c>
      <c r="B311" t="s">
        <v>80</v>
      </c>
      <c r="C311" t="s">
        <v>13</v>
      </c>
      <c r="D311" t="str">
        <f t="shared" si="13"/>
        <v>PiatãNovilha15/05/2026</v>
      </c>
      <c r="E311">
        <v>157</v>
      </c>
      <c r="F311" t="s">
        <v>132</v>
      </c>
      <c r="G311" s="53" t="str">
        <f t="shared" si="12"/>
        <v>46157Piatã</v>
      </c>
    </row>
    <row r="312" spans="1:7">
      <c r="A312" s="56">
        <v>46157</v>
      </c>
      <c r="B312" t="s">
        <v>80</v>
      </c>
      <c r="C312" t="s">
        <v>19</v>
      </c>
      <c r="D312" t="str">
        <f t="shared" si="13"/>
        <v>PiatãTouro15/05/2026</v>
      </c>
      <c r="E312">
        <v>25</v>
      </c>
      <c r="F312" t="s">
        <v>74</v>
      </c>
      <c r="G312" s="53" t="str">
        <f t="shared" si="12"/>
        <v>46157Piatã</v>
      </c>
    </row>
    <row r="313" spans="1:7">
      <c r="A313" s="56">
        <v>46157</v>
      </c>
      <c r="B313" t="s">
        <v>75</v>
      </c>
      <c r="C313" t="s">
        <v>27</v>
      </c>
      <c r="D313" t="str">
        <f t="shared" si="13"/>
        <v>Rotacionado Cipó PretoBez(O/A)15/05/2026</v>
      </c>
      <c r="E313">
        <v>187</v>
      </c>
      <c r="F313" t="s">
        <v>76</v>
      </c>
      <c r="G313" s="53" t="str">
        <f t="shared" si="12"/>
        <v>46157Rotacionado Cipó Preto</v>
      </c>
    </row>
    <row r="314" spans="1:7">
      <c r="A314" s="56">
        <v>46157</v>
      </c>
      <c r="B314" t="s">
        <v>81</v>
      </c>
      <c r="C314" t="s">
        <v>11</v>
      </c>
      <c r="D314" t="str">
        <f t="shared" si="13"/>
        <v>Pasto dos IpêsVaca15/05/2026</v>
      </c>
      <c r="E314">
        <v>153</v>
      </c>
      <c r="F314" t="s">
        <v>135</v>
      </c>
      <c r="G314" s="53" t="str">
        <f t="shared" si="12"/>
        <v>46157Pasto dos Ipês</v>
      </c>
    </row>
    <row r="315" spans="1:7">
      <c r="A315" s="56">
        <v>46157</v>
      </c>
      <c r="B315" t="s">
        <v>75</v>
      </c>
      <c r="C315" t="s">
        <v>13</v>
      </c>
      <c r="D315" t="str">
        <f t="shared" si="13"/>
        <v>Rotacionado Cipó PretoNovilha15/05/2026</v>
      </c>
      <c r="E315">
        <v>294</v>
      </c>
      <c r="F315" t="s">
        <v>84</v>
      </c>
      <c r="G315" s="53" t="str">
        <f t="shared" si="12"/>
        <v>46157Rotacionado Cipó Preto</v>
      </c>
    </row>
    <row r="316" spans="1:7">
      <c r="A316" s="56">
        <v>46157</v>
      </c>
      <c r="B316" t="s">
        <v>83</v>
      </c>
      <c r="C316" t="s">
        <v>11</v>
      </c>
      <c r="D316" t="str">
        <f t="shared" si="13"/>
        <v>MangasVaca15/05/2026</v>
      </c>
      <c r="E316">
        <v>443</v>
      </c>
      <c r="F316" t="s">
        <v>91</v>
      </c>
      <c r="G316" s="53" t="str">
        <f t="shared" si="12"/>
        <v>46157Mangas</v>
      </c>
    </row>
    <row r="317" spans="1:7">
      <c r="A317" s="56">
        <v>46157</v>
      </c>
      <c r="B317" t="s">
        <v>72</v>
      </c>
      <c r="C317" t="s">
        <v>27</v>
      </c>
      <c r="D317" t="str">
        <f t="shared" si="13"/>
        <v>Forno 2Bez(O/A)15/05/2026</v>
      </c>
      <c r="E317">
        <v>186</v>
      </c>
      <c r="F317" t="s">
        <v>136</v>
      </c>
      <c r="G317" s="53" t="str">
        <f t="shared" si="12"/>
        <v>46157Forno 2</v>
      </c>
    </row>
    <row r="318" spans="1:7">
      <c r="A318" s="56">
        <v>46157</v>
      </c>
      <c r="B318" t="s">
        <v>72</v>
      </c>
      <c r="C318" t="s">
        <v>19</v>
      </c>
      <c r="D318" t="str">
        <f t="shared" si="13"/>
        <v>Forno 2Touro15/05/2026</v>
      </c>
      <c r="E318">
        <v>11</v>
      </c>
      <c r="G318" s="53" t="str">
        <f t="shared" si="12"/>
        <v>46157Forno 2</v>
      </c>
    </row>
    <row r="319" spans="1:7">
      <c r="A319" s="56">
        <v>46157</v>
      </c>
      <c r="B319" t="s">
        <v>72</v>
      </c>
      <c r="C319" t="s">
        <v>11</v>
      </c>
      <c r="D319" t="str">
        <f t="shared" si="13"/>
        <v>Forno 2Vaca15/05/2026</v>
      </c>
      <c r="E319">
        <v>13</v>
      </c>
      <c r="F319" t="s">
        <v>137</v>
      </c>
      <c r="G319" s="53" t="str">
        <f t="shared" si="12"/>
        <v>46157Forno 2</v>
      </c>
    </row>
    <row r="320" spans="1:7">
      <c r="A320" s="56">
        <v>46162</v>
      </c>
      <c r="B320" t="s">
        <v>40</v>
      </c>
      <c r="C320" t="s">
        <v>9</v>
      </c>
      <c r="D320" t="str">
        <f t="shared" si="13"/>
        <v>Rotacionado EntradaVaca Parida20/05/2026</v>
      </c>
      <c r="E320">
        <v>141</v>
      </c>
      <c r="F320" t="s">
        <v>138</v>
      </c>
      <c r="G320" s="53" t="str">
        <f t="shared" si="12"/>
        <v>46162Rotacionado Entrada</v>
      </c>
    </row>
    <row r="321" spans="1:7">
      <c r="A321" s="56">
        <v>46162</v>
      </c>
      <c r="B321" t="s">
        <v>40</v>
      </c>
      <c r="C321" t="s">
        <v>11</v>
      </c>
      <c r="D321" t="str">
        <f t="shared" si="13"/>
        <v>Rotacionado EntradaVaca20/05/2026</v>
      </c>
      <c r="E321">
        <v>22</v>
      </c>
      <c r="G321" s="53" t="str">
        <f t="shared" si="12"/>
        <v>46162Rotacionado Entrada</v>
      </c>
    </row>
    <row r="322" spans="1:7">
      <c r="A322" s="56">
        <v>46162</v>
      </c>
      <c r="B322" t="s">
        <v>53</v>
      </c>
      <c r="C322" t="s">
        <v>26</v>
      </c>
      <c r="D322" t="str">
        <f t="shared" si="13"/>
        <v>Vila 2Garrote20/05/2026</v>
      </c>
      <c r="E322">
        <v>36</v>
      </c>
      <c r="G322" s="53" t="str">
        <f t="shared" ref="G322:G385" si="14">A322&amp;B322</f>
        <v>46162Vila 2</v>
      </c>
    </row>
    <row r="323" spans="1:7">
      <c r="A323" s="56">
        <v>46162</v>
      </c>
      <c r="B323" t="s">
        <v>64</v>
      </c>
      <c r="C323" t="s">
        <v>9</v>
      </c>
      <c r="D323" t="str">
        <f t="shared" si="13"/>
        <v>Rotacionado MacaúbaVaca Parida20/05/2026</v>
      </c>
      <c r="E323">
        <v>2</v>
      </c>
      <c r="F323" t="s">
        <v>139</v>
      </c>
      <c r="G323" s="53" t="str">
        <f t="shared" si="14"/>
        <v>46162Rotacionado Macaúba</v>
      </c>
    </row>
    <row r="324" spans="1:7">
      <c r="A324" s="56">
        <v>46162</v>
      </c>
      <c r="B324" t="s">
        <v>64</v>
      </c>
      <c r="C324" t="s">
        <v>11</v>
      </c>
      <c r="D324" t="str">
        <f t="shared" si="13"/>
        <v>Rotacionado MacaúbaVaca20/05/2026</v>
      </c>
      <c r="E324">
        <v>1</v>
      </c>
      <c r="G324" s="53" t="str">
        <f t="shared" si="14"/>
        <v>46162Rotacionado Macaúba</v>
      </c>
    </row>
    <row r="325" spans="1:7">
      <c r="A325" s="56">
        <v>46162</v>
      </c>
      <c r="B325" t="s">
        <v>61</v>
      </c>
      <c r="C325" t="s">
        <v>27</v>
      </c>
      <c r="D325" t="str">
        <f t="shared" si="13"/>
        <v>Rotacionado Caixa d'ÁguaBez(O/A)20/05/2026</v>
      </c>
      <c r="E325">
        <v>378</v>
      </c>
      <c r="F325" t="s">
        <v>136</v>
      </c>
      <c r="G325" s="53" t="str">
        <f t="shared" si="14"/>
        <v>46162Rotacionado Caixa d'Água</v>
      </c>
    </row>
    <row r="326" spans="1:7">
      <c r="A326" s="56">
        <v>46162</v>
      </c>
      <c r="B326" t="s">
        <v>70</v>
      </c>
      <c r="C326" t="s">
        <v>11</v>
      </c>
      <c r="D326" t="str">
        <f t="shared" si="13"/>
        <v>Barriguda 1Vaca20/05/2026</v>
      </c>
      <c r="E326">
        <v>2</v>
      </c>
      <c r="G326" s="53" t="str">
        <f t="shared" si="14"/>
        <v>46162Barriguda 1</v>
      </c>
    </row>
    <row r="327" spans="1:7">
      <c r="A327" s="56">
        <v>46162</v>
      </c>
      <c r="B327" t="s">
        <v>80</v>
      </c>
      <c r="C327" t="s">
        <v>11</v>
      </c>
      <c r="D327" t="str">
        <f t="shared" si="13"/>
        <v>PiatãVaca20/05/2026</v>
      </c>
      <c r="E327">
        <v>180</v>
      </c>
      <c r="F327" t="s">
        <v>140</v>
      </c>
      <c r="G327" s="53" t="str">
        <f t="shared" si="14"/>
        <v>46162Piatã</v>
      </c>
    </row>
    <row r="328" spans="1:7">
      <c r="A328" s="56">
        <v>46162</v>
      </c>
      <c r="B328" t="s">
        <v>72</v>
      </c>
      <c r="C328" t="s">
        <v>13</v>
      </c>
      <c r="D328" t="str">
        <f t="shared" si="13"/>
        <v>Forno 2Novilha20/05/2026</v>
      </c>
      <c r="E328">
        <v>153</v>
      </c>
      <c r="F328" t="s">
        <v>141</v>
      </c>
      <c r="G328" s="53" t="str">
        <f t="shared" si="14"/>
        <v>46162Forno 2</v>
      </c>
    </row>
    <row r="329" spans="1:7">
      <c r="A329" s="56">
        <v>46162</v>
      </c>
      <c r="B329" t="s">
        <v>81</v>
      </c>
      <c r="C329" t="s">
        <v>11</v>
      </c>
      <c r="D329" t="str">
        <f t="shared" si="13"/>
        <v>Pasto dos IpêsVaca20/05/2026</v>
      </c>
      <c r="E329">
        <v>161</v>
      </c>
      <c r="F329" t="s">
        <v>142</v>
      </c>
      <c r="G329" s="53" t="str">
        <f t="shared" si="14"/>
        <v>46162Pasto dos Ipês</v>
      </c>
    </row>
    <row r="330" spans="1:7">
      <c r="A330" s="56">
        <v>46162</v>
      </c>
      <c r="B330" t="s">
        <v>75</v>
      </c>
      <c r="C330" t="s">
        <v>13</v>
      </c>
      <c r="D330" t="str">
        <f t="shared" si="13"/>
        <v>Rotacionado Cipó PretoNovilha20/05/2026</v>
      </c>
      <c r="E330">
        <v>292</v>
      </c>
      <c r="F330" t="s">
        <v>143</v>
      </c>
      <c r="G330" s="53" t="str">
        <f t="shared" si="14"/>
        <v>46162Rotacionado Cipó Preto</v>
      </c>
    </row>
    <row r="331" spans="1:7">
      <c r="A331" s="56">
        <v>46162</v>
      </c>
      <c r="B331" t="s">
        <v>83</v>
      </c>
      <c r="C331" t="s">
        <v>11</v>
      </c>
      <c r="D331" t="str">
        <f t="shared" si="13"/>
        <v>MangasVaca20/05/2026</v>
      </c>
      <c r="E331">
        <v>448</v>
      </c>
      <c r="F331" t="s">
        <v>140</v>
      </c>
      <c r="G331" s="53" t="str">
        <f t="shared" si="14"/>
        <v>46162Mangas</v>
      </c>
    </row>
    <row r="332" spans="1:7">
      <c r="A332" s="56">
        <v>46173</v>
      </c>
      <c r="B332" t="s">
        <v>40</v>
      </c>
      <c r="C332" t="s">
        <v>9</v>
      </c>
      <c r="D332" t="str">
        <f t="shared" si="13"/>
        <v>Rotacionado EntradaVaca Parida31/05/2026</v>
      </c>
      <c r="E332">
        <v>104</v>
      </c>
      <c r="G332" s="53" t="str">
        <f t="shared" si="14"/>
        <v>46173Rotacionado Entrada</v>
      </c>
    </row>
    <row r="333" spans="1:7">
      <c r="A333" s="56">
        <v>46173</v>
      </c>
      <c r="B333" t="s">
        <v>40</v>
      </c>
      <c r="C333" t="s">
        <v>11</v>
      </c>
      <c r="D333" t="str">
        <f t="shared" si="13"/>
        <v>Rotacionado EntradaVaca31/05/2026</v>
      </c>
      <c r="E333">
        <v>19</v>
      </c>
      <c r="G333" s="53" t="str">
        <f t="shared" si="14"/>
        <v>46173Rotacionado Entrada</v>
      </c>
    </row>
    <row r="334" spans="1:7">
      <c r="A334" s="56">
        <v>46173</v>
      </c>
      <c r="B334" t="s">
        <v>48</v>
      </c>
      <c r="C334" t="s">
        <v>26</v>
      </c>
      <c r="D334" t="str">
        <f t="shared" si="13"/>
        <v>MatinhaGarrote31/05/2026</v>
      </c>
      <c r="E334">
        <v>36</v>
      </c>
      <c r="G334" s="53" t="str">
        <f t="shared" si="14"/>
        <v>46173Matinha</v>
      </c>
    </row>
    <row r="335" spans="1:7">
      <c r="A335" s="56">
        <v>46173</v>
      </c>
      <c r="B335" t="s">
        <v>53</v>
      </c>
      <c r="C335" t="s">
        <v>27</v>
      </c>
      <c r="D335" t="str">
        <f t="shared" si="13"/>
        <v>Vila 2Bez(O/A)31/05/2026</v>
      </c>
      <c r="E335">
        <v>119</v>
      </c>
      <c r="F335" t="s">
        <v>136</v>
      </c>
      <c r="G335" s="53" t="str">
        <f t="shared" si="14"/>
        <v>46173Vila 2</v>
      </c>
    </row>
    <row r="336" spans="1:7">
      <c r="A336" s="56">
        <v>46173</v>
      </c>
      <c r="B336" t="s">
        <v>64</v>
      </c>
      <c r="C336" t="s">
        <v>9</v>
      </c>
      <c r="D336" t="str">
        <f t="shared" si="13"/>
        <v>Rotacionado MacaúbaVaca Parida31/05/2026</v>
      </c>
      <c r="E336">
        <v>3</v>
      </c>
      <c r="G336" s="53" t="str">
        <f t="shared" si="14"/>
        <v>46173Rotacionado Macaúba</v>
      </c>
    </row>
    <row r="337" spans="1:7">
      <c r="A337" s="56">
        <v>46173</v>
      </c>
      <c r="B337" t="s">
        <v>64</v>
      </c>
      <c r="C337" t="s">
        <v>13</v>
      </c>
      <c r="D337" t="str">
        <f t="shared" si="13"/>
        <v>Rotacionado MacaúbaNovilha31/05/2026</v>
      </c>
      <c r="E337">
        <v>2</v>
      </c>
      <c r="F337" t="s">
        <v>144</v>
      </c>
      <c r="G337" s="53" t="str">
        <f t="shared" si="14"/>
        <v>46173Rotacionado Macaúba</v>
      </c>
    </row>
    <row r="338" spans="1:7">
      <c r="A338" s="56">
        <v>46173</v>
      </c>
      <c r="B338" t="s">
        <v>64</v>
      </c>
      <c r="C338" t="s">
        <v>11</v>
      </c>
      <c r="D338" t="str">
        <f t="shared" si="13"/>
        <v>Rotacionado MacaúbaVaca31/05/2026</v>
      </c>
      <c r="E338">
        <v>7</v>
      </c>
      <c r="G338" s="53" t="str">
        <f t="shared" si="14"/>
        <v>46173Rotacionado Macaúba</v>
      </c>
    </row>
    <row r="339" spans="1:7">
      <c r="A339" s="56">
        <v>46173</v>
      </c>
      <c r="B339" t="s">
        <v>64</v>
      </c>
      <c r="C339" t="s">
        <v>19</v>
      </c>
      <c r="D339" t="str">
        <f t="shared" si="13"/>
        <v>Rotacionado MacaúbaTouro31/05/2026</v>
      </c>
      <c r="E339">
        <v>7</v>
      </c>
      <c r="G339" s="53" t="str">
        <f t="shared" si="14"/>
        <v>46173Rotacionado Macaúba</v>
      </c>
    </row>
    <row r="340" spans="1:7">
      <c r="A340" s="56">
        <v>46173</v>
      </c>
      <c r="B340" t="s">
        <v>61</v>
      </c>
      <c r="C340" t="s">
        <v>27</v>
      </c>
      <c r="D340" t="str">
        <f t="shared" si="13"/>
        <v>Rotacionado Caixa d'ÁguaBez(O/A)31/05/2026</v>
      </c>
      <c r="E340">
        <v>180</v>
      </c>
      <c r="F340" t="s">
        <v>145</v>
      </c>
      <c r="G340" s="53" t="str">
        <f t="shared" si="14"/>
        <v>46173Rotacionado Caixa d'Água</v>
      </c>
    </row>
    <row r="341" spans="1:7">
      <c r="A341" s="56">
        <v>46173</v>
      </c>
      <c r="B341" t="s">
        <v>61</v>
      </c>
      <c r="C341" t="s">
        <v>13</v>
      </c>
      <c r="D341" t="str">
        <f t="shared" si="13"/>
        <v>Rotacionado Caixa d'ÁguaNovilha31/05/2026</v>
      </c>
      <c r="E341">
        <v>38</v>
      </c>
      <c r="G341" s="53" t="str">
        <f t="shared" si="14"/>
        <v>46173Rotacionado Caixa d'Água</v>
      </c>
    </row>
    <row r="342" spans="1:7">
      <c r="A342" s="56">
        <v>46173</v>
      </c>
      <c r="B342" t="s">
        <v>73</v>
      </c>
      <c r="C342" t="s">
        <v>13</v>
      </c>
      <c r="D342" t="str">
        <f t="shared" si="13"/>
        <v>Piquetes da MataNovilha31/05/2026</v>
      </c>
      <c r="E342">
        <v>123</v>
      </c>
      <c r="F342" t="s">
        <v>146</v>
      </c>
      <c r="G342" s="53" t="str">
        <f t="shared" si="14"/>
        <v>46173Piquetes da Mata</v>
      </c>
    </row>
    <row r="343" spans="1:7">
      <c r="A343" s="56">
        <v>46173</v>
      </c>
      <c r="B343" t="s">
        <v>72</v>
      </c>
      <c r="C343" t="s">
        <v>27</v>
      </c>
      <c r="D343" t="str">
        <f t="shared" si="13"/>
        <v>Forno 2Bez(O/A)31/05/2026</v>
      </c>
      <c r="E343">
        <v>184</v>
      </c>
      <c r="F343" t="s">
        <v>136</v>
      </c>
      <c r="G343" s="53" t="str">
        <f t="shared" si="14"/>
        <v>46173Forno 2</v>
      </c>
    </row>
    <row r="344" spans="1:7">
      <c r="A344" s="56">
        <v>46173</v>
      </c>
      <c r="B344" t="s">
        <v>80</v>
      </c>
      <c r="C344" t="s">
        <v>11</v>
      </c>
      <c r="D344" t="str">
        <f t="shared" si="13"/>
        <v>PiatãVaca31/05/2026</v>
      </c>
      <c r="E344">
        <v>181</v>
      </c>
      <c r="F344" t="s">
        <v>106</v>
      </c>
      <c r="G344" s="53" t="str">
        <f t="shared" si="14"/>
        <v>46173Piatã</v>
      </c>
    </row>
    <row r="345" spans="1:7">
      <c r="A345" s="56">
        <v>46173</v>
      </c>
      <c r="B345" t="s">
        <v>80</v>
      </c>
      <c r="C345" t="s">
        <v>19</v>
      </c>
      <c r="D345" t="str">
        <f t="shared" si="13"/>
        <v>PiatãTouro31/05/2026</v>
      </c>
      <c r="E345">
        <v>31</v>
      </c>
      <c r="F345" t="s">
        <v>147</v>
      </c>
      <c r="G345" s="53" t="str">
        <f t="shared" si="14"/>
        <v>46173Piatã</v>
      </c>
    </row>
    <row r="346" spans="1:7">
      <c r="A346" s="56">
        <v>46173</v>
      </c>
      <c r="B346" t="s">
        <v>81</v>
      </c>
      <c r="C346" t="s">
        <v>11</v>
      </c>
      <c r="D346" t="str">
        <f t="shared" si="13"/>
        <v>Pasto dos IpêsVaca31/05/2026</v>
      </c>
      <c r="E346">
        <v>151</v>
      </c>
      <c r="F346" t="s">
        <v>135</v>
      </c>
      <c r="G346" s="53" t="str">
        <f t="shared" si="14"/>
        <v>46173Pasto dos Ipês</v>
      </c>
    </row>
    <row r="347" spans="1:7">
      <c r="A347" s="56">
        <v>46173</v>
      </c>
      <c r="B347" t="s">
        <v>75</v>
      </c>
      <c r="C347" t="s">
        <v>13</v>
      </c>
      <c r="D347" t="str">
        <f t="shared" si="13"/>
        <v>Rotacionado Cipó PretoNovilha31/05/2026</v>
      </c>
      <c r="E347">
        <v>210</v>
      </c>
      <c r="F347" t="s">
        <v>148</v>
      </c>
      <c r="G347" s="53" t="str">
        <f t="shared" si="14"/>
        <v>46173Rotacionado Cipó Preto</v>
      </c>
    </row>
    <row r="348" spans="1:7">
      <c r="A348" s="56">
        <v>46173</v>
      </c>
      <c r="B348" t="s">
        <v>83</v>
      </c>
      <c r="C348" t="s">
        <v>11</v>
      </c>
      <c r="D348" t="str">
        <f t="shared" si="13"/>
        <v>MangasVaca31/05/2026</v>
      </c>
      <c r="E348">
        <v>457</v>
      </c>
      <c r="F348" t="s">
        <v>149</v>
      </c>
      <c r="G348" s="53" t="str">
        <f t="shared" si="14"/>
        <v>46173Mangas</v>
      </c>
    </row>
    <row r="349" spans="1:7">
      <c r="A349" s="56">
        <v>46181</v>
      </c>
      <c r="B349" t="s">
        <v>40</v>
      </c>
      <c r="C349" t="s">
        <v>9</v>
      </c>
      <c r="D349" t="str">
        <f t="shared" si="13"/>
        <v>Rotacionado EntradaVaca Parida08/06/2026</v>
      </c>
      <c r="E349">
        <v>104</v>
      </c>
      <c r="G349" s="53" t="str">
        <f t="shared" si="14"/>
        <v>46181Rotacionado Entrada</v>
      </c>
    </row>
    <row r="350" spans="1:7">
      <c r="A350" s="56">
        <v>46181</v>
      </c>
      <c r="B350" t="s">
        <v>40</v>
      </c>
      <c r="C350" t="s">
        <v>11</v>
      </c>
      <c r="D350" t="str">
        <f t="shared" si="13"/>
        <v>Rotacionado EntradaVaca08/06/2026</v>
      </c>
      <c r="E350">
        <v>23</v>
      </c>
      <c r="G350" s="53" t="str">
        <f t="shared" si="14"/>
        <v>46181Rotacionado Entrada</v>
      </c>
    </row>
    <row r="351" spans="1:7">
      <c r="A351" s="56">
        <v>46181</v>
      </c>
      <c r="B351" t="s">
        <v>48</v>
      </c>
      <c r="C351" t="s">
        <v>26</v>
      </c>
      <c r="D351" t="str">
        <f t="shared" si="13"/>
        <v>MatinhaGarrote08/06/2026</v>
      </c>
      <c r="E351">
        <v>36</v>
      </c>
      <c r="G351" s="53" t="str">
        <f t="shared" si="14"/>
        <v>46181Matinha</v>
      </c>
    </row>
    <row r="352" spans="1:7">
      <c r="A352" s="56">
        <v>46181</v>
      </c>
      <c r="B352" t="s">
        <v>53</v>
      </c>
      <c r="C352" t="s">
        <v>27</v>
      </c>
      <c r="D352" t="str">
        <f t="shared" si="13"/>
        <v>Vila 2Bez(O/A)08/06/2026</v>
      </c>
      <c r="E352">
        <v>119</v>
      </c>
      <c r="F352" t="s">
        <v>136</v>
      </c>
      <c r="G352" s="53" t="str">
        <f t="shared" si="14"/>
        <v>46181Vila 2</v>
      </c>
    </row>
    <row r="353" spans="1:7">
      <c r="A353" s="56">
        <v>46181</v>
      </c>
      <c r="B353" t="s">
        <v>64</v>
      </c>
      <c r="C353" t="s">
        <v>9</v>
      </c>
      <c r="D353" t="str">
        <f t="shared" si="13"/>
        <v>Rotacionado MacaúbaVaca Parida08/06/2026</v>
      </c>
      <c r="E353">
        <v>3</v>
      </c>
      <c r="G353" s="53" t="str">
        <f t="shared" si="14"/>
        <v>46181Rotacionado Macaúba</v>
      </c>
    </row>
    <row r="354" spans="1:7">
      <c r="A354" s="56">
        <v>46181</v>
      </c>
      <c r="B354" t="s">
        <v>64</v>
      </c>
      <c r="C354" t="s">
        <v>11</v>
      </c>
      <c r="D354" t="str">
        <f t="shared" si="13"/>
        <v>Rotacionado MacaúbaVaca08/06/2026</v>
      </c>
      <c r="E354">
        <v>7</v>
      </c>
      <c r="G354" s="53" t="str">
        <f t="shared" si="14"/>
        <v>46181Rotacionado Macaúba</v>
      </c>
    </row>
    <row r="355" spans="1:7">
      <c r="A355" s="56">
        <v>46181</v>
      </c>
      <c r="B355" t="s">
        <v>64</v>
      </c>
      <c r="C355" t="s">
        <v>19</v>
      </c>
      <c r="D355" t="str">
        <f t="shared" si="13"/>
        <v>Rotacionado MacaúbaTouro08/06/2026</v>
      </c>
      <c r="E355">
        <v>6</v>
      </c>
      <c r="G355" s="53" t="str">
        <f t="shared" si="14"/>
        <v>46181Rotacionado Macaúba</v>
      </c>
    </row>
    <row r="356" spans="1:7">
      <c r="A356" s="56">
        <v>46181</v>
      </c>
      <c r="B356" t="s">
        <v>70</v>
      </c>
      <c r="C356" t="s">
        <v>27</v>
      </c>
      <c r="D356" t="str">
        <f t="shared" si="13"/>
        <v>Barriguda 1Bez(O/A)08/06/2026</v>
      </c>
      <c r="E356">
        <v>180</v>
      </c>
      <c r="F356" t="s">
        <v>145</v>
      </c>
      <c r="G356" s="53" t="str">
        <f t="shared" si="14"/>
        <v>46181Barriguda 1</v>
      </c>
    </row>
    <row r="357" spans="1:7">
      <c r="A357" s="56">
        <v>46181</v>
      </c>
      <c r="B357" t="s">
        <v>73</v>
      </c>
      <c r="C357" t="s">
        <v>13</v>
      </c>
      <c r="D357" t="str">
        <f t="shared" si="13"/>
        <v>Piquetes da MataNovilha08/06/2026</v>
      </c>
      <c r="E357">
        <v>163</v>
      </c>
      <c r="G357" s="53" t="str">
        <f t="shared" si="14"/>
        <v>46181Piquetes da Mata</v>
      </c>
    </row>
    <row r="358" spans="1:7">
      <c r="A358" s="56">
        <v>46181</v>
      </c>
      <c r="B358" t="s">
        <v>72</v>
      </c>
      <c r="C358" t="s">
        <v>27</v>
      </c>
      <c r="D358" t="str">
        <f t="shared" si="13"/>
        <v>Forno 2Bez(O/A)08/06/2026</v>
      </c>
      <c r="E358">
        <v>184</v>
      </c>
      <c r="F358" t="s">
        <v>136</v>
      </c>
      <c r="G358" s="53" t="str">
        <f t="shared" si="14"/>
        <v>46181Forno 2</v>
      </c>
    </row>
    <row r="359" spans="1:7">
      <c r="A359" s="56">
        <v>46181</v>
      </c>
      <c r="B359" t="s">
        <v>80</v>
      </c>
      <c r="C359" t="s">
        <v>11</v>
      </c>
      <c r="D359" t="str">
        <f t="shared" si="13"/>
        <v>PiatãVaca08/06/2026</v>
      </c>
      <c r="E359">
        <v>16</v>
      </c>
      <c r="G359" s="53" t="str">
        <f t="shared" si="14"/>
        <v>46181Piatã</v>
      </c>
    </row>
    <row r="360" spans="1:7">
      <c r="A360" s="56">
        <v>46181</v>
      </c>
      <c r="B360" t="s">
        <v>80</v>
      </c>
      <c r="C360" t="s">
        <v>19</v>
      </c>
      <c r="D360" t="str">
        <f t="shared" si="13"/>
        <v>PiatãTouro08/06/2026</v>
      </c>
      <c r="E360">
        <v>31</v>
      </c>
      <c r="G360" s="53" t="str">
        <f t="shared" si="14"/>
        <v>46181Piatã</v>
      </c>
    </row>
    <row r="361" spans="1:7">
      <c r="A361" s="56">
        <v>46181</v>
      </c>
      <c r="B361" t="s">
        <v>81</v>
      </c>
      <c r="C361" t="s">
        <v>11</v>
      </c>
      <c r="D361" t="str">
        <f t="shared" si="13"/>
        <v>Pasto dos IpêsVaca08/06/2026</v>
      </c>
      <c r="E361">
        <v>151</v>
      </c>
      <c r="F361" t="s">
        <v>150</v>
      </c>
      <c r="G361" s="53" t="str">
        <f t="shared" si="14"/>
        <v>46181Pasto dos Ipês</v>
      </c>
    </row>
    <row r="362" spans="1:7">
      <c r="A362" s="56">
        <v>46181</v>
      </c>
      <c r="B362" t="s">
        <v>83</v>
      </c>
      <c r="C362" t="s">
        <v>11</v>
      </c>
      <c r="D362" t="str">
        <f t="shared" si="13"/>
        <v>MangasVaca08/06/2026</v>
      </c>
      <c r="E362">
        <v>263</v>
      </c>
      <c r="G362" s="53" t="str">
        <f t="shared" si="14"/>
        <v>46181Mangas</v>
      </c>
    </row>
    <row r="363" spans="1:7">
      <c r="A363" s="56">
        <v>46181</v>
      </c>
      <c r="B363" t="s">
        <v>75</v>
      </c>
      <c r="C363" t="s">
        <v>13</v>
      </c>
      <c r="D363" t="str">
        <f t="shared" si="13"/>
        <v>Rotacionado Cipó PretoNovilha08/06/2026</v>
      </c>
      <c r="E363">
        <v>210</v>
      </c>
      <c r="F363" t="s">
        <v>151</v>
      </c>
      <c r="G363" s="53" t="str">
        <f t="shared" si="14"/>
        <v>46181Rotacionado Cipó Preto</v>
      </c>
    </row>
    <row r="364" spans="1:7">
      <c r="A364" s="56">
        <v>46181</v>
      </c>
      <c r="B364" t="s">
        <v>152</v>
      </c>
      <c r="C364" t="s">
        <v>11</v>
      </c>
      <c r="D364" t="str">
        <f t="shared" si="13"/>
        <v>Forno 1Vaca08/06/2026</v>
      </c>
      <c r="E364">
        <v>351</v>
      </c>
      <c r="G364" s="53" t="str">
        <f t="shared" si="14"/>
        <v>46181Forno 1</v>
      </c>
    </row>
    <row r="365" spans="1:7">
      <c r="A365" s="56">
        <v>46181</v>
      </c>
      <c r="B365" t="s">
        <v>88</v>
      </c>
      <c r="C365" t="s">
        <v>11</v>
      </c>
      <c r="D365" t="str">
        <f t="shared" si="13"/>
        <v>Avenida 2Vaca08/06/2026</v>
      </c>
      <c r="E365">
        <v>5</v>
      </c>
      <c r="G365" s="53" t="str">
        <f t="shared" si="14"/>
        <v>46181Avenida 2</v>
      </c>
    </row>
    <row r="366" spans="1:7">
      <c r="A366" s="56">
        <v>46181</v>
      </c>
      <c r="B366" t="s">
        <v>89</v>
      </c>
      <c r="C366" t="s">
        <v>11</v>
      </c>
      <c r="D366" t="str">
        <f t="shared" si="13"/>
        <v>Piquete Curral do Retiro Vaca08/06/2026</v>
      </c>
      <c r="E366">
        <v>13</v>
      </c>
      <c r="G366" s="53" t="str">
        <f t="shared" si="14"/>
        <v xml:space="preserve">46181Piquete Curral do Retiro </v>
      </c>
    </row>
    <row r="367" spans="1:7">
      <c r="A367" s="56">
        <v>46188</v>
      </c>
      <c r="B367" t="s">
        <v>40</v>
      </c>
      <c r="C367" t="s">
        <v>9</v>
      </c>
      <c r="D367" t="str">
        <f t="shared" si="13"/>
        <v>Rotacionado EntradaVaca Parida15/06/2026</v>
      </c>
      <c r="E367">
        <v>104</v>
      </c>
      <c r="F367" t="s">
        <v>169</v>
      </c>
      <c r="G367" s="53" t="str">
        <f t="shared" si="14"/>
        <v>46188Rotacionado Entrada</v>
      </c>
    </row>
    <row r="368" spans="1:7">
      <c r="A368" s="56">
        <v>46188</v>
      </c>
      <c r="B368" t="s">
        <v>40</v>
      </c>
      <c r="C368" t="s">
        <v>11</v>
      </c>
      <c r="D368" t="str">
        <f t="shared" si="13"/>
        <v>Rotacionado EntradaVaca15/06/2026</v>
      </c>
      <c r="E368">
        <v>23</v>
      </c>
      <c r="G368" s="53" t="str">
        <f t="shared" si="14"/>
        <v>46188Rotacionado Entrada</v>
      </c>
    </row>
    <row r="369" spans="1:7">
      <c r="A369" s="56">
        <v>46188</v>
      </c>
      <c r="B369" t="s">
        <v>48</v>
      </c>
      <c r="C369" t="s">
        <v>26</v>
      </c>
      <c r="D369" t="str">
        <f t="shared" si="13"/>
        <v>MatinhaGarrote15/06/2026</v>
      </c>
      <c r="E369">
        <v>36</v>
      </c>
      <c r="G369" s="53" t="str">
        <f t="shared" si="14"/>
        <v>46188Matinha</v>
      </c>
    </row>
    <row r="370" spans="1:7">
      <c r="A370" s="56">
        <v>46188</v>
      </c>
      <c r="B370" t="s">
        <v>53</v>
      </c>
      <c r="C370" t="s">
        <v>27</v>
      </c>
      <c r="D370" t="str">
        <f t="shared" si="13"/>
        <v>Vila 2Bez(O/A)15/06/2026</v>
      </c>
      <c r="E370">
        <v>119</v>
      </c>
      <c r="F370" t="s">
        <v>170</v>
      </c>
      <c r="G370" s="53" t="str">
        <f t="shared" si="14"/>
        <v>46188Vila 2</v>
      </c>
    </row>
    <row r="371" spans="1:7">
      <c r="A371" s="56">
        <v>46188</v>
      </c>
      <c r="B371" t="s">
        <v>64</v>
      </c>
      <c r="C371" t="s">
        <v>9</v>
      </c>
      <c r="D371" t="str">
        <f t="shared" si="13"/>
        <v>Rotacionado MacaúbaVaca Parida15/06/2026</v>
      </c>
      <c r="E371">
        <v>3</v>
      </c>
      <c r="F371" t="s">
        <v>171</v>
      </c>
      <c r="G371" s="53" t="str">
        <f t="shared" si="14"/>
        <v>46188Rotacionado Macaúba</v>
      </c>
    </row>
    <row r="372" spans="1:7">
      <c r="A372" s="56">
        <v>46188</v>
      </c>
      <c r="B372" t="s">
        <v>64</v>
      </c>
      <c r="C372" t="s">
        <v>11</v>
      </c>
      <c r="D372" t="str">
        <f t="shared" si="13"/>
        <v>Rotacionado MacaúbaVaca15/06/2026</v>
      </c>
      <c r="E372">
        <v>7</v>
      </c>
      <c r="G372" s="53" t="str">
        <f t="shared" si="14"/>
        <v>46188Rotacionado Macaúba</v>
      </c>
    </row>
    <row r="373" spans="1:7">
      <c r="A373" s="56">
        <v>46188</v>
      </c>
      <c r="B373" t="s">
        <v>64</v>
      </c>
      <c r="C373" t="s">
        <v>19</v>
      </c>
      <c r="D373" t="str">
        <f t="shared" ref="D373:D436" si="15">B373&amp;C373&amp;TEXT(A373,"dd/mm/aaaa")</f>
        <v>Rotacionado MacaúbaTouro15/06/2026</v>
      </c>
      <c r="E373">
        <v>6</v>
      </c>
      <c r="G373" s="53" t="str">
        <f t="shared" si="14"/>
        <v>46188Rotacionado Macaúba</v>
      </c>
    </row>
    <row r="374" spans="1:7">
      <c r="A374" s="56">
        <v>46188</v>
      </c>
      <c r="B374" t="s">
        <v>70</v>
      </c>
      <c r="C374" t="s">
        <v>27</v>
      </c>
      <c r="D374" t="str">
        <f t="shared" si="15"/>
        <v>Barriguda 1Bez(O/A)15/06/2026</v>
      </c>
      <c r="E374">
        <v>180</v>
      </c>
      <c r="F374" t="s">
        <v>145</v>
      </c>
      <c r="G374" s="53" t="str">
        <f t="shared" si="14"/>
        <v>46188Barriguda 1</v>
      </c>
    </row>
    <row r="375" spans="1:7">
      <c r="A375" s="56">
        <v>46188</v>
      </c>
      <c r="B375" t="s">
        <v>73</v>
      </c>
      <c r="C375" t="s">
        <v>13</v>
      </c>
      <c r="D375" t="str">
        <f t="shared" si="15"/>
        <v>Piquetes da MataNovilha15/06/2026</v>
      </c>
      <c r="E375">
        <v>163</v>
      </c>
      <c r="F375" t="s">
        <v>172</v>
      </c>
      <c r="G375" s="53" t="str">
        <f t="shared" si="14"/>
        <v>46188Piquetes da Mata</v>
      </c>
    </row>
    <row r="376" spans="1:7">
      <c r="A376" s="56">
        <v>46188</v>
      </c>
      <c r="B376" t="s">
        <v>72</v>
      </c>
      <c r="C376" t="s">
        <v>27</v>
      </c>
      <c r="D376" t="str">
        <f t="shared" si="15"/>
        <v>Forno 2Bez(O/A)15/06/2026</v>
      </c>
      <c r="E376">
        <v>184</v>
      </c>
      <c r="F376" t="s">
        <v>173</v>
      </c>
      <c r="G376" s="53" t="str">
        <f t="shared" si="14"/>
        <v>46188Forno 2</v>
      </c>
    </row>
    <row r="377" spans="1:7">
      <c r="A377" s="56">
        <v>46188</v>
      </c>
      <c r="B377" t="s">
        <v>80</v>
      </c>
      <c r="C377" t="s">
        <v>19</v>
      </c>
      <c r="D377" t="str">
        <f t="shared" si="15"/>
        <v>PiatãTouro15/06/2026</v>
      </c>
      <c r="E377">
        <v>33</v>
      </c>
      <c r="G377" s="53" t="str">
        <f t="shared" si="14"/>
        <v>46188Piatã</v>
      </c>
    </row>
    <row r="378" spans="1:7">
      <c r="A378" s="56">
        <v>46188</v>
      </c>
      <c r="B378" t="s">
        <v>80</v>
      </c>
      <c r="C378" t="s">
        <v>11</v>
      </c>
      <c r="D378" t="str">
        <f t="shared" si="15"/>
        <v>PiatãVaca15/06/2026</v>
      </c>
      <c r="E378">
        <v>126</v>
      </c>
      <c r="F378" t="s">
        <v>174</v>
      </c>
      <c r="G378" s="53" t="str">
        <f t="shared" si="14"/>
        <v>46188Piatã</v>
      </c>
    </row>
    <row r="379" spans="1:7">
      <c r="A379" s="56">
        <v>46188</v>
      </c>
      <c r="B379" t="s">
        <v>81</v>
      </c>
      <c r="C379" t="s">
        <v>11</v>
      </c>
      <c r="D379" t="str">
        <f t="shared" si="15"/>
        <v>Pasto dos IpêsVaca15/06/2026</v>
      </c>
      <c r="E379">
        <v>151</v>
      </c>
      <c r="F379" t="s">
        <v>175</v>
      </c>
      <c r="G379" s="53" t="str">
        <f t="shared" si="14"/>
        <v>46188Pasto dos Ipês</v>
      </c>
    </row>
    <row r="380" spans="1:7">
      <c r="A380" s="56">
        <v>46188</v>
      </c>
      <c r="B380" t="s">
        <v>75</v>
      </c>
      <c r="C380" t="s">
        <v>13</v>
      </c>
      <c r="D380" t="str">
        <f t="shared" si="15"/>
        <v>Rotacionado Cipó PretoNovilha15/06/2026</v>
      </c>
      <c r="E380">
        <v>210</v>
      </c>
      <c r="F380" t="s">
        <v>176</v>
      </c>
      <c r="G380" s="53" t="str">
        <f t="shared" si="14"/>
        <v>46188Rotacionado Cipó Preto</v>
      </c>
    </row>
    <row r="381" spans="1:7">
      <c r="A381" s="56">
        <v>46188</v>
      </c>
      <c r="B381" t="s">
        <v>83</v>
      </c>
      <c r="C381" t="s">
        <v>11</v>
      </c>
      <c r="D381" t="str">
        <f t="shared" si="15"/>
        <v>MangasVaca15/06/2026</v>
      </c>
      <c r="E381">
        <v>135</v>
      </c>
      <c r="F381" t="s">
        <v>149</v>
      </c>
      <c r="G381" s="53" t="str">
        <f t="shared" si="14"/>
        <v>46188Mangas</v>
      </c>
    </row>
    <row r="382" spans="1:7">
      <c r="A382" s="56">
        <v>46188</v>
      </c>
      <c r="B382" t="s">
        <v>93</v>
      </c>
      <c r="C382" t="s">
        <v>11</v>
      </c>
      <c r="D382" t="str">
        <f t="shared" si="15"/>
        <v>Reserva Boqueirão Vaca15/06/2026</v>
      </c>
      <c r="E382">
        <v>349</v>
      </c>
      <c r="F382" t="s">
        <v>177</v>
      </c>
      <c r="G382" s="53" t="str">
        <f t="shared" si="14"/>
        <v xml:space="preserve">46188Reserva Boqueirão </v>
      </c>
    </row>
    <row r="383" spans="1:7">
      <c r="A383" s="56">
        <v>46210</v>
      </c>
      <c r="B383" t="s">
        <v>40</v>
      </c>
      <c r="C383" t="s">
        <v>11</v>
      </c>
      <c r="D383" t="str">
        <f t="shared" si="15"/>
        <v>Rotacionado EntradaVaca07/07/2026</v>
      </c>
      <c r="E383">
        <v>137</v>
      </c>
      <c r="G383" s="53" t="str">
        <f t="shared" si="14"/>
        <v>46210Rotacionado Entrada</v>
      </c>
    </row>
    <row r="384" spans="1:7">
      <c r="A384" s="56">
        <v>46210</v>
      </c>
      <c r="B384" t="s">
        <v>40</v>
      </c>
      <c r="C384" t="s">
        <v>27</v>
      </c>
      <c r="D384" t="str">
        <f t="shared" si="15"/>
        <v>Rotacionado EntradaBez(O/A)07/07/2026</v>
      </c>
      <c r="E384">
        <v>12</v>
      </c>
      <c r="G384" s="53" t="str">
        <f t="shared" si="14"/>
        <v>46210Rotacionado Entrada</v>
      </c>
    </row>
    <row r="385" spans="1:7">
      <c r="A385" s="56">
        <v>46210</v>
      </c>
      <c r="B385" t="s">
        <v>53</v>
      </c>
      <c r="C385" t="s">
        <v>26</v>
      </c>
      <c r="D385" t="str">
        <f t="shared" si="15"/>
        <v>Vila 2Garrote07/07/2026</v>
      </c>
      <c r="E385">
        <v>18</v>
      </c>
      <c r="G385" s="53" t="str">
        <f t="shared" si="14"/>
        <v>46210Vila 2</v>
      </c>
    </row>
    <row r="386" spans="1:7">
      <c r="A386" s="56">
        <v>46210</v>
      </c>
      <c r="B386" t="s">
        <v>64</v>
      </c>
      <c r="C386" t="s">
        <v>19</v>
      </c>
      <c r="D386" t="str">
        <f t="shared" si="15"/>
        <v>Rotacionado MacaúbaTouro07/07/2026</v>
      </c>
      <c r="E386">
        <v>12</v>
      </c>
      <c r="G386" s="53" t="str">
        <f t="shared" ref="G386:G446" si="16">A386&amp;B386</f>
        <v>46210Rotacionado Macaúba</v>
      </c>
    </row>
    <row r="387" spans="1:7">
      <c r="A387" s="56">
        <v>46210</v>
      </c>
      <c r="B387" t="s">
        <v>64</v>
      </c>
      <c r="C387" t="s">
        <v>27</v>
      </c>
      <c r="D387" t="str">
        <f t="shared" si="15"/>
        <v>Rotacionado MacaúbaBez(O/A)07/07/2026</v>
      </c>
      <c r="E387">
        <v>31</v>
      </c>
      <c r="F387" t="s">
        <v>178</v>
      </c>
      <c r="G387" s="53" t="str">
        <f t="shared" si="16"/>
        <v>46210Rotacionado Macaúba</v>
      </c>
    </row>
    <row r="388" spans="1:7">
      <c r="A388" s="56">
        <v>46210</v>
      </c>
      <c r="B388" t="s">
        <v>64</v>
      </c>
      <c r="C388" t="s">
        <v>11</v>
      </c>
      <c r="D388" t="str">
        <f t="shared" si="15"/>
        <v>Rotacionado MacaúbaVaca07/07/2026</v>
      </c>
      <c r="E388">
        <v>10</v>
      </c>
      <c r="G388" s="53" t="str">
        <f t="shared" si="16"/>
        <v>46210Rotacionado Macaúba</v>
      </c>
    </row>
    <row r="389" spans="1:7">
      <c r="A389" s="56">
        <v>46210</v>
      </c>
      <c r="B389" t="s">
        <v>152</v>
      </c>
      <c r="C389" t="s">
        <v>27</v>
      </c>
      <c r="D389" t="str">
        <f t="shared" si="15"/>
        <v>Forno 1Bez(O/A)07/07/2026</v>
      </c>
      <c r="E389">
        <v>167</v>
      </c>
      <c r="F389" t="s">
        <v>136</v>
      </c>
      <c r="G389" s="53" t="str">
        <f t="shared" si="16"/>
        <v>46210Forno 1</v>
      </c>
    </row>
    <row r="390" spans="1:7">
      <c r="A390" s="56">
        <v>46210</v>
      </c>
      <c r="B390" t="s">
        <v>73</v>
      </c>
      <c r="C390" t="s">
        <v>13</v>
      </c>
      <c r="D390" t="str">
        <f t="shared" si="15"/>
        <v>Piquetes da MataNovilha07/07/2026</v>
      </c>
      <c r="E390">
        <v>36</v>
      </c>
      <c r="F390" t="s">
        <v>179</v>
      </c>
      <c r="G390" s="53" t="str">
        <f t="shared" si="16"/>
        <v>46210Piquetes da Mata</v>
      </c>
    </row>
    <row r="391" spans="1:7">
      <c r="A391" s="56">
        <v>46210</v>
      </c>
      <c r="B391" t="s">
        <v>80</v>
      </c>
      <c r="C391" t="s">
        <v>11</v>
      </c>
      <c r="D391" t="str">
        <f t="shared" si="15"/>
        <v>PiatãVaca07/07/2026</v>
      </c>
      <c r="E391">
        <v>115</v>
      </c>
      <c r="F391" t="s">
        <v>149</v>
      </c>
      <c r="G391" s="53" t="str">
        <f t="shared" si="16"/>
        <v>46210Piatã</v>
      </c>
    </row>
    <row r="392" spans="1:7">
      <c r="A392" s="56">
        <v>46210</v>
      </c>
      <c r="B392" t="s">
        <v>80</v>
      </c>
      <c r="C392" t="s">
        <v>19</v>
      </c>
      <c r="D392" t="str">
        <f t="shared" si="15"/>
        <v>PiatãTouro07/07/2026</v>
      </c>
      <c r="E392">
        <v>24</v>
      </c>
      <c r="G392" s="53" t="str">
        <f t="shared" si="16"/>
        <v>46210Piatã</v>
      </c>
    </row>
    <row r="393" spans="1:7">
      <c r="A393" s="56">
        <v>46210</v>
      </c>
      <c r="B393" t="s">
        <v>81</v>
      </c>
      <c r="C393" t="s">
        <v>11</v>
      </c>
      <c r="D393" t="str">
        <f t="shared" si="15"/>
        <v>Pasto dos IpêsVaca07/07/2026</v>
      </c>
      <c r="E393">
        <v>149</v>
      </c>
      <c r="F393" t="s">
        <v>150</v>
      </c>
      <c r="G393" s="53" t="str">
        <f t="shared" si="16"/>
        <v>46210Pasto dos Ipês</v>
      </c>
    </row>
    <row r="394" spans="1:7">
      <c r="A394" s="56">
        <v>46210</v>
      </c>
      <c r="B394" t="s">
        <v>77</v>
      </c>
      <c r="C394" t="s">
        <v>13</v>
      </c>
      <c r="D394" t="str">
        <f t="shared" si="15"/>
        <v>Timbó 1Novilha07/07/2026</v>
      </c>
      <c r="E394">
        <v>39</v>
      </c>
      <c r="F394" t="s">
        <v>176</v>
      </c>
      <c r="G394" s="53" t="str">
        <f t="shared" si="16"/>
        <v>46210Timbó 1</v>
      </c>
    </row>
    <row r="395" spans="1:7">
      <c r="A395" s="56">
        <v>46210</v>
      </c>
      <c r="B395" t="s">
        <v>75</v>
      </c>
      <c r="C395" t="s">
        <v>13</v>
      </c>
      <c r="D395" t="str">
        <f t="shared" si="15"/>
        <v>Rotacionado Cipó PretoNovilha07/07/2026</v>
      </c>
      <c r="E395">
        <v>211</v>
      </c>
      <c r="F395" t="s">
        <v>180</v>
      </c>
      <c r="G395" s="53" t="str">
        <f t="shared" si="16"/>
        <v>46210Rotacionado Cipó Preto</v>
      </c>
    </row>
    <row r="396" spans="1:7">
      <c r="A396" s="56">
        <v>46210</v>
      </c>
      <c r="B396" t="s">
        <v>83</v>
      </c>
      <c r="C396" t="s">
        <v>11</v>
      </c>
      <c r="D396" t="str">
        <f t="shared" si="15"/>
        <v>MangasVaca07/07/2026</v>
      </c>
      <c r="E396">
        <v>158</v>
      </c>
      <c r="F396" t="s">
        <v>149</v>
      </c>
      <c r="G396" s="53" t="str">
        <f t="shared" si="16"/>
        <v>46210Mangas</v>
      </c>
    </row>
    <row r="397" spans="1:7">
      <c r="A397" s="56">
        <v>46210</v>
      </c>
      <c r="B397" t="s">
        <v>93</v>
      </c>
      <c r="C397" t="s">
        <v>11</v>
      </c>
      <c r="D397" t="str">
        <f t="shared" si="15"/>
        <v>Reserva Boqueirão Vaca07/07/2026</v>
      </c>
      <c r="E397">
        <v>349</v>
      </c>
      <c r="F397" t="s">
        <v>149</v>
      </c>
      <c r="G397" s="53" t="str">
        <f t="shared" si="16"/>
        <v xml:space="preserve">46210Reserva Boqueirão </v>
      </c>
    </row>
    <row r="398" spans="1:7">
      <c r="A398" s="56">
        <v>46223</v>
      </c>
      <c r="B398" t="s">
        <v>53</v>
      </c>
      <c r="C398" t="s">
        <v>27</v>
      </c>
      <c r="D398" t="str">
        <f t="shared" si="15"/>
        <v>Vila 2Bez(O/A)20/07/2026</v>
      </c>
      <c r="E398">
        <v>3</v>
      </c>
      <c r="F398" t="s">
        <v>181</v>
      </c>
      <c r="G398" s="53" t="str">
        <f t="shared" si="16"/>
        <v>46223Vila 2</v>
      </c>
    </row>
    <row r="399" spans="1:7">
      <c r="A399" s="56">
        <v>46223</v>
      </c>
      <c r="B399" t="s">
        <v>53</v>
      </c>
      <c r="C399" t="s">
        <v>26</v>
      </c>
      <c r="D399" t="str">
        <f t="shared" si="15"/>
        <v>Vila 2Garrote20/07/2026</v>
      </c>
      <c r="E399">
        <v>1</v>
      </c>
      <c r="F399" t="s">
        <v>182</v>
      </c>
      <c r="G399" s="53" t="str">
        <f t="shared" si="16"/>
        <v>46223Vila 2</v>
      </c>
    </row>
    <row r="400" spans="1:7">
      <c r="A400" s="56">
        <v>46223</v>
      </c>
      <c r="B400" t="s">
        <v>64</v>
      </c>
      <c r="C400" t="s">
        <v>13</v>
      </c>
      <c r="D400" t="str">
        <f t="shared" si="15"/>
        <v>Rotacionado MacaúbaNovilha20/07/2026</v>
      </c>
      <c r="E400">
        <v>3</v>
      </c>
      <c r="F400" t="s">
        <v>183</v>
      </c>
      <c r="G400" s="53" t="str">
        <f t="shared" si="16"/>
        <v>46223Rotacionado Macaúba</v>
      </c>
    </row>
    <row r="401" spans="1:7">
      <c r="A401" s="56">
        <v>46223</v>
      </c>
      <c r="B401" t="s">
        <v>61</v>
      </c>
      <c r="C401" t="s">
        <v>11</v>
      </c>
      <c r="D401" t="str">
        <f t="shared" si="15"/>
        <v>Rotacionado Caixa d'ÁguaVaca20/07/2026</v>
      </c>
      <c r="E401">
        <v>5</v>
      </c>
      <c r="F401" t="s">
        <v>184</v>
      </c>
      <c r="G401" s="53" t="str">
        <f t="shared" si="16"/>
        <v>46223Rotacionado Caixa d'Água</v>
      </c>
    </row>
    <row r="402" spans="1:7">
      <c r="A402" s="56">
        <v>46223</v>
      </c>
      <c r="B402" t="s">
        <v>61</v>
      </c>
      <c r="C402" t="s">
        <v>19</v>
      </c>
      <c r="D402" t="str">
        <f t="shared" si="15"/>
        <v>Rotacionado Caixa d'ÁguaTouro20/07/2026</v>
      </c>
      <c r="E402">
        <v>5</v>
      </c>
      <c r="G402" s="53" t="str">
        <f t="shared" si="16"/>
        <v>46223Rotacionado Caixa d'Água</v>
      </c>
    </row>
    <row r="403" spans="1:7">
      <c r="A403" s="56">
        <v>46223</v>
      </c>
      <c r="B403" t="s">
        <v>40</v>
      </c>
      <c r="C403" t="s">
        <v>11</v>
      </c>
      <c r="D403" t="str">
        <f t="shared" si="15"/>
        <v>Rotacionado EntradaVaca20/07/2026</v>
      </c>
      <c r="E403">
        <v>5</v>
      </c>
      <c r="G403" s="53" t="str">
        <f t="shared" si="16"/>
        <v>46223Rotacionado Entrada</v>
      </c>
    </row>
    <row r="404" spans="1:7">
      <c r="A404" s="56">
        <v>46223</v>
      </c>
      <c r="B404" t="s">
        <v>40</v>
      </c>
      <c r="C404" t="s">
        <v>26</v>
      </c>
      <c r="D404" t="str">
        <f t="shared" si="15"/>
        <v>Rotacionado EntradaGarrote20/07/2026</v>
      </c>
      <c r="E404">
        <v>17</v>
      </c>
      <c r="F404" t="s">
        <v>185</v>
      </c>
      <c r="G404" s="53" t="str">
        <f t="shared" si="16"/>
        <v>46223Rotacionado Entrada</v>
      </c>
    </row>
    <row r="405" spans="1:7">
      <c r="A405" s="56">
        <v>46223</v>
      </c>
      <c r="B405" t="s">
        <v>152</v>
      </c>
      <c r="C405" t="s">
        <v>13</v>
      </c>
      <c r="D405" t="str">
        <f t="shared" si="15"/>
        <v>Forno 1Novilha20/07/2026</v>
      </c>
      <c r="E405">
        <v>67</v>
      </c>
      <c r="F405" t="s">
        <v>186</v>
      </c>
      <c r="G405" s="53" t="str">
        <f t="shared" si="16"/>
        <v>46223Forno 1</v>
      </c>
    </row>
    <row r="406" spans="1:7">
      <c r="A406" s="56">
        <v>46223</v>
      </c>
      <c r="B406" t="s">
        <v>72</v>
      </c>
      <c r="C406" t="s">
        <v>11</v>
      </c>
      <c r="D406" t="str">
        <f t="shared" si="15"/>
        <v>Forno 2Vaca20/07/2026</v>
      </c>
      <c r="E406">
        <v>18</v>
      </c>
      <c r="F406" t="s">
        <v>187</v>
      </c>
      <c r="G406" s="53" t="str">
        <f t="shared" si="16"/>
        <v>46223Forno 2</v>
      </c>
    </row>
    <row r="407" spans="1:7">
      <c r="A407" s="56">
        <v>46223</v>
      </c>
      <c r="B407" t="s">
        <v>72</v>
      </c>
      <c r="C407" t="s">
        <v>27</v>
      </c>
      <c r="D407" t="str">
        <f t="shared" si="15"/>
        <v>Forno 2Bez(O/A)20/07/2026</v>
      </c>
      <c r="E407">
        <v>14</v>
      </c>
      <c r="G407" s="53" t="str">
        <f t="shared" si="16"/>
        <v>46223Forno 2</v>
      </c>
    </row>
    <row r="408" spans="1:7">
      <c r="A408" s="56">
        <v>46223</v>
      </c>
      <c r="B408" t="s">
        <v>73</v>
      </c>
      <c r="C408" t="s">
        <v>13</v>
      </c>
      <c r="D408" t="str">
        <f t="shared" si="15"/>
        <v>Piquetes da MataNovilha20/07/2026</v>
      </c>
      <c r="E408">
        <v>33</v>
      </c>
      <c r="F408" t="s">
        <v>188</v>
      </c>
      <c r="G408" s="53" t="str">
        <f t="shared" si="16"/>
        <v>46223Piquetes da Mata</v>
      </c>
    </row>
    <row r="409" spans="1:7">
      <c r="A409" s="56">
        <v>46223</v>
      </c>
      <c r="B409" t="s">
        <v>73</v>
      </c>
      <c r="C409" t="s">
        <v>11</v>
      </c>
      <c r="D409" t="str">
        <f t="shared" si="15"/>
        <v>Piquetes da MataVaca20/07/2026</v>
      </c>
      <c r="E409">
        <v>55</v>
      </c>
      <c r="F409" t="s">
        <v>149</v>
      </c>
      <c r="G409" s="53" t="str">
        <f t="shared" si="16"/>
        <v>46223Piquetes da Mata</v>
      </c>
    </row>
    <row r="410" spans="1:7">
      <c r="A410" s="56">
        <v>46223</v>
      </c>
      <c r="B410" t="s">
        <v>80</v>
      </c>
      <c r="C410" t="s">
        <v>11</v>
      </c>
      <c r="D410" t="str">
        <f t="shared" si="15"/>
        <v>PiatãVaca20/07/2026</v>
      </c>
      <c r="E410">
        <v>115</v>
      </c>
      <c r="F410" t="s">
        <v>149</v>
      </c>
      <c r="G410" s="53" t="str">
        <f t="shared" si="16"/>
        <v>46223Piatã</v>
      </c>
    </row>
    <row r="411" spans="1:7">
      <c r="A411" s="56">
        <v>46223</v>
      </c>
      <c r="B411" t="s">
        <v>80</v>
      </c>
      <c r="C411" t="s">
        <v>19</v>
      </c>
      <c r="D411" t="str">
        <f t="shared" si="15"/>
        <v>PiatãTouro20/07/2026</v>
      </c>
      <c r="E411">
        <v>34</v>
      </c>
      <c r="G411" s="53" t="str">
        <f t="shared" si="16"/>
        <v>46223Piatã</v>
      </c>
    </row>
    <row r="412" spans="1:7">
      <c r="A412" s="56">
        <v>46223</v>
      </c>
      <c r="B412" t="s">
        <v>81</v>
      </c>
      <c r="C412" t="s">
        <v>11</v>
      </c>
      <c r="D412" t="str">
        <f t="shared" si="15"/>
        <v>Pasto dos IpêsVaca20/07/2026</v>
      </c>
      <c r="E412">
        <v>158</v>
      </c>
      <c r="F412" t="s">
        <v>150</v>
      </c>
      <c r="G412" s="53" t="str">
        <f t="shared" si="16"/>
        <v>46223Pasto dos Ipês</v>
      </c>
    </row>
    <row r="413" spans="1:7">
      <c r="A413" s="56">
        <v>46223</v>
      </c>
      <c r="B413" t="s">
        <v>75</v>
      </c>
      <c r="C413" t="s">
        <v>11</v>
      </c>
      <c r="D413" t="str">
        <f t="shared" si="15"/>
        <v>Rotacionado Cipó PretoVaca20/07/2026</v>
      </c>
      <c r="E413">
        <v>132</v>
      </c>
      <c r="F413" t="s">
        <v>189</v>
      </c>
      <c r="G413" s="53" t="str">
        <f t="shared" si="16"/>
        <v>46223Rotacionado Cipó Preto</v>
      </c>
    </row>
    <row r="414" spans="1:7">
      <c r="A414" s="56">
        <v>46223</v>
      </c>
      <c r="B414" s="26" t="s">
        <v>83</v>
      </c>
      <c r="C414" t="s">
        <v>11</v>
      </c>
      <c r="D414" t="str">
        <f t="shared" si="15"/>
        <v>MangasVaca20/07/2026</v>
      </c>
      <c r="E414">
        <v>157</v>
      </c>
      <c r="F414" t="s">
        <v>149</v>
      </c>
      <c r="G414" s="53" t="str">
        <f t="shared" si="16"/>
        <v>46223Mangas</v>
      </c>
    </row>
    <row r="415" spans="1:7">
      <c r="A415" s="56">
        <v>46223</v>
      </c>
      <c r="B415" t="s">
        <v>88</v>
      </c>
      <c r="C415" t="s">
        <v>13</v>
      </c>
      <c r="D415" t="str">
        <f t="shared" si="15"/>
        <v>Avenida 2Novilha20/07/2026</v>
      </c>
      <c r="E415">
        <v>51</v>
      </c>
      <c r="F415" t="s">
        <v>190</v>
      </c>
      <c r="G415" s="53" t="str">
        <f t="shared" si="16"/>
        <v>46223Avenida 2</v>
      </c>
    </row>
    <row r="416" spans="1:7">
      <c r="A416" s="56">
        <v>46223</v>
      </c>
      <c r="B416" t="s">
        <v>93</v>
      </c>
      <c r="C416" t="s">
        <v>11</v>
      </c>
      <c r="D416" t="str">
        <f t="shared" si="15"/>
        <v>Reserva Boqueirão Vaca20/07/2026</v>
      </c>
      <c r="E416">
        <v>349</v>
      </c>
      <c r="F416" t="s">
        <v>191</v>
      </c>
      <c r="G416" s="53" t="str">
        <f t="shared" si="16"/>
        <v xml:space="preserve">46223Reserva Boqueirão </v>
      </c>
    </row>
    <row r="417" spans="1:7">
      <c r="A417" s="56">
        <v>46230</v>
      </c>
      <c r="B417" t="s">
        <v>40</v>
      </c>
      <c r="C417" t="s">
        <v>11</v>
      </c>
      <c r="D417" t="str">
        <f t="shared" si="15"/>
        <v>Rotacionado EntradaVaca27/07/2026</v>
      </c>
      <c r="E417">
        <v>97</v>
      </c>
      <c r="F417" t="s">
        <v>192</v>
      </c>
      <c r="G417" s="53" t="str">
        <f t="shared" si="16"/>
        <v>46230Rotacionado Entrada</v>
      </c>
    </row>
    <row r="418" spans="1:7">
      <c r="A418" s="56">
        <v>46230</v>
      </c>
      <c r="B418" t="s">
        <v>40</v>
      </c>
      <c r="C418" t="s">
        <v>27</v>
      </c>
      <c r="D418" t="str">
        <f t="shared" si="15"/>
        <v>Rotacionado EntradaBez(O/A)27/07/2026</v>
      </c>
      <c r="E418">
        <v>14</v>
      </c>
      <c r="G418" s="53" t="str">
        <f t="shared" si="16"/>
        <v>46230Rotacionado Entrada</v>
      </c>
    </row>
    <row r="419" spans="1:7">
      <c r="A419" s="56">
        <v>46230</v>
      </c>
      <c r="B419" t="s">
        <v>64</v>
      </c>
      <c r="C419" t="s">
        <v>19</v>
      </c>
      <c r="D419" t="str">
        <f t="shared" si="15"/>
        <v>Rotacionado MacaúbaTouro27/07/2026</v>
      </c>
      <c r="E419">
        <v>10</v>
      </c>
      <c r="G419" s="53" t="str">
        <f t="shared" si="16"/>
        <v>46230Rotacionado Macaúba</v>
      </c>
    </row>
    <row r="420" spans="1:7">
      <c r="A420" s="56">
        <v>46230</v>
      </c>
      <c r="B420" t="s">
        <v>64</v>
      </c>
      <c r="C420" t="s">
        <v>27</v>
      </c>
      <c r="D420" t="str">
        <f t="shared" si="15"/>
        <v>Rotacionado MacaúbaBez(O/A)27/07/2026</v>
      </c>
      <c r="E420">
        <v>11</v>
      </c>
      <c r="G420" s="53" t="str">
        <f t="shared" si="16"/>
        <v>46230Rotacionado Macaúba</v>
      </c>
    </row>
    <row r="421" spans="1:7">
      <c r="A421" s="56">
        <v>46230</v>
      </c>
      <c r="B421" t="s">
        <v>64</v>
      </c>
      <c r="C421" t="s">
        <v>11</v>
      </c>
      <c r="D421" t="str">
        <f t="shared" si="15"/>
        <v>Rotacionado MacaúbaVaca27/07/2026</v>
      </c>
      <c r="E421">
        <v>5</v>
      </c>
      <c r="G421" s="53" t="str">
        <f t="shared" si="16"/>
        <v>46230Rotacionado Macaúba</v>
      </c>
    </row>
    <row r="422" spans="1:7">
      <c r="A422" s="56">
        <v>46230</v>
      </c>
      <c r="B422" t="s">
        <v>64</v>
      </c>
      <c r="C422" t="s">
        <v>13</v>
      </c>
      <c r="D422" t="str">
        <f t="shared" si="15"/>
        <v>Rotacionado MacaúbaNovilha27/07/2026</v>
      </c>
      <c r="E422">
        <v>4</v>
      </c>
      <c r="G422" s="53" t="str">
        <f t="shared" si="16"/>
        <v>46230Rotacionado Macaúba</v>
      </c>
    </row>
    <row r="423" spans="1:7">
      <c r="A423" s="56">
        <v>46230</v>
      </c>
      <c r="B423" t="s">
        <v>70</v>
      </c>
      <c r="C423" t="s">
        <v>11</v>
      </c>
      <c r="D423" t="str">
        <f t="shared" si="15"/>
        <v>Barriguda 1Vaca27/07/2026</v>
      </c>
      <c r="E423">
        <v>1</v>
      </c>
      <c r="G423" s="53" t="str">
        <f t="shared" si="16"/>
        <v>46230Barriguda 1</v>
      </c>
    </row>
    <row r="424" spans="1:7">
      <c r="A424" s="56">
        <v>46230</v>
      </c>
      <c r="B424" t="s">
        <v>70</v>
      </c>
      <c r="C424" t="s">
        <v>13</v>
      </c>
      <c r="D424" t="str">
        <f t="shared" si="15"/>
        <v>Barriguda 1Novilha27/07/2026</v>
      </c>
      <c r="E424">
        <v>1</v>
      </c>
      <c r="G424" s="53" t="str">
        <f t="shared" si="16"/>
        <v>46230Barriguda 1</v>
      </c>
    </row>
    <row r="425" spans="1:7">
      <c r="A425" s="56">
        <v>46230</v>
      </c>
      <c r="B425" t="s">
        <v>73</v>
      </c>
      <c r="C425" t="s">
        <v>11</v>
      </c>
      <c r="D425" t="str">
        <f t="shared" si="15"/>
        <v>Piquetes da MataVaca27/07/2026</v>
      </c>
      <c r="E425">
        <v>55</v>
      </c>
      <c r="F425" t="s">
        <v>149</v>
      </c>
      <c r="G425" s="53" t="str">
        <f t="shared" si="16"/>
        <v>46230Piquetes da Mata</v>
      </c>
    </row>
    <row r="426" spans="1:7">
      <c r="A426" s="56">
        <v>46230</v>
      </c>
      <c r="B426" t="s">
        <v>80</v>
      </c>
      <c r="C426" t="s">
        <v>19</v>
      </c>
      <c r="D426" t="str">
        <f t="shared" si="15"/>
        <v>PiatãTouro27/07/2026</v>
      </c>
      <c r="E426">
        <v>29</v>
      </c>
      <c r="G426" s="53" t="str">
        <f t="shared" si="16"/>
        <v>46230Piatã</v>
      </c>
    </row>
    <row r="427" spans="1:7">
      <c r="A427" s="56">
        <v>46230</v>
      </c>
      <c r="B427" t="s">
        <v>80</v>
      </c>
      <c r="C427" t="s">
        <v>11</v>
      </c>
      <c r="D427" t="str">
        <f t="shared" si="15"/>
        <v>PiatãVaca27/07/2026</v>
      </c>
      <c r="E427">
        <v>115</v>
      </c>
      <c r="F427" t="s">
        <v>149</v>
      </c>
      <c r="G427" s="53" t="str">
        <f t="shared" si="16"/>
        <v>46230Piatã</v>
      </c>
    </row>
    <row r="428" spans="1:7">
      <c r="A428" s="56">
        <v>46230</v>
      </c>
      <c r="B428" t="s">
        <v>81</v>
      </c>
      <c r="C428" t="s">
        <v>11</v>
      </c>
      <c r="D428" t="str">
        <f t="shared" si="15"/>
        <v>Pasto dos IpêsVaca27/07/2026</v>
      </c>
      <c r="E428">
        <v>158</v>
      </c>
      <c r="F428" t="s">
        <v>193</v>
      </c>
      <c r="G428" s="53" t="str">
        <f t="shared" si="16"/>
        <v>46230Pasto dos Ipês</v>
      </c>
    </row>
    <row r="429" spans="1:7">
      <c r="A429" s="56">
        <v>46230</v>
      </c>
      <c r="B429" t="s">
        <v>75</v>
      </c>
      <c r="C429" t="s">
        <v>11</v>
      </c>
      <c r="D429" t="str">
        <f t="shared" si="15"/>
        <v>Rotacionado Cipó PretoVaca27/07/2026</v>
      </c>
      <c r="E429">
        <v>132</v>
      </c>
      <c r="G429" s="53" t="str">
        <f t="shared" si="16"/>
        <v>46230Rotacionado Cipó Preto</v>
      </c>
    </row>
    <row r="430" spans="1:7">
      <c r="A430" s="56">
        <v>46230</v>
      </c>
      <c r="B430" t="s">
        <v>83</v>
      </c>
      <c r="C430" t="s">
        <v>11</v>
      </c>
      <c r="D430" t="str">
        <f t="shared" si="15"/>
        <v>MangasVaca27/07/2026</v>
      </c>
      <c r="E430">
        <v>157</v>
      </c>
      <c r="F430" t="s">
        <v>106</v>
      </c>
      <c r="G430" s="53" t="str">
        <f t="shared" si="16"/>
        <v>46230Mangas</v>
      </c>
    </row>
    <row r="431" spans="1:7">
      <c r="A431" s="56">
        <v>46230</v>
      </c>
      <c r="B431" t="s">
        <v>88</v>
      </c>
      <c r="C431" t="s">
        <v>13</v>
      </c>
      <c r="D431" t="str">
        <f t="shared" si="15"/>
        <v>Avenida 2Novilha27/07/2026</v>
      </c>
      <c r="E431">
        <v>51</v>
      </c>
      <c r="F431" t="s">
        <v>183</v>
      </c>
      <c r="G431" s="53" t="str">
        <f t="shared" si="16"/>
        <v>46230Avenida 2</v>
      </c>
    </row>
    <row r="432" spans="1:7">
      <c r="A432" s="56">
        <v>46230</v>
      </c>
      <c r="B432" t="s">
        <v>93</v>
      </c>
      <c r="C432" t="s">
        <v>11</v>
      </c>
      <c r="D432" t="str">
        <f t="shared" si="15"/>
        <v>Reserva Boqueirão Vaca27/07/2026</v>
      </c>
      <c r="E432">
        <v>349</v>
      </c>
      <c r="F432" t="s">
        <v>149</v>
      </c>
      <c r="G432" s="53" t="str">
        <f t="shared" si="16"/>
        <v xml:space="preserve">46230Reserva Boqueirão </v>
      </c>
    </row>
    <row r="433" spans="1:7">
      <c r="A433" s="56">
        <v>46237</v>
      </c>
      <c r="B433" t="s">
        <v>40</v>
      </c>
      <c r="C433" t="s">
        <v>11</v>
      </c>
      <c r="D433" t="str">
        <f t="shared" si="15"/>
        <v>Rotacionado EntradaVaca03/08/2026</v>
      </c>
      <c r="E433">
        <v>37</v>
      </c>
      <c r="F433" t="s">
        <v>194</v>
      </c>
      <c r="G433" s="53" t="str">
        <f t="shared" si="16"/>
        <v>46237Rotacionado Entrada</v>
      </c>
    </row>
    <row r="434" spans="1:7">
      <c r="A434" s="56">
        <v>46237</v>
      </c>
      <c r="B434" t="s">
        <v>40</v>
      </c>
      <c r="C434" t="s">
        <v>27</v>
      </c>
      <c r="D434" t="str">
        <f t="shared" si="15"/>
        <v>Rotacionado EntradaBez(O/A)03/08/2026</v>
      </c>
      <c r="E434">
        <v>16</v>
      </c>
      <c r="G434" s="53" t="str">
        <f t="shared" si="16"/>
        <v>46237Rotacionado Entrada</v>
      </c>
    </row>
    <row r="435" spans="1:7">
      <c r="A435" s="56">
        <v>46237</v>
      </c>
      <c r="B435" t="s">
        <v>64</v>
      </c>
      <c r="C435" t="s">
        <v>11</v>
      </c>
      <c r="D435" t="str">
        <f t="shared" si="15"/>
        <v>Rotacionado MacaúbaVaca03/08/2026</v>
      </c>
      <c r="E435">
        <v>12</v>
      </c>
      <c r="G435" s="53" t="str">
        <f t="shared" si="16"/>
        <v>46237Rotacionado Macaúba</v>
      </c>
    </row>
    <row r="436" spans="1:7">
      <c r="A436" s="56">
        <v>46237</v>
      </c>
      <c r="B436" t="s">
        <v>64</v>
      </c>
      <c r="C436" t="s">
        <v>27</v>
      </c>
      <c r="D436" t="str">
        <f t="shared" si="15"/>
        <v>Rotacionado MacaúbaBez(O/A)03/08/2026</v>
      </c>
      <c r="E436">
        <v>6</v>
      </c>
      <c r="G436" s="53" t="str">
        <f t="shared" si="16"/>
        <v>46237Rotacionado Macaúba</v>
      </c>
    </row>
    <row r="437" spans="1:7">
      <c r="A437" s="56">
        <v>46237</v>
      </c>
      <c r="B437" t="s">
        <v>64</v>
      </c>
      <c r="C437" t="s">
        <v>13</v>
      </c>
      <c r="D437" t="str">
        <f t="shared" ref="D437:D446" si="17">B437&amp;C437&amp;TEXT(A437,"dd/mm/aaaa")</f>
        <v>Rotacionado MacaúbaNovilha03/08/2026</v>
      </c>
      <c r="E437">
        <v>14</v>
      </c>
      <c r="G437" s="53" t="str">
        <f t="shared" si="16"/>
        <v>46237Rotacionado Macaúba</v>
      </c>
    </row>
    <row r="438" spans="1:7">
      <c r="A438" s="56">
        <v>46237</v>
      </c>
      <c r="B438" t="s">
        <v>64</v>
      </c>
      <c r="C438" t="s">
        <v>19</v>
      </c>
      <c r="D438" t="str">
        <f t="shared" si="17"/>
        <v>Rotacionado MacaúbaTouro03/08/2026</v>
      </c>
      <c r="E438">
        <v>10</v>
      </c>
      <c r="G438" s="53" t="str">
        <f t="shared" si="16"/>
        <v>46237Rotacionado Macaúba</v>
      </c>
    </row>
    <row r="439" spans="1:7">
      <c r="A439" s="56">
        <v>46237</v>
      </c>
      <c r="B439" t="s">
        <v>73</v>
      </c>
      <c r="C439" t="s">
        <v>11</v>
      </c>
      <c r="D439" t="str">
        <f t="shared" si="17"/>
        <v>Piquetes da MataVaca03/08/2026</v>
      </c>
      <c r="E439">
        <v>102</v>
      </c>
      <c r="F439" t="s">
        <v>149</v>
      </c>
      <c r="G439" s="53" t="str">
        <f t="shared" si="16"/>
        <v>46237Piquetes da Mata</v>
      </c>
    </row>
    <row r="440" spans="1:7">
      <c r="A440" s="56">
        <v>46237</v>
      </c>
      <c r="B440" t="s">
        <v>80</v>
      </c>
      <c r="C440" t="s">
        <v>11</v>
      </c>
      <c r="D440" t="str">
        <f t="shared" si="17"/>
        <v>PiatãVaca03/08/2026</v>
      </c>
      <c r="E440">
        <v>115</v>
      </c>
      <c r="F440" t="s">
        <v>149</v>
      </c>
      <c r="G440" s="53" t="str">
        <f t="shared" si="16"/>
        <v>46237Piatã</v>
      </c>
    </row>
    <row r="441" spans="1:7">
      <c r="A441" s="56">
        <v>46237</v>
      </c>
      <c r="B441" t="s">
        <v>80</v>
      </c>
      <c r="C441" t="s">
        <v>19</v>
      </c>
      <c r="D441" t="str">
        <f t="shared" si="17"/>
        <v>PiatãTouro03/08/2026</v>
      </c>
      <c r="E441">
        <v>29</v>
      </c>
      <c r="G441" s="53" t="str">
        <f t="shared" si="16"/>
        <v>46237Piatã</v>
      </c>
    </row>
    <row r="442" spans="1:7">
      <c r="A442" s="56">
        <v>46237</v>
      </c>
      <c r="B442" t="s">
        <v>81</v>
      </c>
      <c r="C442" t="s">
        <v>11</v>
      </c>
      <c r="D442" t="str">
        <f t="shared" si="17"/>
        <v>Pasto dos IpêsVaca03/08/2026</v>
      </c>
      <c r="E442">
        <v>154</v>
      </c>
      <c r="F442" t="s">
        <v>150</v>
      </c>
      <c r="G442" s="53" t="str">
        <f t="shared" si="16"/>
        <v>46237Pasto dos Ipês</v>
      </c>
    </row>
    <row r="443" spans="1:7">
      <c r="A443" s="56">
        <v>46237</v>
      </c>
      <c r="B443" t="s">
        <v>75</v>
      </c>
      <c r="C443" t="s">
        <v>11</v>
      </c>
      <c r="D443" t="str">
        <f t="shared" si="17"/>
        <v>Rotacionado Cipó PretoVaca03/08/2026</v>
      </c>
      <c r="E443">
        <v>171</v>
      </c>
      <c r="F443" t="s">
        <v>149</v>
      </c>
      <c r="G443" s="53" t="str">
        <f t="shared" si="16"/>
        <v>46237Rotacionado Cipó Preto</v>
      </c>
    </row>
    <row r="444" spans="1:7">
      <c r="A444" s="56">
        <v>46237</v>
      </c>
      <c r="B444" t="s">
        <v>83</v>
      </c>
      <c r="C444" t="s">
        <v>11</v>
      </c>
      <c r="D444" t="str">
        <f t="shared" si="17"/>
        <v>MangasVaca03/08/2026</v>
      </c>
      <c r="E444">
        <v>157</v>
      </c>
      <c r="F444" t="s">
        <v>149</v>
      </c>
      <c r="G444" s="53" t="str">
        <f t="shared" si="16"/>
        <v>46237Mangas</v>
      </c>
    </row>
    <row r="445" spans="1:7">
      <c r="A445" s="56">
        <v>46237</v>
      </c>
      <c r="B445" t="s">
        <v>88</v>
      </c>
      <c r="C445" t="s">
        <v>13</v>
      </c>
      <c r="D445" t="str">
        <f t="shared" si="17"/>
        <v>Avenida 2Novilha03/08/2026</v>
      </c>
      <c r="E445">
        <v>51</v>
      </c>
      <c r="G445" s="53" t="str">
        <f t="shared" si="16"/>
        <v>46237Avenida 2</v>
      </c>
    </row>
    <row r="446" spans="1:7">
      <c r="A446" s="56">
        <v>46237</v>
      </c>
      <c r="B446" t="s">
        <v>93</v>
      </c>
      <c r="C446" t="s">
        <v>11</v>
      </c>
      <c r="D446" t="str">
        <f t="shared" si="17"/>
        <v>Reserva Boqueirão Vaca03/08/2026</v>
      </c>
      <c r="E446">
        <v>349</v>
      </c>
      <c r="F446" t="s">
        <v>149</v>
      </c>
      <c r="G446" s="53" t="str">
        <f t="shared" si="16"/>
        <v xml:space="preserve">46237Reserva Boqueirão </v>
      </c>
    </row>
  </sheetData>
  <phoneticPr fontId="6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Normal="100" workbookViewId="0">
      <selection activeCell="F6" sqref="F6"/>
    </sheetView>
  </sheetViews>
  <sheetFormatPr defaultColWidth="8.5546875" defaultRowHeight="14.4"/>
  <cols>
    <col min="1" max="1" width="18.77734375" customWidth="1"/>
    <col min="2" max="3" width="14" customWidth="1"/>
    <col min="4" max="4" width="10.33203125" customWidth="1"/>
  </cols>
  <sheetData>
    <row r="1" spans="1:5">
      <c r="A1" s="54" t="s">
        <v>111</v>
      </c>
      <c r="B1" s="54" t="s">
        <v>112</v>
      </c>
      <c r="C1" s="54" t="s">
        <v>113</v>
      </c>
      <c r="D1" s="54" t="s">
        <v>98</v>
      </c>
      <c r="E1" s="55" t="s">
        <v>114</v>
      </c>
    </row>
    <row r="2" spans="1:5">
      <c r="A2" s="54" t="s">
        <v>115</v>
      </c>
      <c r="B2" s="54" t="s">
        <v>116</v>
      </c>
      <c r="C2" s="54" t="s">
        <v>117</v>
      </c>
      <c r="D2" s="54">
        <v>300</v>
      </c>
      <c r="E2" s="55" t="s">
        <v>118</v>
      </c>
    </row>
    <row r="3" spans="1:5">
      <c r="A3" s="54" t="s">
        <v>116</v>
      </c>
      <c r="B3" s="54" t="s">
        <v>119</v>
      </c>
      <c r="C3" s="54" t="s">
        <v>120</v>
      </c>
      <c r="D3" s="54">
        <v>170</v>
      </c>
      <c r="E3" s="55" t="s">
        <v>118</v>
      </c>
    </row>
    <row r="4" spans="1:5">
      <c r="A4" s="54" t="s">
        <v>116</v>
      </c>
      <c r="B4" s="54" t="s">
        <v>119</v>
      </c>
      <c r="C4" s="54" t="s">
        <v>121</v>
      </c>
      <c r="D4" s="54">
        <v>16</v>
      </c>
    </row>
    <row r="5" spans="1:5">
      <c r="A5" s="54" t="s">
        <v>116</v>
      </c>
      <c r="B5" s="54" t="s">
        <v>119</v>
      </c>
      <c r="C5" s="54" t="s">
        <v>122</v>
      </c>
      <c r="D5" s="54">
        <v>-1</v>
      </c>
    </row>
    <row r="6" spans="1:5">
      <c r="A6" s="54" t="s">
        <v>116</v>
      </c>
      <c r="B6" s="54" t="s">
        <v>119</v>
      </c>
      <c r="C6" s="54" t="s">
        <v>123</v>
      </c>
      <c r="D6" s="54">
        <v>4</v>
      </c>
    </row>
    <row r="7" spans="1:5">
      <c r="A7" s="54" t="s">
        <v>115</v>
      </c>
      <c r="B7" s="54" t="s">
        <v>124</v>
      </c>
      <c r="C7" s="54" t="s">
        <v>125</v>
      </c>
      <c r="D7" s="54">
        <v>60</v>
      </c>
    </row>
    <row r="8" spans="1:5">
      <c r="A8" s="54" t="s">
        <v>115</v>
      </c>
      <c r="B8" s="54" t="s">
        <v>124</v>
      </c>
      <c r="C8" s="54" t="s">
        <v>125</v>
      </c>
      <c r="D8" s="54">
        <v>100</v>
      </c>
    </row>
    <row r="9" spans="1:5">
      <c r="A9" s="54" t="s">
        <v>126</v>
      </c>
      <c r="B9" s="54" t="s">
        <v>115</v>
      </c>
      <c r="C9" s="54" t="s">
        <v>120</v>
      </c>
      <c r="D9" s="54">
        <v>11</v>
      </c>
    </row>
    <row r="10" spans="1:5">
      <c r="A10" s="54" t="s">
        <v>126</v>
      </c>
      <c r="B10" s="54" t="s">
        <v>115</v>
      </c>
      <c r="C10" s="54" t="s">
        <v>121</v>
      </c>
      <c r="D10" s="54">
        <v>16</v>
      </c>
    </row>
    <row r="11" spans="1:5">
      <c r="A11" s="54" t="s">
        <v>126</v>
      </c>
      <c r="B11" s="54" t="s">
        <v>115</v>
      </c>
      <c r="C11" s="54" t="s">
        <v>127</v>
      </c>
      <c r="D11" s="54">
        <v>22</v>
      </c>
    </row>
    <row r="12" spans="1:5">
      <c r="A12" s="54" t="s">
        <v>126</v>
      </c>
      <c r="B12" s="54" t="s">
        <v>115</v>
      </c>
      <c r="C12" s="54" t="s">
        <v>128</v>
      </c>
      <c r="D12" s="54">
        <v>22</v>
      </c>
    </row>
    <row r="13" spans="1:5">
      <c r="A13" s="54" t="s">
        <v>126</v>
      </c>
      <c r="B13" s="54" t="s">
        <v>115</v>
      </c>
      <c r="C13" s="54" t="s">
        <v>129</v>
      </c>
      <c r="D13" s="54">
        <v>-1</v>
      </c>
    </row>
    <row r="14" spans="1:5">
      <c r="A14" s="54" t="s">
        <v>115</v>
      </c>
      <c r="B14" s="54" t="s">
        <v>130</v>
      </c>
      <c r="C14" s="54" t="s">
        <v>121</v>
      </c>
      <c r="D14" s="54">
        <v>350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5911-E22E-4489-AB6F-F7CA30DEAF5C}">
  <dimension ref="A1:Y47"/>
  <sheetViews>
    <sheetView topLeftCell="A25" zoomScale="85" zoomScaleNormal="85" workbookViewId="0">
      <selection activeCell="D11" sqref="D11"/>
    </sheetView>
  </sheetViews>
  <sheetFormatPr defaultColWidth="9.21875" defaultRowHeight="13.8"/>
  <cols>
    <col min="1" max="1" width="5.44140625" style="1" customWidth="1"/>
    <col min="2" max="2" width="26" style="2" customWidth="1"/>
    <col min="3" max="3" width="22.77734375" style="2" customWidth="1"/>
    <col min="4" max="4" width="11.6640625" style="2" customWidth="1"/>
    <col min="5" max="5" width="15.6640625" style="2" customWidth="1"/>
    <col min="6" max="7" width="11.6640625" style="2" customWidth="1"/>
    <col min="8" max="9" width="13.6640625" style="2" customWidth="1"/>
    <col min="10" max="10" width="15.5546875" style="2" customWidth="1"/>
    <col min="11" max="12" width="11.6640625" style="2" customWidth="1"/>
    <col min="13" max="13" width="32.88671875" style="2" customWidth="1"/>
    <col min="14" max="14" width="18.109375" style="2" customWidth="1"/>
    <col min="15" max="15" width="15.44140625" style="2" customWidth="1"/>
    <col min="16" max="16" width="16.5546875" style="2" customWidth="1"/>
    <col min="17" max="17" width="11.77734375" style="2" customWidth="1"/>
    <col min="18" max="18" width="11.6640625" style="2" customWidth="1"/>
    <col min="19" max="19" width="8.33203125" style="2" customWidth="1"/>
    <col min="20" max="21" width="11.33203125" style="2" customWidth="1"/>
    <col min="22" max="22" width="13.33203125" style="2" customWidth="1"/>
    <col min="23" max="23" width="15.6640625" style="2" customWidth="1"/>
    <col min="24" max="24" width="20.109375" style="2" customWidth="1"/>
    <col min="25" max="25" width="13.88671875" style="2" customWidth="1"/>
    <col min="26" max="26" width="9.21875" style="2"/>
    <col min="27" max="27" width="16.88671875" style="2" customWidth="1"/>
    <col min="28" max="16384" width="9.21875" style="2"/>
  </cols>
  <sheetData>
    <row r="1" spans="1:25">
      <c r="C1" s="3" t="s">
        <v>0</v>
      </c>
      <c r="D1" s="3" t="s">
        <v>1</v>
      </c>
      <c r="E1" s="3" t="s">
        <v>2</v>
      </c>
      <c r="G1" s="3" t="s">
        <v>3</v>
      </c>
      <c r="H1" s="3" t="s">
        <v>4</v>
      </c>
      <c r="I1" s="3"/>
      <c r="J1" s="3" t="s">
        <v>5</v>
      </c>
      <c r="K1" s="3" t="s">
        <v>6</v>
      </c>
      <c r="L1" s="3" t="s">
        <v>7</v>
      </c>
      <c r="M1" s="3"/>
      <c r="N1" s="3"/>
      <c r="O1" s="3" t="s">
        <v>8</v>
      </c>
      <c r="P1" s="4"/>
      <c r="X1" s="5"/>
    </row>
    <row r="2" spans="1:25">
      <c r="C2" s="6" t="s">
        <v>9</v>
      </c>
      <c r="D2" s="7">
        <v>600</v>
      </c>
      <c r="E2" s="8">
        <f t="shared" ref="E2:E8" si="0">D2/450</f>
        <v>1.3333333333333333</v>
      </c>
      <c r="G2" s="3">
        <v>1</v>
      </c>
      <c r="H2" s="6" t="s">
        <v>10</v>
      </c>
      <c r="I2" s="6"/>
      <c r="J2" s="7">
        <v>30</v>
      </c>
      <c r="K2" s="9">
        <f t="shared" ref="K2:K8" si="1">J2*4.5/1000</f>
        <v>0.13500000000000001</v>
      </c>
      <c r="L2" s="10">
        <f t="shared" ref="L2:L8" si="2">SUMIF($Q$13:$Q$45,G2,$R$13:$R$45)</f>
        <v>0</v>
      </c>
      <c r="M2" s="10"/>
      <c r="N2" s="10"/>
      <c r="O2" s="10">
        <f t="shared" ref="O2:O8" si="3">30*L2</f>
        <v>0</v>
      </c>
      <c r="P2" s="11"/>
      <c r="X2" s="5"/>
    </row>
    <row r="3" spans="1:25">
      <c r="C3" s="6" t="s">
        <v>11</v>
      </c>
      <c r="D3" s="7">
        <v>450</v>
      </c>
      <c r="E3" s="8">
        <f t="shared" si="0"/>
        <v>1</v>
      </c>
      <c r="G3" s="3">
        <v>2</v>
      </c>
      <c r="H3" s="6" t="s">
        <v>12</v>
      </c>
      <c r="I3" s="6"/>
      <c r="J3" s="7">
        <v>50</v>
      </c>
      <c r="K3" s="9">
        <f t="shared" si="1"/>
        <v>0.22500000000000001</v>
      </c>
      <c r="L3" s="10">
        <f t="shared" si="2"/>
        <v>129.52500000000001</v>
      </c>
      <c r="M3" s="10"/>
      <c r="N3" s="10"/>
      <c r="O3" s="10">
        <f t="shared" si="3"/>
        <v>3885.75</v>
      </c>
      <c r="P3" s="11"/>
      <c r="X3" s="5"/>
    </row>
    <row r="4" spans="1:25">
      <c r="C4" s="6" t="s">
        <v>13</v>
      </c>
      <c r="D4" s="7">
        <v>340</v>
      </c>
      <c r="E4" s="8">
        <f t="shared" si="0"/>
        <v>0.75555555555555554</v>
      </c>
      <c r="G4" s="3">
        <v>3</v>
      </c>
      <c r="H4" s="6" t="s">
        <v>14</v>
      </c>
      <c r="I4" s="6"/>
      <c r="J4" s="7">
        <v>60</v>
      </c>
      <c r="K4" s="9">
        <f t="shared" si="1"/>
        <v>0.27</v>
      </c>
      <c r="L4" s="10">
        <f t="shared" si="2"/>
        <v>0</v>
      </c>
      <c r="M4" s="10"/>
      <c r="N4" s="10"/>
      <c r="O4" s="10">
        <f t="shared" si="3"/>
        <v>0</v>
      </c>
      <c r="P4" s="11"/>
      <c r="X4" s="5"/>
    </row>
    <row r="5" spans="1:25">
      <c r="C5" s="6" t="s">
        <v>15</v>
      </c>
      <c r="D5" s="7">
        <v>250</v>
      </c>
      <c r="E5" s="8">
        <f t="shared" si="0"/>
        <v>0.55555555555555558</v>
      </c>
      <c r="G5" s="3">
        <v>4</v>
      </c>
      <c r="H5" s="6" t="s">
        <v>16</v>
      </c>
      <c r="I5" s="6"/>
      <c r="J5" s="7">
        <v>100</v>
      </c>
      <c r="K5" s="9">
        <f t="shared" si="1"/>
        <v>0.45</v>
      </c>
      <c r="L5" s="10">
        <f t="shared" si="2"/>
        <v>136.57</v>
      </c>
      <c r="M5" s="10"/>
      <c r="N5" s="10"/>
      <c r="O5" s="10">
        <f t="shared" si="3"/>
        <v>4097.0999999999995</v>
      </c>
      <c r="P5" s="11"/>
      <c r="X5" s="5"/>
    </row>
    <row r="6" spans="1:25">
      <c r="C6" s="6" t="s">
        <v>17</v>
      </c>
      <c r="D6" s="7">
        <v>225</v>
      </c>
      <c r="E6" s="8">
        <f t="shared" si="0"/>
        <v>0.5</v>
      </c>
      <c r="G6" s="3">
        <v>5</v>
      </c>
      <c r="H6" s="6" t="s">
        <v>18</v>
      </c>
      <c r="I6" s="6"/>
      <c r="J6" s="7">
        <v>300</v>
      </c>
      <c r="K6" s="9">
        <f t="shared" si="1"/>
        <v>1.35</v>
      </c>
      <c r="L6" s="10">
        <f t="shared" si="2"/>
        <v>121.50000000000001</v>
      </c>
      <c r="M6" s="10"/>
      <c r="N6" s="10"/>
      <c r="O6" s="10">
        <f t="shared" si="3"/>
        <v>3645.0000000000005</v>
      </c>
      <c r="P6" s="11"/>
      <c r="X6" s="5"/>
    </row>
    <row r="7" spans="1:25">
      <c r="C7" s="6" t="s">
        <v>19</v>
      </c>
      <c r="D7" s="7">
        <v>800</v>
      </c>
      <c r="E7" s="8">
        <f t="shared" si="0"/>
        <v>1.7777777777777777</v>
      </c>
      <c r="G7" s="3">
        <v>6</v>
      </c>
      <c r="H7" s="6" t="s">
        <v>20</v>
      </c>
      <c r="I7" s="6"/>
      <c r="J7" s="7">
        <v>1000</v>
      </c>
      <c r="K7" s="9">
        <f t="shared" si="1"/>
        <v>4.5</v>
      </c>
      <c r="L7" s="10">
        <f t="shared" si="2"/>
        <v>0</v>
      </c>
      <c r="M7" s="10"/>
      <c r="N7" s="10"/>
      <c r="O7" s="10">
        <f t="shared" si="3"/>
        <v>0</v>
      </c>
      <c r="P7" s="11"/>
      <c r="X7" s="5"/>
    </row>
    <row r="8" spans="1:25">
      <c r="C8" s="6" t="s">
        <v>21</v>
      </c>
      <c r="D8" s="7">
        <v>675</v>
      </c>
      <c r="E8" s="8">
        <f t="shared" si="0"/>
        <v>1.5</v>
      </c>
      <c r="G8" s="3">
        <v>7</v>
      </c>
      <c r="H8" s="6" t="s">
        <v>22</v>
      </c>
      <c r="I8" s="6"/>
      <c r="J8" s="7">
        <v>0</v>
      </c>
      <c r="K8" s="9">
        <f t="shared" si="1"/>
        <v>0</v>
      </c>
      <c r="L8" s="10">
        <f t="shared" si="2"/>
        <v>0</v>
      </c>
      <c r="M8" s="10"/>
      <c r="N8" s="10"/>
      <c r="O8" s="10">
        <f t="shared" si="3"/>
        <v>0</v>
      </c>
      <c r="P8" s="11"/>
      <c r="X8" s="5"/>
    </row>
    <row r="9" spans="1:25">
      <c r="G9" s="12"/>
      <c r="Y9" s="5"/>
    </row>
    <row r="10" spans="1:25">
      <c r="C10" s="2" t="s">
        <v>131</v>
      </c>
      <c r="D10" s="57">
        <v>46181</v>
      </c>
      <c r="G10" s="12"/>
      <c r="Y10" s="5"/>
    </row>
    <row r="11" spans="1:25" ht="14.25" customHeight="1" thickBot="1">
      <c r="G11" s="12"/>
      <c r="Y11" s="5"/>
    </row>
    <row r="12" spans="1:25">
      <c r="A12" s="13"/>
      <c r="B12" s="14" t="s">
        <v>23</v>
      </c>
      <c r="C12" s="15" t="s">
        <v>24</v>
      </c>
      <c r="D12" s="16" t="s">
        <v>25</v>
      </c>
      <c r="E12" s="17" t="s">
        <v>9</v>
      </c>
      <c r="F12" s="18" t="s">
        <v>11</v>
      </c>
      <c r="G12" s="18" t="s">
        <v>13</v>
      </c>
      <c r="H12" s="18" t="s">
        <v>15</v>
      </c>
      <c r="I12" s="18" t="s">
        <v>26</v>
      </c>
      <c r="J12" s="18" t="s">
        <v>27</v>
      </c>
      <c r="K12" s="18" t="s">
        <v>19</v>
      </c>
      <c r="L12" s="19" t="s">
        <v>21</v>
      </c>
      <c r="M12" s="20" t="s">
        <v>28</v>
      </c>
      <c r="N12" s="21" t="s">
        <v>29</v>
      </c>
      <c r="O12" s="22" t="s">
        <v>30</v>
      </c>
      <c r="P12" s="22" t="s">
        <v>31</v>
      </c>
      <c r="Q12" s="23" t="s">
        <v>4</v>
      </c>
      <c r="R12" s="3" t="s">
        <v>32</v>
      </c>
      <c r="S12" s="24" t="s">
        <v>33</v>
      </c>
      <c r="T12" s="24" t="s">
        <v>34</v>
      </c>
      <c r="U12" s="24" t="s">
        <v>35</v>
      </c>
      <c r="V12" s="24" t="s">
        <v>36</v>
      </c>
      <c r="W12" s="24" t="s">
        <v>37</v>
      </c>
      <c r="X12" s="24" t="s">
        <v>38</v>
      </c>
      <c r="Y12" s="24" t="s">
        <v>39</v>
      </c>
    </row>
    <row r="13" spans="1:25" ht="13.5" customHeight="1">
      <c r="A13" s="25">
        <v>1</v>
      </c>
      <c r="B13" s="26" t="s">
        <v>40</v>
      </c>
      <c r="C13" s="27">
        <v>89.9</v>
      </c>
      <c r="D13" s="28">
        <f t="shared" ref="D13:D46" si="4">$D$10</f>
        <v>46181</v>
      </c>
      <c r="E13" s="58">
        <f>IFERROR(VLOOKUP(B13&amp;$E$12&amp;TEXT(D13,"dd/mm/aaaa"),'HISTORICO '!D:E,2,FALSE),0)</f>
        <v>104</v>
      </c>
      <c r="F13" s="59">
        <f>IFERROR(VLOOKUP(B13&amp;$F$12&amp;TEXT(D13,"dd/mm/aaaa"),'HISTORICO '!D:E,2,FALSE),0)</f>
        <v>23</v>
      </c>
      <c r="G13" s="59">
        <f>IFERROR(VLOOKUP(B13&amp;G$12&amp;TEXT(D13,"dd/mm/aaaa"),'HISTORICO '!D:E,2,FALSE),0)</f>
        <v>0</v>
      </c>
      <c r="H13" s="59">
        <f>IFERROR(VLOOKUP(B13&amp;H$12&amp;TEXT(D13,"dd/mm/aaaa"),'HISTORICO '!D:E,2,FALSE),0)</f>
        <v>0</v>
      </c>
      <c r="I13" s="59">
        <f>IFERROR(VLOOKUP(B13&amp;I$12&amp;TEXT(D13,"dd/mm/aaaa"),'HISTORICO '!D:E,2,FALSE),0)</f>
        <v>0</v>
      </c>
      <c r="J13" s="59">
        <f>IFERROR(VLOOKUP(B13&amp;J$12&amp;TEXT(D13,"dd/mm/aaaa"),'HISTORICO '!D:E,2,FALSE),0)</f>
        <v>0</v>
      </c>
      <c r="K13" s="59">
        <f>IFERROR(VLOOKUP(B13&amp;K$12&amp;TEXT(D13,"dd/mm/aaaa"),'HISTORICO '!D:E,2,FALSE),0)</f>
        <v>0</v>
      </c>
      <c r="L13" s="60"/>
      <c r="M13" s="61">
        <f>IFERROR(_xlfn.XLOOKUP(D13 &amp; B13,  'HISTORICO '!G:G, 'HISTORICO '!F:F),"")</f>
        <v>0</v>
      </c>
      <c r="N13" s="29">
        <f>SUM(E13:L13)+IF(E13&gt;0,E13*1,0)</f>
        <v>231</v>
      </c>
      <c r="O13" s="30">
        <f t="shared" ref="O13:O46" si="5">E13*$E$2+F13*$E$3+G13*$E$4+H13*$E$5+J13*$E$6+K13*$E$7+L13*$E$8</f>
        <v>161.66666666666666</v>
      </c>
      <c r="P13" s="27">
        <f t="shared" ref="P13:P47" si="6">O13/C13</f>
        <v>1.7982944011865034</v>
      </c>
      <c r="Q13" s="31">
        <v>2</v>
      </c>
      <c r="R13" s="32">
        <f t="shared" ref="R13:R45" si="7">SUMIF($G$2:$G$8,Q13,$K$2:$K$8)*O13</f>
        <v>36.375</v>
      </c>
      <c r="S13" s="33">
        <v>2</v>
      </c>
      <c r="T13" s="34">
        <f t="shared" ref="T13:T45" si="8">S13*$C13</f>
        <v>179.8</v>
      </c>
      <c r="U13" s="34">
        <f t="shared" ref="U13:U45" si="9">0.5*T13</f>
        <v>89.9</v>
      </c>
      <c r="V13" s="6">
        <v>5</v>
      </c>
      <c r="W13" s="6" t="s">
        <v>42</v>
      </c>
      <c r="X13" s="6" t="s">
        <v>43</v>
      </c>
      <c r="Y13" s="6"/>
    </row>
    <row r="14" spans="1:25" ht="13.5" customHeight="1">
      <c r="A14" s="25">
        <v>2</v>
      </c>
      <c r="B14" s="26" t="s">
        <v>44</v>
      </c>
      <c r="C14" s="27">
        <v>18</v>
      </c>
      <c r="D14" s="28">
        <f t="shared" si="4"/>
        <v>46181</v>
      </c>
      <c r="E14" s="58">
        <f>IFERROR(VLOOKUP(B14&amp;$E$12&amp;TEXT(D14,"dd/mm/aaaa"),'HISTORICO '!D:E,2,FALSE),0)</f>
        <v>0</v>
      </c>
      <c r="F14" s="59">
        <f>IFERROR(VLOOKUP(B14&amp;$F$12&amp;TEXT(D14,"dd/mm/aaaa"),'HISTORICO '!D:E,2,FALSE),0)</f>
        <v>0</v>
      </c>
      <c r="G14" s="59">
        <f>IFERROR(VLOOKUP(B14&amp;G$12&amp;TEXT(D14,"dd/mm/aaaa"),'HISTORICO '!D:E,2,FALSE),0)</f>
        <v>0</v>
      </c>
      <c r="H14" s="59">
        <f>IFERROR(VLOOKUP(B14&amp;H$12&amp;TEXT(D14,"dd/mm/aaaa"),'HISTORICO '!D:E,2,FALSE),0)</f>
        <v>0</v>
      </c>
      <c r="I14" s="59">
        <f>IFERROR(VLOOKUP(B14&amp;I$12&amp;TEXT(D14,"dd/mm/aaaa"),'HISTORICO '!D:E,2,FALSE),0)</f>
        <v>0</v>
      </c>
      <c r="J14" s="59">
        <f>IFERROR(VLOOKUP(B14&amp;J$12&amp;TEXT(D14,"dd/mm/aaaa"),'HISTORICO '!D:E,2,FALSE),0)</f>
        <v>0</v>
      </c>
      <c r="K14" s="59">
        <f>IFERROR(VLOOKUP(B14&amp;K$12&amp;TEXT(D14,"dd/mm/aaaa"),'HISTORICO '!D:E,2,FALSE),0)</f>
        <v>0</v>
      </c>
      <c r="L14" s="60"/>
      <c r="M14" s="61" t="str">
        <f>IFERROR(_xlfn.XLOOKUP(D14 &amp; B14,  'HISTORICO '!G:G, 'HISTORICO '!F:F),"")</f>
        <v/>
      </c>
      <c r="N14" s="29">
        <f t="shared" ref="N14:N46" si="10">SUM(E14:L14)+IF(E14&gt;0,E14*1,0)</f>
        <v>0</v>
      </c>
      <c r="O14" s="30">
        <f t="shared" si="5"/>
        <v>0</v>
      </c>
      <c r="P14" s="27">
        <f t="shared" si="6"/>
        <v>0</v>
      </c>
      <c r="Q14" s="31"/>
      <c r="R14" s="32">
        <f t="shared" si="7"/>
        <v>0</v>
      </c>
      <c r="S14" s="33">
        <v>0</v>
      </c>
      <c r="T14" s="34">
        <f t="shared" si="8"/>
        <v>0</v>
      </c>
      <c r="U14" s="34">
        <f t="shared" si="9"/>
        <v>0</v>
      </c>
      <c r="V14" s="6">
        <v>0</v>
      </c>
      <c r="W14" s="6" t="s">
        <v>42</v>
      </c>
      <c r="X14" s="6" t="s">
        <v>45</v>
      </c>
      <c r="Y14" s="6"/>
    </row>
    <row r="15" spans="1:25" ht="13.5" customHeight="1">
      <c r="A15" s="25">
        <v>3</v>
      </c>
      <c r="B15" s="26" t="s">
        <v>46</v>
      </c>
      <c r="C15" s="27">
        <v>51.7</v>
      </c>
      <c r="D15" s="28">
        <f t="shared" si="4"/>
        <v>46181</v>
      </c>
      <c r="E15" s="58">
        <f>IFERROR(VLOOKUP(B15&amp;$E$12&amp;TEXT(D15,"dd/mm/aaaa"),'HISTORICO '!D:E,2,FALSE),0)</f>
        <v>0</v>
      </c>
      <c r="F15" s="59">
        <f>IFERROR(VLOOKUP(B15&amp;$F$12&amp;TEXT(D15,"dd/mm/aaaa"),'HISTORICO '!D:E,2,FALSE),0)</f>
        <v>0</v>
      </c>
      <c r="G15" s="59">
        <f>IFERROR(VLOOKUP(B15&amp;G$12&amp;TEXT(D15,"dd/mm/aaaa"),'HISTORICO '!D:E,2,FALSE),0)</f>
        <v>0</v>
      </c>
      <c r="H15" s="59">
        <f>IFERROR(VLOOKUP(B15&amp;H$12&amp;TEXT(D15,"dd/mm/aaaa"),'HISTORICO '!D:E,2,FALSE),0)</f>
        <v>0</v>
      </c>
      <c r="I15" s="59">
        <f>IFERROR(VLOOKUP(B15&amp;I$12&amp;TEXT(D15,"dd/mm/aaaa"),'HISTORICO '!D:E,2,FALSE),0)</f>
        <v>0</v>
      </c>
      <c r="J15" s="59">
        <f>IFERROR(VLOOKUP(B15&amp;J$12&amp;TEXT(D15,"dd/mm/aaaa"),'HISTORICO '!D:E,2,FALSE),0)</f>
        <v>0</v>
      </c>
      <c r="K15" s="59">
        <f>IFERROR(VLOOKUP(B15&amp;K$12&amp;TEXT(D15,"dd/mm/aaaa"),'HISTORICO '!D:E,2,FALSE),0)</f>
        <v>0</v>
      </c>
      <c r="L15" s="60"/>
      <c r="M15" s="61" t="str">
        <f>IFERROR(_xlfn.XLOOKUP(D15 &amp; B15,  'HISTORICO '!G:G, 'HISTORICO '!F:F),"")</f>
        <v/>
      </c>
      <c r="N15" s="29">
        <f t="shared" si="10"/>
        <v>0</v>
      </c>
      <c r="O15" s="30">
        <f t="shared" si="5"/>
        <v>0</v>
      </c>
      <c r="P15" s="27">
        <f t="shared" si="6"/>
        <v>0</v>
      </c>
      <c r="Q15" s="31"/>
      <c r="R15" s="32">
        <f t="shared" si="7"/>
        <v>0</v>
      </c>
      <c r="S15" s="33">
        <v>1</v>
      </c>
      <c r="T15" s="34">
        <f t="shared" si="8"/>
        <v>51.7</v>
      </c>
      <c r="U15" s="34">
        <f t="shared" si="9"/>
        <v>25.85</v>
      </c>
      <c r="V15" s="6">
        <v>4</v>
      </c>
      <c r="W15" s="6" t="s">
        <v>47</v>
      </c>
      <c r="X15" s="6" t="s">
        <v>45</v>
      </c>
      <c r="Y15" s="6"/>
    </row>
    <row r="16" spans="1:25" ht="13.5" customHeight="1">
      <c r="A16" s="25">
        <v>4</v>
      </c>
      <c r="B16" s="26" t="s">
        <v>48</v>
      </c>
      <c r="C16" s="27">
        <v>4.6900000000000004</v>
      </c>
      <c r="D16" s="28">
        <f t="shared" si="4"/>
        <v>46181</v>
      </c>
      <c r="E16" s="58">
        <f>IFERROR(VLOOKUP(B16&amp;$E$12&amp;TEXT(D16,"dd/mm/aaaa"),'HISTORICO '!D:E,2,FALSE),0)</f>
        <v>0</v>
      </c>
      <c r="F16" s="59">
        <f>IFERROR(VLOOKUP(B16&amp;$F$12&amp;TEXT(D16,"dd/mm/aaaa"),'HISTORICO '!D:E,2,FALSE),0)</f>
        <v>0</v>
      </c>
      <c r="G16" s="59">
        <f>IFERROR(VLOOKUP(B16&amp;G$12&amp;TEXT(D16,"dd/mm/aaaa"),'HISTORICO '!D:E,2,FALSE),0)</f>
        <v>0</v>
      </c>
      <c r="H16" s="59">
        <f>IFERROR(VLOOKUP(B16&amp;H$12&amp;TEXT(D16,"dd/mm/aaaa"),'HISTORICO '!D:E,2,FALSE),0)</f>
        <v>0</v>
      </c>
      <c r="I16" s="59">
        <f>IFERROR(VLOOKUP(B16&amp;I$12&amp;TEXT(D16,"dd/mm/aaaa"),'HISTORICO '!D:E,2,FALSE),0)</f>
        <v>36</v>
      </c>
      <c r="J16" s="59">
        <f>IFERROR(VLOOKUP(B16&amp;J$12&amp;TEXT(D16,"dd/mm/aaaa"),'HISTORICO '!D:E,2,FALSE),0)</f>
        <v>0</v>
      </c>
      <c r="K16" s="59">
        <f>IFERROR(VLOOKUP(B16&amp;K$12&amp;TEXT(D16,"dd/mm/aaaa"),'HISTORICO '!D:E,2,FALSE),0)</f>
        <v>0</v>
      </c>
      <c r="L16" s="60"/>
      <c r="M16" s="61">
        <f>IFERROR(_xlfn.XLOOKUP(D16 &amp; B16,  'HISTORICO '!G:G, 'HISTORICO '!F:F),"")</f>
        <v>0</v>
      </c>
      <c r="N16" s="29">
        <f t="shared" si="10"/>
        <v>36</v>
      </c>
      <c r="O16" s="30">
        <f t="shared" si="5"/>
        <v>0</v>
      </c>
      <c r="P16" s="27">
        <f t="shared" si="6"/>
        <v>0</v>
      </c>
      <c r="Q16" s="31">
        <v>2</v>
      </c>
      <c r="R16" s="32">
        <f t="shared" si="7"/>
        <v>0</v>
      </c>
      <c r="S16" s="33">
        <v>2</v>
      </c>
      <c r="T16" s="34">
        <f t="shared" si="8"/>
        <v>9.3800000000000008</v>
      </c>
      <c r="U16" s="34">
        <f t="shared" si="9"/>
        <v>4.6900000000000004</v>
      </c>
      <c r="V16" s="6"/>
      <c r="W16" s="6" t="s">
        <v>49</v>
      </c>
      <c r="X16" s="6" t="s">
        <v>43</v>
      </c>
      <c r="Y16" s="6"/>
    </row>
    <row r="17" spans="1:25" ht="13.5" customHeight="1">
      <c r="A17" s="25">
        <v>5</v>
      </c>
      <c r="B17" s="26" t="s">
        <v>50</v>
      </c>
      <c r="C17" s="27">
        <v>0.76</v>
      </c>
      <c r="D17" s="28">
        <f t="shared" si="4"/>
        <v>46181</v>
      </c>
      <c r="E17" s="58">
        <f>IFERROR(VLOOKUP(B17&amp;$E$12&amp;TEXT(D17,"dd/mm/aaaa"),'HISTORICO '!D:E,2,FALSE),0)</f>
        <v>0</v>
      </c>
      <c r="F17" s="59">
        <f>IFERROR(VLOOKUP(B17&amp;$F$12&amp;TEXT(D17,"dd/mm/aaaa"),'HISTORICO '!D:E,2,FALSE),0)</f>
        <v>0</v>
      </c>
      <c r="G17" s="59">
        <f>IFERROR(VLOOKUP(B17&amp;G$12&amp;TEXT(D17,"dd/mm/aaaa"),'HISTORICO '!D:E,2,FALSE),0)</f>
        <v>0</v>
      </c>
      <c r="H17" s="59">
        <f>IFERROR(VLOOKUP(B17&amp;H$12&amp;TEXT(D17,"dd/mm/aaaa"),'HISTORICO '!D:E,2,FALSE),0)</f>
        <v>0</v>
      </c>
      <c r="I17" s="59">
        <f>IFERROR(VLOOKUP(B17&amp;I$12&amp;TEXT(D17,"dd/mm/aaaa"),'HISTORICO '!D:E,2,FALSE),0)</f>
        <v>0</v>
      </c>
      <c r="J17" s="59">
        <f>IFERROR(VLOOKUP(B17&amp;J$12&amp;TEXT(D17,"dd/mm/aaaa"),'HISTORICO '!D:E,2,FALSE),0)</f>
        <v>0</v>
      </c>
      <c r="K17" s="59">
        <f>IFERROR(VLOOKUP(B17&amp;K$12&amp;TEXT(D17,"dd/mm/aaaa"),'HISTORICO '!D:E,2,FALSE),0)</f>
        <v>0</v>
      </c>
      <c r="L17" s="60"/>
      <c r="M17" s="61" t="str">
        <f>IFERROR(_xlfn.XLOOKUP(D17 &amp; B17,  'HISTORICO '!G:G, 'HISTORICO '!F:F),"")</f>
        <v/>
      </c>
      <c r="N17" s="29">
        <f t="shared" si="10"/>
        <v>0</v>
      </c>
      <c r="O17" s="30">
        <f t="shared" si="5"/>
        <v>0</v>
      </c>
      <c r="P17" s="27">
        <f t="shared" si="6"/>
        <v>0</v>
      </c>
      <c r="Q17" s="31"/>
      <c r="R17" s="32">
        <f t="shared" si="7"/>
        <v>0</v>
      </c>
      <c r="S17" s="33">
        <v>1</v>
      </c>
      <c r="T17" s="34">
        <f t="shared" si="8"/>
        <v>0.76</v>
      </c>
      <c r="U17" s="34">
        <f t="shared" si="9"/>
        <v>0.38</v>
      </c>
      <c r="V17" s="6"/>
      <c r="W17" s="6" t="s">
        <v>49</v>
      </c>
      <c r="X17" s="6" t="s">
        <v>43</v>
      </c>
      <c r="Y17" s="6"/>
    </row>
    <row r="18" spans="1:25" ht="13.5" customHeight="1">
      <c r="A18" s="25">
        <v>6</v>
      </c>
      <c r="B18" s="26" t="s">
        <v>51</v>
      </c>
      <c r="C18" s="27">
        <v>7</v>
      </c>
      <c r="D18" s="28">
        <f t="shared" si="4"/>
        <v>46181</v>
      </c>
      <c r="E18" s="58">
        <f>IFERROR(VLOOKUP(B18&amp;$E$12&amp;TEXT(D18,"dd/mm/aaaa"),'HISTORICO '!D:E,2,FALSE),0)</f>
        <v>0</v>
      </c>
      <c r="F18" s="59">
        <f>IFERROR(VLOOKUP(B18&amp;$F$12&amp;TEXT(D18,"dd/mm/aaaa"),'HISTORICO '!D:E,2,FALSE),0)</f>
        <v>0</v>
      </c>
      <c r="G18" s="59">
        <f>IFERROR(VLOOKUP(B18&amp;G$12&amp;TEXT(D18,"dd/mm/aaaa"),'HISTORICO '!D:E,2,FALSE),0)</f>
        <v>0</v>
      </c>
      <c r="H18" s="59">
        <f>IFERROR(VLOOKUP(B18&amp;H$12&amp;TEXT(D18,"dd/mm/aaaa"),'HISTORICO '!D:E,2,FALSE),0)</f>
        <v>0</v>
      </c>
      <c r="I18" s="59">
        <f>IFERROR(VLOOKUP(B18&amp;I$12&amp;TEXT(D18,"dd/mm/aaaa"),'HISTORICO '!D:E,2,FALSE),0)</f>
        <v>0</v>
      </c>
      <c r="J18" s="59">
        <f>IFERROR(VLOOKUP(B18&amp;J$12&amp;TEXT(D18,"dd/mm/aaaa"),'HISTORICO '!D:E,2,FALSE),0)</f>
        <v>0</v>
      </c>
      <c r="K18" s="59">
        <f>IFERROR(VLOOKUP(B18&amp;K$12&amp;TEXT(D18,"dd/mm/aaaa"),'HISTORICO '!D:E,2,FALSE),0)</f>
        <v>0</v>
      </c>
      <c r="L18" s="60"/>
      <c r="M18" s="61" t="str">
        <f>IFERROR(_xlfn.XLOOKUP(D18 &amp; B18,  'HISTORICO '!G:G, 'HISTORICO '!F:F),"")</f>
        <v/>
      </c>
      <c r="N18" s="29">
        <f t="shared" si="10"/>
        <v>0</v>
      </c>
      <c r="O18" s="30">
        <f t="shared" si="5"/>
        <v>0</v>
      </c>
      <c r="P18" s="27">
        <f t="shared" si="6"/>
        <v>0</v>
      </c>
      <c r="Q18" s="31"/>
      <c r="R18" s="32">
        <f t="shared" si="7"/>
        <v>0</v>
      </c>
      <c r="S18" s="33">
        <v>1.5</v>
      </c>
      <c r="T18" s="34">
        <f t="shared" si="8"/>
        <v>10.5</v>
      </c>
      <c r="U18" s="34">
        <f t="shared" si="9"/>
        <v>5.25</v>
      </c>
      <c r="V18" s="6"/>
      <c r="W18" s="6" t="s">
        <v>49</v>
      </c>
      <c r="X18" s="6" t="s">
        <v>52</v>
      </c>
      <c r="Y18" s="6"/>
    </row>
    <row r="19" spans="1:25" ht="13.5" customHeight="1">
      <c r="A19" s="25">
        <v>7</v>
      </c>
      <c r="B19" s="26" t="s">
        <v>53</v>
      </c>
      <c r="C19" s="27">
        <v>12.9</v>
      </c>
      <c r="D19" s="28">
        <f t="shared" si="4"/>
        <v>46181</v>
      </c>
      <c r="E19" s="58">
        <f>IFERROR(VLOOKUP(B19&amp;$E$12&amp;TEXT(D19,"dd/mm/aaaa"),'HISTORICO '!D:E,2,FALSE),0)</f>
        <v>0</v>
      </c>
      <c r="F19" s="59">
        <f>IFERROR(VLOOKUP(B19&amp;$F$12&amp;TEXT(D19,"dd/mm/aaaa"),'HISTORICO '!D:E,2,FALSE),0)</f>
        <v>0</v>
      </c>
      <c r="G19" s="59">
        <f>IFERROR(VLOOKUP(B19&amp;G$12&amp;TEXT(D19,"dd/mm/aaaa"),'HISTORICO '!D:E,2,FALSE),0)</f>
        <v>0</v>
      </c>
      <c r="H19" s="59">
        <f>IFERROR(VLOOKUP(B19&amp;H$12&amp;TEXT(D19,"dd/mm/aaaa"),'HISTORICO '!D:E,2,FALSE),0)</f>
        <v>0</v>
      </c>
      <c r="I19" s="59">
        <f>IFERROR(VLOOKUP(B19&amp;I$12&amp;TEXT(D19,"dd/mm/aaaa"),'HISTORICO '!D:E,2,FALSE),0)</f>
        <v>0</v>
      </c>
      <c r="J19" s="59">
        <f>IFERROR(VLOOKUP(B19&amp;J$12&amp;TEXT(D19,"dd/mm/aaaa"),'HISTORICO '!D:E,2,FALSE),0)</f>
        <v>119</v>
      </c>
      <c r="K19" s="59">
        <f>IFERROR(VLOOKUP(B19&amp;K$12&amp;TEXT(D19,"dd/mm/aaaa"),'HISTORICO '!D:E,2,FALSE),0)</f>
        <v>0</v>
      </c>
      <c r="L19" s="60"/>
      <c r="M19" s="61" t="str">
        <f>IFERROR(_xlfn.XLOOKUP(D19 &amp; B19,  'HISTORICO '!G:G, 'HISTORICO '!F:F),"")</f>
        <v>Bezerros desmama</v>
      </c>
      <c r="N19" s="29">
        <f t="shared" si="10"/>
        <v>119</v>
      </c>
      <c r="O19" s="30">
        <f t="shared" si="5"/>
        <v>59.5</v>
      </c>
      <c r="P19" s="27">
        <f t="shared" si="6"/>
        <v>4.612403100775194</v>
      </c>
      <c r="Q19" s="31"/>
      <c r="R19" s="32">
        <f t="shared" si="7"/>
        <v>0</v>
      </c>
      <c r="S19" s="33">
        <v>1.5</v>
      </c>
      <c r="T19" s="34">
        <f t="shared" si="8"/>
        <v>19.350000000000001</v>
      </c>
      <c r="U19" s="34">
        <f t="shared" si="9"/>
        <v>9.6750000000000007</v>
      </c>
      <c r="V19" s="6"/>
      <c r="W19" s="6" t="s">
        <v>49</v>
      </c>
      <c r="X19" s="6" t="s">
        <v>52</v>
      </c>
      <c r="Y19" s="6"/>
    </row>
    <row r="20" spans="1:25" ht="13.5" customHeight="1">
      <c r="A20" s="25">
        <v>8</v>
      </c>
      <c r="B20" s="26" t="s">
        <v>54</v>
      </c>
      <c r="C20" s="27">
        <v>8.07</v>
      </c>
      <c r="D20" s="28">
        <f t="shared" si="4"/>
        <v>46181</v>
      </c>
      <c r="E20" s="58">
        <f>IFERROR(VLOOKUP(B20&amp;$E$12&amp;TEXT(D20,"dd/mm/aaaa"),'HISTORICO '!D:E,2,FALSE),0)</f>
        <v>0</v>
      </c>
      <c r="F20" s="59">
        <f>IFERROR(VLOOKUP(B20&amp;$F$12&amp;TEXT(D20,"dd/mm/aaaa"),'HISTORICO '!D:E,2,FALSE),0)</f>
        <v>0</v>
      </c>
      <c r="G20" s="59">
        <f>IFERROR(VLOOKUP(B20&amp;G$12&amp;TEXT(D20,"dd/mm/aaaa"),'HISTORICO '!D:E,2,FALSE),0)</f>
        <v>0</v>
      </c>
      <c r="H20" s="59">
        <f>IFERROR(VLOOKUP(B20&amp;H$12&amp;TEXT(D20,"dd/mm/aaaa"),'HISTORICO '!D:E,2,FALSE),0)</f>
        <v>0</v>
      </c>
      <c r="I20" s="59">
        <f>IFERROR(VLOOKUP(B20&amp;I$12&amp;TEXT(D20,"dd/mm/aaaa"),'HISTORICO '!D:E,2,FALSE),0)</f>
        <v>0</v>
      </c>
      <c r="J20" s="59">
        <f>IFERROR(VLOOKUP(B20&amp;J$12&amp;TEXT(D20,"dd/mm/aaaa"),'HISTORICO '!D:E,2,FALSE),0)</f>
        <v>0</v>
      </c>
      <c r="K20" s="59">
        <f>IFERROR(VLOOKUP(B20&amp;K$12&amp;TEXT(D20,"dd/mm/aaaa"),'HISTORICO '!D:E,2,FALSE),0)</f>
        <v>0</v>
      </c>
      <c r="L20" s="60"/>
      <c r="M20" s="61" t="str">
        <f>IFERROR(_xlfn.XLOOKUP(D20 &amp; B20,  'HISTORICO '!G:G, 'HISTORICO '!F:F),"")</f>
        <v/>
      </c>
      <c r="N20" s="29">
        <f t="shared" si="10"/>
        <v>0</v>
      </c>
      <c r="O20" s="30">
        <f t="shared" si="5"/>
        <v>0</v>
      </c>
      <c r="P20" s="27">
        <f t="shared" si="6"/>
        <v>0</v>
      </c>
      <c r="Q20" s="31">
        <v>4</v>
      </c>
      <c r="R20" s="32">
        <f t="shared" si="7"/>
        <v>0</v>
      </c>
      <c r="S20" s="33">
        <v>2.5</v>
      </c>
      <c r="T20" s="34">
        <f t="shared" si="8"/>
        <v>20.175000000000001</v>
      </c>
      <c r="U20" s="34">
        <f t="shared" si="9"/>
        <v>10.0875</v>
      </c>
      <c r="V20" s="6"/>
      <c r="W20" s="6" t="s">
        <v>47</v>
      </c>
      <c r="X20" s="6" t="s">
        <v>52</v>
      </c>
      <c r="Y20" s="6"/>
    </row>
    <row r="21" spans="1:25" ht="13.5" customHeight="1">
      <c r="A21" s="25">
        <v>9</v>
      </c>
      <c r="B21" s="26" t="s">
        <v>55</v>
      </c>
      <c r="C21" s="27">
        <v>4.3099999999999996</v>
      </c>
      <c r="D21" s="28">
        <f t="shared" si="4"/>
        <v>46181</v>
      </c>
      <c r="E21" s="58">
        <f>IFERROR(VLOOKUP(B21&amp;$E$12&amp;TEXT(D21,"dd/mm/aaaa"),'HISTORICO '!D:E,2,FALSE),0)</f>
        <v>0</v>
      </c>
      <c r="F21" s="59">
        <f>IFERROR(VLOOKUP(B21&amp;$F$12&amp;TEXT(D21,"dd/mm/aaaa"),'HISTORICO '!D:E,2,FALSE),0)</f>
        <v>0</v>
      </c>
      <c r="G21" s="59">
        <f>IFERROR(VLOOKUP(B21&amp;G$12&amp;TEXT(D21,"dd/mm/aaaa"),'HISTORICO '!D:E,2,FALSE),0)</f>
        <v>0</v>
      </c>
      <c r="H21" s="59">
        <f>IFERROR(VLOOKUP(B21&amp;H$12&amp;TEXT(D21,"dd/mm/aaaa"),'HISTORICO '!D:E,2,FALSE),0)</f>
        <v>0</v>
      </c>
      <c r="I21" s="59">
        <f>IFERROR(VLOOKUP(B21&amp;I$12&amp;TEXT(D21,"dd/mm/aaaa"),'HISTORICO '!D:E,2,FALSE),0)</f>
        <v>0</v>
      </c>
      <c r="J21" s="59">
        <f>IFERROR(VLOOKUP(B21&amp;J$12&amp;TEXT(D21,"dd/mm/aaaa"),'HISTORICO '!D:E,2,FALSE),0)</f>
        <v>0</v>
      </c>
      <c r="K21" s="59">
        <f>IFERROR(VLOOKUP(B21&amp;K$12&amp;TEXT(D21,"dd/mm/aaaa"),'HISTORICO '!D:E,2,FALSE),0)</f>
        <v>0</v>
      </c>
      <c r="L21" s="60"/>
      <c r="M21" s="61" t="str">
        <f>IFERROR(_xlfn.XLOOKUP(D21 &amp; B21,  'HISTORICO '!G:G, 'HISTORICO '!F:F),"")</f>
        <v/>
      </c>
      <c r="N21" s="29">
        <f t="shared" si="10"/>
        <v>0</v>
      </c>
      <c r="O21" s="30">
        <f t="shared" si="5"/>
        <v>0</v>
      </c>
      <c r="P21" s="27">
        <f t="shared" si="6"/>
        <v>0</v>
      </c>
      <c r="Q21" s="31"/>
      <c r="R21" s="32">
        <f t="shared" si="7"/>
        <v>0</v>
      </c>
      <c r="S21" s="33">
        <v>3</v>
      </c>
      <c r="T21" s="34">
        <f t="shared" si="8"/>
        <v>12.93</v>
      </c>
      <c r="U21" s="34">
        <f t="shared" si="9"/>
        <v>6.4649999999999999</v>
      </c>
      <c r="V21" s="6"/>
      <c r="W21" s="6" t="s">
        <v>56</v>
      </c>
      <c r="X21" s="6" t="s">
        <v>43</v>
      </c>
      <c r="Y21" s="6"/>
    </row>
    <row r="22" spans="1:25" ht="13.5" customHeight="1">
      <c r="A22" s="25">
        <v>10</v>
      </c>
      <c r="B22" s="26" t="s">
        <v>57</v>
      </c>
      <c r="C22" s="27">
        <v>2.48</v>
      </c>
      <c r="D22" s="28">
        <f t="shared" si="4"/>
        <v>46181</v>
      </c>
      <c r="E22" s="58">
        <f>IFERROR(VLOOKUP(B22&amp;$E$12&amp;TEXT(D22,"dd/mm/aaaa"),'HISTORICO '!D:E,2,FALSE),0)</f>
        <v>0</v>
      </c>
      <c r="F22" s="59">
        <f>IFERROR(VLOOKUP(B22&amp;$F$12&amp;TEXT(D22,"dd/mm/aaaa"),'HISTORICO '!D:E,2,FALSE),0)</f>
        <v>0</v>
      </c>
      <c r="G22" s="59">
        <f>IFERROR(VLOOKUP(B22&amp;G$12&amp;TEXT(D22,"dd/mm/aaaa"),'HISTORICO '!D:E,2,FALSE),0)</f>
        <v>0</v>
      </c>
      <c r="H22" s="59">
        <f>IFERROR(VLOOKUP(B22&amp;H$12&amp;TEXT(D22,"dd/mm/aaaa"),'HISTORICO '!D:E,2,FALSE),0)</f>
        <v>0</v>
      </c>
      <c r="I22" s="59">
        <f>IFERROR(VLOOKUP(B22&amp;I$12&amp;TEXT(D22,"dd/mm/aaaa"),'HISTORICO '!D:E,2,FALSE),0)</f>
        <v>0</v>
      </c>
      <c r="J22" s="59">
        <f>IFERROR(VLOOKUP(B22&amp;J$12&amp;TEXT(D22,"dd/mm/aaaa"),'HISTORICO '!D:E,2,FALSE),0)</f>
        <v>0</v>
      </c>
      <c r="K22" s="59">
        <f>IFERROR(VLOOKUP(B22&amp;K$12&amp;TEXT(D22,"dd/mm/aaaa"),'HISTORICO '!D:E,2,FALSE),0)</f>
        <v>0</v>
      </c>
      <c r="L22" s="60"/>
      <c r="M22" s="61" t="str">
        <f>IFERROR(_xlfn.XLOOKUP(D22 &amp; B22,  'HISTORICO '!G:G, 'HISTORICO '!F:F),"")</f>
        <v/>
      </c>
      <c r="N22" s="29">
        <f t="shared" si="10"/>
        <v>0</v>
      </c>
      <c r="O22" s="30">
        <f t="shared" si="5"/>
        <v>0</v>
      </c>
      <c r="P22" s="27">
        <f t="shared" si="6"/>
        <v>0</v>
      </c>
      <c r="Q22" s="31"/>
      <c r="R22" s="32">
        <f t="shared" si="7"/>
        <v>0</v>
      </c>
      <c r="S22" s="33">
        <v>0</v>
      </c>
      <c r="T22" s="34">
        <f t="shared" si="8"/>
        <v>0</v>
      </c>
      <c r="U22" s="34">
        <f t="shared" si="9"/>
        <v>0</v>
      </c>
      <c r="V22" s="6"/>
      <c r="W22" s="6" t="s">
        <v>58</v>
      </c>
      <c r="X22" s="6" t="s">
        <v>59</v>
      </c>
      <c r="Y22" s="6"/>
    </row>
    <row r="23" spans="1:25" ht="13.5" customHeight="1">
      <c r="A23" s="25">
        <v>11</v>
      </c>
      <c r="B23" s="26" t="s">
        <v>60</v>
      </c>
      <c r="C23" s="27">
        <v>7.34</v>
      </c>
      <c r="D23" s="28">
        <f t="shared" si="4"/>
        <v>46181</v>
      </c>
      <c r="E23" s="58">
        <f>IFERROR(VLOOKUP(B23&amp;$E$12&amp;TEXT(D23,"dd/mm/aaaa"),'HISTORICO '!D:E,2,FALSE),0)</f>
        <v>0</v>
      </c>
      <c r="F23" s="59">
        <f>IFERROR(VLOOKUP(B23&amp;$F$12&amp;TEXT(D23,"dd/mm/aaaa"),'HISTORICO '!D:E,2,FALSE),0)</f>
        <v>0</v>
      </c>
      <c r="G23" s="59">
        <f>IFERROR(VLOOKUP(B23&amp;G$12&amp;TEXT(D23,"dd/mm/aaaa"),'HISTORICO '!D:E,2,FALSE),0)</f>
        <v>0</v>
      </c>
      <c r="H23" s="59">
        <f>IFERROR(VLOOKUP(B23&amp;H$12&amp;TEXT(D23,"dd/mm/aaaa"),'HISTORICO '!D:E,2,FALSE),0)</f>
        <v>0</v>
      </c>
      <c r="I23" s="59">
        <f>IFERROR(VLOOKUP(B23&amp;I$12&amp;TEXT(D23,"dd/mm/aaaa"),'HISTORICO '!D:E,2,FALSE),0)</f>
        <v>0</v>
      </c>
      <c r="J23" s="59">
        <f>IFERROR(VLOOKUP(B23&amp;J$12&amp;TEXT(D23,"dd/mm/aaaa"),'HISTORICO '!D:E,2,FALSE),0)</f>
        <v>0</v>
      </c>
      <c r="K23" s="59">
        <f>IFERROR(VLOOKUP(B23&amp;K$12&amp;TEXT(D23,"dd/mm/aaaa"),'HISTORICO '!D:E,2,FALSE),0)</f>
        <v>0</v>
      </c>
      <c r="L23" s="60"/>
      <c r="M23" s="61" t="str">
        <f>IFERROR(_xlfn.XLOOKUP(D23 &amp; B23,  'HISTORICO '!G:G, 'HISTORICO '!F:F),"")</f>
        <v/>
      </c>
      <c r="N23" s="29">
        <f t="shared" si="10"/>
        <v>0</v>
      </c>
      <c r="O23" s="30">
        <f t="shared" si="5"/>
        <v>0</v>
      </c>
      <c r="P23" s="27">
        <f t="shared" si="6"/>
        <v>0</v>
      </c>
      <c r="Q23" s="31"/>
      <c r="R23" s="32">
        <f t="shared" si="7"/>
        <v>0</v>
      </c>
      <c r="S23" s="33">
        <v>0</v>
      </c>
      <c r="T23" s="34">
        <f t="shared" si="8"/>
        <v>0</v>
      </c>
      <c r="U23" s="34">
        <f t="shared" si="9"/>
        <v>0</v>
      </c>
      <c r="V23" s="6"/>
      <c r="W23" s="6" t="s">
        <v>58</v>
      </c>
      <c r="X23" s="6" t="s">
        <v>59</v>
      </c>
      <c r="Y23" s="6"/>
    </row>
    <row r="24" spans="1:25" ht="13.5" customHeight="1">
      <c r="A24" s="25">
        <v>12</v>
      </c>
      <c r="B24" s="26" t="s">
        <v>61</v>
      </c>
      <c r="C24" s="27">
        <v>24.45</v>
      </c>
      <c r="D24" s="28">
        <f t="shared" si="4"/>
        <v>46181</v>
      </c>
      <c r="E24" s="58">
        <f>IFERROR(VLOOKUP(B24&amp;$E$12&amp;TEXT(D24,"dd/mm/aaaa"),'HISTORICO '!D:E,2,FALSE),0)</f>
        <v>0</v>
      </c>
      <c r="F24" s="59">
        <f>IFERROR(VLOOKUP(B24&amp;$F$12&amp;TEXT(D24,"dd/mm/aaaa"),'HISTORICO '!D:E,2,FALSE),0)</f>
        <v>0</v>
      </c>
      <c r="G24" s="59">
        <f>IFERROR(VLOOKUP(B24&amp;G$12&amp;TEXT(D24,"dd/mm/aaaa"),'HISTORICO '!D:E,2,FALSE),0)</f>
        <v>0</v>
      </c>
      <c r="H24" s="59">
        <f>IFERROR(VLOOKUP(B24&amp;H$12&amp;TEXT(D24,"dd/mm/aaaa"),'HISTORICO '!D:E,2,FALSE),0)</f>
        <v>0</v>
      </c>
      <c r="I24" s="59">
        <f>IFERROR(VLOOKUP(B24&amp;I$12&amp;TEXT(D24,"dd/mm/aaaa"),'HISTORICO '!D:E,2,FALSE),0)</f>
        <v>0</v>
      </c>
      <c r="J24" s="59">
        <f>IFERROR(VLOOKUP(B24&amp;J$12&amp;TEXT(D24,"dd/mm/aaaa"),'HISTORICO '!D:E,2,FALSE),0)</f>
        <v>0</v>
      </c>
      <c r="K24" s="59">
        <f>IFERROR(VLOOKUP(B24&amp;K$12&amp;TEXT(D24,"dd/mm/aaaa"),'HISTORICO '!D:E,2,FALSE),0)</f>
        <v>0</v>
      </c>
      <c r="L24" s="60"/>
      <c r="M24" s="61" t="str">
        <f>IFERROR(_xlfn.XLOOKUP(D24 &amp; B24,  'HISTORICO '!G:G, 'HISTORICO '!F:F),"")</f>
        <v/>
      </c>
      <c r="N24" s="29">
        <f t="shared" si="10"/>
        <v>0</v>
      </c>
      <c r="O24" s="30">
        <f t="shared" si="5"/>
        <v>0</v>
      </c>
      <c r="P24" s="27">
        <f t="shared" si="6"/>
        <v>0</v>
      </c>
      <c r="Q24" s="31">
        <v>4</v>
      </c>
      <c r="R24" s="32">
        <f t="shared" si="7"/>
        <v>0</v>
      </c>
      <c r="S24" s="33">
        <v>1.5</v>
      </c>
      <c r="T24" s="34">
        <f t="shared" si="8"/>
        <v>36.674999999999997</v>
      </c>
      <c r="U24" s="34">
        <f t="shared" si="9"/>
        <v>18.337499999999999</v>
      </c>
      <c r="V24" s="6"/>
      <c r="W24" s="6" t="s">
        <v>47</v>
      </c>
      <c r="X24" s="6" t="s">
        <v>63</v>
      </c>
      <c r="Y24" s="6"/>
    </row>
    <row r="25" spans="1:25" ht="13.5" customHeight="1">
      <c r="A25" s="25">
        <v>13</v>
      </c>
      <c r="B25" s="26" t="s">
        <v>64</v>
      </c>
      <c r="C25" s="27">
        <v>18.690000000000001</v>
      </c>
      <c r="D25" s="28">
        <f t="shared" si="4"/>
        <v>46181</v>
      </c>
      <c r="E25" s="58">
        <f>IFERROR(VLOOKUP(B25&amp;$E$12&amp;TEXT(D25,"dd/mm/aaaa"),'HISTORICO '!D:E,2,FALSE),0)</f>
        <v>3</v>
      </c>
      <c r="F25" s="59">
        <f>IFERROR(VLOOKUP(B25&amp;$F$12&amp;TEXT(D25,"dd/mm/aaaa"),'HISTORICO '!D:E,2,FALSE),0)</f>
        <v>7</v>
      </c>
      <c r="G25" s="59">
        <f>IFERROR(VLOOKUP(B25&amp;G$12&amp;TEXT(D25,"dd/mm/aaaa"),'HISTORICO '!D:E,2,FALSE),0)</f>
        <v>0</v>
      </c>
      <c r="H25" s="59">
        <f>IFERROR(VLOOKUP(B25&amp;H$12&amp;TEXT(D25,"dd/mm/aaaa"),'HISTORICO '!D:E,2,FALSE),0)</f>
        <v>0</v>
      </c>
      <c r="I25" s="59">
        <f>IFERROR(VLOOKUP(B25&amp;I$12&amp;TEXT(D25,"dd/mm/aaaa"),'HISTORICO '!D:E,2,FALSE),0)</f>
        <v>0</v>
      </c>
      <c r="J25" s="59">
        <f>IFERROR(VLOOKUP(B25&amp;J$12&amp;TEXT(D25,"dd/mm/aaaa"),'HISTORICO '!D:E,2,FALSE),0)</f>
        <v>0</v>
      </c>
      <c r="K25" s="59">
        <f>IFERROR(VLOOKUP(B25&amp;K$12&amp;TEXT(D25,"dd/mm/aaaa"),'HISTORICO '!D:E,2,FALSE),0)</f>
        <v>6</v>
      </c>
      <c r="L25" s="60"/>
      <c r="M25" s="61">
        <f>IFERROR(_xlfn.XLOOKUP(D25 &amp; B25,  'HISTORICO '!G:G, 'HISTORICO '!F:F),"")</f>
        <v>0</v>
      </c>
      <c r="N25" s="29">
        <f t="shared" si="10"/>
        <v>19</v>
      </c>
      <c r="O25" s="30">
        <f t="shared" si="5"/>
        <v>21.666666666666664</v>
      </c>
      <c r="P25" s="27">
        <f t="shared" si="6"/>
        <v>1.1592652042090241</v>
      </c>
      <c r="Q25" s="31">
        <v>4</v>
      </c>
      <c r="R25" s="32">
        <f t="shared" si="7"/>
        <v>9.75</v>
      </c>
      <c r="S25" s="33">
        <v>1.5</v>
      </c>
      <c r="T25" s="34">
        <f t="shared" si="8"/>
        <v>28.035000000000004</v>
      </c>
      <c r="U25" s="34">
        <f t="shared" si="9"/>
        <v>14.017500000000002</v>
      </c>
      <c r="V25" s="6"/>
      <c r="W25" s="35" t="s">
        <v>65</v>
      </c>
      <c r="X25" s="6" t="s">
        <v>63</v>
      </c>
      <c r="Y25" s="6"/>
    </row>
    <row r="26" spans="1:25" ht="13.5" customHeight="1">
      <c r="A26" s="25">
        <v>14</v>
      </c>
      <c r="B26" s="26" t="s">
        <v>66</v>
      </c>
      <c r="C26" s="27">
        <v>37.700000000000003</v>
      </c>
      <c r="D26" s="28">
        <f t="shared" si="4"/>
        <v>46181</v>
      </c>
      <c r="E26" s="58">
        <f>IFERROR(VLOOKUP(B26&amp;$E$12&amp;TEXT(D26,"dd/mm/aaaa"),'HISTORICO '!D:E,2,FALSE),0)</f>
        <v>0</v>
      </c>
      <c r="F26" s="59">
        <f>IFERROR(VLOOKUP(B26&amp;$F$12&amp;TEXT(D26,"dd/mm/aaaa"),'HISTORICO '!D:E,2,FALSE),0)</f>
        <v>0</v>
      </c>
      <c r="G26" s="59">
        <f>IFERROR(VLOOKUP(B26&amp;G$12&amp;TEXT(D26,"dd/mm/aaaa"),'HISTORICO '!D:E,2,FALSE),0)</f>
        <v>0</v>
      </c>
      <c r="H26" s="59">
        <f>IFERROR(VLOOKUP(B26&amp;H$12&amp;TEXT(D26,"dd/mm/aaaa"),'HISTORICO '!D:E,2,FALSE),0)</f>
        <v>0</v>
      </c>
      <c r="I26" s="59">
        <f>IFERROR(VLOOKUP(B26&amp;I$12&amp;TEXT(D26,"dd/mm/aaaa"),'HISTORICO '!D:E,2,FALSE),0)</f>
        <v>0</v>
      </c>
      <c r="J26" s="59">
        <f>IFERROR(VLOOKUP(B26&amp;J$12&amp;TEXT(D26,"dd/mm/aaaa"),'HISTORICO '!D:E,2,FALSE),0)</f>
        <v>0</v>
      </c>
      <c r="K26" s="59">
        <f>IFERROR(VLOOKUP(B26&amp;K$12&amp;TEXT(D26,"dd/mm/aaaa"),'HISTORICO '!D:E,2,FALSE),0)</f>
        <v>0</v>
      </c>
      <c r="L26" s="60"/>
      <c r="M26" s="61" t="str">
        <f>IFERROR(_xlfn.XLOOKUP(D26 &amp; B26,  'HISTORICO '!G:G, 'HISTORICO '!F:F),"")</f>
        <v/>
      </c>
      <c r="N26" s="29">
        <f t="shared" si="10"/>
        <v>0</v>
      </c>
      <c r="O26" s="30">
        <f t="shared" si="5"/>
        <v>0</v>
      </c>
      <c r="P26" s="27">
        <f t="shared" si="6"/>
        <v>0</v>
      </c>
      <c r="Q26" s="31"/>
      <c r="R26" s="32">
        <f t="shared" si="7"/>
        <v>0</v>
      </c>
      <c r="S26" s="33">
        <v>1</v>
      </c>
      <c r="T26" s="34">
        <f t="shared" si="8"/>
        <v>37.700000000000003</v>
      </c>
      <c r="U26" s="34">
        <f t="shared" si="9"/>
        <v>18.850000000000001</v>
      </c>
      <c r="V26" s="6"/>
      <c r="W26" s="6" t="s">
        <v>65</v>
      </c>
      <c r="X26" s="6" t="s">
        <v>45</v>
      </c>
      <c r="Y26" s="6"/>
    </row>
    <row r="27" spans="1:25" ht="13.5" customHeight="1">
      <c r="A27" s="25">
        <v>15</v>
      </c>
      <c r="B27" s="26" t="s">
        <v>67</v>
      </c>
      <c r="C27" s="27">
        <v>34.4</v>
      </c>
      <c r="D27" s="28">
        <f t="shared" si="4"/>
        <v>46181</v>
      </c>
      <c r="E27" s="58">
        <f>IFERROR(VLOOKUP(B27&amp;$E$12&amp;TEXT(D27,"dd/mm/aaaa"),'HISTORICO '!D:E,2,FALSE),0)</f>
        <v>0</v>
      </c>
      <c r="F27" s="59">
        <f>IFERROR(VLOOKUP(B27&amp;$F$12&amp;TEXT(D27,"dd/mm/aaaa"),'HISTORICO '!D:E,2,FALSE),0)</f>
        <v>0</v>
      </c>
      <c r="G27" s="59">
        <f>IFERROR(VLOOKUP(B27&amp;G$12&amp;TEXT(D27,"dd/mm/aaaa"),'HISTORICO '!D:E,2,FALSE),0)</f>
        <v>0</v>
      </c>
      <c r="H27" s="59">
        <f>IFERROR(VLOOKUP(B27&amp;H$12&amp;TEXT(D27,"dd/mm/aaaa"),'HISTORICO '!D:E,2,FALSE),0)</f>
        <v>0</v>
      </c>
      <c r="I27" s="59">
        <f>IFERROR(VLOOKUP(B27&amp;I$12&amp;TEXT(D27,"dd/mm/aaaa"),'HISTORICO '!D:E,2,FALSE),0)</f>
        <v>0</v>
      </c>
      <c r="J27" s="59">
        <f>IFERROR(VLOOKUP(B27&amp;J$12&amp;TEXT(D27,"dd/mm/aaaa"),'HISTORICO '!D:E,2,FALSE),0)</f>
        <v>0</v>
      </c>
      <c r="K27" s="59">
        <f>IFERROR(VLOOKUP(B27&amp;K$12&amp;TEXT(D27,"dd/mm/aaaa"),'HISTORICO '!D:E,2,FALSE),0)</f>
        <v>0</v>
      </c>
      <c r="L27" s="60"/>
      <c r="M27" s="61" t="str">
        <f>IFERROR(_xlfn.XLOOKUP(D27 &amp; B27,  'HISTORICO '!G:G, 'HISTORICO '!F:F),"")</f>
        <v/>
      </c>
      <c r="N27" s="29">
        <f t="shared" si="10"/>
        <v>0</v>
      </c>
      <c r="O27" s="30">
        <f t="shared" si="5"/>
        <v>0</v>
      </c>
      <c r="P27" s="27">
        <f t="shared" si="6"/>
        <v>0</v>
      </c>
      <c r="Q27" s="31"/>
      <c r="R27" s="32">
        <f t="shared" si="7"/>
        <v>0</v>
      </c>
      <c r="S27" s="33">
        <v>0</v>
      </c>
      <c r="T27" s="34">
        <f t="shared" si="8"/>
        <v>0</v>
      </c>
      <c r="U27" s="34">
        <f t="shared" si="9"/>
        <v>0</v>
      </c>
      <c r="V27" s="6"/>
      <c r="W27" s="6" t="s">
        <v>56</v>
      </c>
      <c r="X27" s="6" t="s">
        <v>68</v>
      </c>
      <c r="Y27" s="6"/>
    </row>
    <row r="28" spans="1:25" ht="13.5" customHeight="1">
      <c r="A28" s="25">
        <v>16</v>
      </c>
      <c r="B28" s="26" t="s">
        <v>69</v>
      </c>
      <c r="C28" s="27">
        <v>28.8</v>
      </c>
      <c r="D28" s="28">
        <f t="shared" si="4"/>
        <v>46181</v>
      </c>
      <c r="E28" s="58">
        <f>IFERROR(VLOOKUP(B28&amp;$E$12&amp;TEXT(D28,"dd/mm/aaaa"),'HISTORICO '!D:E,2,FALSE),0)</f>
        <v>0</v>
      </c>
      <c r="F28" s="59">
        <f>IFERROR(VLOOKUP(B28&amp;$F$12&amp;TEXT(D28,"dd/mm/aaaa"),'HISTORICO '!D:E,2,FALSE),0)</f>
        <v>0</v>
      </c>
      <c r="G28" s="59">
        <f>IFERROR(VLOOKUP(B28&amp;G$12&amp;TEXT(D28,"dd/mm/aaaa"),'HISTORICO '!D:E,2,FALSE),0)</f>
        <v>0</v>
      </c>
      <c r="H28" s="59">
        <f>IFERROR(VLOOKUP(B28&amp;H$12&amp;TEXT(D28,"dd/mm/aaaa"),'HISTORICO '!D:E,2,FALSE),0)</f>
        <v>0</v>
      </c>
      <c r="I28" s="59">
        <f>IFERROR(VLOOKUP(B28&amp;I$12&amp;TEXT(D28,"dd/mm/aaaa"),'HISTORICO '!D:E,2,FALSE),0)</f>
        <v>0</v>
      </c>
      <c r="J28" s="59">
        <f>IFERROR(VLOOKUP(B28&amp;J$12&amp;TEXT(D28,"dd/mm/aaaa"),'HISTORICO '!D:E,2,FALSE),0)</f>
        <v>0</v>
      </c>
      <c r="K28" s="59">
        <f>IFERROR(VLOOKUP(B28&amp;K$12&amp;TEXT(D28,"dd/mm/aaaa"),'HISTORICO '!D:E,2,FALSE),0)</f>
        <v>0</v>
      </c>
      <c r="L28" s="60"/>
      <c r="M28" s="61" t="str">
        <f>IFERROR(_xlfn.XLOOKUP(D28 &amp; B28,  'HISTORICO '!G:G, 'HISTORICO '!F:F),"")</f>
        <v/>
      </c>
      <c r="N28" s="29">
        <f t="shared" si="10"/>
        <v>0</v>
      </c>
      <c r="O28" s="30">
        <f t="shared" si="5"/>
        <v>0</v>
      </c>
      <c r="P28" s="27">
        <f t="shared" si="6"/>
        <v>0</v>
      </c>
      <c r="Q28" s="31"/>
      <c r="R28" s="32">
        <f t="shared" si="7"/>
        <v>0</v>
      </c>
      <c r="S28" s="33">
        <v>0</v>
      </c>
      <c r="T28" s="34">
        <f t="shared" si="8"/>
        <v>0</v>
      </c>
      <c r="U28" s="34">
        <f t="shared" si="9"/>
        <v>0</v>
      </c>
      <c r="V28" s="6"/>
      <c r="W28" s="6" t="s">
        <v>58</v>
      </c>
      <c r="X28" s="6" t="s">
        <v>59</v>
      </c>
      <c r="Y28" s="6"/>
    </row>
    <row r="29" spans="1:25" ht="13.5" customHeight="1">
      <c r="A29" s="25">
        <v>17</v>
      </c>
      <c r="B29" s="26" t="s">
        <v>70</v>
      </c>
      <c r="C29" s="27">
        <v>12.9</v>
      </c>
      <c r="D29" s="28">
        <f t="shared" si="4"/>
        <v>46181</v>
      </c>
      <c r="E29" s="58">
        <f>IFERROR(VLOOKUP(B29&amp;$E$12&amp;TEXT(D29,"dd/mm/aaaa"),'HISTORICO '!D:E,2,FALSE),0)</f>
        <v>0</v>
      </c>
      <c r="F29" s="59">
        <f>IFERROR(VLOOKUP(B29&amp;$F$12&amp;TEXT(D29,"dd/mm/aaaa"),'HISTORICO '!D:E,2,FALSE),0)</f>
        <v>0</v>
      </c>
      <c r="G29" s="59">
        <f>IFERROR(VLOOKUP(B29&amp;G$12&amp;TEXT(D29,"dd/mm/aaaa"),'HISTORICO '!D:E,2,FALSE),0)</f>
        <v>0</v>
      </c>
      <c r="H29" s="59">
        <f>IFERROR(VLOOKUP(B29&amp;H$12&amp;TEXT(D29,"dd/mm/aaaa"),'HISTORICO '!D:E,2,FALSE),0)</f>
        <v>0</v>
      </c>
      <c r="I29" s="59">
        <f>IFERROR(VLOOKUP(B29&amp;I$12&amp;TEXT(D29,"dd/mm/aaaa"),'HISTORICO '!D:E,2,FALSE),0)</f>
        <v>0</v>
      </c>
      <c r="J29" s="59">
        <f>IFERROR(VLOOKUP(B29&amp;J$12&amp;TEXT(D29,"dd/mm/aaaa"),'HISTORICO '!D:E,2,FALSE),0)</f>
        <v>180</v>
      </c>
      <c r="K29" s="59">
        <f>IFERROR(VLOOKUP(B29&amp;K$12&amp;TEXT(D29,"dd/mm/aaaa"),'HISTORICO '!D:E,2,FALSE),0)</f>
        <v>0</v>
      </c>
      <c r="L29" s="60"/>
      <c r="M29" s="61" t="str">
        <f>IFERROR(_xlfn.XLOOKUP(D29 &amp; B29,  'HISTORICO '!G:G, 'HISTORICO '!F:F),"")</f>
        <v>Bezerras desmama</v>
      </c>
      <c r="N29" s="29">
        <f t="shared" si="10"/>
        <v>180</v>
      </c>
      <c r="O29" s="30">
        <f t="shared" si="5"/>
        <v>90</v>
      </c>
      <c r="P29" s="27">
        <f t="shared" si="6"/>
        <v>6.9767441860465116</v>
      </c>
      <c r="Q29" s="31">
        <v>5</v>
      </c>
      <c r="R29" s="32">
        <f t="shared" si="7"/>
        <v>121.50000000000001</v>
      </c>
      <c r="S29" s="33">
        <v>2</v>
      </c>
      <c r="T29" s="34">
        <f t="shared" si="8"/>
        <v>25.8</v>
      </c>
      <c r="U29" s="34">
        <f t="shared" si="9"/>
        <v>12.9</v>
      </c>
      <c r="V29" s="6"/>
      <c r="W29" s="6" t="s">
        <v>56</v>
      </c>
      <c r="X29" s="6" t="s">
        <v>43</v>
      </c>
      <c r="Y29" s="6"/>
    </row>
    <row r="30" spans="1:25" ht="13.5" customHeight="1">
      <c r="A30" s="25">
        <v>18</v>
      </c>
      <c r="B30" s="26" t="s">
        <v>71</v>
      </c>
      <c r="C30" s="27">
        <v>25.2</v>
      </c>
      <c r="D30" s="28">
        <f t="shared" si="4"/>
        <v>46181</v>
      </c>
      <c r="E30" s="58">
        <f>IFERROR(VLOOKUP(B30&amp;$E$12&amp;TEXT(D30,"dd/mm/aaaa"),'HISTORICO '!D:E,2,FALSE),0)</f>
        <v>0</v>
      </c>
      <c r="F30" s="59">
        <f>IFERROR(VLOOKUP(B30&amp;$F$12&amp;TEXT(D30,"dd/mm/aaaa"),'HISTORICO '!D:E,2,FALSE),0)</f>
        <v>0</v>
      </c>
      <c r="G30" s="59">
        <f>IFERROR(VLOOKUP(B30&amp;G$12&amp;TEXT(D30,"dd/mm/aaaa"),'HISTORICO '!D:E,2,FALSE),0)</f>
        <v>0</v>
      </c>
      <c r="H30" s="59">
        <f>IFERROR(VLOOKUP(B30&amp;H$12&amp;TEXT(D30,"dd/mm/aaaa"),'HISTORICO '!D:E,2,FALSE),0)</f>
        <v>0</v>
      </c>
      <c r="I30" s="59">
        <f>IFERROR(VLOOKUP(B30&amp;I$12&amp;TEXT(D30,"dd/mm/aaaa"),'HISTORICO '!D:E,2,FALSE),0)</f>
        <v>0</v>
      </c>
      <c r="J30" s="59">
        <f>IFERROR(VLOOKUP(B30&amp;J$12&amp;TEXT(D30,"dd/mm/aaaa"),'HISTORICO '!D:E,2,FALSE),0)</f>
        <v>0</v>
      </c>
      <c r="K30" s="59">
        <f>IFERROR(VLOOKUP(B30&amp;K$12&amp;TEXT(D30,"dd/mm/aaaa"),'HISTORICO '!D:E,2,FALSE),0)</f>
        <v>0</v>
      </c>
      <c r="L30" s="60"/>
      <c r="M30" s="61" t="str">
        <f>IFERROR(_xlfn.XLOOKUP(D30 &amp; B30,  'HISTORICO '!G:G, 'HISTORICO '!F:F),"")</f>
        <v/>
      </c>
      <c r="N30" s="29">
        <f t="shared" si="10"/>
        <v>0</v>
      </c>
      <c r="O30" s="30">
        <f t="shared" si="5"/>
        <v>0</v>
      </c>
      <c r="P30" s="27">
        <f t="shared" si="6"/>
        <v>0</v>
      </c>
      <c r="Q30" s="31"/>
      <c r="R30" s="32">
        <f t="shared" si="7"/>
        <v>0</v>
      </c>
      <c r="S30" s="33">
        <v>4</v>
      </c>
      <c r="T30" s="34">
        <f t="shared" si="8"/>
        <v>100.8</v>
      </c>
      <c r="U30" s="34">
        <f t="shared" si="9"/>
        <v>50.4</v>
      </c>
      <c r="V30" s="6"/>
      <c r="W30" s="6" t="s">
        <v>56</v>
      </c>
      <c r="X30" s="6" t="s">
        <v>43</v>
      </c>
      <c r="Y30" s="6"/>
    </row>
    <row r="31" spans="1:25" ht="13.5" customHeight="1">
      <c r="A31" s="25">
        <v>19</v>
      </c>
      <c r="B31" s="26" t="s">
        <v>72</v>
      </c>
      <c r="C31" s="27">
        <v>39.700000000000003</v>
      </c>
      <c r="D31" s="28">
        <f t="shared" si="4"/>
        <v>46181</v>
      </c>
      <c r="E31" s="58">
        <f>IFERROR(VLOOKUP(B31&amp;$E$12&amp;TEXT(D31,"dd/mm/aaaa"),'HISTORICO '!D:E,2,FALSE),0)</f>
        <v>0</v>
      </c>
      <c r="F31" s="59">
        <f>IFERROR(VLOOKUP(B31&amp;$F$12&amp;TEXT(D31,"dd/mm/aaaa"),'HISTORICO '!D:E,2,FALSE),0)</f>
        <v>0</v>
      </c>
      <c r="G31" s="59">
        <f>IFERROR(VLOOKUP(B31&amp;G$12&amp;TEXT(D31,"dd/mm/aaaa"),'HISTORICO '!D:E,2,FALSE),0)</f>
        <v>0</v>
      </c>
      <c r="H31" s="59">
        <f>IFERROR(VLOOKUP(B31&amp;H$12&amp;TEXT(D31,"dd/mm/aaaa"),'HISTORICO '!D:E,2,FALSE),0)</f>
        <v>0</v>
      </c>
      <c r="I31" s="59">
        <f>IFERROR(VLOOKUP(B31&amp;I$12&amp;TEXT(D31,"dd/mm/aaaa"),'HISTORICO '!D:E,2,FALSE),0)</f>
        <v>0</v>
      </c>
      <c r="J31" s="59">
        <f>IFERROR(VLOOKUP(B31&amp;J$12&amp;TEXT(D31,"dd/mm/aaaa"),'HISTORICO '!D:E,2,FALSE),0)</f>
        <v>184</v>
      </c>
      <c r="K31" s="59">
        <f>IFERROR(VLOOKUP(B31&amp;K$12&amp;TEXT(D31,"dd/mm/aaaa"),'HISTORICO '!D:E,2,FALSE),0)</f>
        <v>0</v>
      </c>
      <c r="L31" s="60"/>
      <c r="M31" s="61" t="str">
        <f>IFERROR(_xlfn.XLOOKUP(D31 &amp; B31,  'HISTORICO '!G:G, 'HISTORICO '!F:F),"")</f>
        <v>Bezerros desmama</v>
      </c>
      <c r="N31" s="29">
        <f t="shared" si="10"/>
        <v>184</v>
      </c>
      <c r="O31" s="30">
        <f t="shared" si="5"/>
        <v>92</v>
      </c>
      <c r="P31" s="27">
        <f t="shared" si="6"/>
        <v>2.317380352644836</v>
      </c>
      <c r="Q31" s="31"/>
      <c r="R31" s="32">
        <f t="shared" si="7"/>
        <v>0</v>
      </c>
      <c r="S31" s="33">
        <v>4</v>
      </c>
      <c r="T31" s="34">
        <f t="shared" si="8"/>
        <v>158.80000000000001</v>
      </c>
      <c r="U31" s="34">
        <f t="shared" si="9"/>
        <v>79.400000000000006</v>
      </c>
      <c r="V31" s="6"/>
      <c r="W31" s="6" t="s">
        <v>65</v>
      </c>
      <c r="X31" s="6" t="s">
        <v>43</v>
      </c>
      <c r="Y31" s="6"/>
    </row>
    <row r="32" spans="1:25" ht="13.5" customHeight="1">
      <c r="A32" s="25">
        <v>20</v>
      </c>
      <c r="B32" s="26" t="s">
        <v>73</v>
      </c>
      <c r="C32" s="27">
        <v>106.47</v>
      </c>
      <c r="D32" s="28">
        <f t="shared" si="4"/>
        <v>46181</v>
      </c>
      <c r="E32" s="58">
        <f>IFERROR(VLOOKUP(B32&amp;$E$12&amp;TEXT(D32,"dd/mm/aaaa"),'HISTORICO '!D:E,2,FALSE),0)</f>
        <v>0</v>
      </c>
      <c r="F32" s="59">
        <f>IFERROR(VLOOKUP(B32&amp;$F$12&amp;TEXT(D32,"dd/mm/aaaa"),'HISTORICO '!D:E,2,FALSE),0)</f>
        <v>0</v>
      </c>
      <c r="G32" s="59">
        <f>IFERROR(VLOOKUP(B32&amp;G$12&amp;TEXT(D32,"dd/mm/aaaa"),'HISTORICO '!D:E,2,FALSE),0)</f>
        <v>163</v>
      </c>
      <c r="H32" s="59">
        <f>IFERROR(VLOOKUP(B32&amp;H$12&amp;TEXT(D32,"dd/mm/aaaa"),'HISTORICO '!D:E,2,FALSE),0)</f>
        <v>0</v>
      </c>
      <c r="I32" s="59">
        <f>IFERROR(VLOOKUP(B32&amp;I$12&amp;TEXT(D32,"dd/mm/aaaa"),'HISTORICO '!D:E,2,FALSE),0)</f>
        <v>0</v>
      </c>
      <c r="J32" s="59">
        <f>IFERROR(VLOOKUP(B32&amp;J$12&amp;TEXT(D32,"dd/mm/aaaa"),'HISTORICO '!D:E,2,FALSE),0)</f>
        <v>0</v>
      </c>
      <c r="K32" s="59">
        <f>IFERROR(VLOOKUP(B32&amp;K$12&amp;TEXT(D32,"dd/mm/aaaa"),'HISTORICO '!D:E,2,FALSE),0)</f>
        <v>0</v>
      </c>
      <c r="L32" s="60"/>
      <c r="M32" s="61">
        <f>IFERROR(_xlfn.XLOOKUP(D32 &amp; B32,  'HISTORICO '!G:G, 'HISTORICO '!F:F),"")</f>
        <v>0</v>
      </c>
      <c r="N32" s="29">
        <f t="shared" si="10"/>
        <v>163</v>
      </c>
      <c r="O32" s="30">
        <f t="shared" si="5"/>
        <v>123.15555555555555</v>
      </c>
      <c r="P32" s="27">
        <f t="shared" si="6"/>
        <v>1.1567160285109004</v>
      </c>
      <c r="Q32" s="31">
        <v>4</v>
      </c>
      <c r="R32" s="32">
        <f t="shared" si="7"/>
        <v>55.42</v>
      </c>
      <c r="S32" s="33">
        <v>2</v>
      </c>
      <c r="T32" s="34">
        <f t="shared" si="8"/>
        <v>212.94</v>
      </c>
      <c r="U32" s="34">
        <f t="shared" si="9"/>
        <v>106.47</v>
      </c>
      <c r="V32" s="6"/>
      <c r="W32" s="6" t="s">
        <v>47</v>
      </c>
      <c r="X32" s="6" t="s">
        <v>52</v>
      </c>
      <c r="Y32" s="6"/>
    </row>
    <row r="33" spans="1:25" ht="13.5" customHeight="1">
      <c r="A33" s="25">
        <v>21</v>
      </c>
      <c r="B33" s="26" t="s">
        <v>75</v>
      </c>
      <c r="C33" s="27">
        <v>77.3</v>
      </c>
      <c r="D33" s="28">
        <f t="shared" si="4"/>
        <v>46181</v>
      </c>
      <c r="E33" s="58">
        <f>IFERROR(VLOOKUP(B33&amp;$E$12&amp;TEXT(D33,"dd/mm/aaaa"),'HISTORICO '!D:E,2,FALSE),0)</f>
        <v>0</v>
      </c>
      <c r="F33" s="59">
        <f>IFERROR(VLOOKUP(B33&amp;$F$12&amp;TEXT(D33,"dd/mm/aaaa"),'HISTORICO '!D:E,2,FALSE),0)</f>
        <v>0</v>
      </c>
      <c r="G33" s="59">
        <f>IFERROR(VLOOKUP(B33&amp;G$12&amp;TEXT(D33,"dd/mm/aaaa"),'HISTORICO '!D:E,2,FALSE),0)</f>
        <v>210</v>
      </c>
      <c r="H33" s="59">
        <f>IFERROR(VLOOKUP(B33&amp;H$12&amp;TEXT(D33,"dd/mm/aaaa"),'HISTORICO '!D:E,2,FALSE),0)</f>
        <v>0</v>
      </c>
      <c r="I33" s="59">
        <f>IFERROR(VLOOKUP(B33&amp;I$12&amp;TEXT(D33,"dd/mm/aaaa"),'HISTORICO '!D:E,2,FALSE),0)</f>
        <v>0</v>
      </c>
      <c r="J33" s="59">
        <f>IFERROR(VLOOKUP(B33&amp;J$12&amp;TEXT(D33,"dd/mm/aaaa"),'HISTORICO '!D:E,2,FALSE),0)</f>
        <v>0</v>
      </c>
      <c r="K33" s="59">
        <f>IFERROR(VLOOKUP(B33&amp;K$12&amp;TEXT(D33,"dd/mm/aaaa"),'HISTORICO '!D:E,2,FALSE),0)</f>
        <v>0</v>
      </c>
      <c r="L33" s="60"/>
      <c r="M33" s="61" t="str">
        <f>IFERROR(_xlfn.XLOOKUP(D33 &amp; B33,  'HISTORICO '!G:G, 'HISTORICO '!F:F),"")</f>
        <v>Novilhas vazias</v>
      </c>
      <c r="N33" s="29">
        <f t="shared" si="10"/>
        <v>210</v>
      </c>
      <c r="O33" s="30">
        <f t="shared" si="5"/>
        <v>158.66666666666666</v>
      </c>
      <c r="P33" s="27">
        <f t="shared" si="6"/>
        <v>2.0526088831392841</v>
      </c>
      <c r="Q33" s="31">
        <v>4</v>
      </c>
      <c r="R33" s="32">
        <f t="shared" si="7"/>
        <v>71.399999999999991</v>
      </c>
      <c r="S33" s="33">
        <v>2.5</v>
      </c>
      <c r="T33" s="34">
        <f t="shared" si="8"/>
        <v>193.25</v>
      </c>
      <c r="U33" s="34">
        <f t="shared" si="9"/>
        <v>96.625</v>
      </c>
      <c r="V33" s="6"/>
      <c r="W33" s="6" t="s">
        <v>65</v>
      </c>
      <c r="X33" s="6" t="s">
        <v>43</v>
      </c>
      <c r="Y33" s="6"/>
    </row>
    <row r="34" spans="1:25" ht="13.5" customHeight="1">
      <c r="A34" s="25">
        <v>22</v>
      </c>
      <c r="B34" s="26" t="s">
        <v>77</v>
      </c>
      <c r="C34" s="27">
        <v>17.2</v>
      </c>
      <c r="D34" s="28">
        <f t="shared" si="4"/>
        <v>46181</v>
      </c>
      <c r="E34" s="58">
        <f>IFERROR(VLOOKUP(B34&amp;$E$12&amp;TEXT(D34,"dd/mm/aaaa"),'HISTORICO '!D:E,2,FALSE),0)</f>
        <v>0</v>
      </c>
      <c r="F34" s="59">
        <f>IFERROR(VLOOKUP(B34&amp;$F$12&amp;TEXT(D34,"dd/mm/aaaa"),'HISTORICO '!D:E,2,FALSE),0)</f>
        <v>0</v>
      </c>
      <c r="G34" s="59">
        <f>IFERROR(VLOOKUP(B34&amp;G$12&amp;TEXT(D34,"dd/mm/aaaa"),'HISTORICO '!D:E,2,FALSE),0)</f>
        <v>0</v>
      </c>
      <c r="H34" s="59">
        <f>IFERROR(VLOOKUP(B34&amp;H$12&amp;TEXT(D34,"dd/mm/aaaa"),'HISTORICO '!D:E,2,FALSE),0)</f>
        <v>0</v>
      </c>
      <c r="I34" s="59">
        <f>IFERROR(VLOOKUP(B34&amp;I$12&amp;TEXT(D34,"dd/mm/aaaa"),'HISTORICO '!D:E,2,FALSE),0)</f>
        <v>0</v>
      </c>
      <c r="J34" s="59">
        <f>IFERROR(VLOOKUP(B34&amp;J$12&amp;TEXT(D34,"dd/mm/aaaa"),'HISTORICO '!D:E,2,FALSE),0)</f>
        <v>0</v>
      </c>
      <c r="K34" s="59">
        <f>IFERROR(VLOOKUP(B34&amp;K$12&amp;TEXT(D34,"dd/mm/aaaa"),'HISTORICO '!D:E,2,FALSE),0)</f>
        <v>0</v>
      </c>
      <c r="L34" s="60"/>
      <c r="M34" s="61" t="str">
        <f>IFERROR(_xlfn.XLOOKUP(D34 &amp; B34,  'HISTORICO '!G:G, 'HISTORICO '!F:F),"")</f>
        <v/>
      </c>
      <c r="N34" s="29">
        <f t="shared" si="10"/>
        <v>0</v>
      </c>
      <c r="O34" s="30">
        <f t="shared" si="5"/>
        <v>0</v>
      </c>
      <c r="P34" s="27">
        <f t="shared" si="6"/>
        <v>0</v>
      </c>
      <c r="Q34" s="31"/>
      <c r="R34" s="32">
        <f t="shared" si="7"/>
        <v>0</v>
      </c>
      <c r="S34" s="33">
        <v>2.5</v>
      </c>
      <c r="T34" s="34">
        <f t="shared" si="8"/>
        <v>43</v>
      </c>
      <c r="U34" s="34">
        <f t="shared" si="9"/>
        <v>21.5</v>
      </c>
      <c r="V34" s="6"/>
      <c r="W34" s="6" t="s">
        <v>65</v>
      </c>
      <c r="X34" s="6" t="s">
        <v>43</v>
      </c>
      <c r="Y34" s="6"/>
    </row>
    <row r="35" spans="1:25" ht="13.5" customHeight="1">
      <c r="A35" s="25">
        <v>23</v>
      </c>
      <c r="B35" s="26" t="s">
        <v>78</v>
      </c>
      <c r="C35" s="27">
        <v>15.7</v>
      </c>
      <c r="D35" s="28">
        <f t="shared" si="4"/>
        <v>46181</v>
      </c>
      <c r="E35" s="58">
        <f>IFERROR(VLOOKUP(B35&amp;$E$12&amp;TEXT(D35,"dd/mm/aaaa"),'HISTORICO '!D:E,2,FALSE),0)</f>
        <v>0</v>
      </c>
      <c r="F35" s="59">
        <f>IFERROR(VLOOKUP(B35&amp;$F$12&amp;TEXT(D35,"dd/mm/aaaa"),'HISTORICO '!D:E,2,FALSE),0)</f>
        <v>0</v>
      </c>
      <c r="G35" s="59">
        <f>IFERROR(VLOOKUP(B35&amp;G$12&amp;TEXT(D35,"dd/mm/aaaa"),'HISTORICO '!D:E,2,FALSE),0)</f>
        <v>0</v>
      </c>
      <c r="H35" s="59">
        <f>IFERROR(VLOOKUP(B35&amp;H$12&amp;TEXT(D35,"dd/mm/aaaa"),'HISTORICO '!D:E,2,FALSE),0)</f>
        <v>0</v>
      </c>
      <c r="I35" s="59">
        <f>IFERROR(VLOOKUP(B35&amp;I$12&amp;TEXT(D35,"dd/mm/aaaa"),'HISTORICO '!D:E,2,FALSE),0)</f>
        <v>0</v>
      </c>
      <c r="J35" s="59">
        <f>IFERROR(VLOOKUP(B35&amp;J$12&amp;TEXT(D35,"dd/mm/aaaa"),'HISTORICO '!D:E,2,FALSE),0)</f>
        <v>0</v>
      </c>
      <c r="K35" s="59">
        <f>IFERROR(VLOOKUP(B35&amp;K$12&amp;TEXT(D35,"dd/mm/aaaa"),'HISTORICO '!D:E,2,FALSE),0)</f>
        <v>0</v>
      </c>
      <c r="L35" s="60"/>
      <c r="M35" s="61" t="str">
        <f>IFERROR(_xlfn.XLOOKUP(D35 &amp; B35,  'HISTORICO '!G:G, 'HISTORICO '!F:F),"")</f>
        <v/>
      </c>
      <c r="N35" s="29">
        <f t="shared" si="10"/>
        <v>0</v>
      </c>
      <c r="O35" s="30">
        <f t="shared" si="5"/>
        <v>0</v>
      </c>
      <c r="P35" s="27">
        <f t="shared" si="6"/>
        <v>0</v>
      </c>
      <c r="Q35" s="31">
        <v>7</v>
      </c>
      <c r="R35" s="32">
        <f t="shared" si="7"/>
        <v>0</v>
      </c>
      <c r="S35" s="33">
        <v>2.5</v>
      </c>
      <c r="T35" s="34">
        <f t="shared" si="8"/>
        <v>39.25</v>
      </c>
      <c r="U35" s="34">
        <f t="shared" si="9"/>
        <v>19.625</v>
      </c>
      <c r="V35" s="6"/>
      <c r="W35" s="6" t="s">
        <v>79</v>
      </c>
      <c r="X35" s="6" t="s">
        <v>52</v>
      </c>
      <c r="Y35" s="6"/>
    </row>
    <row r="36" spans="1:25" ht="13.5" customHeight="1">
      <c r="A36" s="25">
        <v>24</v>
      </c>
      <c r="B36" s="26" t="s">
        <v>80</v>
      </c>
      <c r="C36" s="27">
        <v>69.400000000000006</v>
      </c>
      <c r="D36" s="28">
        <f t="shared" si="4"/>
        <v>46181</v>
      </c>
      <c r="E36" s="58">
        <f>IFERROR(VLOOKUP(B36&amp;$E$12&amp;TEXT(D36,"dd/mm/aaaa"),'HISTORICO '!D:E,2,FALSE),0)</f>
        <v>0</v>
      </c>
      <c r="F36" s="59">
        <f>IFERROR(VLOOKUP(B36&amp;$F$12&amp;TEXT(D36,"dd/mm/aaaa"),'HISTORICO '!D:E,2,FALSE),0)</f>
        <v>16</v>
      </c>
      <c r="G36" s="59">
        <f>IFERROR(VLOOKUP(B36&amp;G$12&amp;TEXT(D36,"dd/mm/aaaa"),'HISTORICO '!D:E,2,FALSE),0)</f>
        <v>0</v>
      </c>
      <c r="H36" s="59">
        <f>IFERROR(VLOOKUP(B36&amp;H$12&amp;TEXT(D36,"dd/mm/aaaa"),'HISTORICO '!D:E,2,FALSE),0)</f>
        <v>0</v>
      </c>
      <c r="I36" s="59">
        <f>IFERROR(VLOOKUP(B36&amp;I$12&amp;TEXT(D36,"dd/mm/aaaa"),'HISTORICO '!D:E,2,FALSE),0)</f>
        <v>0</v>
      </c>
      <c r="J36" s="59">
        <f>IFERROR(VLOOKUP(B36&amp;J$12&amp;TEXT(D36,"dd/mm/aaaa"),'HISTORICO '!D:E,2,FALSE),0)</f>
        <v>0</v>
      </c>
      <c r="K36" s="59">
        <f>IFERROR(VLOOKUP(B36&amp;K$12&amp;TEXT(D36,"dd/mm/aaaa"),'HISTORICO '!D:E,2,FALSE),0)</f>
        <v>31</v>
      </c>
      <c r="L36" s="60"/>
      <c r="M36" s="61">
        <f>IFERROR(_xlfn.XLOOKUP(D36 &amp; B36,  'HISTORICO '!G:G, 'HISTORICO '!F:F),"")</f>
        <v>0</v>
      </c>
      <c r="N36" s="29">
        <f t="shared" si="10"/>
        <v>47</v>
      </c>
      <c r="O36" s="30">
        <f t="shared" si="5"/>
        <v>71.111111111111114</v>
      </c>
      <c r="P36" s="27">
        <f t="shared" si="6"/>
        <v>1.0246557796990072</v>
      </c>
      <c r="Q36" s="31">
        <v>7</v>
      </c>
      <c r="R36" s="32">
        <f t="shared" si="7"/>
        <v>0</v>
      </c>
      <c r="S36" s="33">
        <v>2.5</v>
      </c>
      <c r="T36" s="34">
        <f t="shared" si="8"/>
        <v>173.5</v>
      </c>
      <c r="U36" s="34">
        <f t="shared" si="9"/>
        <v>86.75</v>
      </c>
      <c r="V36" s="6"/>
      <c r="W36" s="6" t="s">
        <v>65</v>
      </c>
      <c r="X36" s="6" t="s">
        <v>43</v>
      </c>
      <c r="Y36" s="6"/>
    </row>
    <row r="37" spans="1:25" ht="13.5" customHeight="1">
      <c r="A37" s="25">
        <v>25</v>
      </c>
      <c r="B37" s="26" t="s">
        <v>81</v>
      </c>
      <c r="C37" s="27">
        <v>55.7</v>
      </c>
      <c r="D37" s="28">
        <f t="shared" si="4"/>
        <v>46181</v>
      </c>
      <c r="E37" s="58">
        <f>IFERROR(VLOOKUP(B37&amp;$E$12&amp;TEXT(D37,"dd/mm/aaaa"),'HISTORICO '!D:E,2,FALSE),0)</f>
        <v>0</v>
      </c>
      <c r="F37" s="59">
        <f>IFERROR(VLOOKUP(B37&amp;$F$12&amp;TEXT(D37,"dd/mm/aaaa"),'HISTORICO '!D:E,2,FALSE),0)</f>
        <v>151</v>
      </c>
      <c r="G37" s="59">
        <f>IFERROR(VLOOKUP(B37&amp;G$12&amp;TEXT(D37,"dd/mm/aaaa"),'HISTORICO '!D:E,2,FALSE),0)</f>
        <v>0</v>
      </c>
      <c r="H37" s="59">
        <f>IFERROR(VLOOKUP(B37&amp;H$12&amp;TEXT(D37,"dd/mm/aaaa"),'HISTORICO '!D:E,2,FALSE),0)</f>
        <v>0</v>
      </c>
      <c r="I37" s="59">
        <f>IFERROR(VLOOKUP(B37&amp;I$12&amp;TEXT(D37,"dd/mm/aaaa"),'HISTORICO '!D:E,2,FALSE),0)</f>
        <v>0</v>
      </c>
      <c r="J37" s="59">
        <f>IFERROR(VLOOKUP(B37&amp;J$12&amp;TEXT(D37,"dd/mm/aaaa"),'HISTORICO '!D:E,2,FALSE),0)</f>
        <v>0</v>
      </c>
      <c r="K37" s="59">
        <f>IFERROR(VLOOKUP(B37&amp;K$12&amp;TEXT(D37,"dd/mm/aaaa"),'HISTORICO '!D:E,2,FALSE),0)</f>
        <v>0</v>
      </c>
      <c r="L37" s="60"/>
      <c r="M37" s="61" t="str">
        <f>IFERROR(_xlfn.XLOOKUP(D37 &amp; B37,  'HISTORICO '!G:G, 'HISTORICO '!F:F),"")</f>
        <v>Vacas para abate</v>
      </c>
      <c r="N37" s="29">
        <f t="shared" si="10"/>
        <v>151</v>
      </c>
      <c r="O37" s="30">
        <f t="shared" si="5"/>
        <v>151</v>
      </c>
      <c r="P37" s="27">
        <f t="shared" si="6"/>
        <v>2.710951526032316</v>
      </c>
      <c r="Q37" s="31">
        <v>2</v>
      </c>
      <c r="R37" s="32">
        <f t="shared" si="7"/>
        <v>33.975000000000001</v>
      </c>
      <c r="S37" s="33">
        <v>3.5</v>
      </c>
      <c r="T37" s="34">
        <f t="shared" si="8"/>
        <v>194.95000000000002</v>
      </c>
      <c r="U37" s="34">
        <f t="shared" si="9"/>
        <v>97.475000000000009</v>
      </c>
      <c r="V37" s="6"/>
      <c r="W37" s="6" t="s">
        <v>56</v>
      </c>
      <c r="X37" s="6" t="s">
        <v>43</v>
      </c>
      <c r="Y37" s="6"/>
    </row>
    <row r="38" spans="1:25" ht="13.5" customHeight="1">
      <c r="A38" s="25">
        <v>26</v>
      </c>
      <c r="B38" s="26" t="s">
        <v>83</v>
      </c>
      <c r="C38" s="27">
        <v>109</v>
      </c>
      <c r="D38" s="28">
        <f t="shared" si="4"/>
        <v>46181</v>
      </c>
      <c r="E38" s="58">
        <f>IFERROR(VLOOKUP(B38&amp;$E$12&amp;TEXT(D38,"dd/mm/aaaa"),'HISTORICO '!D:E,2,FALSE),0)</f>
        <v>0</v>
      </c>
      <c r="F38" s="59">
        <f>IFERROR(VLOOKUP(B38&amp;$F$12&amp;TEXT(D38,"dd/mm/aaaa"),'HISTORICO '!D:E,2,FALSE),0)</f>
        <v>263</v>
      </c>
      <c r="G38" s="59">
        <f>IFERROR(VLOOKUP(B38&amp;G$12&amp;TEXT(D38,"dd/mm/aaaa"),'HISTORICO '!D:E,2,FALSE),0)</f>
        <v>0</v>
      </c>
      <c r="H38" s="59">
        <f>IFERROR(VLOOKUP(B38&amp;H$12&amp;TEXT(D38,"dd/mm/aaaa"),'HISTORICO '!D:E,2,FALSE),0)</f>
        <v>0</v>
      </c>
      <c r="I38" s="59">
        <f>IFERROR(VLOOKUP(B38&amp;I$12&amp;TEXT(D38,"dd/mm/aaaa"),'HISTORICO '!D:E,2,FALSE),0)</f>
        <v>0</v>
      </c>
      <c r="J38" s="59">
        <f>IFERROR(VLOOKUP(B38&amp;J$12&amp;TEXT(D38,"dd/mm/aaaa"),'HISTORICO '!D:E,2,FALSE),0)</f>
        <v>0</v>
      </c>
      <c r="K38" s="59">
        <f>IFERROR(VLOOKUP(B38&amp;K$12&amp;TEXT(D38,"dd/mm/aaaa"),'HISTORICO '!D:E,2,FALSE),0)</f>
        <v>0</v>
      </c>
      <c r="L38" s="60"/>
      <c r="M38" s="61">
        <f>IFERROR(_xlfn.XLOOKUP(D38 &amp; B38,  'HISTORICO '!G:G, 'HISTORICO '!F:F),"")</f>
        <v>0</v>
      </c>
      <c r="N38" s="29">
        <f t="shared" si="10"/>
        <v>263</v>
      </c>
      <c r="O38" s="30">
        <f t="shared" si="5"/>
        <v>263</v>
      </c>
      <c r="P38" s="27">
        <f t="shared" si="6"/>
        <v>2.4128440366972477</v>
      </c>
      <c r="Q38" s="31">
        <v>2</v>
      </c>
      <c r="R38" s="32">
        <f t="shared" si="7"/>
        <v>59.175000000000004</v>
      </c>
      <c r="S38" s="33">
        <v>2</v>
      </c>
      <c r="T38" s="34">
        <f t="shared" si="8"/>
        <v>218</v>
      </c>
      <c r="U38" s="34">
        <f t="shared" si="9"/>
        <v>109</v>
      </c>
      <c r="V38" s="6"/>
      <c r="W38" s="6" t="s">
        <v>65</v>
      </c>
      <c r="X38" s="6" t="s">
        <v>43</v>
      </c>
      <c r="Y38" s="6"/>
    </row>
    <row r="39" spans="1:25" ht="13.5" customHeight="1">
      <c r="A39" s="25">
        <v>27</v>
      </c>
      <c r="B39" s="26" t="s">
        <v>85</v>
      </c>
      <c r="C39" s="27">
        <v>137</v>
      </c>
      <c r="D39" s="28">
        <f t="shared" si="4"/>
        <v>46181</v>
      </c>
      <c r="E39" s="58">
        <f>IFERROR(VLOOKUP(B39&amp;$E$12&amp;TEXT(D39,"dd/mm/aaaa"),'HISTORICO '!D:E,2,FALSE),0)</f>
        <v>0</v>
      </c>
      <c r="F39" s="59">
        <f>IFERROR(VLOOKUP(B39&amp;$F$12&amp;TEXT(D39,"dd/mm/aaaa"),'HISTORICO '!D:E,2,FALSE),0)</f>
        <v>0</v>
      </c>
      <c r="G39" s="59">
        <f>IFERROR(VLOOKUP(B39&amp;G$12&amp;TEXT(D39,"dd/mm/aaaa"),'HISTORICO '!D:E,2,FALSE),0)</f>
        <v>0</v>
      </c>
      <c r="H39" s="59">
        <f>IFERROR(VLOOKUP(B39&amp;H$12&amp;TEXT(D39,"dd/mm/aaaa"),'HISTORICO '!D:E,2,FALSE),0)</f>
        <v>0</v>
      </c>
      <c r="I39" s="59">
        <f>IFERROR(VLOOKUP(B39&amp;I$12&amp;TEXT(D39,"dd/mm/aaaa"),'HISTORICO '!D:E,2,FALSE),0)</f>
        <v>0</v>
      </c>
      <c r="J39" s="59">
        <f>IFERROR(VLOOKUP(B39&amp;J$12&amp;TEXT(D39,"dd/mm/aaaa"),'HISTORICO '!D:E,2,FALSE),0)</f>
        <v>0</v>
      </c>
      <c r="K39" s="59">
        <f>IFERROR(VLOOKUP(B39&amp;K$12&amp;TEXT(D39,"dd/mm/aaaa"),'HISTORICO '!D:E,2,FALSE),0)</f>
        <v>0</v>
      </c>
      <c r="L39" s="60"/>
      <c r="M39" s="61" t="str">
        <f>IFERROR(_xlfn.XLOOKUP(D39 &amp; B39,  'HISTORICO '!G:G, 'HISTORICO '!F:F),"")</f>
        <v/>
      </c>
      <c r="N39" s="29">
        <f t="shared" si="10"/>
        <v>0</v>
      </c>
      <c r="O39" s="30">
        <f t="shared" si="5"/>
        <v>0</v>
      </c>
      <c r="P39" s="27">
        <f t="shared" si="6"/>
        <v>0</v>
      </c>
      <c r="Q39" s="31"/>
      <c r="R39" s="32">
        <f t="shared" si="7"/>
        <v>0</v>
      </c>
      <c r="S39" s="33">
        <v>2</v>
      </c>
      <c r="T39" s="34">
        <f t="shared" si="8"/>
        <v>274</v>
      </c>
      <c r="U39" s="34">
        <f t="shared" si="9"/>
        <v>137</v>
      </c>
      <c r="V39" s="6"/>
      <c r="W39" s="6" t="s">
        <v>86</v>
      </c>
      <c r="X39" s="6" t="s">
        <v>52</v>
      </c>
      <c r="Y39" s="6"/>
    </row>
    <row r="40" spans="1:25" ht="13.5" customHeight="1">
      <c r="A40" s="25">
        <v>28</v>
      </c>
      <c r="B40" s="26" t="s">
        <v>87</v>
      </c>
      <c r="C40" s="27">
        <v>48.8</v>
      </c>
      <c r="D40" s="28">
        <f t="shared" si="4"/>
        <v>46181</v>
      </c>
      <c r="E40" s="58">
        <f>IFERROR(VLOOKUP(B40&amp;$E$12&amp;TEXT(D40,"dd/mm/aaaa"),'HISTORICO '!D:E,2,FALSE),0)</f>
        <v>0</v>
      </c>
      <c r="F40" s="59">
        <f>IFERROR(VLOOKUP(B40&amp;$F$12&amp;TEXT(D40,"dd/mm/aaaa"),'HISTORICO '!D:E,2,FALSE),0)</f>
        <v>0</v>
      </c>
      <c r="G40" s="59">
        <f>IFERROR(VLOOKUP(B40&amp;G$12&amp;TEXT(D40,"dd/mm/aaaa"),'HISTORICO '!D:E,2,FALSE),0)</f>
        <v>0</v>
      </c>
      <c r="H40" s="59">
        <f>IFERROR(VLOOKUP(B40&amp;H$12&amp;TEXT(D40,"dd/mm/aaaa"),'HISTORICO '!D:E,2,FALSE),0)</f>
        <v>0</v>
      </c>
      <c r="I40" s="59">
        <f>IFERROR(VLOOKUP(B40&amp;I$12&amp;TEXT(D40,"dd/mm/aaaa"),'HISTORICO '!D:E,2,FALSE),0)</f>
        <v>0</v>
      </c>
      <c r="J40" s="59">
        <f>IFERROR(VLOOKUP(B40&amp;J$12&amp;TEXT(D40,"dd/mm/aaaa"),'HISTORICO '!D:E,2,FALSE),0)</f>
        <v>0</v>
      </c>
      <c r="K40" s="59">
        <f>IFERROR(VLOOKUP(B40&amp;K$12&amp;TEXT(D40,"dd/mm/aaaa"),'HISTORICO '!D:E,2,FALSE),0)</f>
        <v>0</v>
      </c>
      <c r="L40" s="60"/>
      <c r="M40" s="61" t="str">
        <f>IFERROR(_xlfn.XLOOKUP(D40 &amp; B40,  'HISTORICO '!G:G, 'HISTORICO '!F:F),"")</f>
        <v/>
      </c>
      <c r="N40" s="29">
        <f t="shared" si="10"/>
        <v>0</v>
      </c>
      <c r="O40" s="30">
        <f t="shared" si="5"/>
        <v>0</v>
      </c>
      <c r="P40" s="27">
        <f t="shared" si="6"/>
        <v>0</v>
      </c>
      <c r="Q40" s="31"/>
      <c r="R40" s="32">
        <f t="shared" si="7"/>
        <v>0</v>
      </c>
      <c r="S40" s="33">
        <v>2</v>
      </c>
      <c r="T40" s="34">
        <f t="shared" si="8"/>
        <v>97.6</v>
      </c>
      <c r="U40" s="34">
        <f t="shared" si="9"/>
        <v>48.8</v>
      </c>
      <c r="V40" s="6"/>
      <c r="W40" s="6" t="s">
        <v>65</v>
      </c>
      <c r="X40" s="6" t="s">
        <v>52</v>
      </c>
      <c r="Y40" s="6"/>
    </row>
    <row r="41" spans="1:25" ht="13.5" customHeight="1">
      <c r="A41" s="25">
        <v>29</v>
      </c>
      <c r="B41" s="26" t="s">
        <v>88</v>
      </c>
      <c r="C41" s="27">
        <v>89</v>
      </c>
      <c r="D41" s="28">
        <f t="shared" si="4"/>
        <v>46181</v>
      </c>
      <c r="E41" s="58">
        <f>IFERROR(VLOOKUP(B41&amp;$E$12&amp;TEXT(D41,"dd/mm/aaaa"),'HISTORICO '!D:E,2,FALSE),0)</f>
        <v>0</v>
      </c>
      <c r="F41" s="59">
        <f>IFERROR(VLOOKUP(B41&amp;$F$12&amp;TEXT(D41,"dd/mm/aaaa"),'HISTORICO '!D:E,2,FALSE),0)</f>
        <v>5</v>
      </c>
      <c r="G41" s="59">
        <f>IFERROR(VLOOKUP(B41&amp;G$12&amp;TEXT(D41,"dd/mm/aaaa"),'HISTORICO '!D:E,2,FALSE),0)</f>
        <v>0</v>
      </c>
      <c r="H41" s="59">
        <f>IFERROR(VLOOKUP(B41&amp;H$12&amp;TEXT(D41,"dd/mm/aaaa"),'HISTORICO '!D:E,2,FALSE),0)</f>
        <v>0</v>
      </c>
      <c r="I41" s="59">
        <f>IFERROR(VLOOKUP(B41&amp;I$12&amp;TEXT(D41,"dd/mm/aaaa"),'HISTORICO '!D:E,2,FALSE),0)</f>
        <v>0</v>
      </c>
      <c r="J41" s="59">
        <f>IFERROR(VLOOKUP(B41&amp;J$12&amp;TEXT(D41,"dd/mm/aaaa"),'HISTORICO '!D:E,2,FALSE),0)</f>
        <v>0</v>
      </c>
      <c r="K41" s="59">
        <f>IFERROR(VLOOKUP(B41&amp;K$12&amp;TEXT(D41,"dd/mm/aaaa"),'HISTORICO '!D:E,2,FALSE),0)</f>
        <v>0</v>
      </c>
      <c r="L41" s="60"/>
      <c r="M41" s="61">
        <f>IFERROR(_xlfn.XLOOKUP(D41 &amp; B41,  'HISTORICO '!G:G, 'HISTORICO '!F:F),"")</f>
        <v>0</v>
      </c>
      <c r="N41" s="29">
        <f t="shared" si="10"/>
        <v>5</v>
      </c>
      <c r="O41" s="30">
        <f t="shared" si="5"/>
        <v>5</v>
      </c>
      <c r="P41" s="27">
        <f t="shared" si="6"/>
        <v>5.6179775280898875E-2</v>
      </c>
      <c r="Q41" s="31"/>
      <c r="R41" s="32">
        <f t="shared" si="7"/>
        <v>0</v>
      </c>
      <c r="S41" s="33">
        <v>2.5</v>
      </c>
      <c r="T41" s="34">
        <f t="shared" si="8"/>
        <v>222.5</v>
      </c>
      <c r="U41" s="34">
        <f t="shared" si="9"/>
        <v>111.25</v>
      </c>
      <c r="V41" s="6"/>
      <c r="W41" s="6" t="s">
        <v>65</v>
      </c>
      <c r="X41" s="6" t="s">
        <v>43</v>
      </c>
      <c r="Y41" s="6"/>
    </row>
    <row r="42" spans="1:25" ht="13.5" customHeight="1">
      <c r="A42" s="25">
        <v>30</v>
      </c>
      <c r="B42" s="26" t="s">
        <v>89</v>
      </c>
      <c r="C42" s="27">
        <v>17.2</v>
      </c>
      <c r="D42" s="28">
        <f t="shared" si="4"/>
        <v>46181</v>
      </c>
      <c r="E42" s="58">
        <f>IFERROR(VLOOKUP(B42&amp;$E$12&amp;TEXT(D42,"dd/mm/aaaa"),'HISTORICO '!D:E,2,FALSE),0)</f>
        <v>0</v>
      </c>
      <c r="F42" s="59">
        <f>IFERROR(VLOOKUP(B42&amp;$F$12&amp;TEXT(D42,"dd/mm/aaaa"),'HISTORICO '!D:E,2,FALSE),0)</f>
        <v>13</v>
      </c>
      <c r="G42" s="59">
        <f>IFERROR(VLOOKUP(B42&amp;G$12&amp;TEXT(D42,"dd/mm/aaaa"),'HISTORICO '!D:E,2,FALSE),0)</f>
        <v>0</v>
      </c>
      <c r="H42" s="59">
        <f>IFERROR(VLOOKUP(B42&amp;H$12&amp;TEXT(D42,"dd/mm/aaaa"),'HISTORICO '!D:E,2,FALSE),0)</f>
        <v>0</v>
      </c>
      <c r="I42" s="59">
        <f>IFERROR(VLOOKUP(B42&amp;I$12&amp;TEXT(D42,"dd/mm/aaaa"),'HISTORICO '!D:E,2,FALSE),0)</f>
        <v>0</v>
      </c>
      <c r="J42" s="59">
        <f>IFERROR(VLOOKUP(B42&amp;J$12&amp;TEXT(D42,"dd/mm/aaaa"),'HISTORICO '!D:E,2,FALSE),0)</f>
        <v>0</v>
      </c>
      <c r="K42" s="59">
        <f>IFERROR(VLOOKUP(B42&amp;K$12&amp;TEXT(D42,"dd/mm/aaaa"),'HISTORICO '!D:E,2,FALSE),0)</f>
        <v>0</v>
      </c>
      <c r="L42" s="60"/>
      <c r="M42" s="61">
        <f>IFERROR(_xlfn.XLOOKUP(D42 &amp; B42,  'HISTORICO '!G:G, 'HISTORICO '!F:F),"")</f>
        <v>0</v>
      </c>
      <c r="N42" s="29">
        <f t="shared" si="10"/>
        <v>13</v>
      </c>
      <c r="O42" s="30">
        <f t="shared" si="5"/>
        <v>13</v>
      </c>
      <c r="P42" s="27">
        <f t="shared" si="6"/>
        <v>0.7558139534883721</v>
      </c>
      <c r="Q42" s="31"/>
      <c r="R42" s="32">
        <f t="shared" si="7"/>
        <v>0</v>
      </c>
      <c r="S42" s="33">
        <v>2.5</v>
      </c>
      <c r="T42" s="34">
        <f t="shared" si="8"/>
        <v>43</v>
      </c>
      <c r="U42" s="34">
        <f t="shared" si="9"/>
        <v>21.5</v>
      </c>
      <c r="V42" s="6"/>
      <c r="W42" s="6" t="s">
        <v>65</v>
      </c>
      <c r="X42" s="6" t="s">
        <v>43</v>
      </c>
      <c r="Y42" s="6"/>
    </row>
    <row r="43" spans="1:25" ht="13.5" customHeight="1">
      <c r="A43" s="25">
        <v>31</v>
      </c>
      <c r="B43" s="26" t="s">
        <v>90</v>
      </c>
      <c r="C43" s="27">
        <v>53.7</v>
      </c>
      <c r="D43" s="28">
        <f t="shared" si="4"/>
        <v>46181</v>
      </c>
      <c r="E43" s="58">
        <f>IFERROR(VLOOKUP(B43&amp;$E$12&amp;TEXT(D43,"dd/mm/aaaa"),'HISTORICO '!D:E,2,FALSE),0)</f>
        <v>0</v>
      </c>
      <c r="F43" s="59">
        <f>IFERROR(VLOOKUP(B43&amp;$F$12&amp;TEXT(D43,"dd/mm/aaaa"),'HISTORICO '!D:E,2,FALSE),0)</f>
        <v>0</v>
      </c>
      <c r="G43" s="59">
        <f>IFERROR(VLOOKUP(B43&amp;G$12&amp;TEXT(D43,"dd/mm/aaaa"),'HISTORICO '!D:E,2,FALSE),0)</f>
        <v>0</v>
      </c>
      <c r="H43" s="59">
        <f>IFERROR(VLOOKUP(B43&amp;H$12&amp;TEXT(D43,"dd/mm/aaaa"),'HISTORICO '!D:E,2,FALSE),0)</f>
        <v>0</v>
      </c>
      <c r="I43" s="59">
        <f>IFERROR(VLOOKUP(B43&amp;I$12&amp;TEXT(D43,"dd/mm/aaaa"),'HISTORICO '!D:E,2,FALSE),0)</f>
        <v>0</v>
      </c>
      <c r="J43" s="59">
        <f>IFERROR(VLOOKUP(B43&amp;J$12&amp;TEXT(D43,"dd/mm/aaaa"),'HISTORICO '!D:E,2,FALSE),0)</f>
        <v>0</v>
      </c>
      <c r="K43" s="59">
        <f>IFERROR(VLOOKUP(B43&amp;K$12&amp;TEXT(D43,"dd/mm/aaaa"),'HISTORICO '!D:E,2,FALSE),0)</f>
        <v>0</v>
      </c>
      <c r="L43" s="60"/>
      <c r="M43" s="61" t="str">
        <f>IFERROR(_xlfn.XLOOKUP(D43 &amp; B43,  'HISTORICO '!G:G, 'HISTORICO '!F:F),"")</f>
        <v/>
      </c>
      <c r="N43" s="29">
        <f t="shared" si="10"/>
        <v>0</v>
      </c>
      <c r="O43" s="30">
        <f t="shared" si="5"/>
        <v>0</v>
      </c>
      <c r="P43" s="27">
        <f t="shared" si="6"/>
        <v>0</v>
      </c>
      <c r="Q43" s="31">
        <v>2</v>
      </c>
      <c r="R43" s="32">
        <f t="shared" si="7"/>
        <v>0</v>
      </c>
      <c r="S43" s="33">
        <v>2</v>
      </c>
      <c r="T43" s="34">
        <f t="shared" si="8"/>
        <v>107.4</v>
      </c>
      <c r="U43" s="34">
        <f t="shared" si="9"/>
        <v>53.7</v>
      </c>
      <c r="V43" s="6"/>
      <c r="W43" s="6" t="s">
        <v>65</v>
      </c>
      <c r="X43" s="6" t="s">
        <v>52</v>
      </c>
      <c r="Y43" s="6"/>
    </row>
    <row r="44" spans="1:25" ht="13.5" customHeight="1">
      <c r="A44" s="25">
        <v>32</v>
      </c>
      <c r="B44" s="26" t="s">
        <v>92</v>
      </c>
      <c r="C44" s="27">
        <v>63.2</v>
      </c>
      <c r="D44" s="28">
        <f t="shared" si="4"/>
        <v>46181</v>
      </c>
      <c r="E44" s="58">
        <f>IFERROR(VLOOKUP(B44&amp;$E$12&amp;TEXT(D44,"dd/mm/aaaa"),'HISTORICO '!D:E,2,FALSE),0)</f>
        <v>0</v>
      </c>
      <c r="F44" s="59">
        <f>IFERROR(VLOOKUP(B44&amp;$F$12&amp;TEXT(D44,"dd/mm/aaaa"),'HISTORICO '!D:E,2,FALSE),0)</f>
        <v>0</v>
      </c>
      <c r="G44" s="59">
        <f>IFERROR(VLOOKUP(B44&amp;G$12&amp;TEXT(D44,"dd/mm/aaaa"),'HISTORICO '!D:E,2,FALSE),0)</f>
        <v>0</v>
      </c>
      <c r="H44" s="59">
        <f>IFERROR(VLOOKUP(B44&amp;H$12&amp;TEXT(D44,"dd/mm/aaaa"),'HISTORICO '!D:E,2,FALSE),0)</f>
        <v>0</v>
      </c>
      <c r="I44" s="59">
        <f>IFERROR(VLOOKUP(B44&amp;I$12&amp;TEXT(D44,"dd/mm/aaaa"),'HISTORICO '!D:E,2,FALSE),0)</f>
        <v>0</v>
      </c>
      <c r="J44" s="59">
        <f>IFERROR(VLOOKUP(B44&amp;J$12&amp;TEXT(D44,"dd/mm/aaaa"),'HISTORICO '!D:E,2,FALSE),0)</f>
        <v>0</v>
      </c>
      <c r="K44" s="59">
        <f>IFERROR(VLOOKUP(B44&amp;K$12&amp;TEXT(D44,"dd/mm/aaaa"),'HISTORICO '!D:E,2,FALSE),0)</f>
        <v>0</v>
      </c>
      <c r="L44" s="60"/>
      <c r="M44" s="61" t="str">
        <f>IFERROR(_xlfn.XLOOKUP(D44 &amp; B44,  'HISTORICO '!G:G, 'HISTORICO '!F:F),"")</f>
        <v/>
      </c>
      <c r="N44" s="29">
        <f t="shared" si="10"/>
        <v>0</v>
      </c>
      <c r="O44" s="30">
        <f t="shared" si="5"/>
        <v>0</v>
      </c>
      <c r="P44" s="27">
        <f t="shared" si="6"/>
        <v>0</v>
      </c>
      <c r="Q44" s="31"/>
      <c r="R44" s="32">
        <f t="shared" si="7"/>
        <v>0</v>
      </c>
      <c r="S44" s="33">
        <v>2.5</v>
      </c>
      <c r="T44" s="34">
        <f t="shared" si="8"/>
        <v>158</v>
      </c>
      <c r="U44" s="34">
        <f t="shared" si="9"/>
        <v>79</v>
      </c>
      <c r="V44" s="6"/>
      <c r="W44" s="6" t="s">
        <v>65</v>
      </c>
      <c r="X44" s="6" t="s">
        <v>43</v>
      </c>
      <c r="Y44" s="6"/>
    </row>
    <row r="45" spans="1:25" ht="13.5" customHeight="1">
      <c r="A45" s="25">
        <v>33</v>
      </c>
      <c r="B45" s="26" t="s">
        <v>93</v>
      </c>
      <c r="C45" s="27">
        <v>127</v>
      </c>
      <c r="D45" s="28">
        <f t="shared" si="4"/>
        <v>46181</v>
      </c>
      <c r="E45" s="58">
        <f>IFERROR(VLOOKUP(B45&amp;$E$12&amp;TEXT(D45,"dd/mm/aaaa"),'HISTORICO '!D:E,2,FALSE),0)</f>
        <v>0</v>
      </c>
      <c r="F45" s="59">
        <f>IFERROR(VLOOKUP(B45&amp;$F$12&amp;TEXT(D45,"dd/mm/aaaa"),'HISTORICO '!D:E,2,FALSE),0)</f>
        <v>0</v>
      </c>
      <c r="G45" s="59">
        <f>IFERROR(VLOOKUP(B45&amp;G$12&amp;TEXT(D45,"dd/mm/aaaa"),'HISTORICO '!D:E,2,FALSE),0)</f>
        <v>0</v>
      </c>
      <c r="H45" s="59">
        <f>IFERROR(VLOOKUP(B45&amp;H$12&amp;TEXT(D45,"dd/mm/aaaa"),'HISTORICO '!D:E,2,FALSE),0)</f>
        <v>0</v>
      </c>
      <c r="I45" s="59">
        <f>IFERROR(VLOOKUP(B45&amp;I$12&amp;TEXT(D45,"dd/mm/aaaa"),'HISTORICO '!D:E,2,FALSE),0)</f>
        <v>0</v>
      </c>
      <c r="J45" s="59">
        <f>IFERROR(VLOOKUP(B45&amp;J$12&amp;TEXT(D45,"dd/mm/aaaa"),'HISTORICO '!D:E,2,FALSE),0)</f>
        <v>0</v>
      </c>
      <c r="K45" s="59">
        <f>IFERROR(VLOOKUP(B45&amp;K$12&amp;TEXT(D45,"dd/mm/aaaa"),'HISTORICO '!D:E,2,FALSE),0)</f>
        <v>0</v>
      </c>
      <c r="L45" s="60"/>
      <c r="M45" s="61" t="str">
        <f>IFERROR(_xlfn.XLOOKUP(D45 &amp; B45,  'HISTORICO '!G:G, 'HISTORICO '!F:F),"")</f>
        <v/>
      </c>
      <c r="N45" s="29">
        <f t="shared" si="10"/>
        <v>0</v>
      </c>
      <c r="O45" s="30">
        <f t="shared" si="5"/>
        <v>0</v>
      </c>
      <c r="P45" s="27">
        <f t="shared" si="6"/>
        <v>0</v>
      </c>
      <c r="Q45" s="31">
        <v>4</v>
      </c>
      <c r="R45" s="32">
        <f t="shared" si="7"/>
        <v>0</v>
      </c>
      <c r="S45" s="33">
        <v>2</v>
      </c>
      <c r="T45" s="34">
        <f t="shared" si="8"/>
        <v>254</v>
      </c>
      <c r="U45" s="34">
        <f t="shared" si="9"/>
        <v>127</v>
      </c>
      <c r="V45" s="6"/>
      <c r="W45" s="6" t="s">
        <v>65</v>
      </c>
      <c r="X45" s="6" t="s">
        <v>43</v>
      </c>
      <c r="Y45" s="6"/>
    </row>
    <row r="46" spans="1:25" ht="13.5" customHeight="1">
      <c r="A46" s="36" t="s">
        <v>94</v>
      </c>
      <c r="B46" s="37" t="s">
        <v>95</v>
      </c>
      <c r="C46" s="38">
        <v>10</v>
      </c>
      <c r="D46" s="28">
        <f t="shared" si="4"/>
        <v>46181</v>
      </c>
      <c r="E46" s="58">
        <f>IFERROR(VLOOKUP(B46&amp;$E$12&amp;TEXT(D46,"dd/mm/aaaa"),'HISTORICO '!D:E,2,FALSE),0)</f>
        <v>0</v>
      </c>
      <c r="F46" s="59">
        <f>IFERROR(VLOOKUP(B46&amp;$F$12&amp;TEXT(D46,"dd/mm/aaaa"),'HISTORICO '!D:E,2,FALSE),0)</f>
        <v>0</v>
      </c>
      <c r="G46" s="59">
        <f>IFERROR(VLOOKUP(B46&amp;G$12&amp;TEXT(D46,"dd/mm/aaaa"),'HISTORICO '!D:E,2,FALSE),0)</f>
        <v>0</v>
      </c>
      <c r="H46" s="59">
        <f>IFERROR(VLOOKUP(B46&amp;H$12&amp;TEXT(D46,"dd/mm/aaaa"),'HISTORICO '!D:E,2,FALSE),0)</f>
        <v>0</v>
      </c>
      <c r="I46" s="59">
        <f>IFERROR(VLOOKUP(B46&amp;I$12&amp;TEXT(D46,"dd/mm/aaaa"),'HISTORICO '!D:E,2,FALSE),0)</f>
        <v>0</v>
      </c>
      <c r="J46" s="59">
        <f>IFERROR(VLOOKUP(B46&amp;J$12&amp;TEXT(D46,"dd/mm/aaaa"),'HISTORICO '!D:E,2,FALSE),0)</f>
        <v>0</v>
      </c>
      <c r="K46" s="59">
        <f>IFERROR(VLOOKUP(B46&amp;K$12&amp;TEXT(D46,"dd/mm/aaaa"),'HISTORICO '!D:E,2,FALSE),0)</f>
        <v>0</v>
      </c>
      <c r="L46" s="60"/>
      <c r="M46" s="61" t="str">
        <f>IFERROR(_xlfn.XLOOKUP(D46 &amp; B46,  'HISTORICO '!G:G, 'HISTORICO '!F:F),"")</f>
        <v/>
      </c>
      <c r="N46" s="29">
        <f t="shared" si="10"/>
        <v>0</v>
      </c>
      <c r="O46" s="30">
        <f t="shared" si="5"/>
        <v>0</v>
      </c>
      <c r="P46" s="27">
        <f t="shared" si="6"/>
        <v>0</v>
      </c>
      <c r="Q46" s="31"/>
      <c r="R46" s="32"/>
      <c r="S46" s="33"/>
      <c r="T46" s="34"/>
      <c r="U46" s="34"/>
      <c r="V46" s="6"/>
      <c r="W46" s="6"/>
      <c r="X46" s="6"/>
      <c r="Y46" s="6"/>
    </row>
    <row r="47" spans="1:25" ht="18" customHeight="1" thickBot="1">
      <c r="A47" s="39"/>
      <c r="B47" s="40"/>
      <c r="C47" s="41">
        <f>SUBTOTAL(9,C13:C46)</f>
        <v>1425.66</v>
      </c>
      <c r="D47" s="42"/>
      <c r="E47" s="43">
        <f>SUBTOTAL(9,E13:E45)</f>
        <v>107</v>
      </c>
      <c r="F47" s="44">
        <f t="shared" ref="F47:K47" si="11">SUBTOTAL(9,F13:F46)</f>
        <v>478</v>
      </c>
      <c r="G47" s="44">
        <f t="shared" si="11"/>
        <v>373</v>
      </c>
      <c r="H47" s="44">
        <f t="shared" si="11"/>
        <v>0</v>
      </c>
      <c r="I47" s="44">
        <f t="shared" si="11"/>
        <v>36</v>
      </c>
      <c r="J47" s="44">
        <f t="shared" si="11"/>
        <v>483</v>
      </c>
      <c r="K47" s="44">
        <f t="shared" si="11"/>
        <v>37</v>
      </c>
      <c r="L47" s="45">
        <f>SUBTOTAL(9,L13:L45)</f>
        <v>0</v>
      </c>
      <c r="M47" s="46"/>
      <c r="N47" s="41">
        <f>SUBTOTAL(9,N13:N46)</f>
        <v>1621</v>
      </c>
      <c r="O47" s="41">
        <f>SUBTOTAL(9,O13:O45)</f>
        <v>1209.7666666666664</v>
      </c>
      <c r="P47" s="47">
        <f t="shared" si="6"/>
        <v>0.84856604426487825</v>
      </c>
      <c r="Q47" s="48"/>
      <c r="R47" s="49"/>
      <c r="S47" s="50">
        <f>SUBTOTAL(101,S13:S45)</f>
        <v>1.8636363636363635</v>
      </c>
      <c r="T47" s="51">
        <f>SUBTOTAL(9,T13:T45)</f>
        <v>2923.7950000000001</v>
      </c>
      <c r="U47" s="51">
        <f>SUBTOTAL(9,U13:U45)</f>
        <v>1461.8975</v>
      </c>
      <c r="V47" s="52"/>
      <c r="W47" s="6"/>
      <c r="X47" s="6"/>
      <c r="Y47" s="6"/>
    </row>
  </sheetData>
  <autoFilter ref="A12:Y46" xr:uid="{00000000-0009-0000-0000-000000000000}"/>
  <conditionalFormatting sqref="E13:M46">
    <cfRule type="expression" dxfId="3" priority="2">
      <formula>""</formula>
    </cfRule>
  </conditionalFormatting>
  <conditionalFormatting sqref="E13:N46">
    <cfRule type="cellIs" dxfId="2" priority="1" operator="greaterThan">
      <formula>0</formula>
    </cfRule>
  </conditionalFormatting>
  <conditionalFormatting sqref="N13:N46">
    <cfRule type="expression" dxfId="1" priority="5">
      <formula>""</formula>
    </cfRule>
  </conditionalFormatting>
  <conditionalFormatting sqref="O13:P46">
    <cfRule type="cellIs" dxfId="0" priority="3" operator="greater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 de gado</vt:lpstr>
      <vt:lpstr>HISTORICO </vt:lpstr>
      <vt:lpstr>Movimentações</vt:lpstr>
      <vt:lpstr>Estoque verificação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Vitor Neira Miras</dc:creator>
  <dc:description/>
  <cp:lastModifiedBy>Vitor Neira Miras</cp:lastModifiedBy>
  <cp:revision>0</cp:revision>
  <dcterms:created xsi:type="dcterms:W3CDTF">2025-05-29T18:11:54Z</dcterms:created>
  <dcterms:modified xsi:type="dcterms:W3CDTF">2026-08-03T12:01:56Z</dcterms:modified>
  <dc:language>en-US</dc:language>
</cp:coreProperties>
</file>