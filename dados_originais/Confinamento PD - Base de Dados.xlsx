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6d263c7d248ff7d/Área de Trabalho/CLAUDE/CONFINAMENTO PD/"/>
    </mc:Choice>
  </mc:AlternateContent>
  <xr:revisionPtr revIDLastSave="4" documentId="11_42CBF818A3260B07932C94036A90E4FAAA14247B" xr6:coauthVersionLast="47" xr6:coauthVersionMax="47" xr10:uidLastSave="{7198645C-C8A8-43AC-A958-7939E2A863C1}"/>
  <bookViews>
    <workbookView xWindow="-108" yWindow="-108" windowWidth="23256" windowHeight="12456" tabRatio="500" activeTab="3" xr2:uid="{00000000-000D-0000-FFFF-FFFF00000000}"/>
  </bookViews>
  <sheets>
    <sheet name="Dashboard" sheetId="1" r:id="rId1"/>
    <sheet name="Parâmetros" sheetId="2" r:id="rId2"/>
    <sheet name="Precos_Insumos" sheetId="3" r:id="rId3"/>
    <sheet name="Estoque_Insumos" sheetId="4" r:id="rId4"/>
    <sheet name="Ingredientes_Dieta" sheetId="5" r:id="rId5"/>
    <sheet name="Calculadora_Trato" sheetId="6" r:id="rId6"/>
    <sheet name="Trato_Diario" sheetId="7" r:id="rId7"/>
    <sheet name="Custo_Nutricao_Lote" sheetId="8" r:id="rId8"/>
    <sheet name="Custo_Diario_Cab" sheetId="9" r:id="rId9"/>
    <sheet name="Historico_KPIs" sheetId="10" r:id="rId10"/>
    <sheet name="Cadastro_Animais" sheetId="11" r:id="rId11"/>
    <sheet name="Pesagens" sheetId="12" r:id="rId12"/>
    <sheet name="Currais" sheetId="13" r:id="rId13"/>
  </sheets>
  <definedNames>
    <definedName name="_xlnm.Print_Area" localSheetId="7">Custo_Nutricao_Lote!$A$1:$M$17</definedName>
    <definedName name="_xlnm.Print_Area" localSheetId="4">Ingredientes_Dieta!$B$1:$J$18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4" l="1"/>
  <c r="D12" i="13"/>
  <c r="C12" i="13"/>
  <c r="D11" i="13"/>
  <c r="C11" i="13"/>
  <c r="D10" i="13"/>
  <c r="C10" i="13"/>
  <c r="D9" i="13"/>
  <c r="C9" i="13"/>
  <c r="D8" i="13"/>
  <c r="C8" i="13"/>
  <c r="D7" i="13"/>
  <c r="C7" i="13"/>
  <c r="D6" i="13"/>
  <c r="C6" i="13"/>
  <c r="D5" i="13"/>
  <c r="C5" i="13"/>
  <c r="D4" i="13"/>
  <c r="C4" i="13"/>
  <c r="D3" i="13"/>
  <c r="C3" i="13"/>
  <c r="J648" i="11"/>
  <c r="H648" i="11"/>
  <c r="I648" i="11" s="1"/>
  <c r="J647" i="11"/>
  <c r="H647" i="11"/>
  <c r="I647" i="11" s="1"/>
  <c r="J646" i="11"/>
  <c r="H646" i="11"/>
  <c r="I646" i="11" s="1"/>
  <c r="J645" i="11"/>
  <c r="H645" i="11"/>
  <c r="I645" i="11" s="1"/>
  <c r="J644" i="11"/>
  <c r="H644" i="11"/>
  <c r="I644" i="11" s="1"/>
  <c r="J643" i="11"/>
  <c r="H643" i="11"/>
  <c r="I643" i="11" s="1"/>
  <c r="J642" i="11"/>
  <c r="H642" i="11"/>
  <c r="I642" i="11" s="1"/>
  <c r="J641" i="11"/>
  <c r="H641" i="11"/>
  <c r="I641" i="11" s="1"/>
  <c r="J640" i="11"/>
  <c r="H640" i="11"/>
  <c r="I640" i="11" s="1"/>
  <c r="J639" i="11"/>
  <c r="H639" i="11"/>
  <c r="I639" i="11" s="1"/>
  <c r="J638" i="11"/>
  <c r="H638" i="11"/>
  <c r="I638" i="11" s="1"/>
  <c r="J637" i="11"/>
  <c r="H637" i="11"/>
  <c r="I637" i="11" s="1"/>
  <c r="J636" i="11"/>
  <c r="H636" i="11"/>
  <c r="I636" i="11" s="1"/>
  <c r="J635" i="11"/>
  <c r="H635" i="11"/>
  <c r="I635" i="11" s="1"/>
  <c r="J634" i="11"/>
  <c r="H634" i="11"/>
  <c r="I634" i="11" s="1"/>
  <c r="J633" i="11"/>
  <c r="H633" i="11"/>
  <c r="I633" i="11" s="1"/>
  <c r="J632" i="11"/>
  <c r="H632" i="11"/>
  <c r="I632" i="11" s="1"/>
  <c r="J631" i="11"/>
  <c r="H631" i="11"/>
  <c r="I631" i="11" s="1"/>
  <c r="J630" i="11"/>
  <c r="H630" i="11"/>
  <c r="I630" i="11" s="1"/>
  <c r="J629" i="11"/>
  <c r="H629" i="11"/>
  <c r="I629" i="11" s="1"/>
  <c r="J628" i="11"/>
  <c r="H628" i="11"/>
  <c r="I628" i="11" s="1"/>
  <c r="J627" i="11"/>
  <c r="H627" i="11"/>
  <c r="I627" i="11" s="1"/>
  <c r="J626" i="11"/>
  <c r="H626" i="11"/>
  <c r="I626" i="11" s="1"/>
  <c r="J625" i="11"/>
  <c r="H625" i="11"/>
  <c r="I625" i="11" s="1"/>
  <c r="J624" i="11"/>
  <c r="H624" i="11"/>
  <c r="I624" i="11" s="1"/>
  <c r="J623" i="11"/>
  <c r="H623" i="11"/>
  <c r="I623" i="11" s="1"/>
  <c r="J622" i="11"/>
  <c r="H622" i="11"/>
  <c r="I622" i="11" s="1"/>
  <c r="J621" i="11"/>
  <c r="H621" i="11"/>
  <c r="I621" i="11" s="1"/>
  <c r="J620" i="11"/>
  <c r="H620" i="11"/>
  <c r="I620" i="11" s="1"/>
  <c r="J619" i="11"/>
  <c r="H619" i="11"/>
  <c r="I619" i="11" s="1"/>
  <c r="J618" i="11"/>
  <c r="H618" i="11"/>
  <c r="I618" i="11" s="1"/>
  <c r="J617" i="11"/>
  <c r="H617" i="11"/>
  <c r="I617" i="11" s="1"/>
  <c r="J616" i="11"/>
  <c r="H616" i="11"/>
  <c r="I616" i="11" s="1"/>
  <c r="J615" i="11"/>
  <c r="H615" i="11"/>
  <c r="I615" i="11" s="1"/>
  <c r="J614" i="11"/>
  <c r="H614" i="11"/>
  <c r="I614" i="11" s="1"/>
  <c r="J613" i="11"/>
  <c r="H613" i="11"/>
  <c r="I613" i="11" s="1"/>
  <c r="J612" i="11"/>
  <c r="H612" i="11"/>
  <c r="I612" i="11" s="1"/>
  <c r="J611" i="11"/>
  <c r="H611" i="11"/>
  <c r="I611" i="11" s="1"/>
  <c r="J610" i="11"/>
  <c r="H610" i="11"/>
  <c r="I610" i="11" s="1"/>
  <c r="J609" i="11"/>
  <c r="H609" i="11"/>
  <c r="I609" i="11" s="1"/>
  <c r="J608" i="11"/>
  <c r="H608" i="11"/>
  <c r="I608" i="11" s="1"/>
  <c r="J607" i="11"/>
  <c r="H607" i="11"/>
  <c r="I607" i="11" s="1"/>
  <c r="J606" i="11"/>
  <c r="H606" i="11"/>
  <c r="I606" i="11" s="1"/>
  <c r="J605" i="11"/>
  <c r="H605" i="11"/>
  <c r="I605" i="11" s="1"/>
  <c r="J604" i="11"/>
  <c r="H604" i="11"/>
  <c r="I604" i="11" s="1"/>
  <c r="J603" i="11"/>
  <c r="H603" i="11"/>
  <c r="I603" i="11" s="1"/>
  <c r="J602" i="11"/>
  <c r="H602" i="11"/>
  <c r="I602" i="11" s="1"/>
  <c r="J601" i="11"/>
  <c r="H601" i="11"/>
  <c r="I601" i="11" s="1"/>
  <c r="J600" i="11"/>
  <c r="H600" i="11"/>
  <c r="I600" i="11" s="1"/>
  <c r="J599" i="11"/>
  <c r="H599" i="11"/>
  <c r="I599" i="11" s="1"/>
  <c r="J598" i="11"/>
  <c r="H598" i="11"/>
  <c r="I598" i="11" s="1"/>
  <c r="J597" i="11"/>
  <c r="H597" i="11"/>
  <c r="I597" i="11" s="1"/>
  <c r="J596" i="11"/>
  <c r="H596" i="11"/>
  <c r="I596" i="11" s="1"/>
  <c r="J595" i="11"/>
  <c r="H595" i="11"/>
  <c r="I595" i="11" s="1"/>
  <c r="J594" i="11"/>
  <c r="H594" i="11"/>
  <c r="I594" i="11" s="1"/>
  <c r="J593" i="11"/>
  <c r="H593" i="11"/>
  <c r="I593" i="11" s="1"/>
  <c r="J592" i="11"/>
  <c r="H592" i="11"/>
  <c r="I592" i="11" s="1"/>
  <c r="J591" i="11"/>
  <c r="H591" i="11"/>
  <c r="I591" i="11" s="1"/>
  <c r="J590" i="11"/>
  <c r="H590" i="11"/>
  <c r="I590" i="11" s="1"/>
  <c r="J589" i="11"/>
  <c r="H589" i="11"/>
  <c r="I589" i="11" s="1"/>
  <c r="J588" i="11"/>
  <c r="H588" i="11"/>
  <c r="I588" i="11" s="1"/>
  <c r="J587" i="11"/>
  <c r="H587" i="11"/>
  <c r="I587" i="11" s="1"/>
  <c r="J586" i="11"/>
  <c r="H586" i="11"/>
  <c r="I586" i="11" s="1"/>
  <c r="J585" i="11"/>
  <c r="H585" i="11"/>
  <c r="I585" i="11" s="1"/>
  <c r="J584" i="11"/>
  <c r="H584" i="11"/>
  <c r="I584" i="11" s="1"/>
  <c r="J583" i="11"/>
  <c r="H583" i="11"/>
  <c r="I583" i="11" s="1"/>
  <c r="J582" i="11"/>
  <c r="H582" i="11"/>
  <c r="I582" i="11" s="1"/>
  <c r="J581" i="11"/>
  <c r="H581" i="11"/>
  <c r="I581" i="11" s="1"/>
  <c r="J580" i="11"/>
  <c r="H580" i="11"/>
  <c r="I580" i="11" s="1"/>
  <c r="J579" i="11"/>
  <c r="H579" i="11"/>
  <c r="I579" i="11" s="1"/>
  <c r="J578" i="11"/>
  <c r="H578" i="11"/>
  <c r="I578" i="11" s="1"/>
  <c r="J577" i="11"/>
  <c r="H577" i="11"/>
  <c r="I577" i="11" s="1"/>
  <c r="J576" i="11"/>
  <c r="H576" i="11"/>
  <c r="I576" i="11" s="1"/>
  <c r="J575" i="11"/>
  <c r="H575" i="11"/>
  <c r="I575" i="11" s="1"/>
  <c r="J574" i="11"/>
  <c r="H574" i="11"/>
  <c r="I574" i="11" s="1"/>
  <c r="J573" i="11"/>
  <c r="H573" i="11"/>
  <c r="I573" i="11" s="1"/>
  <c r="J572" i="11"/>
  <c r="H572" i="11"/>
  <c r="I572" i="11" s="1"/>
  <c r="J571" i="11"/>
  <c r="H571" i="11"/>
  <c r="I571" i="11" s="1"/>
  <c r="J570" i="11"/>
  <c r="H570" i="11"/>
  <c r="I570" i="11" s="1"/>
  <c r="J569" i="11"/>
  <c r="H569" i="11"/>
  <c r="I569" i="11" s="1"/>
  <c r="J568" i="11"/>
  <c r="H568" i="11"/>
  <c r="I568" i="11" s="1"/>
  <c r="J567" i="11"/>
  <c r="H567" i="11"/>
  <c r="I567" i="11" s="1"/>
  <c r="J566" i="11"/>
  <c r="H566" i="11"/>
  <c r="I566" i="11" s="1"/>
  <c r="J565" i="11"/>
  <c r="H565" i="11"/>
  <c r="I565" i="11" s="1"/>
  <c r="J564" i="11"/>
  <c r="H564" i="11"/>
  <c r="I564" i="11" s="1"/>
  <c r="J563" i="11"/>
  <c r="H563" i="11"/>
  <c r="I563" i="11" s="1"/>
  <c r="J562" i="11"/>
  <c r="H562" i="11"/>
  <c r="I562" i="11" s="1"/>
  <c r="J561" i="11"/>
  <c r="H561" i="11"/>
  <c r="I561" i="11" s="1"/>
  <c r="J560" i="11"/>
  <c r="H560" i="11"/>
  <c r="I560" i="11" s="1"/>
  <c r="J559" i="11"/>
  <c r="H559" i="11"/>
  <c r="I559" i="11" s="1"/>
  <c r="J558" i="11"/>
  <c r="H558" i="11"/>
  <c r="I558" i="11" s="1"/>
  <c r="J557" i="11"/>
  <c r="H557" i="11"/>
  <c r="I557" i="11" s="1"/>
  <c r="J556" i="11"/>
  <c r="H556" i="11"/>
  <c r="I556" i="11" s="1"/>
  <c r="J555" i="11"/>
  <c r="H555" i="11"/>
  <c r="I555" i="11" s="1"/>
  <c r="J554" i="11"/>
  <c r="H554" i="11"/>
  <c r="I554" i="11" s="1"/>
  <c r="J553" i="11"/>
  <c r="H553" i="11"/>
  <c r="I553" i="11" s="1"/>
  <c r="J552" i="11"/>
  <c r="H552" i="11"/>
  <c r="I552" i="11" s="1"/>
  <c r="J551" i="11"/>
  <c r="H551" i="11"/>
  <c r="I551" i="11" s="1"/>
  <c r="J550" i="11"/>
  <c r="H550" i="11"/>
  <c r="I550" i="11" s="1"/>
  <c r="J549" i="11"/>
  <c r="H549" i="11"/>
  <c r="I549" i="11" s="1"/>
  <c r="J548" i="11"/>
  <c r="H548" i="11"/>
  <c r="I548" i="11" s="1"/>
  <c r="J547" i="11"/>
  <c r="H547" i="11"/>
  <c r="I547" i="11" s="1"/>
  <c r="J546" i="11"/>
  <c r="H546" i="11"/>
  <c r="I546" i="11" s="1"/>
  <c r="J545" i="11"/>
  <c r="H545" i="11"/>
  <c r="I545" i="11" s="1"/>
  <c r="J544" i="11"/>
  <c r="H544" i="11"/>
  <c r="I544" i="11" s="1"/>
  <c r="J543" i="11"/>
  <c r="H543" i="11"/>
  <c r="I543" i="11" s="1"/>
  <c r="J542" i="11"/>
  <c r="H542" i="11"/>
  <c r="I542" i="11" s="1"/>
  <c r="J541" i="11"/>
  <c r="H541" i="11"/>
  <c r="I541" i="11" s="1"/>
  <c r="J540" i="11"/>
  <c r="H540" i="11"/>
  <c r="I540" i="11" s="1"/>
  <c r="J539" i="11"/>
  <c r="H539" i="11"/>
  <c r="I539" i="11" s="1"/>
  <c r="J538" i="11"/>
  <c r="H538" i="11"/>
  <c r="I538" i="11" s="1"/>
  <c r="J537" i="11"/>
  <c r="H537" i="11"/>
  <c r="I537" i="11" s="1"/>
  <c r="J536" i="11"/>
  <c r="H536" i="11"/>
  <c r="I536" i="11" s="1"/>
  <c r="J535" i="11"/>
  <c r="H535" i="11"/>
  <c r="I535" i="11" s="1"/>
  <c r="J534" i="11"/>
  <c r="H534" i="11"/>
  <c r="I534" i="11" s="1"/>
  <c r="J533" i="11"/>
  <c r="H533" i="11"/>
  <c r="I533" i="11" s="1"/>
  <c r="J532" i="11"/>
  <c r="H532" i="11"/>
  <c r="I532" i="11" s="1"/>
  <c r="J531" i="11"/>
  <c r="H531" i="11"/>
  <c r="I531" i="11" s="1"/>
  <c r="J530" i="11"/>
  <c r="H530" i="11"/>
  <c r="I530" i="11" s="1"/>
  <c r="J529" i="11"/>
  <c r="H529" i="11"/>
  <c r="I529" i="11" s="1"/>
  <c r="J528" i="11"/>
  <c r="H528" i="11"/>
  <c r="I528" i="11" s="1"/>
  <c r="J527" i="11"/>
  <c r="H527" i="11"/>
  <c r="I527" i="11" s="1"/>
  <c r="J526" i="11"/>
  <c r="H526" i="11"/>
  <c r="I526" i="11" s="1"/>
  <c r="J525" i="11"/>
  <c r="H525" i="11"/>
  <c r="I525" i="11" s="1"/>
  <c r="J524" i="11"/>
  <c r="H524" i="11"/>
  <c r="I524" i="11" s="1"/>
  <c r="J523" i="11"/>
  <c r="H523" i="11"/>
  <c r="I523" i="11" s="1"/>
  <c r="J522" i="11"/>
  <c r="H522" i="11"/>
  <c r="I522" i="11" s="1"/>
  <c r="J521" i="11"/>
  <c r="H521" i="11"/>
  <c r="I521" i="11" s="1"/>
  <c r="J520" i="11"/>
  <c r="H520" i="11"/>
  <c r="I520" i="11" s="1"/>
  <c r="J519" i="11"/>
  <c r="H519" i="11"/>
  <c r="I519" i="11" s="1"/>
  <c r="J518" i="11"/>
  <c r="H518" i="11"/>
  <c r="I518" i="11" s="1"/>
  <c r="J517" i="11"/>
  <c r="H517" i="11"/>
  <c r="I517" i="11" s="1"/>
  <c r="J516" i="11"/>
  <c r="H516" i="11"/>
  <c r="I516" i="11" s="1"/>
  <c r="J515" i="11"/>
  <c r="H515" i="11"/>
  <c r="I515" i="11" s="1"/>
  <c r="J514" i="11"/>
  <c r="H514" i="11"/>
  <c r="I514" i="11" s="1"/>
  <c r="J513" i="11"/>
  <c r="H513" i="11"/>
  <c r="I513" i="11" s="1"/>
  <c r="J512" i="11"/>
  <c r="H512" i="11"/>
  <c r="I512" i="11" s="1"/>
  <c r="J511" i="11"/>
  <c r="H511" i="11"/>
  <c r="I511" i="11" s="1"/>
  <c r="J510" i="11"/>
  <c r="H510" i="11"/>
  <c r="I510" i="11" s="1"/>
  <c r="J509" i="11"/>
  <c r="H509" i="11"/>
  <c r="I509" i="11" s="1"/>
  <c r="J508" i="11"/>
  <c r="H508" i="11"/>
  <c r="I508" i="11" s="1"/>
  <c r="J507" i="11"/>
  <c r="H507" i="11"/>
  <c r="I507" i="11" s="1"/>
  <c r="J506" i="11"/>
  <c r="H506" i="11"/>
  <c r="I506" i="11" s="1"/>
  <c r="J505" i="11"/>
  <c r="H505" i="11"/>
  <c r="I505" i="11" s="1"/>
  <c r="J504" i="11"/>
  <c r="H504" i="11"/>
  <c r="I504" i="11" s="1"/>
  <c r="J503" i="11"/>
  <c r="H503" i="11"/>
  <c r="I503" i="11" s="1"/>
  <c r="J502" i="11"/>
  <c r="H502" i="11"/>
  <c r="I502" i="11" s="1"/>
  <c r="J501" i="11"/>
  <c r="H501" i="11"/>
  <c r="I501" i="11" s="1"/>
  <c r="J500" i="11"/>
  <c r="H500" i="11"/>
  <c r="I500" i="11" s="1"/>
  <c r="J499" i="11"/>
  <c r="H499" i="11"/>
  <c r="I499" i="11" s="1"/>
  <c r="J498" i="11"/>
  <c r="H498" i="11"/>
  <c r="I498" i="11" s="1"/>
  <c r="J497" i="11"/>
  <c r="H497" i="11"/>
  <c r="I497" i="11" s="1"/>
  <c r="J496" i="11"/>
  <c r="H496" i="11"/>
  <c r="I496" i="11" s="1"/>
  <c r="J495" i="11"/>
  <c r="H495" i="11"/>
  <c r="I495" i="11" s="1"/>
  <c r="J494" i="11"/>
  <c r="H494" i="11"/>
  <c r="I494" i="11" s="1"/>
  <c r="J493" i="11"/>
  <c r="H493" i="11"/>
  <c r="I493" i="11" s="1"/>
  <c r="J492" i="11"/>
  <c r="H492" i="11"/>
  <c r="I492" i="11" s="1"/>
  <c r="J491" i="11"/>
  <c r="H491" i="11"/>
  <c r="I491" i="11" s="1"/>
  <c r="J490" i="11"/>
  <c r="H490" i="11"/>
  <c r="I490" i="11" s="1"/>
  <c r="J489" i="11"/>
  <c r="H489" i="11"/>
  <c r="I489" i="11" s="1"/>
  <c r="J488" i="11"/>
  <c r="H488" i="11"/>
  <c r="I488" i="11" s="1"/>
  <c r="J487" i="11"/>
  <c r="H487" i="11"/>
  <c r="I487" i="11" s="1"/>
  <c r="J486" i="11"/>
  <c r="H486" i="11"/>
  <c r="I486" i="11" s="1"/>
  <c r="J485" i="11"/>
  <c r="H485" i="11"/>
  <c r="I485" i="11" s="1"/>
  <c r="J484" i="11"/>
  <c r="H484" i="11"/>
  <c r="I484" i="11" s="1"/>
  <c r="J483" i="11"/>
  <c r="H483" i="11"/>
  <c r="I483" i="11" s="1"/>
  <c r="J482" i="11"/>
  <c r="H482" i="11"/>
  <c r="I482" i="11" s="1"/>
  <c r="J481" i="11"/>
  <c r="H481" i="11"/>
  <c r="I481" i="11" s="1"/>
  <c r="J480" i="11"/>
  <c r="H480" i="11"/>
  <c r="I480" i="11" s="1"/>
  <c r="J479" i="11"/>
  <c r="H479" i="11"/>
  <c r="I479" i="11" s="1"/>
  <c r="J478" i="11"/>
  <c r="H478" i="11"/>
  <c r="I478" i="11" s="1"/>
  <c r="J477" i="11"/>
  <c r="H477" i="11"/>
  <c r="I477" i="11" s="1"/>
  <c r="J476" i="11"/>
  <c r="H476" i="11"/>
  <c r="I476" i="11" s="1"/>
  <c r="J475" i="11"/>
  <c r="H475" i="11"/>
  <c r="I475" i="11" s="1"/>
  <c r="J474" i="11"/>
  <c r="H474" i="11"/>
  <c r="I474" i="11" s="1"/>
  <c r="J473" i="11"/>
  <c r="H473" i="11"/>
  <c r="I473" i="11" s="1"/>
  <c r="J472" i="11"/>
  <c r="H472" i="11"/>
  <c r="I472" i="11" s="1"/>
  <c r="J471" i="11"/>
  <c r="H471" i="11"/>
  <c r="I471" i="11" s="1"/>
  <c r="J470" i="11"/>
  <c r="H470" i="11"/>
  <c r="I470" i="11" s="1"/>
  <c r="J469" i="11"/>
  <c r="H469" i="11"/>
  <c r="I469" i="11" s="1"/>
  <c r="J468" i="11"/>
  <c r="H468" i="11"/>
  <c r="I468" i="11" s="1"/>
  <c r="J467" i="11"/>
  <c r="H467" i="11"/>
  <c r="I467" i="11" s="1"/>
  <c r="J466" i="11"/>
  <c r="H466" i="11"/>
  <c r="I466" i="11" s="1"/>
  <c r="J465" i="11"/>
  <c r="H465" i="11"/>
  <c r="I465" i="11" s="1"/>
  <c r="J464" i="11"/>
  <c r="H464" i="11"/>
  <c r="I464" i="11" s="1"/>
  <c r="J463" i="11"/>
  <c r="H463" i="11"/>
  <c r="I463" i="11" s="1"/>
  <c r="J462" i="11"/>
  <c r="H462" i="11"/>
  <c r="I462" i="11" s="1"/>
  <c r="J461" i="11"/>
  <c r="H461" i="11"/>
  <c r="I461" i="11" s="1"/>
  <c r="J460" i="11"/>
  <c r="H460" i="11"/>
  <c r="I460" i="11" s="1"/>
  <c r="J459" i="11"/>
  <c r="H459" i="11"/>
  <c r="I459" i="11" s="1"/>
  <c r="J458" i="11"/>
  <c r="H458" i="11"/>
  <c r="I458" i="11" s="1"/>
  <c r="J457" i="11"/>
  <c r="H457" i="11"/>
  <c r="I457" i="11" s="1"/>
  <c r="J456" i="11"/>
  <c r="H456" i="11"/>
  <c r="I456" i="11" s="1"/>
  <c r="J455" i="11"/>
  <c r="H455" i="11"/>
  <c r="I455" i="11" s="1"/>
  <c r="J454" i="11"/>
  <c r="H454" i="11"/>
  <c r="I454" i="11" s="1"/>
  <c r="J453" i="11"/>
  <c r="H453" i="11"/>
  <c r="I453" i="11" s="1"/>
  <c r="J452" i="11"/>
  <c r="H452" i="11"/>
  <c r="I452" i="11" s="1"/>
  <c r="J451" i="11"/>
  <c r="H451" i="11"/>
  <c r="I451" i="11" s="1"/>
  <c r="J450" i="11"/>
  <c r="H450" i="11"/>
  <c r="I450" i="11" s="1"/>
  <c r="J449" i="11"/>
  <c r="H449" i="11"/>
  <c r="I449" i="11" s="1"/>
  <c r="J448" i="11"/>
  <c r="H448" i="11"/>
  <c r="I448" i="11" s="1"/>
  <c r="J447" i="11"/>
  <c r="H447" i="11"/>
  <c r="I447" i="11" s="1"/>
  <c r="J446" i="11"/>
  <c r="H446" i="11"/>
  <c r="I446" i="11" s="1"/>
  <c r="J445" i="11"/>
  <c r="H445" i="11"/>
  <c r="I445" i="11" s="1"/>
  <c r="J444" i="11"/>
  <c r="H444" i="11"/>
  <c r="I444" i="11" s="1"/>
  <c r="J443" i="11"/>
  <c r="H443" i="11"/>
  <c r="I443" i="11" s="1"/>
  <c r="J442" i="11"/>
  <c r="H442" i="11"/>
  <c r="I442" i="11" s="1"/>
  <c r="J441" i="11"/>
  <c r="H441" i="11"/>
  <c r="I441" i="11" s="1"/>
  <c r="J440" i="11"/>
  <c r="H440" i="11"/>
  <c r="I440" i="11" s="1"/>
  <c r="J439" i="11"/>
  <c r="H439" i="11"/>
  <c r="I439" i="11" s="1"/>
  <c r="J438" i="11"/>
  <c r="H438" i="11"/>
  <c r="I438" i="11" s="1"/>
  <c r="J437" i="11"/>
  <c r="H437" i="11"/>
  <c r="I437" i="11" s="1"/>
  <c r="J436" i="11"/>
  <c r="H436" i="11"/>
  <c r="I436" i="11" s="1"/>
  <c r="J435" i="11"/>
  <c r="H435" i="11"/>
  <c r="I435" i="11" s="1"/>
  <c r="J434" i="11"/>
  <c r="H434" i="11"/>
  <c r="I434" i="11" s="1"/>
  <c r="J433" i="11"/>
  <c r="H433" i="11"/>
  <c r="I433" i="11" s="1"/>
  <c r="J432" i="11"/>
  <c r="H432" i="11"/>
  <c r="I432" i="11" s="1"/>
  <c r="J431" i="11"/>
  <c r="H431" i="11"/>
  <c r="I431" i="11" s="1"/>
  <c r="J430" i="11"/>
  <c r="H430" i="11"/>
  <c r="I430" i="11" s="1"/>
  <c r="J429" i="11"/>
  <c r="H429" i="11"/>
  <c r="I429" i="11" s="1"/>
  <c r="J428" i="11"/>
  <c r="H428" i="11"/>
  <c r="I428" i="11" s="1"/>
  <c r="J427" i="11"/>
  <c r="H427" i="11"/>
  <c r="I427" i="11" s="1"/>
  <c r="J426" i="11"/>
  <c r="H426" i="11"/>
  <c r="I426" i="11" s="1"/>
  <c r="J425" i="11"/>
  <c r="H425" i="11"/>
  <c r="I425" i="11" s="1"/>
  <c r="J424" i="11"/>
  <c r="H424" i="11"/>
  <c r="I424" i="11" s="1"/>
  <c r="J423" i="11"/>
  <c r="H423" i="11"/>
  <c r="I423" i="11" s="1"/>
  <c r="J422" i="11"/>
  <c r="H422" i="11"/>
  <c r="I422" i="11" s="1"/>
  <c r="J421" i="11"/>
  <c r="H421" i="11"/>
  <c r="I421" i="11" s="1"/>
  <c r="J420" i="11"/>
  <c r="H420" i="11"/>
  <c r="I420" i="11" s="1"/>
  <c r="J419" i="11"/>
  <c r="H419" i="11"/>
  <c r="I419" i="11" s="1"/>
  <c r="J418" i="11"/>
  <c r="H418" i="11"/>
  <c r="I418" i="11" s="1"/>
  <c r="J417" i="11"/>
  <c r="H417" i="11"/>
  <c r="I417" i="11" s="1"/>
  <c r="J416" i="11"/>
  <c r="H416" i="11"/>
  <c r="I416" i="11" s="1"/>
  <c r="J415" i="11"/>
  <c r="H415" i="11"/>
  <c r="I415" i="11" s="1"/>
  <c r="J414" i="11"/>
  <c r="H414" i="11"/>
  <c r="I414" i="11" s="1"/>
  <c r="J413" i="11"/>
  <c r="H413" i="11"/>
  <c r="I413" i="11" s="1"/>
  <c r="J412" i="11"/>
  <c r="H412" i="11"/>
  <c r="I412" i="11" s="1"/>
  <c r="J411" i="11"/>
  <c r="H411" i="11"/>
  <c r="I411" i="11" s="1"/>
  <c r="J410" i="11"/>
  <c r="H410" i="11"/>
  <c r="I410" i="11" s="1"/>
  <c r="J409" i="11"/>
  <c r="H409" i="11"/>
  <c r="I409" i="11" s="1"/>
  <c r="J408" i="11"/>
  <c r="H408" i="11"/>
  <c r="I408" i="11" s="1"/>
  <c r="J407" i="11"/>
  <c r="H407" i="11"/>
  <c r="I407" i="11" s="1"/>
  <c r="J406" i="11"/>
  <c r="H406" i="11"/>
  <c r="I406" i="11" s="1"/>
  <c r="J405" i="11"/>
  <c r="H405" i="11"/>
  <c r="I405" i="11" s="1"/>
  <c r="J404" i="11"/>
  <c r="H404" i="11"/>
  <c r="I404" i="11" s="1"/>
  <c r="J403" i="11"/>
  <c r="H403" i="11"/>
  <c r="I403" i="11" s="1"/>
  <c r="J402" i="11"/>
  <c r="H402" i="11"/>
  <c r="I402" i="11" s="1"/>
  <c r="J401" i="11"/>
  <c r="H401" i="11"/>
  <c r="I401" i="11" s="1"/>
  <c r="J400" i="11"/>
  <c r="H400" i="11"/>
  <c r="I400" i="11" s="1"/>
  <c r="J399" i="11"/>
  <c r="H399" i="11"/>
  <c r="I399" i="11" s="1"/>
  <c r="J398" i="11"/>
  <c r="H398" i="11"/>
  <c r="I398" i="11" s="1"/>
  <c r="J397" i="11"/>
  <c r="H397" i="11"/>
  <c r="I397" i="11" s="1"/>
  <c r="J396" i="11"/>
  <c r="H396" i="11"/>
  <c r="I396" i="11" s="1"/>
  <c r="J395" i="11"/>
  <c r="H395" i="11"/>
  <c r="I395" i="11" s="1"/>
  <c r="J394" i="11"/>
  <c r="H394" i="11"/>
  <c r="I394" i="11" s="1"/>
  <c r="J393" i="11"/>
  <c r="H393" i="11"/>
  <c r="I393" i="11" s="1"/>
  <c r="J392" i="11"/>
  <c r="H392" i="11"/>
  <c r="I392" i="11" s="1"/>
  <c r="J391" i="11"/>
  <c r="H391" i="11"/>
  <c r="I391" i="11" s="1"/>
  <c r="J390" i="11"/>
  <c r="H390" i="11"/>
  <c r="I390" i="11" s="1"/>
  <c r="J389" i="11"/>
  <c r="H389" i="11"/>
  <c r="I389" i="11" s="1"/>
  <c r="J388" i="11"/>
  <c r="H388" i="11"/>
  <c r="I388" i="11" s="1"/>
  <c r="J387" i="11"/>
  <c r="H387" i="11"/>
  <c r="I387" i="11" s="1"/>
  <c r="J386" i="11"/>
  <c r="H386" i="11"/>
  <c r="I386" i="11" s="1"/>
  <c r="J385" i="11"/>
  <c r="H385" i="11"/>
  <c r="I385" i="11" s="1"/>
  <c r="J384" i="11"/>
  <c r="H384" i="11"/>
  <c r="I384" i="11" s="1"/>
  <c r="J383" i="11"/>
  <c r="H383" i="11"/>
  <c r="I383" i="11" s="1"/>
  <c r="J382" i="11"/>
  <c r="H382" i="11"/>
  <c r="I382" i="11" s="1"/>
  <c r="J381" i="11"/>
  <c r="H381" i="11"/>
  <c r="I381" i="11" s="1"/>
  <c r="J380" i="11"/>
  <c r="H380" i="11"/>
  <c r="I380" i="11" s="1"/>
  <c r="J379" i="11"/>
  <c r="H379" i="11"/>
  <c r="I379" i="11" s="1"/>
  <c r="J378" i="11"/>
  <c r="H378" i="11"/>
  <c r="I378" i="11" s="1"/>
  <c r="J377" i="11"/>
  <c r="H377" i="11"/>
  <c r="I377" i="11" s="1"/>
  <c r="J376" i="11"/>
  <c r="H376" i="11"/>
  <c r="I376" i="11" s="1"/>
  <c r="J375" i="11"/>
  <c r="H375" i="11"/>
  <c r="I375" i="11" s="1"/>
  <c r="J374" i="11"/>
  <c r="H374" i="11"/>
  <c r="I374" i="11" s="1"/>
  <c r="J373" i="11"/>
  <c r="H373" i="11"/>
  <c r="I373" i="11" s="1"/>
  <c r="J372" i="11"/>
  <c r="H372" i="11"/>
  <c r="I372" i="11" s="1"/>
  <c r="J371" i="11"/>
  <c r="H371" i="11"/>
  <c r="I371" i="11" s="1"/>
  <c r="J370" i="11"/>
  <c r="H370" i="11"/>
  <c r="I370" i="11" s="1"/>
  <c r="J369" i="11"/>
  <c r="H369" i="11"/>
  <c r="I369" i="11" s="1"/>
  <c r="J368" i="11"/>
  <c r="H368" i="11"/>
  <c r="I368" i="11" s="1"/>
  <c r="J367" i="11"/>
  <c r="H367" i="11"/>
  <c r="I367" i="11" s="1"/>
  <c r="J366" i="11"/>
  <c r="H366" i="11"/>
  <c r="I366" i="11" s="1"/>
  <c r="J365" i="11"/>
  <c r="H365" i="11"/>
  <c r="I365" i="11" s="1"/>
  <c r="J364" i="11"/>
  <c r="H364" i="11"/>
  <c r="I364" i="11" s="1"/>
  <c r="J363" i="11"/>
  <c r="H363" i="11"/>
  <c r="I363" i="11" s="1"/>
  <c r="J362" i="11"/>
  <c r="H362" i="11"/>
  <c r="I362" i="11" s="1"/>
  <c r="J361" i="11"/>
  <c r="H361" i="11"/>
  <c r="I361" i="11" s="1"/>
  <c r="J360" i="11"/>
  <c r="H360" i="11"/>
  <c r="I360" i="11" s="1"/>
  <c r="J359" i="11"/>
  <c r="H359" i="11"/>
  <c r="I359" i="11" s="1"/>
  <c r="J358" i="11"/>
  <c r="H358" i="11"/>
  <c r="I358" i="11" s="1"/>
  <c r="J357" i="11"/>
  <c r="H357" i="11"/>
  <c r="I357" i="11" s="1"/>
  <c r="J356" i="11"/>
  <c r="H356" i="11"/>
  <c r="I356" i="11" s="1"/>
  <c r="J355" i="11"/>
  <c r="H355" i="11"/>
  <c r="I355" i="11" s="1"/>
  <c r="J354" i="11"/>
  <c r="H354" i="11"/>
  <c r="I354" i="11" s="1"/>
  <c r="J353" i="11"/>
  <c r="H353" i="11"/>
  <c r="I353" i="11" s="1"/>
  <c r="J352" i="11"/>
  <c r="H352" i="11"/>
  <c r="I352" i="11" s="1"/>
  <c r="J351" i="11"/>
  <c r="H351" i="11"/>
  <c r="I351" i="11" s="1"/>
  <c r="J350" i="11"/>
  <c r="H350" i="11"/>
  <c r="I350" i="11" s="1"/>
  <c r="J349" i="11"/>
  <c r="H349" i="11"/>
  <c r="I349" i="11" s="1"/>
  <c r="J348" i="11"/>
  <c r="H348" i="11"/>
  <c r="I348" i="11" s="1"/>
  <c r="J347" i="11"/>
  <c r="H347" i="11"/>
  <c r="I347" i="11" s="1"/>
  <c r="J346" i="11"/>
  <c r="H346" i="11"/>
  <c r="I346" i="11" s="1"/>
  <c r="J345" i="11"/>
  <c r="H345" i="11"/>
  <c r="I345" i="11" s="1"/>
  <c r="J344" i="11"/>
  <c r="H344" i="11"/>
  <c r="I344" i="11" s="1"/>
  <c r="J343" i="11"/>
  <c r="H343" i="11"/>
  <c r="I343" i="11" s="1"/>
  <c r="J342" i="11"/>
  <c r="H342" i="11"/>
  <c r="I342" i="11" s="1"/>
  <c r="J341" i="11"/>
  <c r="H341" i="11"/>
  <c r="I341" i="11" s="1"/>
  <c r="J340" i="11"/>
  <c r="H340" i="11"/>
  <c r="I340" i="11" s="1"/>
  <c r="J339" i="11"/>
  <c r="H339" i="11"/>
  <c r="I339" i="11" s="1"/>
  <c r="J338" i="11"/>
  <c r="H338" i="11"/>
  <c r="I338" i="11" s="1"/>
  <c r="J337" i="11"/>
  <c r="H337" i="11"/>
  <c r="I337" i="11" s="1"/>
  <c r="J336" i="11"/>
  <c r="H336" i="11"/>
  <c r="I336" i="11" s="1"/>
  <c r="J335" i="11"/>
  <c r="H335" i="11"/>
  <c r="I335" i="11" s="1"/>
  <c r="J334" i="11"/>
  <c r="H334" i="11"/>
  <c r="I334" i="11" s="1"/>
  <c r="J333" i="11"/>
  <c r="H333" i="11"/>
  <c r="I333" i="11" s="1"/>
  <c r="J332" i="11"/>
  <c r="H332" i="11"/>
  <c r="I332" i="11" s="1"/>
  <c r="J331" i="11"/>
  <c r="H331" i="11"/>
  <c r="I331" i="11" s="1"/>
  <c r="J330" i="11"/>
  <c r="H330" i="11"/>
  <c r="I330" i="11" s="1"/>
  <c r="J329" i="11"/>
  <c r="H329" i="11"/>
  <c r="I329" i="11" s="1"/>
  <c r="J328" i="11"/>
  <c r="H328" i="11"/>
  <c r="I328" i="11" s="1"/>
  <c r="J327" i="11"/>
  <c r="H327" i="11"/>
  <c r="I327" i="11" s="1"/>
  <c r="J326" i="11"/>
  <c r="H326" i="11"/>
  <c r="I326" i="11" s="1"/>
  <c r="J325" i="11"/>
  <c r="H325" i="11"/>
  <c r="I325" i="11" s="1"/>
  <c r="J324" i="11"/>
  <c r="H324" i="11"/>
  <c r="I324" i="11" s="1"/>
  <c r="J323" i="11"/>
  <c r="H323" i="11"/>
  <c r="I323" i="11" s="1"/>
  <c r="J322" i="11"/>
  <c r="H322" i="11"/>
  <c r="I322" i="11" s="1"/>
  <c r="J321" i="11"/>
  <c r="H321" i="11"/>
  <c r="I321" i="11" s="1"/>
  <c r="J320" i="11"/>
  <c r="H320" i="11"/>
  <c r="I320" i="11" s="1"/>
  <c r="J319" i="11"/>
  <c r="H319" i="11"/>
  <c r="I319" i="11" s="1"/>
  <c r="J318" i="11"/>
  <c r="H318" i="11"/>
  <c r="I318" i="11" s="1"/>
  <c r="J317" i="11"/>
  <c r="H317" i="11"/>
  <c r="I317" i="11" s="1"/>
  <c r="J316" i="11"/>
  <c r="H316" i="11"/>
  <c r="I316" i="11" s="1"/>
  <c r="J315" i="11"/>
  <c r="H315" i="11"/>
  <c r="I315" i="11" s="1"/>
  <c r="J314" i="11"/>
  <c r="H314" i="11"/>
  <c r="I314" i="11" s="1"/>
  <c r="J313" i="11"/>
  <c r="H313" i="11"/>
  <c r="I313" i="11" s="1"/>
  <c r="J312" i="11"/>
  <c r="H312" i="11"/>
  <c r="I312" i="11" s="1"/>
  <c r="J311" i="11"/>
  <c r="H311" i="11"/>
  <c r="I311" i="11" s="1"/>
  <c r="J310" i="11"/>
  <c r="H310" i="11"/>
  <c r="I310" i="11" s="1"/>
  <c r="J309" i="11"/>
  <c r="H309" i="11"/>
  <c r="I309" i="11" s="1"/>
  <c r="J308" i="11"/>
  <c r="H308" i="11"/>
  <c r="I308" i="11" s="1"/>
  <c r="J307" i="11"/>
  <c r="H307" i="11"/>
  <c r="I307" i="11" s="1"/>
  <c r="J306" i="11"/>
  <c r="H306" i="11"/>
  <c r="I306" i="11" s="1"/>
  <c r="J305" i="11"/>
  <c r="H305" i="11"/>
  <c r="I305" i="11" s="1"/>
  <c r="J304" i="11"/>
  <c r="H304" i="11"/>
  <c r="I304" i="11" s="1"/>
  <c r="J303" i="11"/>
  <c r="H303" i="11"/>
  <c r="I303" i="11" s="1"/>
  <c r="J302" i="11"/>
  <c r="H302" i="11"/>
  <c r="I302" i="11" s="1"/>
  <c r="J301" i="11"/>
  <c r="H301" i="11"/>
  <c r="I301" i="11" s="1"/>
  <c r="J300" i="11"/>
  <c r="H300" i="11"/>
  <c r="I300" i="11" s="1"/>
  <c r="J299" i="11"/>
  <c r="H299" i="11"/>
  <c r="I299" i="11" s="1"/>
  <c r="J298" i="11"/>
  <c r="H298" i="11"/>
  <c r="I298" i="11" s="1"/>
  <c r="J297" i="11"/>
  <c r="H297" i="11"/>
  <c r="I297" i="11" s="1"/>
  <c r="J296" i="11"/>
  <c r="H296" i="11"/>
  <c r="I296" i="11" s="1"/>
  <c r="J295" i="11"/>
  <c r="H295" i="11"/>
  <c r="I295" i="11" s="1"/>
  <c r="J294" i="11"/>
  <c r="H294" i="11"/>
  <c r="I294" i="11" s="1"/>
  <c r="J293" i="11"/>
  <c r="H293" i="11"/>
  <c r="I293" i="11" s="1"/>
  <c r="J292" i="11"/>
  <c r="H292" i="11"/>
  <c r="I292" i="11" s="1"/>
  <c r="J291" i="11"/>
  <c r="H291" i="11"/>
  <c r="I291" i="11" s="1"/>
  <c r="J290" i="11"/>
  <c r="H290" i="11"/>
  <c r="I290" i="11" s="1"/>
  <c r="J289" i="11"/>
  <c r="H289" i="11"/>
  <c r="I289" i="11" s="1"/>
  <c r="J288" i="11"/>
  <c r="H288" i="11"/>
  <c r="I288" i="11" s="1"/>
  <c r="J287" i="11"/>
  <c r="H287" i="11"/>
  <c r="I287" i="11" s="1"/>
  <c r="J286" i="11"/>
  <c r="H286" i="11"/>
  <c r="I286" i="11" s="1"/>
  <c r="J285" i="11"/>
  <c r="H285" i="11"/>
  <c r="I285" i="11" s="1"/>
  <c r="J284" i="11"/>
  <c r="H284" i="11"/>
  <c r="I284" i="11" s="1"/>
  <c r="J283" i="11"/>
  <c r="H283" i="11"/>
  <c r="I283" i="11" s="1"/>
  <c r="J282" i="11"/>
  <c r="H282" i="11"/>
  <c r="I282" i="11" s="1"/>
  <c r="J281" i="11"/>
  <c r="H281" i="11"/>
  <c r="I281" i="11" s="1"/>
  <c r="J280" i="11"/>
  <c r="H280" i="11"/>
  <c r="I280" i="11" s="1"/>
  <c r="J279" i="11"/>
  <c r="H279" i="11"/>
  <c r="I279" i="11" s="1"/>
  <c r="J278" i="11"/>
  <c r="H278" i="11"/>
  <c r="I278" i="11" s="1"/>
  <c r="J277" i="11"/>
  <c r="H277" i="11"/>
  <c r="I277" i="11" s="1"/>
  <c r="J276" i="11"/>
  <c r="H276" i="11"/>
  <c r="I276" i="11" s="1"/>
  <c r="J275" i="11"/>
  <c r="H275" i="11"/>
  <c r="I275" i="11" s="1"/>
  <c r="J274" i="11"/>
  <c r="H274" i="11"/>
  <c r="I274" i="11" s="1"/>
  <c r="J273" i="11"/>
  <c r="H273" i="11"/>
  <c r="I273" i="11" s="1"/>
  <c r="J272" i="11"/>
  <c r="H272" i="11"/>
  <c r="I272" i="11" s="1"/>
  <c r="J271" i="11"/>
  <c r="H271" i="11"/>
  <c r="I271" i="11" s="1"/>
  <c r="J270" i="11"/>
  <c r="H270" i="11"/>
  <c r="I270" i="11" s="1"/>
  <c r="J269" i="11"/>
  <c r="H269" i="11"/>
  <c r="I269" i="11" s="1"/>
  <c r="J268" i="11"/>
  <c r="H268" i="11"/>
  <c r="I268" i="11" s="1"/>
  <c r="J267" i="11"/>
  <c r="H267" i="11"/>
  <c r="I267" i="11" s="1"/>
  <c r="J266" i="11"/>
  <c r="H266" i="11"/>
  <c r="I266" i="11" s="1"/>
  <c r="J265" i="11"/>
  <c r="H265" i="11"/>
  <c r="I265" i="11" s="1"/>
  <c r="J264" i="11"/>
  <c r="H264" i="11"/>
  <c r="I264" i="11" s="1"/>
  <c r="J263" i="11"/>
  <c r="H263" i="11"/>
  <c r="I263" i="11" s="1"/>
  <c r="J262" i="11"/>
  <c r="H262" i="11"/>
  <c r="I262" i="11" s="1"/>
  <c r="J261" i="11"/>
  <c r="H261" i="11"/>
  <c r="I261" i="11" s="1"/>
  <c r="J260" i="11"/>
  <c r="H260" i="11"/>
  <c r="I260" i="11" s="1"/>
  <c r="J259" i="11"/>
  <c r="H259" i="11"/>
  <c r="I259" i="11" s="1"/>
  <c r="J258" i="11"/>
  <c r="H258" i="11"/>
  <c r="I258" i="11" s="1"/>
  <c r="J257" i="11"/>
  <c r="H257" i="11"/>
  <c r="I257" i="11" s="1"/>
  <c r="J256" i="11"/>
  <c r="H256" i="11"/>
  <c r="I256" i="11" s="1"/>
  <c r="J255" i="11"/>
  <c r="H255" i="11"/>
  <c r="I255" i="11" s="1"/>
  <c r="J254" i="11"/>
  <c r="H254" i="11"/>
  <c r="I254" i="11" s="1"/>
  <c r="J253" i="11"/>
  <c r="H253" i="11"/>
  <c r="I253" i="11" s="1"/>
  <c r="J252" i="11"/>
  <c r="H252" i="11"/>
  <c r="I252" i="11" s="1"/>
  <c r="J251" i="11"/>
  <c r="H251" i="11"/>
  <c r="I251" i="11" s="1"/>
  <c r="J250" i="11"/>
  <c r="H250" i="11"/>
  <c r="I250" i="11" s="1"/>
  <c r="J249" i="11"/>
  <c r="H249" i="11"/>
  <c r="I249" i="11" s="1"/>
  <c r="J248" i="11"/>
  <c r="H248" i="11"/>
  <c r="I248" i="11" s="1"/>
  <c r="J247" i="11"/>
  <c r="H247" i="11"/>
  <c r="I247" i="11" s="1"/>
  <c r="J246" i="11"/>
  <c r="H246" i="11"/>
  <c r="I246" i="11" s="1"/>
  <c r="J245" i="11"/>
  <c r="H245" i="11"/>
  <c r="I245" i="11" s="1"/>
  <c r="J244" i="11"/>
  <c r="H244" i="11"/>
  <c r="I244" i="11" s="1"/>
  <c r="J243" i="11"/>
  <c r="H243" i="11"/>
  <c r="I243" i="11" s="1"/>
  <c r="J242" i="11"/>
  <c r="H242" i="11"/>
  <c r="I242" i="11" s="1"/>
  <c r="J241" i="11"/>
  <c r="H241" i="11"/>
  <c r="I241" i="11" s="1"/>
  <c r="J240" i="11"/>
  <c r="H240" i="11"/>
  <c r="I240" i="11" s="1"/>
  <c r="J239" i="11"/>
  <c r="H239" i="11"/>
  <c r="I239" i="11" s="1"/>
  <c r="J238" i="11"/>
  <c r="H238" i="11"/>
  <c r="I238" i="11" s="1"/>
  <c r="J237" i="11"/>
  <c r="H237" i="11"/>
  <c r="I237" i="11" s="1"/>
  <c r="J236" i="11"/>
  <c r="H236" i="11"/>
  <c r="I236" i="11" s="1"/>
  <c r="J235" i="11"/>
  <c r="H235" i="11"/>
  <c r="I235" i="11" s="1"/>
  <c r="J234" i="11"/>
  <c r="H234" i="11"/>
  <c r="I234" i="11" s="1"/>
  <c r="J233" i="11"/>
  <c r="H233" i="11"/>
  <c r="I233" i="11" s="1"/>
  <c r="J232" i="11"/>
  <c r="H232" i="11"/>
  <c r="I232" i="11" s="1"/>
  <c r="J231" i="11"/>
  <c r="H231" i="11"/>
  <c r="I231" i="11" s="1"/>
  <c r="J230" i="11"/>
  <c r="H230" i="11"/>
  <c r="I230" i="11" s="1"/>
  <c r="J229" i="11"/>
  <c r="H229" i="11"/>
  <c r="I229" i="11" s="1"/>
  <c r="J228" i="11"/>
  <c r="H228" i="11"/>
  <c r="I228" i="11" s="1"/>
  <c r="J227" i="11"/>
  <c r="H227" i="11"/>
  <c r="I227" i="11" s="1"/>
  <c r="J226" i="11"/>
  <c r="H226" i="11"/>
  <c r="I226" i="11" s="1"/>
  <c r="J225" i="11"/>
  <c r="H225" i="11"/>
  <c r="I225" i="11" s="1"/>
  <c r="J224" i="11"/>
  <c r="H224" i="11"/>
  <c r="I224" i="11" s="1"/>
  <c r="J223" i="11"/>
  <c r="H223" i="11"/>
  <c r="I223" i="11" s="1"/>
  <c r="J222" i="11"/>
  <c r="H222" i="11"/>
  <c r="I222" i="11" s="1"/>
  <c r="J221" i="11"/>
  <c r="H221" i="11"/>
  <c r="I221" i="11" s="1"/>
  <c r="J220" i="11"/>
  <c r="H220" i="11"/>
  <c r="I220" i="11" s="1"/>
  <c r="J219" i="11"/>
  <c r="H219" i="11"/>
  <c r="I219" i="11" s="1"/>
  <c r="J218" i="11"/>
  <c r="H218" i="11"/>
  <c r="I218" i="11" s="1"/>
  <c r="J217" i="11"/>
  <c r="H217" i="11"/>
  <c r="I217" i="11" s="1"/>
  <c r="J216" i="11"/>
  <c r="H216" i="11"/>
  <c r="I216" i="11" s="1"/>
  <c r="J215" i="11"/>
  <c r="H215" i="11"/>
  <c r="I215" i="11" s="1"/>
  <c r="J214" i="11"/>
  <c r="H214" i="11"/>
  <c r="I214" i="11" s="1"/>
  <c r="J213" i="11"/>
  <c r="H213" i="11"/>
  <c r="I213" i="11" s="1"/>
  <c r="J212" i="11"/>
  <c r="H212" i="11"/>
  <c r="I212" i="11" s="1"/>
  <c r="J211" i="11"/>
  <c r="H211" i="11"/>
  <c r="I211" i="11" s="1"/>
  <c r="J210" i="11"/>
  <c r="H210" i="11"/>
  <c r="I210" i="11" s="1"/>
  <c r="J209" i="11"/>
  <c r="H209" i="11"/>
  <c r="I209" i="11" s="1"/>
  <c r="J208" i="11"/>
  <c r="H208" i="11"/>
  <c r="I208" i="11" s="1"/>
  <c r="J207" i="11"/>
  <c r="H207" i="11"/>
  <c r="I207" i="11" s="1"/>
  <c r="J206" i="11"/>
  <c r="H206" i="11"/>
  <c r="I206" i="11" s="1"/>
  <c r="J205" i="11"/>
  <c r="H205" i="11"/>
  <c r="I205" i="11" s="1"/>
  <c r="J204" i="11"/>
  <c r="H204" i="11"/>
  <c r="I204" i="11" s="1"/>
  <c r="J203" i="11"/>
  <c r="H203" i="11"/>
  <c r="I203" i="11" s="1"/>
  <c r="J202" i="11"/>
  <c r="H202" i="11"/>
  <c r="I202" i="11" s="1"/>
  <c r="J201" i="11"/>
  <c r="H201" i="11"/>
  <c r="I201" i="11" s="1"/>
  <c r="J200" i="11"/>
  <c r="H200" i="11"/>
  <c r="I200" i="11" s="1"/>
  <c r="J199" i="11"/>
  <c r="H199" i="11"/>
  <c r="I199" i="11" s="1"/>
  <c r="J198" i="11"/>
  <c r="H198" i="11"/>
  <c r="I198" i="11" s="1"/>
  <c r="J197" i="11"/>
  <c r="H197" i="11"/>
  <c r="I197" i="11" s="1"/>
  <c r="J196" i="11"/>
  <c r="H196" i="11"/>
  <c r="I196" i="11" s="1"/>
  <c r="J195" i="11"/>
  <c r="H195" i="11"/>
  <c r="I195" i="11" s="1"/>
  <c r="J194" i="11"/>
  <c r="H194" i="11"/>
  <c r="I194" i="11" s="1"/>
  <c r="J193" i="11"/>
  <c r="H193" i="11"/>
  <c r="I193" i="11" s="1"/>
  <c r="J192" i="11"/>
  <c r="H192" i="11"/>
  <c r="I192" i="11" s="1"/>
  <c r="J191" i="11"/>
  <c r="H191" i="11"/>
  <c r="I191" i="11" s="1"/>
  <c r="J190" i="11"/>
  <c r="H190" i="11"/>
  <c r="I190" i="11" s="1"/>
  <c r="J189" i="11"/>
  <c r="H189" i="11"/>
  <c r="I189" i="11" s="1"/>
  <c r="J188" i="11"/>
  <c r="H188" i="11"/>
  <c r="I188" i="11" s="1"/>
  <c r="J187" i="11"/>
  <c r="H187" i="11"/>
  <c r="I187" i="11" s="1"/>
  <c r="J186" i="11"/>
  <c r="H186" i="11"/>
  <c r="I186" i="11" s="1"/>
  <c r="J185" i="11"/>
  <c r="H185" i="11"/>
  <c r="I185" i="11" s="1"/>
  <c r="J184" i="11"/>
  <c r="H184" i="11"/>
  <c r="I184" i="11" s="1"/>
  <c r="J183" i="11"/>
  <c r="H183" i="11"/>
  <c r="I183" i="11" s="1"/>
  <c r="J182" i="11"/>
  <c r="H182" i="11"/>
  <c r="I182" i="11" s="1"/>
  <c r="J181" i="11"/>
  <c r="H181" i="11"/>
  <c r="I181" i="11" s="1"/>
  <c r="J180" i="11"/>
  <c r="H180" i="11"/>
  <c r="I180" i="11" s="1"/>
  <c r="J179" i="11"/>
  <c r="H179" i="11"/>
  <c r="I179" i="11" s="1"/>
  <c r="J178" i="11"/>
  <c r="H178" i="11"/>
  <c r="I178" i="11" s="1"/>
  <c r="J177" i="11"/>
  <c r="H177" i="11"/>
  <c r="I177" i="11" s="1"/>
  <c r="J176" i="11"/>
  <c r="H176" i="11"/>
  <c r="I176" i="11" s="1"/>
  <c r="J175" i="11"/>
  <c r="H175" i="11"/>
  <c r="I175" i="11" s="1"/>
  <c r="J174" i="11"/>
  <c r="H174" i="11"/>
  <c r="I174" i="11" s="1"/>
  <c r="J173" i="11"/>
  <c r="H173" i="11"/>
  <c r="I173" i="11" s="1"/>
  <c r="J172" i="11"/>
  <c r="H172" i="11"/>
  <c r="I172" i="11" s="1"/>
  <c r="J171" i="11"/>
  <c r="H171" i="11"/>
  <c r="I171" i="11" s="1"/>
  <c r="J170" i="11"/>
  <c r="H170" i="11"/>
  <c r="I170" i="11" s="1"/>
  <c r="J169" i="11"/>
  <c r="H169" i="11"/>
  <c r="I169" i="11" s="1"/>
  <c r="J168" i="11"/>
  <c r="H168" i="11"/>
  <c r="I168" i="11" s="1"/>
  <c r="J167" i="11"/>
  <c r="H167" i="11"/>
  <c r="I167" i="11" s="1"/>
  <c r="J166" i="11"/>
  <c r="H166" i="11"/>
  <c r="I166" i="11" s="1"/>
  <c r="J165" i="11"/>
  <c r="H165" i="11"/>
  <c r="I165" i="11" s="1"/>
  <c r="J164" i="11"/>
  <c r="H164" i="11"/>
  <c r="I164" i="11" s="1"/>
  <c r="J163" i="11"/>
  <c r="H163" i="11"/>
  <c r="I163" i="11" s="1"/>
  <c r="J162" i="11"/>
  <c r="H162" i="11"/>
  <c r="I162" i="11" s="1"/>
  <c r="J161" i="11"/>
  <c r="H161" i="11"/>
  <c r="I161" i="11" s="1"/>
  <c r="J160" i="11"/>
  <c r="H160" i="11"/>
  <c r="I160" i="11" s="1"/>
  <c r="J159" i="11"/>
  <c r="H159" i="11"/>
  <c r="I159" i="11" s="1"/>
  <c r="J158" i="11"/>
  <c r="H158" i="11"/>
  <c r="I158" i="11" s="1"/>
  <c r="J157" i="11"/>
  <c r="H157" i="11"/>
  <c r="I157" i="11" s="1"/>
  <c r="J156" i="11"/>
  <c r="H156" i="11"/>
  <c r="I156" i="11" s="1"/>
  <c r="J155" i="11"/>
  <c r="H155" i="11"/>
  <c r="I155" i="11" s="1"/>
  <c r="J154" i="11"/>
  <c r="H154" i="11"/>
  <c r="I154" i="11" s="1"/>
  <c r="J153" i="11"/>
  <c r="H153" i="11"/>
  <c r="I153" i="11" s="1"/>
  <c r="J152" i="11"/>
  <c r="H152" i="11"/>
  <c r="I152" i="11" s="1"/>
  <c r="J151" i="11"/>
  <c r="H151" i="11"/>
  <c r="I151" i="11" s="1"/>
  <c r="J150" i="11"/>
  <c r="H150" i="11"/>
  <c r="I150" i="11" s="1"/>
  <c r="J149" i="11"/>
  <c r="H149" i="11"/>
  <c r="I149" i="11" s="1"/>
  <c r="J148" i="11"/>
  <c r="H148" i="11"/>
  <c r="I148" i="11" s="1"/>
  <c r="J147" i="11"/>
  <c r="H147" i="11"/>
  <c r="I147" i="11" s="1"/>
  <c r="J146" i="11"/>
  <c r="H146" i="11"/>
  <c r="I146" i="11" s="1"/>
  <c r="J145" i="11"/>
  <c r="H145" i="11"/>
  <c r="I145" i="11" s="1"/>
  <c r="J144" i="11"/>
  <c r="H144" i="11"/>
  <c r="I144" i="11" s="1"/>
  <c r="J143" i="11"/>
  <c r="H143" i="11"/>
  <c r="I143" i="11" s="1"/>
  <c r="J142" i="11"/>
  <c r="H142" i="11"/>
  <c r="I142" i="11" s="1"/>
  <c r="J141" i="11"/>
  <c r="H141" i="11"/>
  <c r="I141" i="11" s="1"/>
  <c r="J140" i="11"/>
  <c r="H140" i="11"/>
  <c r="I140" i="11" s="1"/>
  <c r="J139" i="11"/>
  <c r="H139" i="11"/>
  <c r="I139" i="11" s="1"/>
  <c r="J138" i="11"/>
  <c r="H138" i="11"/>
  <c r="I138" i="11" s="1"/>
  <c r="J137" i="11"/>
  <c r="H137" i="11"/>
  <c r="I137" i="11" s="1"/>
  <c r="J136" i="11"/>
  <c r="H136" i="11"/>
  <c r="I136" i="11" s="1"/>
  <c r="J135" i="11"/>
  <c r="H135" i="11"/>
  <c r="I135" i="11" s="1"/>
  <c r="J134" i="11"/>
  <c r="H134" i="11"/>
  <c r="I134" i="11" s="1"/>
  <c r="J133" i="11"/>
  <c r="H133" i="11"/>
  <c r="I133" i="11" s="1"/>
  <c r="J132" i="11"/>
  <c r="H132" i="11"/>
  <c r="I132" i="11" s="1"/>
  <c r="J131" i="11"/>
  <c r="H131" i="11"/>
  <c r="I131" i="11" s="1"/>
  <c r="J130" i="11"/>
  <c r="H130" i="11"/>
  <c r="I130" i="11" s="1"/>
  <c r="J129" i="11"/>
  <c r="H129" i="11"/>
  <c r="I129" i="11" s="1"/>
  <c r="J128" i="11"/>
  <c r="H128" i="11"/>
  <c r="I128" i="11" s="1"/>
  <c r="J127" i="11"/>
  <c r="H127" i="11"/>
  <c r="I127" i="11" s="1"/>
  <c r="J126" i="11"/>
  <c r="H126" i="11"/>
  <c r="I126" i="11" s="1"/>
  <c r="J125" i="11"/>
  <c r="H125" i="11"/>
  <c r="I125" i="11" s="1"/>
  <c r="J124" i="11"/>
  <c r="H124" i="11"/>
  <c r="I124" i="11" s="1"/>
  <c r="J123" i="11"/>
  <c r="H123" i="11"/>
  <c r="I123" i="11" s="1"/>
  <c r="J122" i="11"/>
  <c r="H122" i="11"/>
  <c r="I122" i="11" s="1"/>
  <c r="J121" i="11"/>
  <c r="H121" i="11"/>
  <c r="I121" i="11" s="1"/>
  <c r="J120" i="11"/>
  <c r="H120" i="11"/>
  <c r="I120" i="11" s="1"/>
  <c r="J119" i="11"/>
  <c r="H119" i="11"/>
  <c r="I119" i="11" s="1"/>
  <c r="J118" i="11"/>
  <c r="H118" i="11"/>
  <c r="I118" i="11" s="1"/>
  <c r="J117" i="11"/>
  <c r="H117" i="11"/>
  <c r="I117" i="11" s="1"/>
  <c r="J116" i="11"/>
  <c r="H116" i="11"/>
  <c r="I116" i="11" s="1"/>
  <c r="J115" i="11"/>
  <c r="H115" i="11"/>
  <c r="I115" i="11" s="1"/>
  <c r="J114" i="11"/>
  <c r="H114" i="11"/>
  <c r="I114" i="11" s="1"/>
  <c r="J113" i="11"/>
  <c r="H113" i="11"/>
  <c r="I113" i="11" s="1"/>
  <c r="J112" i="11"/>
  <c r="H112" i="11"/>
  <c r="I112" i="11" s="1"/>
  <c r="J111" i="11"/>
  <c r="H111" i="11"/>
  <c r="I111" i="11" s="1"/>
  <c r="J110" i="11"/>
  <c r="H110" i="11"/>
  <c r="I110" i="11" s="1"/>
  <c r="J109" i="11"/>
  <c r="H109" i="11"/>
  <c r="I109" i="11" s="1"/>
  <c r="J108" i="11"/>
  <c r="H108" i="11"/>
  <c r="I108" i="11" s="1"/>
  <c r="J107" i="11"/>
  <c r="H107" i="11"/>
  <c r="I107" i="11" s="1"/>
  <c r="J106" i="11"/>
  <c r="H106" i="11"/>
  <c r="I106" i="11" s="1"/>
  <c r="J105" i="11"/>
  <c r="H105" i="11"/>
  <c r="I105" i="11" s="1"/>
  <c r="J104" i="11"/>
  <c r="H104" i="11"/>
  <c r="I104" i="11" s="1"/>
  <c r="J103" i="11"/>
  <c r="H103" i="11"/>
  <c r="I103" i="11" s="1"/>
  <c r="J102" i="11"/>
  <c r="H102" i="11"/>
  <c r="I102" i="11" s="1"/>
  <c r="J101" i="11"/>
  <c r="H101" i="11"/>
  <c r="I101" i="11" s="1"/>
  <c r="J100" i="11"/>
  <c r="H100" i="11"/>
  <c r="I100" i="11" s="1"/>
  <c r="J99" i="11"/>
  <c r="H99" i="11"/>
  <c r="I99" i="11" s="1"/>
  <c r="J98" i="11"/>
  <c r="H98" i="11"/>
  <c r="I98" i="11" s="1"/>
  <c r="J97" i="11"/>
  <c r="H97" i="11"/>
  <c r="I97" i="11" s="1"/>
  <c r="J96" i="11"/>
  <c r="H96" i="11"/>
  <c r="I96" i="11" s="1"/>
  <c r="J95" i="11"/>
  <c r="H95" i="11"/>
  <c r="I95" i="11" s="1"/>
  <c r="J94" i="11"/>
  <c r="H94" i="11"/>
  <c r="I94" i="11" s="1"/>
  <c r="J93" i="11"/>
  <c r="H93" i="11"/>
  <c r="I93" i="11" s="1"/>
  <c r="J92" i="11"/>
  <c r="H92" i="11"/>
  <c r="I92" i="11" s="1"/>
  <c r="J91" i="11"/>
  <c r="H91" i="11"/>
  <c r="I91" i="11" s="1"/>
  <c r="J90" i="11"/>
  <c r="H90" i="11"/>
  <c r="I90" i="11" s="1"/>
  <c r="J89" i="11"/>
  <c r="H89" i="11"/>
  <c r="I89" i="11" s="1"/>
  <c r="J88" i="11"/>
  <c r="H88" i="11"/>
  <c r="I88" i="11" s="1"/>
  <c r="J87" i="11"/>
  <c r="H87" i="11"/>
  <c r="I87" i="11" s="1"/>
  <c r="J86" i="11"/>
  <c r="H86" i="11"/>
  <c r="I86" i="11" s="1"/>
  <c r="J85" i="11"/>
  <c r="H85" i="11"/>
  <c r="I85" i="11" s="1"/>
  <c r="J84" i="11"/>
  <c r="H84" i="11"/>
  <c r="I84" i="11" s="1"/>
  <c r="J83" i="11"/>
  <c r="H83" i="11"/>
  <c r="I83" i="11" s="1"/>
  <c r="J82" i="11"/>
  <c r="H82" i="11"/>
  <c r="I82" i="11" s="1"/>
  <c r="J81" i="11"/>
  <c r="H81" i="11"/>
  <c r="I81" i="11" s="1"/>
  <c r="J80" i="11"/>
  <c r="H80" i="11"/>
  <c r="I80" i="11" s="1"/>
  <c r="J79" i="11"/>
  <c r="H79" i="11"/>
  <c r="I79" i="11" s="1"/>
  <c r="J78" i="11"/>
  <c r="H78" i="11"/>
  <c r="I78" i="11" s="1"/>
  <c r="J77" i="11"/>
  <c r="H77" i="11"/>
  <c r="I77" i="11" s="1"/>
  <c r="J76" i="11"/>
  <c r="H76" i="11"/>
  <c r="I76" i="11" s="1"/>
  <c r="J75" i="11"/>
  <c r="H75" i="11"/>
  <c r="I75" i="11" s="1"/>
  <c r="J74" i="11"/>
  <c r="H74" i="11"/>
  <c r="I74" i="11" s="1"/>
  <c r="J73" i="11"/>
  <c r="H73" i="11"/>
  <c r="I73" i="11" s="1"/>
  <c r="J72" i="11"/>
  <c r="H72" i="11"/>
  <c r="I72" i="11" s="1"/>
  <c r="J71" i="11"/>
  <c r="H71" i="11"/>
  <c r="I71" i="11" s="1"/>
  <c r="J70" i="11"/>
  <c r="H70" i="11"/>
  <c r="I70" i="11" s="1"/>
  <c r="J69" i="11"/>
  <c r="H69" i="11"/>
  <c r="I69" i="11" s="1"/>
  <c r="J68" i="11"/>
  <c r="H68" i="11"/>
  <c r="I68" i="11" s="1"/>
  <c r="J67" i="11"/>
  <c r="H67" i="11"/>
  <c r="I67" i="11" s="1"/>
  <c r="J66" i="11"/>
  <c r="H66" i="11"/>
  <c r="I66" i="11" s="1"/>
  <c r="J65" i="11"/>
  <c r="H65" i="11"/>
  <c r="I65" i="11" s="1"/>
  <c r="J64" i="11"/>
  <c r="I64" i="11"/>
  <c r="H64" i="11"/>
  <c r="J63" i="11"/>
  <c r="H63" i="11"/>
  <c r="I63" i="11" s="1"/>
  <c r="J62" i="11"/>
  <c r="H62" i="11"/>
  <c r="I62" i="11" s="1"/>
  <c r="J61" i="11"/>
  <c r="H61" i="11"/>
  <c r="I61" i="11" s="1"/>
  <c r="J60" i="11"/>
  <c r="H60" i="11"/>
  <c r="I60" i="11" s="1"/>
  <c r="J59" i="11"/>
  <c r="H59" i="11"/>
  <c r="I59" i="11" s="1"/>
  <c r="J58" i="11"/>
  <c r="H58" i="11"/>
  <c r="I58" i="11" s="1"/>
  <c r="J57" i="11"/>
  <c r="H57" i="11"/>
  <c r="I57" i="11" s="1"/>
  <c r="J56" i="11"/>
  <c r="H56" i="11"/>
  <c r="I56" i="11" s="1"/>
  <c r="J55" i="11"/>
  <c r="H55" i="11"/>
  <c r="I55" i="11" s="1"/>
  <c r="J54" i="11"/>
  <c r="H54" i="11"/>
  <c r="I54" i="11" s="1"/>
  <c r="J53" i="11"/>
  <c r="H53" i="11"/>
  <c r="I53" i="11" s="1"/>
  <c r="J52" i="11"/>
  <c r="H52" i="11"/>
  <c r="I52" i="11" s="1"/>
  <c r="J51" i="11"/>
  <c r="H51" i="11"/>
  <c r="I51" i="11" s="1"/>
  <c r="J50" i="11"/>
  <c r="H50" i="11"/>
  <c r="I50" i="11" s="1"/>
  <c r="J49" i="11"/>
  <c r="H49" i="11"/>
  <c r="I49" i="11" s="1"/>
  <c r="J48" i="11"/>
  <c r="H48" i="11"/>
  <c r="I48" i="11" s="1"/>
  <c r="J47" i="11"/>
  <c r="H47" i="11"/>
  <c r="I47" i="11" s="1"/>
  <c r="J46" i="11"/>
  <c r="H46" i="11"/>
  <c r="I46" i="11" s="1"/>
  <c r="J45" i="11"/>
  <c r="H45" i="11"/>
  <c r="I45" i="11" s="1"/>
  <c r="J44" i="11"/>
  <c r="H44" i="11"/>
  <c r="I44" i="11" s="1"/>
  <c r="J43" i="11"/>
  <c r="H43" i="11"/>
  <c r="I43" i="11" s="1"/>
  <c r="J42" i="11"/>
  <c r="H42" i="11"/>
  <c r="I42" i="11" s="1"/>
  <c r="J41" i="11"/>
  <c r="H41" i="11"/>
  <c r="I41" i="11" s="1"/>
  <c r="J40" i="11"/>
  <c r="H40" i="11"/>
  <c r="I40" i="11" s="1"/>
  <c r="J39" i="11"/>
  <c r="H39" i="11"/>
  <c r="I39" i="11" s="1"/>
  <c r="J38" i="11"/>
  <c r="H38" i="11"/>
  <c r="I38" i="11" s="1"/>
  <c r="J37" i="11"/>
  <c r="H37" i="11"/>
  <c r="I37" i="11" s="1"/>
  <c r="J36" i="11"/>
  <c r="H36" i="11"/>
  <c r="I36" i="11" s="1"/>
  <c r="J35" i="11"/>
  <c r="H35" i="11"/>
  <c r="I35" i="11" s="1"/>
  <c r="J34" i="11"/>
  <c r="H34" i="11"/>
  <c r="I34" i="11" s="1"/>
  <c r="J33" i="11"/>
  <c r="H33" i="11"/>
  <c r="I33" i="11" s="1"/>
  <c r="J32" i="11"/>
  <c r="H32" i="11"/>
  <c r="I32" i="11" s="1"/>
  <c r="J31" i="11"/>
  <c r="H31" i="11"/>
  <c r="I31" i="11" s="1"/>
  <c r="J30" i="11"/>
  <c r="H30" i="11"/>
  <c r="I30" i="11" s="1"/>
  <c r="J29" i="11"/>
  <c r="H29" i="11"/>
  <c r="I29" i="11" s="1"/>
  <c r="J28" i="11"/>
  <c r="H28" i="11"/>
  <c r="I28" i="11" s="1"/>
  <c r="J27" i="11"/>
  <c r="H27" i="11"/>
  <c r="I27" i="11" s="1"/>
  <c r="J26" i="11"/>
  <c r="H26" i="11"/>
  <c r="I26" i="11" s="1"/>
  <c r="J25" i="11"/>
  <c r="H25" i="11"/>
  <c r="I25" i="11" s="1"/>
  <c r="J24" i="11"/>
  <c r="H24" i="11"/>
  <c r="I24" i="11" s="1"/>
  <c r="J23" i="11"/>
  <c r="H23" i="11"/>
  <c r="I23" i="11" s="1"/>
  <c r="J22" i="11"/>
  <c r="H22" i="11"/>
  <c r="I22" i="11" s="1"/>
  <c r="J21" i="11"/>
  <c r="H21" i="11"/>
  <c r="I21" i="11" s="1"/>
  <c r="J20" i="11"/>
  <c r="H20" i="11"/>
  <c r="I20" i="11" s="1"/>
  <c r="J19" i="11"/>
  <c r="H19" i="11"/>
  <c r="I19" i="11" s="1"/>
  <c r="J18" i="11"/>
  <c r="H18" i="11"/>
  <c r="I18" i="11" s="1"/>
  <c r="J17" i="11"/>
  <c r="H17" i="11"/>
  <c r="I17" i="11" s="1"/>
  <c r="J16" i="11"/>
  <c r="H16" i="11"/>
  <c r="I16" i="11" s="1"/>
  <c r="J15" i="11"/>
  <c r="H15" i="11"/>
  <c r="I15" i="11" s="1"/>
  <c r="J14" i="11"/>
  <c r="H14" i="11"/>
  <c r="I14" i="11" s="1"/>
  <c r="J13" i="11"/>
  <c r="H13" i="11"/>
  <c r="I13" i="11" s="1"/>
  <c r="J12" i="11"/>
  <c r="H12" i="11"/>
  <c r="I12" i="11" s="1"/>
  <c r="J11" i="11"/>
  <c r="H11" i="11"/>
  <c r="I11" i="11" s="1"/>
  <c r="J10" i="11"/>
  <c r="H10" i="11"/>
  <c r="I10" i="11" s="1"/>
  <c r="J9" i="11"/>
  <c r="H9" i="11"/>
  <c r="I9" i="11" s="1"/>
  <c r="J8" i="11"/>
  <c r="H8" i="11"/>
  <c r="I8" i="11" s="1"/>
  <c r="J7" i="11"/>
  <c r="H7" i="11"/>
  <c r="I7" i="11" s="1"/>
  <c r="J6" i="11"/>
  <c r="H6" i="11"/>
  <c r="I6" i="11" s="1"/>
  <c r="J5" i="11"/>
  <c r="H5" i="11"/>
  <c r="I5" i="11" s="1"/>
  <c r="J4" i="11"/>
  <c r="H4" i="11"/>
  <c r="I4" i="11" s="1"/>
  <c r="J3" i="11"/>
  <c r="H3" i="11"/>
  <c r="I3" i="11" s="1"/>
  <c r="O4" i="10"/>
  <c r="M4" i="10"/>
  <c r="B4" i="10"/>
  <c r="A4" i="10"/>
  <c r="L190" i="9"/>
  <c r="K190" i="9"/>
  <c r="J190" i="9"/>
  <c r="I190" i="9"/>
  <c r="H190" i="9"/>
  <c r="G190" i="9"/>
  <c r="F190" i="9"/>
  <c r="E190" i="9"/>
  <c r="D190" i="9"/>
  <c r="C190" i="9"/>
  <c r="B190" i="9"/>
  <c r="L189" i="9"/>
  <c r="K189" i="9"/>
  <c r="J189" i="9"/>
  <c r="I189" i="9"/>
  <c r="H189" i="9"/>
  <c r="G189" i="9"/>
  <c r="F189" i="9"/>
  <c r="E189" i="9"/>
  <c r="D189" i="9"/>
  <c r="C189" i="9"/>
  <c r="B189" i="9"/>
  <c r="L188" i="9"/>
  <c r="K188" i="9"/>
  <c r="J188" i="9"/>
  <c r="I188" i="9"/>
  <c r="H188" i="9"/>
  <c r="G188" i="9"/>
  <c r="F188" i="9"/>
  <c r="E188" i="9"/>
  <c r="D188" i="9"/>
  <c r="C188" i="9"/>
  <c r="B188" i="9"/>
  <c r="L187" i="9"/>
  <c r="K187" i="9"/>
  <c r="J187" i="9"/>
  <c r="I187" i="9"/>
  <c r="H187" i="9"/>
  <c r="G187" i="9"/>
  <c r="F187" i="9"/>
  <c r="E187" i="9"/>
  <c r="D187" i="9"/>
  <c r="C187" i="9"/>
  <c r="B187" i="9"/>
  <c r="L186" i="9"/>
  <c r="K186" i="9"/>
  <c r="J186" i="9"/>
  <c r="I186" i="9"/>
  <c r="H186" i="9"/>
  <c r="G186" i="9"/>
  <c r="F186" i="9"/>
  <c r="E186" i="9"/>
  <c r="D186" i="9"/>
  <c r="C186" i="9"/>
  <c r="B186" i="9"/>
  <c r="L185" i="9"/>
  <c r="K185" i="9"/>
  <c r="J185" i="9"/>
  <c r="I185" i="9"/>
  <c r="H185" i="9"/>
  <c r="G185" i="9"/>
  <c r="F185" i="9"/>
  <c r="E185" i="9"/>
  <c r="D185" i="9"/>
  <c r="C185" i="9"/>
  <c r="B185" i="9"/>
  <c r="L184" i="9"/>
  <c r="K184" i="9"/>
  <c r="J184" i="9"/>
  <c r="I184" i="9"/>
  <c r="H184" i="9"/>
  <c r="G184" i="9"/>
  <c r="F184" i="9"/>
  <c r="E184" i="9"/>
  <c r="D184" i="9"/>
  <c r="C184" i="9"/>
  <c r="B184" i="9"/>
  <c r="L183" i="9"/>
  <c r="K183" i="9"/>
  <c r="J183" i="9"/>
  <c r="I183" i="9"/>
  <c r="H183" i="9"/>
  <c r="G183" i="9"/>
  <c r="F183" i="9"/>
  <c r="E183" i="9"/>
  <c r="D183" i="9"/>
  <c r="C183" i="9"/>
  <c r="B183" i="9"/>
  <c r="L182" i="9"/>
  <c r="K182" i="9"/>
  <c r="J182" i="9"/>
  <c r="I182" i="9"/>
  <c r="H182" i="9"/>
  <c r="G182" i="9"/>
  <c r="F182" i="9"/>
  <c r="E182" i="9"/>
  <c r="D182" i="9"/>
  <c r="C182" i="9"/>
  <c r="B182" i="9"/>
  <c r="L181" i="9"/>
  <c r="K181" i="9"/>
  <c r="J181" i="9"/>
  <c r="I181" i="9"/>
  <c r="H181" i="9"/>
  <c r="G181" i="9"/>
  <c r="F181" i="9"/>
  <c r="E181" i="9"/>
  <c r="D181" i="9"/>
  <c r="C181" i="9"/>
  <c r="B181" i="9"/>
  <c r="L180" i="9"/>
  <c r="K180" i="9"/>
  <c r="J180" i="9"/>
  <c r="I180" i="9"/>
  <c r="H180" i="9"/>
  <c r="G180" i="9"/>
  <c r="F180" i="9"/>
  <c r="E180" i="9"/>
  <c r="D180" i="9"/>
  <c r="C180" i="9"/>
  <c r="B180" i="9"/>
  <c r="L179" i="9"/>
  <c r="K179" i="9"/>
  <c r="J179" i="9"/>
  <c r="I179" i="9"/>
  <c r="H179" i="9"/>
  <c r="G179" i="9"/>
  <c r="F179" i="9"/>
  <c r="E179" i="9"/>
  <c r="D179" i="9"/>
  <c r="C179" i="9"/>
  <c r="B179" i="9"/>
  <c r="L178" i="9"/>
  <c r="K178" i="9"/>
  <c r="J178" i="9"/>
  <c r="I178" i="9"/>
  <c r="H178" i="9"/>
  <c r="G178" i="9"/>
  <c r="F178" i="9"/>
  <c r="E178" i="9"/>
  <c r="D178" i="9"/>
  <c r="C178" i="9"/>
  <c r="B178" i="9"/>
  <c r="L177" i="9"/>
  <c r="K177" i="9"/>
  <c r="J177" i="9"/>
  <c r="I177" i="9"/>
  <c r="H177" i="9"/>
  <c r="G177" i="9"/>
  <c r="F177" i="9"/>
  <c r="E177" i="9"/>
  <c r="D177" i="9"/>
  <c r="C177" i="9"/>
  <c r="B177" i="9"/>
  <c r="L176" i="9"/>
  <c r="K176" i="9"/>
  <c r="J176" i="9"/>
  <c r="I176" i="9"/>
  <c r="H176" i="9"/>
  <c r="G176" i="9"/>
  <c r="F176" i="9"/>
  <c r="E176" i="9"/>
  <c r="D176" i="9"/>
  <c r="C176" i="9"/>
  <c r="B176" i="9"/>
  <c r="L175" i="9"/>
  <c r="K175" i="9"/>
  <c r="J175" i="9"/>
  <c r="I175" i="9"/>
  <c r="H175" i="9"/>
  <c r="G175" i="9"/>
  <c r="F175" i="9"/>
  <c r="E175" i="9"/>
  <c r="D175" i="9"/>
  <c r="C175" i="9"/>
  <c r="B175" i="9"/>
  <c r="L174" i="9"/>
  <c r="K174" i="9"/>
  <c r="J174" i="9"/>
  <c r="I174" i="9"/>
  <c r="H174" i="9"/>
  <c r="G174" i="9"/>
  <c r="F174" i="9"/>
  <c r="E174" i="9"/>
  <c r="D174" i="9"/>
  <c r="C174" i="9"/>
  <c r="B174" i="9"/>
  <c r="L173" i="9"/>
  <c r="K173" i="9"/>
  <c r="J173" i="9"/>
  <c r="I173" i="9"/>
  <c r="H173" i="9"/>
  <c r="G173" i="9"/>
  <c r="F173" i="9"/>
  <c r="E173" i="9"/>
  <c r="D173" i="9"/>
  <c r="C173" i="9"/>
  <c r="B173" i="9"/>
  <c r="L172" i="9"/>
  <c r="K172" i="9"/>
  <c r="J172" i="9"/>
  <c r="I172" i="9"/>
  <c r="H172" i="9"/>
  <c r="G172" i="9"/>
  <c r="F172" i="9"/>
  <c r="E172" i="9"/>
  <c r="D172" i="9"/>
  <c r="C172" i="9"/>
  <c r="B172" i="9"/>
  <c r="L171" i="9"/>
  <c r="K171" i="9"/>
  <c r="J171" i="9"/>
  <c r="I171" i="9"/>
  <c r="H171" i="9"/>
  <c r="G171" i="9"/>
  <c r="F171" i="9"/>
  <c r="E171" i="9"/>
  <c r="D171" i="9"/>
  <c r="C171" i="9"/>
  <c r="B171" i="9"/>
  <c r="L170" i="9"/>
  <c r="K170" i="9"/>
  <c r="J170" i="9"/>
  <c r="I170" i="9"/>
  <c r="H170" i="9"/>
  <c r="G170" i="9"/>
  <c r="F170" i="9"/>
  <c r="E170" i="9"/>
  <c r="D170" i="9"/>
  <c r="C170" i="9"/>
  <c r="B170" i="9"/>
  <c r="L169" i="9"/>
  <c r="K169" i="9"/>
  <c r="J169" i="9"/>
  <c r="I169" i="9"/>
  <c r="H169" i="9"/>
  <c r="G169" i="9"/>
  <c r="F169" i="9"/>
  <c r="E169" i="9"/>
  <c r="D169" i="9"/>
  <c r="C169" i="9"/>
  <c r="B169" i="9"/>
  <c r="L168" i="9"/>
  <c r="K168" i="9"/>
  <c r="J168" i="9"/>
  <c r="I168" i="9"/>
  <c r="H168" i="9"/>
  <c r="G168" i="9"/>
  <c r="F168" i="9"/>
  <c r="E168" i="9"/>
  <c r="D168" i="9"/>
  <c r="C168" i="9"/>
  <c r="B168" i="9"/>
  <c r="L167" i="9"/>
  <c r="K167" i="9"/>
  <c r="J167" i="9"/>
  <c r="I167" i="9"/>
  <c r="H167" i="9"/>
  <c r="G167" i="9"/>
  <c r="F167" i="9"/>
  <c r="E167" i="9"/>
  <c r="D167" i="9"/>
  <c r="C167" i="9"/>
  <c r="B167" i="9"/>
  <c r="L166" i="9"/>
  <c r="K166" i="9"/>
  <c r="J166" i="9"/>
  <c r="I166" i="9"/>
  <c r="H166" i="9"/>
  <c r="G166" i="9"/>
  <c r="F166" i="9"/>
  <c r="E166" i="9"/>
  <c r="D166" i="9"/>
  <c r="C166" i="9"/>
  <c r="B166" i="9"/>
  <c r="L165" i="9"/>
  <c r="K165" i="9"/>
  <c r="J165" i="9"/>
  <c r="I165" i="9"/>
  <c r="H165" i="9"/>
  <c r="G165" i="9"/>
  <c r="F165" i="9"/>
  <c r="E165" i="9"/>
  <c r="D165" i="9"/>
  <c r="C165" i="9"/>
  <c r="B165" i="9"/>
  <c r="L164" i="9"/>
  <c r="K164" i="9"/>
  <c r="J164" i="9"/>
  <c r="I164" i="9"/>
  <c r="H164" i="9"/>
  <c r="G164" i="9"/>
  <c r="F164" i="9"/>
  <c r="E164" i="9"/>
  <c r="D164" i="9"/>
  <c r="C164" i="9"/>
  <c r="B164" i="9"/>
  <c r="L163" i="9"/>
  <c r="K163" i="9"/>
  <c r="J163" i="9"/>
  <c r="I163" i="9"/>
  <c r="H163" i="9"/>
  <c r="G163" i="9"/>
  <c r="F163" i="9"/>
  <c r="E163" i="9"/>
  <c r="D163" i="9"/>
  <c r="C163" i="9"/>
  <c r="B163" i="9"/>
  <c r="L162" i="9"/>
  <c r="K162" i="9"/>
  <c r="J162" i="9"/>
  <c r="I162" i="9"/>
  <c r="H162" i="9"/>
  <c r="G162" i="9"/>
  <c r="F162" i="9"/>
  <c r="E162" i="9"/>
  <c r="D162" i="9"/>
  <c r="C162" i="9"/>
  <c r="B162" i="9"/>
  <c r="L161" i="9"/>
  <c r="K161" i="9"/>
  <c r="J161" i="9"/>
  <c r="I161" i="9"/>
  <c r="H161" i="9"/>
  <c r="G161" i="9"/>
  <c r="F161" i="9"/>
  <c r="E161" i="9"/>
  <c r="D161" i="9"/>
  <c r="C161" i="9"/>
  <c r="B161" i="9"/>
  <c r="L160" i="9"/>
  <c r="K160" i="9"/>
  <c r="J160" i="9"/>
  <c r="I160" i="9"/>
  <c r="H160" i="9"/>
  <c r="G160" i="9"/>
  <c r="F160" i="9"/>
  <c r="E160" i="9"/>
  <c r="D160" i="9"/>
  <c r="C160" i="9"/>
  <c r="B160" i="9"/>
  <c r="L159" i="9"/>
  <c r="K159" i="9"/>
  <c r="J159" i="9"/>
  <c r="I159" i="9"/>
  <c r="H159" i="9"/>
  <c r="G159" i="9"/>
  <c r="F159" i="9"/>
  <c r="E159" i="9"/>
  <c r="D159" i="9"/>
  <c r="C159" i="9"/>
  <c r="B159" i="9"/>
  <c r="L158" i="9"/>
  <c r="K158" i="9"/>
  <c r="J158" i="9"/>
  <c r="I158" i="9"/>
  <c r="H158" i="9"/>
  <c r="G158" i="9"/>
  <c r="F158" i="9"/>
  <c r="E158" i="9"/>
  <c r="D158" i="9"/>
  <c r="C158" i="9"/>
  <c r="B158" i="9"/>
  <c r="L157" i="9"/>
  <c r="K157" i="9"/>
  <c r="J157" i="9"/>
  <c r="I157" i="9"/>
  <c r="H157" i="9"/>
  <c r="G157" i="9"/>
  <c r="F157" i="9"/>
  <c r="E157" i="9"/>
  <c r="D157" i="9"/>
  <c r="C157" i="9"/>
  <c r="B157" i="9"/>
  <c r="L156" i="9"/>
  <c r="K156" i="9"/>
  <c r="J156" i="9"/>
  <c r="I156" i="9"/>
  <c r="H156" i="9"/>
  <c r="G156" i="9"/>
  <c r="F156" i="9"/>
  <c r="E156" i="9"/>
  <c r="D156" i="9"/>
  <c r="C156" i="9"/>
  <c r="B156" i="9"/>
  <c r="L155" i="9"/>
  <c r="K155" i="9"/>
  <c r="J155" i="9"/>
  <c r="I155" i="9"/>
  <c r="H155" i="9"/>
  <c r="G155" i="9"/>
  <c r="F155" i="9"/>
  <c r="E155" i="9"/>
  <c r="D155" i="9"/>
  <c r="C155" i="9"/>
  <c r="B155" i="9"/>
  <c r="L154" i="9"/>
  <c r="K154" i="9"/>
  <c r="J154" i="9"/>
  <c r="I154" i="9"/>
  <c r="H154" i="9"/>
  <c r="G154" i="9"/>
  <c r="F154" i="9"/>
  <c r="E154" i="9"/>
  <c r="D154" i="9"/>
  <c r="C154" i="9"/>
  <c r="B154" i="9"/>
  <c r="L153" i="9"/>
  <c r="K153" i="9"/>
  <c r="J153" i="9"/>
  <c r="I153" i="9"/>
  <c r="H153" i="9"/>
  <c r="G153" i="9"/>
  <c r="F153" i="9"/>
  <c r="E153" i="9"/>
  <c r="D153" i="9"/>
  <c r="C153" i="9"/>
  <c r="B153" i="9"/>
  <c r="L152" i="9"/>
  <c r="K152" i="9"/>
  <c r="J152" i="9"/>
  <c r="I152" i="9"/>
  <c r="H152" i="9"/>
  <c r="G152" i="9"/>
  <c r="F152" i="9"/>
  <c r="E152" i="9"/>
  <c r="D152" i="9"/>
  <c r="C152" i="9"/>
  <c r="B152" i="9"/>
  <c r="L151" i="9"/>
  <c r="K151" i="9"/>
  <c r="J151" i="9"/>
  <c r="I151" i="9"/>
  <c r="H151" i="9"/>
  <c r="G151" i="9"/>
  <c r="F151" i="9"/>
  <c r="E151" i="9"/>
  <c r="D151" i="9"/>
  <c r="C151" i="9"/>
  <c r="B151" i="9"/>
  <c r="L150" i="9"/>
  <c r="K150" i="9"/>
  <c r="J150" i="9"/>
  <c r="I150" i="9"/>
  <c r="H150" i="9"/>
  <c r="G150" i="9"/>
  <c r="F150" i="9"/>
  <c r="E150" i="9"/>
  <c r="D150" i="9"/>
  <c r="C150" i="9"/>
  <c r="B150" i="9"/>
  <c r="L149" i="9"/>
  <c r="K149" i="9"/>
  <c r="J149" i="9"/>
  <c r="I149" i="9"/>
  <c r="H149" i="9"/>
  <c r="G149" i="9"/>
  <c r="F149" i="9"/>
  <c r="E149" i="9"/>
  <c r="D149" i="9"/>
  <c r="C149" i="9"/>
  <c r="B149" i="9"/>
  <c r="L148" i="9"/>
  <c r="K148" i="9"/>
  <c r="J148" i="9"/>
  <c r="I148" i="9"/>
  <c r="H148" i="9"/>
  <c r="G148" i="9"/>
  <c r="F148" i="9"/>
  <c r="E148" i="9"/>
  <c r="D148" i="9"/>
  <c r="C148" i="9"/>
  <c r="B148" i="9"/>
  <c r="L147" i="9"/>
  <c r="K147" i="9"/>
  <c r="J147" i="9"/>
  <c r="I147" i="9"/>
  <c r="H147" i="9"/>
  <c r="G147" i="9"/>
  <c r="F147" i="9"/>
  <c r="E147" i="9"/>
  <c r="D147" i="9"/>
  <c r="C147" i="9"/>
  <c r="B147" i="9"/>
  <c r="L146" i="9"/>
  <c r="K146" i="9"/>
  <c r="J146" i="9"/>
  <c r="I146" i="9"/>
  <c r="H146" i="9"/>
  <c r="G146" i="9"/>
  <c r="F146" i="9"/>
  <c r="E146" i="9"/>
  <c r="D146" i="9"/>
  <c r="C146" i="9"/>
  <c r="B146" i="9"/>
  <c r="L145" i="9"/>
  <c r="K145" i="9"/>
  <c r="J145" i="9"/>
  <c r="I145" i="9"/>
  <c r="H145" i="9"/>
  <c r="G145" i="9"/>
  <c r="F145" i="9"/>
  <c r="E145" i="9"/>
  <c r="D145" i="9"/>
  <c r="C145" i="9"/>
  <c r="B145" i="9"/>
  <c r="L144" i="9"/>
  <c r="K144" i="9"/>
  <c r="J144" i="9"/>
  <c r="I144" i="9"/>
  <c r="H144" i="9"/>
  <c r="G144" i="9"/>
  <c r="F144" i="9"/>
  <c r="E144" i="9"/>
  <c r="D144" i="9"/>
  <c r="C144" i="9"/>
  <c r="B144" i="9"/>
  <c r="L143" i="9"/>
  <c r="K143" i="9"/>
  <c r="J143" i="9"/>
  <c r="I143" i="9"/>
  <c r="H143" i="9"/>
  <c r="G143" i="9"/>
  <c r="F143" i="9"/>
  <c r="E143" i="9"/>
  <c r="D143" i="9"/>
  <c r="C143" i="9"/>
  <c r="B143" i="9"/>
  <c r="L142" i="9"/>
  <c r="K142" i="9"/>
  <c r="J142" i="9"/>
  <c r="I142" i="9"/>
  <c r="H142" i="9"/>
  <c r="G142" i="9"/>
  <c r="F142" i="9"/>
  <c r="E142" i="9"/>
  <c r="D142" i="9"/>
  <c r="C142" i="9"/>
  <c r="B142" i="9"/>
  <c r="L141" i="9"/>
  <c r="K141" i="9"/>
  <c r="J141" i="9"/>
  <c r="I141" i="9"/>
  <c r="H141" i="9"/>
  <c r="G141" i="9"/>
  <c r="F141" i="9"/>
  <c r="E141" i="9"/>
  <c r="D141" i="9"/>
  <c r="C141" i="9"/>
  <c r="B141" i="9"/>
  <c r="L140" i="9"/>
  <c r="K140" i="9"/>
  <c r="J140" i="9"/>
  <c r="I140" i="9"/>
  <c r="H140" i="9"/>
  <c r="G140" i="9"/>
  <c r="F140" i="9"/>
  <c r="E140" i="9"/>
  <c r="D140" i="9"/>
  <c r="C140" i="9"/>
  <c r="B140" i="9"/>
  <c r="L139" i="9"/>
  <c r="K139" i="9"/>
  <c r="J139" i="9"/>
  <c r="I139" i="9"/>
  <c r="H139" i="9"/>
  <c r="G139" i="9"/>
  <c r="F139" i="9"/>
  <c r="E139" i="9"/>
  <c r="D139" i="9"/>
  <c r="C139" i="9"/>
  <c r="B139" i="9"/>
  <c r="L138" i="9"/>
  <c r="K138" i="9"/>
  <c r="J138" i="9"/>
  <c r="I138" i="9"/>
  <c r="H138" i="9"/>
  <c r="G138" i="9"/>
  <c r="F138" i="9"/>
  <c r="E138" i="9"/>
  <c r="D138" i="9"/>
  <c r="C138" i="9"/>
  <c r="B138" i="9"/>
  <c r="L137" i="9"/>
  <c r="K137" i="9"/>
  <c r="J137" i="9"/>
  <c r="I137" i="9"/>
  <c r="H137" i="9"/>
  <c r="G137" i="9"/>
  <c r="F137" i="9"/>
  <c r="E137" i="9"/>
  <c r="D137" i="9"/>
  <c r="C137" i="9"/>
  <c r="B137" i="9"/>
  <c r="L136" i="9"/>
  <c r="K136" i="9"/>
  <c r="J136" i="9"/>
  <c r="I136" i="9"/>
  <c r="H136" i="9"/>
  <c r="G136" i="9"/>
  <c r="F136" i="9"/>
  <c r="E136" i="9"/>
  <c r="D136" i="9"/>
  <c r="C136" i="9"/>
  <c r="B136" i="9"/>
  <c r="L135" i="9"/>
  <c r="K135" i="9"/>
  <c r="J135" i="9"/>
  <c r="I135" i="9"/>
  <c r="H135" i="9"/>
  <c r="G135" i="9"/>
  <c r="F135" i="9"/>
  <c r="E135" i="9"/>
  <c r="D135" i="9"/>
  <c r="C135" i="9"/>
  <c r="B135" i="9"/>
  <c r="L134" i="9"/>
  <c r="K134" i="9"/>
  <c r="J134" i="9"/>
  <c r="I134" i="9"/>
  <c r="H134" i="9"/>
  <c r="G134" i="9"/>
  <c r="F134" i="9"/>
  <c r="E134" i="9"/>
  <c r="D134" i="9"/>
  <c r="C134" i="9"/>
  <c r="B134" i="9"/>
  <c r="L133" i="9"/>
  <c r="K133" i="9"/>
  <c r="J133" i="9"/>
  <c r="I133" i="9"/>
  <c r="H133" i="9"/>
  <c r="G133" i="9"/>
  <c r="F133" i="9"/>
  <c r="E133" i="9"/>
  <c r="D133" i="9"/>
  <c r="C133" i="9"/>
  <c r="B133" i="9"/>
  <c r="L132" i="9"/>
  <c r="K132" i="9"/>
  <c r="J132" i="9"/>
  <c r="I132" i="9"/>
  <c r="H132" i="9"/>
  <c r="G132" i="9"/>
  <c r="F132" i="9"/>
  <c r="E132" i="9"/>
  <c r="D132" i="9"/>
  <c r="C132" i="9"/>
  <c r="B132" i="9"/>
  <c r="L131" i="9"/>
  <c r="K131" i="9"/>
  <c r="J131" i="9"/>
  <c r="I131" i="9"/>
  <c r="H131" i="9"/>
  <c r="G131" i="9"/>
  <c r="F131" i="9"/>
  <c r="E131" i="9"/>
  <c r="D131" i="9"/>
  <c r="C131" i="9"/>
  <c r="B131" i="9"/>
  <c r="L130" i="9"/>
  <c r="K130" i="9"/>
  <c r="J130" i="9"/>
  <c r="I130" i="9"/>
  <c r="H130" i="9"/>
  <c r="G130" i="9"/>
  <c r="F130" i="9"/>
  <c r="E130" i="9"/>
  <c r="D130" i="9"/>
  <c r="C130" i="9"/>
  <c r="B130" i="9"/>
  <c r="L129" i="9"/>
  <c r="K129" i="9"/>
  <c r="J129" i="9"/>
  <c r="I129" i="9"/>
  <c r="H129" i="9"/>
  <c r="G129" i="9"/>
  <c r="F129" i="9"/>
  <c r="E129" i="9"/>
  <c r="D129" i="9"/>
  <c r="C129" i="9"/>
  <c r="B129" i="9"/>
  <c r="L128" i="9"/>
  <c r="K128" i="9"/>
  <c r="J128" i="9"/>
  <c r="I128" i="9"/>
  <c r="H128" i="9"/>
  <c r="G128" i="9"/>
  <c r="F128" i="9"/>
  <c r="E128" i="9"/>
  <c r="D128" i="9"/>
  <c r="C128" i="9"/>
  <c r="B128" i="9"/>
  <c r="L127" i="9"/>
  <c r="K127" i="9"/>
  <c r="J127" i="9"/>
  <c r="I127" i="9"/>
  <c r="H127" i="9"/>
  <c r="G127" i="9"/>
  <c r="F127" i="9"/>
  <c r="E127" i="9"/>
  <c r="D127" i="9"/>
  <c r="C127" i="9"/>
  <c r="B127" i="9"/>
  <c r="L126" i="9"/>
  <c r="K126" i="9"/>
  <c r="J126" i="9"/>
  <c r="I126" i="9"/>
  <c r="H126" i="9"/>
  <c r="G126" i="9"/>
  <c r="F126" i="9"/>
  <c r="E126" i="9"/>
  <c r="D126" i="9"/>
  <c r="C126" i="9"/>
  <c r="B126" i="9"/>
  <c r="L125" i="9"/>
  <c r="K125" i="9"/>
  <c r="J125" i="9"/>
  <c r="I125" i="9"/>
  <c r="H125" i="9"/>
  <c r="G125" i="9"/>
  <c r="F125" i="9"/>
  <c r="E125" i="9"/>
  <c r="D125" i="9"/>
  <c r="C125" i="9"/>
  <c r="B125" i="9"/>
  <c r="L124" i="9"/>
  <c r="K124" i="9"/>
  <c r="J124" i="9"/>
  <c r="I124" i="9"/>
  <c r="H124" i="9"/>
  <c r="G124" i="9"/>
  <c r="F124" i="9"/>
  <c r="E124" i="9"/>
  <c r="D124" i="9"/>
  <c r="C124" i="9"/>
  <c r="B124" i="9"/>
  <c r="L123" i="9"/>
  <c r="K123" i="9"/>
  <c r="J123" i="9"/>
  <c r="I123" i="9"/>
  <c r="H123" i="9"/>
  <c r="G123" i="9"/>
  <c r="F123" i="9"/>
  <c r="E123" i="9"/>
  <c r="D123" i="9"/>
  <c r="C123" i="9"/>
  <c r="B123" i="9"/>
  <c r="L122" i="9"/>
  <c r="K122" i="9"/>
  <c r="J122" i="9"/>
  <c r="I122" i="9"/>
  <c r="H122" i="9"/>
  <c r="G122" i="9"/>
  <c r="F122" i="9"/>
  <c r="E122" i="9"/>
  <c r="D122" i="9"/>
  <c r="C122" i="9"/>
  <c r="B122" i="9"/>
  <c r="L121" i="9"/>
  <c r="K121" i="9"/>
  <c r="J121" i="9"/>
  <c r="I121" i="9"/>
  <c r="H121" i="9"/>
  <c r="G121" i="9"/>
  <c r="F121" i="9"/>
  <c r="E121" i="9"/>
  <c r="D121" i="9"/>
  <c r="C121" i="9"/>
  <c r="B121" i="9"/>
  <c r="L120" i="9"/>
  <c r="K120" i="9"/>
  <c r="J120" i="9"/>
  <c r="I120" i="9"/>
  <c r="H120" i="9"/>
  <c r="G120" i="9"/>
  <c r="F120" i="9"/>
  <c r="E120" i="9"/>
  <c r="D120" i="9"/>
  <c r="C120" i="9"/>
  <c r="B120" i="9"/>
  <c r="L119" i="9"/>
  <c r="K119" i="9"/>
  <c r="J119" i="9"/>
  <c r="I119" i="9"/>
  <c r="H119" i="9"/>
  <c r="G119" i="9"/>
  <c r="F119" i="9"/>
  <c r="E119" i="9"/>
  <c r="D119" i="9"/>
  <c r="C119" i="9"/>
  <c r="B119" i="9"/>
  <c r="L118" i="9"/>
  <c r="K118" i="9"/>
  <c r="J118" i="9"/>
  <c r="I118" i="9"/>
  <c r="H118" i="9"/>
  <c r="G118" i="9"/>
  <c r="F118" i="9"/>
  <c r="E118" i="9"/>
  <c r="D118" i="9"/>
  <c r="C118" i="9"/>
  <c r="B118" i="9"/>
  <c r="L117" i="9"/>
  <c r="K117" i="9"/>
  <c r="J117" i="9"/>
  <c r="I117" i="9"/>
  <c r="H117" i="9"/>
  <c r="G117" i="9"/>
  <c r="F117" i="9"/>
  <c r="E117" i="9"/>
  <c r="D117" i="9"/>
  <c r="C117" i="9"/>
  <c r="B117" i="9"/>
  <c r="L116" i="9"/>
  <c r="K116" i="9"/>
  <c r="J116" i="9"/>
  <c r="I116" i="9"/>
  <c r="H116" i="9"/>
  <c r="G116" i="9"/>
  <c r="F116" i="9"/>
  <c r="E116" i="9"/>
  <c r="D116" i="9"/>
  <c r="C116" i="9"/>
  <c r="B116" i="9"/>
  <c r="L115" i="9"/>
  <c r="K115" i="9"/>
  <c r="J115" i="9"/>
  <c r="I115" i="9"/>
  <c r="H115" i="9"/>
  <c r="G115" i="9"/>
  <c r="F115" i="9"/>
  <c r="E115" i="9"/>
  <c r="D115" i="9"/>
  <c r="C115" i="9"/>
  <c r="B115" i="9"/>
  <c r="L114" i="9"/>
  <c r="K114" i="9"/>
  <c r="J114" i="9"/>
  <c r="I114" i="9"/>
  <c r="H114" i="9"/>
  <c r="G114" i="9"/>
  <c r="F114" i="9"/>
  <c r="E114" i="9"/>
  <c r="D114" i="9"/>
  <c r="C114" i="9"/>
  <c r="B114" i="9"/>
  <c r="L113" i="9"/>
  <c r="K113" i="9"/>
  <c r="J113" i="9"/>
  <c r="I113" i="9"/>
  <c r="H113" i="9"/>
  <c r="G113" i="9"/>
  <c r="F113" i="9"/>
  <c r="E113" i="9"/>
  <c r="D113" i="9"/>
  <c r="C113" i="9"/>
  <c r="B113" i="9"/>
  <c r="L112" i="9"/>
  <c r="K112" i="9"/>
  <c r="J112" i="9"/>
  <c r="I112" i="9"/>
  <c r="H112" i="9"/>
  <c r="G112" i="9"/>
  <c r="F112" i="9"/>
  <c r="E112" i="9"/>
  <c r="D112" i="9"/>
  <c r="C112" i="9"/>
  <c r="B112" i="9"/>
  <c r="L111" i="9"/>
  <c r="K111" i="9"/>
  <c r="J111" i="9"/>
  <c r="I111" i="9"/>
  <c r="H111" i="9"/>
  <c r="G111" i="9"/>
  <c r="F111" i="9"/>
  <c r="E111" i="9"/>
  <c r="D111" i="9"/>
  <c r="C111" i="9"/>
  <c r="B111" i="9"/>
  <c r="L110" i="9"/>
  <c r="K110" i="9"/>
  <c r="J110" i="9"/>
  <c r="I110" i="9"/>
  <c r="H110" i="9"/>
  <c r="G110" i="9"/>
  <c r="F110" i="9"/>
  <c r="E110" i="9"/>
  <c r="D110" i="9"/>
  <c r="C110" i="9"/>
  <c r="B110" i="9"/>
  <c r="L109" i="9"/>
  <c r="K109" i="9"/>
  <c r="J109" i="9"/>
  <c r="I109" i="9"/>
  <c r="H109" i="9"/>
  <c r="G109" i="9"/>
  <c r="F109" i="9"/>
  <c r="E109" i="9"/>
  <c r="D109" i="9"/>
  <c r="C109" i="9"/>
  <c r="B109" i="9"/>
  <c r="L108" i="9"/>
  <c r="K108" i="9"/>
  <c r="J108" i="9"/>
  <c r="I108" i="9"/>
  <c r="H108" i="9"/>
  <c r="G108" i="9"/>
  <c r="F108" i="9"/>
  <c r="E108" i="9"/>
  <c r="D108" i="9"/>
  <c r="C108" i="9"/>
  <c r="B108" i="9"/>
  <c r="L107" i="9"/>
  <c r="K107" i="9"/>
  <c r="J107" i="9"/>
  <c r="I107" i="9"/>
  <c r="H107" i="9"/>
  <c r="G107" i="9"/>
  <c r="F107" i="9"/>
  <c r="E107" i="9"/>
  <c r="D107" i="9"/>
  <c r="C107" i="9"/>
  <c r="B107" i="9"/>
  <c r="L106" i="9"/>
  <c r="K106" i="9"/>
  <c r="J106" i="9"/>
  <c r="I106" i="9"/>
  <c r="H106" i="9"/>
  <c r="G106" i="9"/>
  <c r="F106" i="9"/>
  <c r="E106" i="9"/>
  <c r="D106" i="9"/>
  <c r="C106" i="9"/>
  <c r="B106" i="9"/>
  <c r="L105" i="9"/>
  <c r="K105" i="9"/>
  <c r="J105" i="9"/>
  <c r="I105" i="9"/>
  <c r="H105" i="9"/>
  <c r="G105" i="9"/>
  <c r="F105" i="9"/>
  <c r="E105" i="9"/>
  <c r="D105" i="9"/>
  <c r="C105" i="9"/>
  <c r="B105" i="9"/>
  <c r="L104" i="9"/>
  <c r="K104" i="9"/>
  <c r="J104" i="9"/>
  <c r="I104" i="9"/>
  <c r="H104" i="9"/>
  <c r="G104" i="9"/>
  <c r="F104" i="9"/>
  <c r="E104" i="9"/>
  <c r="D104" i="9"/>
  <c r="C104" i="9"/>
  <c r="B104" i="9"/>
  <c r="L103" i="9"/>
  <c r="K103" i="9"/>
  <c r="J103" i="9"/>
  <c r="I103" i="9"/>
  <c r="H103" i="9"/>
  <c r="G103" i="9"/>
  <c r="F103" i="9"/>
  <c r="E103" i="9"/>
  <c r="D103" i="9"/>
  <c r="C103" i="9"/>
  <c r="B103" i="9"/>
  <c r="L102" i="9"/>
  <c r="K102" i="9"/>
  <c r="J102" i="9"/>
  <c r="I102" i="9"/>
  <c r="H102" i="9"/>
  <c r="G102" i="9"/>
  <c r="F102" i="9"/>
  <c r="E102" i="9"/>
  <c r="D102" i="9"/>
  <c r="C102" i="9"/>
  <c r="B102" i="9"/>
  <c r="L101" i="9"/>
  <c r="K101" i="9"/>
  <c r="J101" i="9"/>
  <c r="I101" i="9"/>
  <c r="H101" i="9"/>
  <c r="G101" i="9"/>
  <c r="F101" i="9"/>
  <c r="E101" i="9"/>
  <c r="D101" i="9"/>
  <c r="C101" i="9"/>
  <c r="B101" i="9"/>
  <c r="L100" i="9"/>
  <c r="K100" i="9"/>
  <c r="J100" i="9"/>
  <c r="I100" i="9"/>
  <c r="H100" i="9"/>
  <c r="G100" i="9"/>
  <c r="F100" i="9"/>
  <c r="E100" i="9"/>
  <c r="D100" i="9"/>
  <c r="C100" i="9"/>
  <c r="B100" i="9"/>
  <c r="L99" i="9"/>
  <c r="K99" i="9"/>
  <c r="J99" i="9"/>
  <c r="I99" i="9"/>
  <c r="H99" i="9"/>
  <c r="G99" i="9"/>
  <c r="F99" i="9"/>
  <c r="E99" i="9"/>
  <c r="D99" i="9"/>
  <c r="C99" i="9"/>
  <c r="B99" i="9"/>
  <c r="L98" i="9"/>
  <c r="K98" i="9"/>
  <c r="J98" i="9"/>
  <c r="I98" i="9"/>
  <c r="H98" i="9"/>
  <c r="G98" i="9"/>
  <c r="F98" i="9"/>
  <c r="E98" i="9"/>
  <c r="D98" i="9"/>
  <c r="C98" i="9"/>
  <c r="B98" i="9"/>
  <c r="L97" i="9"/>
  <c r="K97" i="9"/>
  <c r="J97" i="9"/>
  <c r="I97" i="9"/>
  <c r="H97" i="9"/>
  <c r="G97" i="9"/>
  <c r="F97" i="9"/>
  <c r="E97" i="9"/>
  <c r="D97" i="9"/>
  <c r="C97" i="9"/>
  <c r="B97" i="9"/>
  <c r="L96" i="9"/>
  <c r="K96" i="9"/>
  <c r="J96" i="9"/>
  <c r="I96" i="9"/>
  <c r="H96" i="9"/>
  <c r="G96" i="9"/>
  <c r="F96" i="9"/>
  <c r="E96" i="9"/>
  <c r="D96" i="9"/>
  <c r="C96" i="9"/>
  <c r="B96" i="9"/>
  <c r="L95" i="9"/>
  <c r="K95" i="9"/>
  <c r="J95" i="9"/>
  <c r="I95" i="9"/>
  <c r="H95" i="9"/>
  <c r="G95" i="9"/>
  <c r="F95" i="9"/>
  <c r="E95" i="9"/>
  <c r="D95" i="9"/>
  <c r="C95" i="9"/>
  <c r="B95" i="9"/>
  <c r="L94" i="9"/>
  <c r="K94" i="9"/>
  <c r="J94" i="9"/>
  <c r="I94" i="9"/>
  <c r="H94" i="9"/>
  <c r="G94" i="9"/>
  <c r="F94" i="9"/>
  <c r="E94" i="9"/>
  <c r="D94" i="9"/>
  <c r="C94" i="9"/>
  <c r="B94" i="9"/>
  <c r="L93" i="9"/>
  <c r="K93" i="9"/>
  <c r="J93" i="9"/>
  <c r="I93" i="9"/>
  <c r="H93" i="9"/>
  <c r="G93" i="9"/>
  <c r="F93" i="9"/>
  <c r="E93" i="9"/>
  <c r="D93" i="9"/>
  <c r="C93" i="9"/>
  <c r="B93" i="9"/>
  <c r="L92" i="9"/>
  <c r="K92" i="9"/>
  <c r="J92" i="9"/>
  <c r="I92" i="9"/>
  <c r="H92" i="9"/>
  <c r="G92" i="9"/>
  <c r="F92" i="9"/>
  <c r="E92" i="9"/>
  <c r="D92" i="9"/>
  <c r="C92" i="9"/>
  <c r="B92" i="9"/>
  <c r="L91" i="9"/>
  <c r="K91" i="9"/>
  <c r="J91" i="9"/>
  <c r="I91" i="9"/>
  <c r="H91" i="9"/>
  <c r="G91" i="9"/>
  <c r="F91" i="9"/>
  <c r="E91" i="9"/>
  <c r="D91" i="9"/>
  <c r="C91" i="9"/>
  <c r="B91" i="9"/>
  <c r="L90" i="9"/>
  <c r="K90" i="9"/>
  <c r="J90" i="9"/>
  <c r="I90" i="9"/>
  <c r="H90" i="9"/>
  <c r="G90" i="9"/>
  <c r="F90" i="9"/>
  <c r="E90" i="9"/>
  <c r="D90" i="9"/>
  <c r="C90" i="9"/>
  <c r="B90" i="9"/>
  <c r="L89" i="9"/>
  <c r="K89" i="9"/>
  <c r="J89" i="9"/>
  <c r="I89" i="9"/>
  <c r="H89" i="9"/>
  <c r="G89" i="9"/>
  <c r="F89" i="9"/>
  <c r="E89" i="9"/>
  <c r="D89" i="9"/>
  <c r="C89" i="9"/>
  <c r="B89" i="9"/>
  <c r="L88" i="9"/>
  <c r="K88" i="9"/>
  <c r="J88" i="9"/>
  <c r="I88" i="9"/>
  <c r="H88" i="9"/>
  <c r="G88" i="9"/>
  <c r="F88" i="9"/>
  <c r="E88" i="9"/>
  <c r="D88" i="9"/>
  <c r="C88" i="9"/>
  <c r="B88" i="9"/>
  <c r="L87" i="9"/>
  <c r="K87" i="9"/>
  <c r="J87" i="9"/>
  <c r="I87" i="9"/>
  <c r="H87" i="9"/>
  <c r="G87" i="9"/>
  <c r="F87" i="9"/>
  <c r="E87" i="9"/>
  <c r="D87" i="9"/>
  <c r="C87" i="9"/>
  <c r="B87" i="9"/>
  <c r="L86" i="9"/>
  <c r="K86" i="9"/>
  <c r="J86" i="9"/>
  <c r="I86" i="9"/>
  <c r="H86" i="9"/>
  <c r="G86" i="9"/>
  <c r="F86" i="9"/>
  <c r="E86" i="9"/>
  <c r="D86" i="9"/>
  <c r="C86" i="9"/>
  <c r="B86" i="9"/>
  <c r="L85" i="9"/>
  <c r="K85" i="9"/>
  <c r="J85" i="9"/>
  <c r="I85" i="9"/>
  <c r="H85" i="9"/>
  <c r="G85" i="9"/>
  <c r="F85" i="9"/>
  <c r="E85" i="9"/>
  <c r="D85" i="9"/>
  <c r="C85" i="9"/>
  <c r="B85" i="9"/>
  <c r="L84" i="9"/>
  <c r="K84" i="9"/>
  <c r="J84" i="9"/>
  <c r="I84" i="9"/>
  <c r="H84" i="9"/>
  <c r="G84" i="9"/>
  <c r="F84" i="9"/>
  <c r="E84" i="9"/>
  <c r="D84" i="9"/>
  <c r="C84" i="9"/>
  <c r="B84" i="9"/>
  <c r="L83" i="9"/>
  <c r="K83" i="9"/>
  <c r="J83" i="9"/>
  <c r="I83" i="9"/>
  <c r="H83" i="9"/>
  <c r="G83" i="9"/>
  <c r="F83" i="9"/>
  <c r="E83" i="9"/>
  <c r="D83" i="9"/>
  <c r="C83" i="9"/>
  <c r="B83" i="9"/>
  <c r="L82" i="9"/>
  <c r="K82" i="9"/>
  <c r="J82" i="9"/>
  <c r="I82" i="9"/>
  <c r="H82" i="9"/>
  <c r="G82" i="9"/>
  <c r="F82" i="9"/>
  <c r="E82" i="9"/>
  <c r="D82" i="9"/>
  <c r="C82" i="9"/>
  <c r="B82" i="9"/>
  <c r="L81" i="9"/>
  <c r="K81" i="9"/>
  <c r="J81" i="9"/>
  <c r="I81" i="9"/>
  <c r="H81" i="9"/>
  <c r="G81" i="9"/>
  <c r="F81" i="9"/>
  <c r="E81" i="9"/>
  <c r="D81" i="9"/>
  <c r="C81" i="9"/>
  <c r="B81" i="9"/>
  <c r="L80" i="9"/>
  <c r="K80" i="9"/>
  <c r="J80" i="9"/>
  <c r="I80" i="9"/>
  <c r="H80" i="9"/>
  <c r="G80" i="9"/>
  <c r="F80" i="9"/>
  <c r="E80" i="9"/>
  <c r="D80" i="9"/>
  <c r="C80" i="9"/>
  <c r="B80" i="9"/>
  <c r="L79" i="9"/>
  <c r="K79" i="9"/>
  <c r="J79" i="9"/>
  <c r="I79" i="9"/>
  <c r="H79" i="9"/>
  <c r="G79" i="9"/>
  <c r="F79" i="9"/>
  <c r="E79" i="9"/>
  <c r="D79" i="9"/>
  <c r="C79" i="9"/>
  <c r="B79" i="9"/>
  <c r="L78" i="9"/>
  <c r="K78" i="9"/>
  <c r="J78" i="9"/>
  <c r="I78" i="9"/>
  <c r="H78" i="9"/>
  <c r="G78" i="9"/>
  <c r="F78" i="9"/>
  <c r="E78" i="9"/>
  <c r="D78" i="9"/>
  <c r="C78" i="9"/>
  <c r="B78" i="9"/>
  <c r="L77" i="9"/>
  <c r="K77" i="9"/>
  <c r="J77" i="9"/>
  <c r="I77" i="9"/>
  <c r="H77" i="9"/>
  <c r="G77" i="9"/>
  <c r="F77" i="9"/>
  <c r="E77" i="9"/>
  <c r="D77" i="9"/>
  <c r="C77" i="9"/>
  <c r="B77" i="9"/>
  <c r="L76" i="9"/>
  <c r="K76" i="9"/>
  <c r="J76" i="9"/>
  <c r="I76" i="9"/>
  <c r="H76" i="9"/>
  <c r="G76" i="9"/>
  <c r="F76" i="9"/>
  <c r="E76" i="9"/>
  <c r="D76" i="9"/>
  <c r="C76" i="9"/>
  <c r="B76" i="9"/>
  <c r="L75" i="9"/>
  <c r="K75" i="9"/>
  <c r="J75" i="9"/>
  <c r="I75" i="9"/>
  <c r="H75" i="9"/>
  <c r="G75" i="9"/>
  <c r="F75" i="9"/>
  <c r="E75" i="9"/>
  <c r="D75" i="9"/>
  <c r="C75" i="9"/>
  <c r="B75" i="9"/>
  <c r="L74" i="9"/>
  <c r="K74" i="9"/>
  <c r="J74" i="9"/>
  <c r="I74" i="9"/>
  <c r="H74" i="9"/>
  <c r="G74" i="9"/>
  <c r="F74" i="9"/>
  <c r="E74" i="9"/>
  <c r="D74" i="9"/>
  <c r="C74" i="9"/>
  <c r="B74" i="9"/>
  <c r="L73" i="9"/>
  <c r="K73" i="9"/>
  <c r="J73" i="9"/>
  <c r="I73" i="9"/>
  <c r="H73" i="9"/>
  <c r="G73" i="9"/>
  <c r="F73" i="9"/>
  <c r="E73" i="9"/>
  <c r="D73" i="9"/>
  <c r="C73" i="9"/>
  <c r="B73" i="9"/>
  <c r="L72" i="9"/>
  <c r="K72" i="9"/>
  <c r="J72" i="9"/>
  <c r="I72" i="9"/>
  <c r="H72" i="9"/>
  <c r="G72" i="9"/>
  <c r="F72" i="9"/>
  <c r="E72" i="9"/>
  <c r="D72" i="9"/>
  <c r="C72" i="9"/>
  <c r="B72" i="9"/>
  <c r="L71" i="9"/>
  <c r="K71" i="9"/>
  <c r="J71" i="9"/>
  <c r="I71" i="9"/>
  <c r="H71" i="9"/>
  <c r="G71" i="9"/>
  <c r="F71" i="9"/>
  <c r="E71" i="9"/>
  <c r="D71" i="9"/>
  <c r="C71" i="9"/>
  <c r="B71" i="9"/>
  <c r="L70" i="9"/>
  <c r="K70" i="9"/>
  <c r="J70" i="9"/>
  <c r="I70" i="9"/>
  <c r="H70" i="9"/>
  <c r="G70" i="9"/>
  <c r="F70" i="9"/>
  <c r="E70" i="9"/>
  <c r="D70" i="9"/>
  <c r="C70" i="9"/>
  <c r="B70" i="9"/>
  <c r="L69" i="9"/>
  <c r="K69" i="9"/>
  <c r="J69" i="9"/>
  <c r="I69" i="9"/>
  <c r="H69" i="9"/>
  <c r="G69" i="9"/>
  <c r="F69" i="9"/>
  <c r="E69" i="9"/>
  <c r="D69" i="9"/>
  <c r="C69" i="9"/>
  <c r="B69" i="9"/>
  <c r="L68" i="9"/>
  <c r="K68" i="9"/>
  <c r="J68" i="9"/>
  <c r="I68" i="9"/>
  <c r="H68" i="9"/>
  <c r="G68" i="9"/>
  <c r="F68" i="9"/>
  <c r="E68" i="9"/>
  <c r="D68" i="9"/>
  <c r="C68" i="9"/>
  <c r="B68" i="9"/>
  <c r="L67" i="9"/>
  <c r="K67" i="9"/>
  <c r="J67" i="9"/>
  <c r="I67" i="9"/>
  <c r="H67" i="9"/>
  <c r="G67" i="9"/>
  <c r="F67" i="9"/>
  <c r="E67" i="9"/>
  <c r="D67" i="9"/>
  <c r="C67" i="9"/>
  <c r="B67" i="9"/>
  <c r="L66" i="9"/>
  <c r="K66" i="9"/>
  <c r="J66" i="9"/>
  <c r="I66" i="9"/>
  <c r="H66" i="9"/>
  <c r="G66" i="9"/>
  <c r="F66" i="9"/>
  <c r="E66" i="9"/>
  <c r="D66" i="9"/>
  <c r="C66" i="9"/>
  <c r="B66" i="9"/>
  <c r="L65" i="9"/>
  <c r="K65" i="9"/>
  <c r="J65" i="9"/>
  <c r="I65" i="9"/>
  <c r="H65" i="9"/>
  <c r="G65" i="9"/>
  <c r="F65" i="9"/>
  <c r="E65" i="9"/>
  <c r="D65" i="9"/>
  <c r="C65" i="9"/>
  <c r="B65" i="9"/>
  <c r="L64" i="9"/>
  <c r="K64" i="9"/>
  <c r="J64" i="9"/>
  <c r="I64" i="9"/>
  <c r="H64" i="9"/>
  <c r="G64" i="9"/>
  <c r="F64" i="9"/>
  <c r="E64" i="9"/>
  <c r="D64" i="9"/>
  <c r="C64" i="9"/>
  <c r="B64" i="9"/>
  <c r="L63" i="9"/>
  <c r="K63" i="9"/>
  <c r="J63" i="9"/>
  <c r="I63" i="9"/>
  <c r="H63" i="9"/>
  <c r="G63" i="9"/>
  <c r="F63" i="9"/>
  <c r="E63" i="9"/>
  <c r="D63" i="9"/>
  <c r="C63" i="9"/>
  <c r="B63" i="9"/>
  <c r="L62" i="9"/>
  <c r="K62" i="9"/>
  <c r="J62" i="9"/>
  <c r="I62" i="9"/>
  <c r="H62" i="9"/>
  <c r="G62" i="9"/>
  <c r="F62" i="9"/>
  <c r="E62" i="9"/>
  <c r="D62" i="9"/>
  <c r="C62" i="9"/>
  <c r="B62" i="9"/>
  <c r="L61" i="9"/>
  <c r="K61" i="9"/>
  <c r="J61" i="9"/>
  <c r="I61" i="9"/>
  <c r="H61" i="9"/>
  <c r="G61" i="9"/>
  <c r="F61" i="9"/>
  <c r="E61" i="9"/>
  <c r="D61" i="9"/>
  <c r="C61" i="9"/>
  <c r="B61" i="9"/>
  <c r="L60" i="9"/>
  <c r="K60" i="9"/>
  <c r="J60" i="9"/>
  <c r="I60" i="9"/>
  <c r="H60" i="9"/>
  <c r="G60" i="9"/>
  <c r="F60" i="9"/>
  <c r="E60" i="9"/>
  <c r="D60" i="9"/>
  <c r="C60" i="9"/>
  <c r="B60" i="9"/>
  <c r="L59" i="9"/>
  <c r="K59" i="9"/>
  <c r="J59" i="9"/>
  <c r="I59" i="9"/>
  <c r="H59" i="9"/>
  <c r="G59" i="9"/>
  <c r="F59" i="9"/>
  <c r="E59" i="9"/>
  <c r="D59" i="9"/>
  <c r="C59" i="9"/>
  <c r="B59" i="9"/>
  <c r="L58" i="9"/>
  <c r="K58" i="9"/>
  <c r="J58" i="9"/>
  <c r="I58" i="9"/>
  <c r="H58" i="9"/>
  <c r="G58" i="9"/>
  <c r="F58" i="9"/>
  <c r="E58" i="9"/>
  <c r="D58" i="9"/>
  <c r="C58" i="9"/>
  <c r="B58" i="9"/>
  <c r="L57" i="9"/>
  <c r="K57" i="9"/>
  <c r="J57" i="9"/>
  <c r="I57" i="9"/>
  <c r="H57" i="9"/>
  <c r="G57" i="9"/>
  <c r="F57" i="9"/>
  <c r="E57" i="9"/>
  <c r="D57" i="9"/>
  <c r="C57" i="9"/>
  <c r="B57" i="9"/>
  <c r="L56" i="9"/>
  <c r="K56" i="9"/>
  <c r="J56" i="9"/>
  <c r="I56" i="9"/>
  <c r="H56" i="9"/>
  <c r="G56" i="9"/>
  <c r="F56" i="9"/>
  <c r="E56" i="9"/>
  <c r="D56" i="9"/>
  <c r="C56" i="9"/>
  <c r="B56" i="9"/>
  <c r="L55" i="9"/>
  <c r="K55" i="9"/>
  <c r="J55" i="9"/>
  <c r="I55" i="9"/>
  <c r="H55" i="9"/>
  <c r="G55" i="9"/>
  <c r="F55" i="9"/>
  <c r="E55" i="9"/>
  <c r="D55" i="9"/>
  <c r="C55" i="9"/>
  <c r="B55" i="9"/>
  <c r="L54" i="9"/>
  <c r="K54" i="9"/>
  <c r="J54" i="9"/>
  <c r="I54" i="9"/>
  <c r="H54" i="9"/>
  <c r="G54" i="9"/>
  <c r="F54" i="9"/>
  <c r="E54" i="9"/>
  <c r="D54" i="9"/>
  <c r="C54" i="9"/>
  <c r="B54" i="9"/>
  <c r="L53" i="9"/>
  <c r="K53" i="9"/>
  <c r="J53" i="9"/>
  <c r="I53" i="9"/>
  <c r="H53" i="9"/>
  <c r="G53" i="9"/>
  <c r="F53" i="9"/>
  <c r="E53" i="9"/>
  <c r="D53" i="9"/>
  <c r="C53" i="9"/>
  <c r="B53" i="9"/>
  <c r="L52" i="9"/>
  <c r="K52" i="9"/>
  <c r="J52" i="9"/>
  <c r="I52" i="9"/>
  <c r="H52" i="9"/>
  <c r="G52" i="9"/>
  <c r="F52" i="9"/>
  <c r="E52" i="9"/>
  <c r="D52" i="9"/>
  <c r="C52" i="9"/>
  <c r="B52" i="9"/>
  <c r="L51" i="9"/>
  <c r="K51" i="9"/>
  <c r="J51" i="9"/>
  <c r="I51" i="9"/>
  <c r="H51" i="9"/>
  <c r="G51" i="9"/>
  <c r="F51" i="9"/>
  <c r="E51" i="9"/>
  <c r="D51" i="9"/>
  <c r="C51" i="9"/>
  <c r="B51" i="9"/>
  <c r="L50" i="9"/>
  <c r="K50" i="9"/>
  <c r="J50" i="9"/>
  <c r="I50" i="9"/>
  <c r="H50" i="9"/>
  <c r="G50" i="9"/>
  <c r="F50" i="9"/>
  <c r="E50" i="9"/>
  <c r="D50" i="9"/>
  <c r="C50" i="9"/>
  <c r="B50" i="9"/>
  <c r="L49" i="9"/>
  <c r="K49" i="9"/>
  <c r="J49" i="9"/>
  <c r="I49" i="9"/>
  <c r="H49" i="9"/>
  <c r="G49" i="9"/>
  <c r="F49" i="9"/>
  <c r="E49" i="9"/>
  <c r="D49" i="9"/>
  <c r="C49" i="9"/>
  <c r="B49" i="9"/>
  <c r="L48" i="9"/>
  <c r="K48" i="9"/>
  <c r="J48" i="9"/>
  <c r="I48" i="9"/>
  <c r="H48" i="9"/>
  <c r="G48" i="9"/>
  <c r="F48" i="9"/>
  <c r="E48" i="9"/>
  <c r="D48" i="9"/>
  <c r="C48" i="9"/>
  <c r="B48" i="9"/>
  <c r="L47" i="9"/>
  <c r="K47" i="9"/>
  <c r="J47" i="9"/>
  <c r="I47" i="9"/>
  <c r="H47" i="9"/>
  <c r="G47" i="9"/>
  <c r="F47" i="9"/>
  <c r="E47" i="9"/>
  <c r="D47" i="9"/>
  <c r="C47" i="9"/>
  <c r="B47" i="9"/>
  <c r="L46" i="9"/>
  <c r="K46" i="9"/>
  <c r="J46" i="9"/>
  <c r="I46" i="9"/>
  <c r="H46" i="9"/>
  <c r="G46" i="9"/>
  <c r="F46" i="9"/>
  <c r="E46" i="9"/>
  <c r="D46" i="9"/>
  <c r="C46" i="9"/>
  <c r="B46" i="9"/>
  <c r="L45" i="9"/>
  <c r="K45" i="9"/>
  <c r="J45" i="9"/>
  <c r="I45" i="9"/>
  <c r="H45" i="9"/>
  <c r="G45" i="9"/>
  <c r="F45" i="9"/>
  <c r="E45" i="9"/>
  <c r="D45" i="9"/>
  <c r="C45" i="9"/>
  <c r="B45" i="9"/>
  <c r="L44" i="9"/>
  <c r="K44" i="9"/>
  <c r="J44" i="9"/>
  <c r="I44" i="9"/>
  <c r="H44" i="9"/>
  <c r="G44" i="9"/>
  <c r="F44" i="9"/>
  <c r="E44" i="9"/>
  <c r="D44" i="9"/>
  <c r="C44" i="9"/>
  <c r="B44" i="9"/>
  <c r="L43" i="9"/>
  <c r="K43" i="9"/>
  <c r="J43" i="9"/>
  <c r="I43" i="9"/>
  <c r="H43" i="9"/>
  <c r="G43" i="9"/>
  <c r="F43" i="9"/>
  <c r="E43" i="9"/>
  <c r="D43" i="9"/>
  <c r="C43" i="9"/>
  <c r="B43" i="9"/>
  <c r="L42" i="9"/>
  <c r="K42" i="9"/>
  <c r="J42" i="9"/>
  <c r="I42" i="9"/>
  <c r="H42" i="9"/>
  <c r="G42" i="9"/>
  <c r="F42" i="9"/>
  <c r="E42" i="9"/>
  <c r="D42" i="9"/>
  <c r="C42" i="9"/>
  <c r="B42" i="9"/>
  <c r="L41" i="9"/>
  <c r="K41" i="9"/>
  <c r="J41" i="9"/>
  <c r="I41" i="9"/>
  <c r="H41" i="9"/>
  <c r="G41" i="9"/>
  <c r="F41" i="9"/>
  <c r="E41" i="9"/>
  <c r="D41" i="9"/>
  <c r="C41" i="9"/>
  <c r="B41" i="9"/>
  <c r="L40" i="9"/>
  <c r="K40" i="9"/>
  <c r="J40" i="9"/>
  <c r="I40" i="9"/>
  <c r="H40" i="9"/>
  <c r="G40" i="9"/>
  <c r="F40" i="9"/>
  <c r="E40" i="9"/>
  <c r="D40" i="9"/>
  <c r="C40" i="9"/>
  <c r="B40" i="9"/>
  <c r="L39" i="9"/>
  <c r="K39" i="9"/>
  <c r="J39" i="9"/>
  <c r="I39" i="9"/>
  <c r="H39" i="9"/>
  <c r="G39" i="9"/>
  <c r="F39" i="9"/>
  <c r="E39" i="9"/>
  <c r="D39" i="9"/>
  <c r="C39" i="9"/>
  <c r="B39" i="9"/>
  <c r="L38" i="9"/>
  <c r="K38" i="9"/>
  <c r="J38" i="9"/>
  <c r="I38" i="9"/>
  <c r="H38" i="9"/>
  <c r="G38" i="9"/>
  <c r="F38" i="9"/>
  <c r="E38" i="9"/>
  <c r="D38" i="9"/>
  <c r="C38" i="9"/>
  <c r="B38" i="9"/>
  <c r="L37" i="9"/>
  <c r="K37" i="9"/>
  <c r="J37" i="9"/>
  <c r="I37" i="9"/>
  <c r="H37" i="9"/>
  <c r="G37" i="9"/>
  <c r="F37" i="9"/>
  <c r="E37" i="9"/>
  <c r="D37" i="9"/>
  <c r="C37" i="9"/>
  <c r="B37" i="9"/>
  <c r="L36" i="9"/>
  <c r="K36" i="9"/>
  <c r="J36" i="9"/>
  <c r="I36" i="9"/>
  <c r="H36" i="9"/>
  <c r="G36" i="9"/>
  <c r="F36" i="9"/>
  <c r="E36" i="9"/>
  <c r="D36" i="9"/>
  <c r="C36" i="9"/>
  <c r="B36" i="9"/>
  <c r="L35" i="9"/>
  <c r="K35" i="9"/>
  <c r="J35" i="9"/>
  <c r="I35" i="9"/>
  <c r="H35" i="9"/>
  <c r="G35" i="9"/>
  <c r="F35" i="9"/>
  <c r="E35" i="9"/>
  <c r="D35" i="9"/>
  <c r="C35" i="9"/>
  <c r="B35" i="9"/>
  <c r="K17" i="9"/>
  <c r="K16" i="9"/>
  <c r="K15" i="9"/>
  <c r="J15" i="9"/>
  <c r="I15" i="9"/>
  <c r="K14" i="9"/>
  <c r="J14" i="9"/>
  <c r="I14" i="9"/>
  <c r="H14" i="9"/>
  <c r="G14" i="9"/>
  <c r="K13" i="9"/>
  <c r="J13" i="9"/>
  <c r="I13" i="9"/>
  <c r="H13" i="9"/>
  <c r="G13" i="9"/>
  <c r="K12" i="9"/>
  <c r="J12" i="9"/>
  <c r="I12" i="9"/>
  <c r="H12" i="9"/>
  <c r="G12" i="9"/>
  <c r="K11" i="9"/>
  <c r="J11" i="9"/>
  <c r="I11" i="9"/>
  <c r="H11" i="9"/>
  <c r="G11" i="9"/>
  <c r="F11" i="9"/>
  <c r="E11" i="9"/>
  <c r="D15" i="8"/>
  <c r="D14" i="8"/>
  <c r="D13" i="8"/>
  <c r="D12" i="8"/>
  <c r="E11" i="8"/>
  <c r="D11" i="8"/>
  <c r="C11" i="8"/>
  <c r="E10" i="8"/>
  <c r="D10" i="8"/>
  <c r="C10" i="8"/>
  <c r="E9" i="8"/>
  <c r="D9" i="8"/>
  <c r="C9" i="8"/>
  <c r="E8" i="8"/>
  <c r="D8" i="8"/>
  <c r="C8" i="8"/>
  <c r="E7" i="8"/>
  <c r="D7" i="8"/>
  <c r="C7" i="8"/>
  <c r="E6" i="8"/>
  <c r="D6" i="8"/>
  <c r="C6" i="8"/>
  <c r="G216" i="7"/>
  <c r="F216" i="7"/>
  <c r="G215" i="7"/>
  <c r="F215" i="7"/>
  <c r="G214" i="7"/>
  <c r="F214" i="7"/>
  <c r="G213" i="7"/>
  <c r="F213" i="7"/>
  <c r="G212" i="7"/>
  <c r="F212" i="7"/>
  <c r="G211" i="7"/>
  <c r="F211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G165" i="7"/>
  <c r="F165" i="7"/>
  <c r="G164" i="7"/>
  <c r="F164" i="7"/>
  <c r="G163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E18" i="6"/>
  <c r="G17" i="6"/>
  <c r="C17" i="6"/>
  <c r="G16" i="6"/>
  <c r="C16" i="6"/>
  <c r="G15" i="6"/>
  <c r="C15" i="6"/>
  <c r="G14" i="6"/>
  <c r="C14" i="6"/>
  <c r="G13" i="6"/>
  <c r="C13" i="6"/>
  <c r="G12" i="6"/>
  <c r="G11" i="6"/>
  <c r="G10" i="6"/>
  <c r="G9" i="6"/>
  <c r="G8" i="6"/>
  <c r="G11" i="5"/>
  <c r="G13" i="5" s="1"/>
  <c r="E11" i="5"/>
  <c r="E13" i="5" s="1"/>
  <c r="J10" i="5"/>
  <c r="D10" i="5"/>
  <c r="C10" i="5"/>
  <c r="J9" i="5"/>
  <c r="D9" i="5"/>
  <c r="C9" i="5"/>
  <c r="J8" i="5"/>
  <c r="D8" i="5"/>
  <c r="C8" i="5"/>
  <c r="J7" i="5"/>
  <c r="D7" i="5"/>
  <c r="C7" i="5"/>
  <c r="J6" i="5"/>
  <c r="D6" i="5"/>
  <c r="C6" i="5"/>
  <c r="J10" i="4"/>
  <c r="G10" i="4"/>
  <c r="F10" i="4"/>
  <c r="E10" i="4"/>
  <c r="J9" i="4"/>
  <c r="G9" i="4"/>
  <c r="F9" i="4"/>
  <c r="E9" i="4"/>
  <c r="J8" i="4"/>
  <c r="E8" i="4"/>
  <c r="J7" i="4"/>
  <c r="E7" i="4"/>
  <c r="J6" i="4"/>
  <c r="G6" i="4"/>
  <c r="F6" i="4"/>
  <c r="E6" i="4"/>
  <c r="C16" i="1"/>
  <c r="C7" i="1"/>
  <c r="C6" i="1"/>
  <c r="F5" i="1"/>
  <c r="C5" i="1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G146" i="7" l="1"/>
  <c r="G147" i="7"/>
  <c r="G154" i="7"/>
  <c r="K5" i="9"/>
  <c r="G156" i="7"/>
  <c r="C15" i="8"/>
  <c r="G155" i="7"/>
  <c r="G153" i="7"/>
  <c r="G148" i="7"/>
  <c r="H148" i="7" s="1"/>
  <c r="G152" i="7"/>
  <c r="H152" i="7" s="1"/>
  <c r="G151" i="7"/>
  <c r="H151" i="7" s="1"/>
  <c r="G150" i="7"/>
  <c r="H150" i="7" s="1"/>
  <c r="G149" i="7"/>
  <c r="H149" i="7" s="1"/>
  <c r="G142" i="7"/>
  <c r="H142" i="7" s="1"/>
  <c r="G143" i="7"/>
  <c r="H143" i="7" s="1"/>
  <c r="G144" i="7"/>
  <c r="H144" i="7" s="1"/>
  <c r="G145" i="7"/>
  <c r="H145" i="7" s="1"/>
  <c r="C14" i="8"/>
  <c r="J5" i="9"/>
  <c r="G133" i="7"/>
  <c r="H133" i="7" s="1"/>
  <c r="G134" i="7"/>
  <c r="H134" i="7" s="1"/>
  <c r="G135" i="7"/>
  <c r="H135" i="7" s="1"/>
  <c r="G136" i="7"/>
  <c r="H136" i="7" s="1"/>
  <c r="G137" i="7"/>
  <c r="H137" i="7" s="1"/>
  <c r="G138" i="7"/>
  <c r="H138" i="7" s="1"/>
  <c r="G139" i="7"/>
  <c r="H139" i="7" s="1"/>
  <c r="G140" i="7"/>
  <c r="H140" i="7" s="1"/>
  <c r="G141" i="7"/>
  <c r="H141" i="7" s="1"/>
  <c r="G122" i="7"/>
  <c r="H122" i="7" s="1"/>
  <c r="G121" i="7"/>
  <c r="H121" i="7" s="1"/>
  <c r="G120" i="7"/>
  <c r="H120" i="7" s="1"/>
  <c r="C13" i="8"/>
  <c r="G123" i="7"/>
  <c r="H123" i="7" s="1"/>
  <c r="I5" i="9"/>
  <c r="G130" i="7"/>
  <c r="H130" i="7" s="1"/>
  <c r="G132" i="7"/>
  <c r="H132" i="7" s="1"/>
  <c r="G131" i="7"/>
  <c r="H131" i="7" s="1"/>
  <c r="G129" i="7"/>
  <c r="H129" i="7" s="1"/>
  <c r="G128" i="7"/>
  <c r="H128" i="7" s="1"/>
  <c r="G127" i="7"/>
  <c r="H127" i="7" s="1"/>
  <c r="G126" i="7"/>
  <c r="H126" i="7" s="1"/>
  <c r="G125" i="7"/>
  <c r="H125" i="7" s="1"/>
  <c r="G124" i="7"/>
  <c r="H124" i="7" s="1"/>
  <c r="G117" i="7"/>
  <c r="H117" i="7" s="1"/>
  <c r="G110" i="7"/>
  <c r="H110" i="7" s="1"/>
  <c r="G109" i="7"/>
  <c r="H109" i="7" s="1"/>
  <c r="G108" i="7"/>
  <c r="H108" i="7" s="1"/>
  <c r="G107" i="7"/>
  <c r="H107" i="7" s="1"/>
  <c r="G106" i="7"/>
  <c r="H106" i="7" s="1"/>
  <c r="G112" i="7"/>
  <c r="H112" i="7" s="1"/>
  <c r="G119" i="7"/>
  <c r="H119" i="7" s="1"/>
  <c r="C12" i="8"/>
  <c r="C16" i="8" s="1"/>
  <c r="G118" i="7"/>
  <c r="H118" i="7" s="1"/>
  <c r="G115" i="7"/>
  <c r="H115" i="7" s="1"/>
  <c r="G111" i="7"/>
  <c r="H111" i="7" s="1"/>
  <c r="G116" i="7"/>
  <c r="H116" i="7" s="1"/>
  <c r="H5" i="9"/>
  <c r="G114" i="7"/>
  <c r="H114" i="7" s="1"/>
  <c r="G113" i="7"/>
  <c r="H113" i="7" s="1"/>
  <c r="G103" i="7"/>
  <c r="H103" i="7" s="1"/>
  <c r="G102" i="7"/>
  <c r="H102" i="7" s="1"/>
  <c r="G100" i="7"/>
  <c r="H100" i="7" s="1"/>
  <c r="G99" i="7"/>
  <c r="H99" i="7" s="1"/>
  <c r="G98" i="7"/>
  <c r="H98" i="7" s="1"/>
  <c r="G97" i="7"/>
  <c r="H97" i="7" s="1"/>
  <c r="G96" i="7"/>
  <c r="H96" i="7" s="1"/>
  <c r="G95" i="7"/>
  <c r="H95" i="7" s="1"/>
  <c r="G94" i="7"/>
  <c r="H94" i="7" s="1"/>
  <c r="G162" i="7"/>
  <c r="H162" i="7" s="1"/>
  <c r="G105" i="7"/>
  <c r="H105" i="7" s="1"/>
  <c r="G92" i="7"/>
  <c r="H92" i="7" s="1"/>
  <c r="G101" i="7"/>
  <c r="H101" i="7" s="1"/>
  <c r="G5" i="9"/>
  <c r="G93" i="7"/>
  <c r="H93" i="7" s="1"/>
  <c r="G104" i="7"/>
  <c r="H104" i="7" s="1"/>
  <c r="G88" i="7"/>
  <c r="H88" i="7" s="1"/>
  <c r="G76" i="7"/>
  <c r="H76" i="7" s="1"/>
  <c r="G75" i="7"/>
  <c r="H75" i="7" s="1"/>
  <c r="F5" i="9"/>
  <c r="G78" i="7"/>
  <c r="H78" i="7" s="1"/>
  <c r="G77" i="7"/>
  <c r="H77" i="7" s="1"/>
  <c r="G80" i="7"/>
  <c r="H80" i="7" s="1"/>
  <c r="G86" i="7"/>
  <c r="H86" i="7" s="1"/>
  <c r="G90" i="7"/>
  <c r="H90" i="7" s="1"/>
  <c r="G91" i="7"/>
  <c r="H91" i="7" s="1"/>
  <c r="G85" i="7"/>
  <c r="H85" i="7" s="1"/>
  <c r="G161" i="7"/>
  <c r="H161" i="7" s="1"/>
  <c r="G84" i="7"/>
  <c r="H84" i="7" s="1"/>
  <c r="G82" i="7"/>
  <c r="H82" i="7" s="1"/>
  <c r="G83" i="7"/>
  <c r="H83" i="7" s="1"/>
  <c r="G81" i="7"/>
  <c r="H81" i="7" s="1"/>
  <c r="G79" i="7"/>
  <c r="H79" i="7" s="1"/>
  <c r="G89" i="7"/>
  <c r="H89" i="7" s="1"/>
  <c r="G87" i="7"/>
  <c r="H87" i="7" s="1"/>
  <c r="C12" i="6"/>
  <c r="G71" i="7"/>
  <c r="H71" i="7" s="1"/>
  <c r="G73" i="7"/>
  <c r="H73" i="7" s="1"/>
  <c r="G74" i="7"/>
  <c r="H74" i="7" s="1"/>
  <c r="G72" i="7"/>
  <c r="H72" i="7" s="1"/>
  <c r="G160" i="7"/>
  <c r="H160" i="7" s="1"/>
  <c r="E5" i="9"/>
  <c r="C11" i="6"/>
  <c r="G58" i="7"/>
  <c r="H58" i="7" s="1"/>
  <c r="G59" i="7"/>
  <c r="H59" i="7" s="1"/>
  <c r="G60" i="7"/>
  <c r="H60" i="7" s="1"/>
  <c r="G61" i="7"/>
  <c r="H61" i="7" s="1"/>
  <c r="G62" i="7"/>
  <c r="H62" i="7" s="1"/>
  <c r="G63" i="7"/>
  <c r="H63" i="7" s="1"/>
  <c r="G64" i="7"/>
  <c r="H64" i="7" s="1"/>
  <c r="G65" i="7"/>
  <c r="H65" i="7" s="1"/>
  <c r="G66" i="7"/>
  <c r="H66" i="7" s="1"/>
  <c r="G67" i="7"/>
  <c r="H67" i="7" s="1"/>
  <c r="G68" i="7"/>
  <c r="H68" i="7" s="1"/>
  <c r="G69" i="7"/>
  <c r="H69" i="7" s="1"/>
  <c r="G70" i="7"/>
  <c r="H70" i="7" s="1"/>
  <c r="G45" i="7"/>
  <c r="H45" i="7" s="1"/>
  <c r="G52" i="7"/>
  <c r="H52" i="7" s="1"/>
  <c r="G46" i="7"/>
  <c r="H46" i="7" s="1"/>
  <c r="G51" i="7"/>
  <c r="H51" i="7" s="1"/>
  <c r="G50" i="7"/>
  <c r="H50" i="7" s="1"/>
  <c r="G49" i="7"/>
  <c r="H49" i="7" s="1"/>
  <c r="G48" i="7"/>
  <c r="H48" i="7" s="1"/>
  <c r="G55" i="7"/>
  <c r="H55" i="7" s="1"/>
  <c r="C10" i="6"/>
  <c r="G41" i="7"/>
  <c r="H41" i="7" s="1"/>
  <c r="G42" i="7"/>
  <c r="H42" i="7" s="1"/>
  <c r="G43" i="7"/>
  <c r="H43" i="7" s="1"/>
  <c r="G57" i="7"/>
  <c r="H57" i="7" s="1"/>
  <c r="D5" i="9"/>
  <c r="G56" i="7"/>
  <c r="H56" i="7" s="1"/>
  <c r="G54" i="7"/>
  <c r="H54" i="7" s="1"/>
  <c r="G40" i="7"/>
  <c r="H40" i="7" s="1"/>
  <c r="G53" i="7"/>
  <c r="H53" i="7" s="1"/>
  <c r="G159" i="7"/>
  <c r="H159" i="7" s="1"/>
  <c r="G44" i="7"/>
  <c r="G47" i="7"/>
  <c r="H47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34" i="7"/>
  <c r="H34" i="7" s="1"/>
  <c r="G32" i="7"/>
  <c r="H32" i="7" s="1"/>
  <c r="G158" i="7"/>
  <c r="H158" i="7" s="1"/>
  <c r="G36" i="7"/>
  <c r="H36" i="7" s="1"/>
  <c r="G33" i="7"/>
  <c r="H33" i="7" s="1"/>
  <c r="C5" i="9"/>
  <c r="G38" i="7"/>
  <c r="H38" i="7" s="1"/>
  <c r="G35" i="7"/>
  <c r="H35" i="7" s="1"/>
  <c r="G30" i="7"/>
  <c r="H30" i="7" s="1"/>
  <c r="G39" i="7"/>
  <c r="H39" i="7" s="1"/>
  <c r="C9" i="6"/>
  <c r="G37" i="7"/>
  <c r="H37" i="7" s="1"/>
  <c r="G31" i="7"/>
  <c r="H31" i="7" s="1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C8" i="6"/>
  <c r="B5" i="9"/>
  <c r="C13" i="13"/>
  <c r="G157" i="7"/>
  <c r="H157" i="7" s="1"/>
  <c r="K648" i="11"/>
  <c r="N648" i="11" s="1"/>
  <c r="L648" i="11"/>
  <c r="P648" i="11" s="1"/>
  <c r="M648" i="11"/>
  <c r="O648" i="11" s="1"/>
  <c r="K647" i="11"/>
  <c r="N647" i="11" s="1"/>
  <c r="L647" i="11"/>
  <c r="P647" i="11" s="1"/>
  <c r="M647" i="11"/>
  <c r="O647" i="11" s="1"/>
  <c r="K646" i="11"/>
  <c r="N646" i="11" s="1"/>
  <c r="L646" i="11"/>
  <c r="P646" i="11" s="1"/>
  <c r="M646" i="11"/>
  <c r="O646" i="11" s="1"/>
  <c r="K645" i="11"/>
  <c r="N645" i="11" s="1"/>
  <c r="L645" i="11"/>
  <c r="P645" i="11" s="1"/>
  <c r="M645" i="11"/>
  <c r="O645" i="11" s="1"/>
  <c r="K644" i="11"/>
  <c r="N644" i="11" s="1"/>
  <c r="L644" i="11"/>
  <c r="P644" i="11" s="1"/>
  <c r="M644" i="11"/>
  <c r="O644" i="11" s="1"/>
  <c r="K643" i="11"/>
  <c r="N643" i="11" s="1"/>
  <c r="L643" i="11"/>
  <c r="P643" i="11" s="1"/>
  <c r="M643" i="11"/>
  <c r="O643" i="11" s="1"/>
  <c r="K642" i="11"/>
  <c r="N642" i="11" s="1"/>
  <c r="L642" i="11"/>
  <c r="P642" i="11" s="1"/>
  <c r="M642" i="11"/>
  <c r="O642" i="11" s="1"/>
  <c r="K641" i="11"/>
  <c r="N641" i="11" s="1"/>
  <c r="L641" i="11"/>
  <c r="P641" i="11" s="1"/>
  <c r="M641" i="11"/>
  <c r="O641" i="11" s="1"/>
  <c r="K640" i="11"/>
  <c r="N640" i="11" s="1"/>
  <c r="L640" i="11"/>
  <c r="P640" i="11" s="1"/>
  <c r="M640" i="11"/>
  <c r="O640" i="11" s="1"/>
  <c r="K639" i="11"/>
  <c r="N639" i="11" s="1"/>
  <c r="L639" i="11"/>
  <c r="P639" i="11" s="1"/>
  <c r="M639" i="11"/>
  <c r="O639" i="11" s="1"/>
  <c r="K638" i="11"/>
  <c r="N638" i="11" s="1"/>
  <c r="L638" i="11"/>
  <c r="P638" i="11" s="1"/>
  <c r="M638" i="11"/>
  <c r="O638" i="11" s="1"/>
  <c r="K637" i="11"/>
  <c r="N637" i="11" s="1"/>
  <c r="L637" i="11"/>
  <c r="P637" i="11" s="1"/>
  <c r="M637" i="11"/>
  <c r="O637" i="11" s="1"/>
  <c r="K636" i="11"/>
  <c r="N636" i="11" s="1"/>
  <c r="L636" i="11"/>
  <c r="P636" i="11" s="1"/>
  <c r="M636" i="11"/>
  <c r="O636" i="11" s="1"/>
  <c r="K635" i="11"/>
  <c r="N635" i="11" s="1"/>
  <c r="L635" i="11"/>
  <c r="P635" i="11" s="1"/>
  <c r="M635" i="11"/>
  <c r="O635" i="11" s="1"/>
  <c r="K634" i="11"/>
  <c r="N634" i="11" s="1"/>
  <c r="L634" i="11"/>
  <c r="P634" i="11" s="1"/>
  <c r="M634" i="11"/>
  <c r="O634" i="11" s="1"/>
  <c r="K633" i="11"/>
  <c r="N633" i="11" s="1"/>
  <c r="L633" i="11"/>
  <c r="P633" i="11" s="1"/>
  <c r="M633" i="11"/>
  <c r="O633" i="11" s="1"/>
  <c r="K632" i="11"/>
  <c r="N632" i="11" s="1"/>
  <c r="L632" i="11"/>
  <c r="P632" i="11" s="1"/>
  <c r="M632" i="11"/>
  <c r="O632" i="11" s="1"/>
  <c r="K631" i="11"/>
  <c r="N631" i="11" s="1"/>
  <c r="L631" i="11"/>
  <c r="P631" i="11" s="1"/>
  <c r="M631" i="11"/>
  <c r="O631" i="11" s="1"/>
  <c r="K630" i="11"/>
  <c r="N630" i="11" s="1"/>
  <c r="L630" i="11"/>
  <c r="P630" i="11" s="1"/>
  <c r="M630" i="11"/>
  <c r="O630" i="11" s="1"/>
  <c r="K629" i="11"/>
  <c r="N629" i="11" s="1"/>
  <c r="L629" i="11"/>
  <c r="P629" i="11" s="1"/>
  <c r="M629" i="11"/>
  <c r="O629" i="11" s="1"/>
  <c r="K628" i="11"/>
  <c r="N628" i="11" s="1"/>
  <c r="L628" i="11"/>
  <c r="P628" i="11" s="1"/>
  <c r="M628" i="11"/>
  <c r="O628" i="11" s="1"/>
  <c r="K627" i="11"/>
  <c r="N627" i="11" s="1"/>
  <c r="L627" i="11"/>
  <c r="P627" i="11" s="1"/>
  <c r="M627" i="11"/>
  <c r="O627" i="11" s="1"/>
  <c r="K626" i="11"/>
  <c r="N626" i="11" s="1"/>
  <c r="L626" i="11"/>
  <c r="P626" i="11" s="1"/>
  <c r="M626" i="11"/>
  <c r="O626" i="11" s="1"/>
  <c r="K625" i="11"/>
  <c r="N625" i="11" s="1"/>
  <c r="L625" i="11"/>
  <c r="P625" i="11" s="1"/>
  <c r="M625" i="11"/>
  <c r="O625" i="11" s="1"/>
  <c r="K624" i="11"/>
  <c r="N624" i="11" s="1"/>
  <c r="L624" i="11"/>
  <c r="P624" i="11" s="1"/>
  <c r="M624" i="11"/>
  <c r="O624" i="11" s="1"/>
  <c r="K623" i="11"/>
  <c r="N623" i="11" s="1"/>
  <c r="L623" i="11"/>
  <c r="P623" i="11" s="1"/>
  <c r="M623" i="11"/>
  <c r="O623" i="11" s="1"/>
  <c r="K622" i="11"/>
  <c r="N622" i="11" s="1"/>
  <c r="L622" i="11"/>
  <c r="P622" i="11" s="1"/>
  <c r="M622" i="11"/>
  <c r="O622" i="11" s="1"/>
  <c r="K621" i="11"/>
  <c r="N621" i="11" s="1"/>
  <c r="L621" i="11"/>
  <c r="P621" i="11" s="1"/>
  <c r="M621" i="11"/>
  <c r="O621" i="11" s="1"/>
  <c r="K620" i="11"/>
  <c r="N620" i="11" s="1"/>
  <c r="L620" i="11"/>
  <c r="P620" i="11" s="1"/>
  <c r="M620" i="11"/>
  <c r="O620" i="11" s="1"/>
  <c r="K619" i="11"/>
  <c r="N619" i="11" s="1"/>
  <c r="L619" i="11"/>
  <c r="P619" i="11" s="1"/>
  <c r="M619" i="11"/>
  <c r="O619" i="11" s="1"/>
  <c r="K618" i="11"/>
  <c r="N618" i="11" s="1"/>
  <c r="L618" i="11"/>
  <c r="P618" i="11" s="1"/>
  <c r="M618" i="11"/>
  <c r="O618" i="11" s="1"/>
  <c r="K617" i="11"/>
  <c r="N617" i="11" s="1"/>
  <c r="L617" i="11"/>
  <c r="P617" i="11" s="1"/>
  <c r="M617" i="11"/>
  <c r="O617" i="11" s="1"/>
  <c r="K616" i="11"/>
  <c r="M616" i="11"/>
  <c r="O616" i="11" s="1"/>
  <c r="L616" i="11"/>
  <c r="E12" i="13"/>
  <c r="D17" i="6" s="1"/>
  <c r="F12" i="13"/>
  <c r="G12" i="13" s="1"/>
  <c r="K615" i="11"/>
  <c r="N615" i="11" s="1"/>
  <c r="L615" i="11"/>
  <c r="P615" i="11" s="1"/>
  <c r="M615" i="11"/>
  <c r="O615" i="11" s="1"/>
  <c r="K614" i="11"/>
  <c r="N614" i="11" s="1"/>
  <c r="L614" i="11"/>
  <c r="P614" i="11" s="1"/>
  <c r="M614" i="11"/>
  <c r="O614" i="11" s="1"/>
  <c r="K613" i="11"/>
  <c r="N613" i="11" s="1"/>
  <c r="L613" i="11"/>
  <c r="P613" i="11" s="1"/>
  <c r="M613" i="11"/>
  <c r="O613" i="11" s="1"/>
  <c r="K612" i="11"/>
  <c r="N612" i="11" s="1"/>
  <c r="L612" i="11"/>
  <c r="P612" i="11" s="1"/>
  <c r="M612" i="11"/>
  <c r="O612" i="11" s="1"/>
  <c r="K611" i="11"/>
  <c r="N611" i="11" s="1"/>
  <c r="L611" i="11"/>
  <c r="P611" i="11" s="1"/>
  <c r="M611" i="11"/>
  <c r="O611" i="11" s="1"/>
  <c r="K610" i="11"/>
  <c r="N610" i="11" s="1"/>
  <c r="L610" i="11"/>
  <c r="P610" i="11" s="1"/>
  <c r="M610" i="11"/>
  <c r="O610" i="11" s="1"/>
  <c r="K609" i="11"/>
  <c r="N609" i="11" s="1"/>
  <c r="L609" i="11"/>
  <c r="P609" i="11" s="1"/>
  <c r="M609" i="11"/>
  <c r="O609" i="11" s="1"/>
  <c r="K608" i="11"/>
  <c r="N608" i="11" s="1"/>
  <c r="L608" i="11"/>
  <c r="P608" i="11" s="1"/>
  <c r="M608" i="11"/>
  <c r="O608" i="11" s="1"/>
  <c r="K607" i="11"/>
  <c r="N607" i="11" s="1"/>
  <c r="L607" i="11"/>
  <c r="P607" i="11" s="1"/>
  <c r="M607" i="11"/>
  <c r="O607" i="11" s="1"/>
  <c r="K606" i="11"/>
  <c r="N606" i="11" s="1"/>
  <c r="L606" i="11"/>
  <c r="P606" i="11" s="1"/>
  <c r="M606" i="11"/>
  <c r="O606" i="11" s="1"/>
  <c r="K605" i="11"/>
  <c r="N605" i="11" s="1"/>
  <c r="L605" i="11"/>
  <c r="P605" i="11" s="1"/>
  <c r="M605" i="11"/>
  <c r="O605" i="11" s="1"/>
  <c r="K604" i="11"/>
  <c r="N604" i="11" s="1"/>
  <c r="L604" i="11"/>
  <c r="P604" i="11" s="1"/>
  <c r="M604" i="11"/>
  <c r="O604" i="11" s="1"/>
  <c r="K603" i="11"/>
  <c r="N603" i="11" s="1"/>
  <c r="L603" i="11"/>
  <c r="P603" i="11" s="1"/>
  <c r="M603" i="11"/>
  <c r="O603" i="11" s="1"/>
  <c r="K602" i="11"/>
  <c r="L602" i="11"/>
  <c r="M602" i="11"/>
  <c r="O602" i="11" s="1"/>
  <c r="E11" i="13"/>
  <c r="D16" i="6" s="1"/>
  <c r="F11" i="13"/>
  <c r="G11" i="13" s="1"/>
  <c r="K601" i="11"/>
  <c r="N601" i="11" s="1"/>
  <c r="L601" i="11"/>
  <c r="P601" i="11" s="1"/>
  <c r="M601" i="11"/>
  <c r="O601" i="11" s="1"/>
  <c r="K600" i="11"/>
  <c r="N600" i="11" s="1"/>
  <c r="L600" i="11"/>
  <c r="P600" i="11" s="1"/>
  <c r="M600" i="11"/>
  <c r="O600" i="11" s="1"/>
  <c r="K599" i="11"/>
  <c r="N599" i="11" s="1"/>
  <c r="L599" i="11"/>
  <c r="P599" i="11" s="1"/>
  <c r="M599" i="11"/>
  <c r="O599" i="11" s="1"/>
  <c r="K598" i="11"/>
  <c r="N598" i="11" s="1"/>
  <c r="L598" i="11"/>
  <c r="P598" i="11" s="1"/>
  <c r="M598" i="11"/>
  <c r="O598" i="11" s="1"/>
  <c r="K597" i="11"/>
  <c r="N597" i="11" s="1"/>
  <c r="L597" i="11"/>
  <c r="P597" i="11" s="1"/>
  <c r="M597" i="11"/>
  <c r="O597" i="11" s="1"/>
  <c r="K596" i="11"/>
  <c r="N596" i="11" s="1"/>
  <c r="L596" i="11"/>
  <c r="P596" i="11" s="1"/>
  <c r="M596" i="11"/>
  <c r="O596" i="11" s="1"/>
  <c r="K595" i="11"/>
  <c r="N595" i="11" s="1"/>
  <c r="L595" i="11"/>
  <c r="P595" i="11" s="1"/>
  <c r="M595" i="11"/>
  <c r="O595" i="11" s="1"/>
  <c r="K594" i="11"/>
  <c r="N594" i="11" s="1"/>
  <c r="L594" i="11"/>
  <c r="P594" i="11" s="1"/>
  <c r="M594" i="11"/>
  <c r="O594" i="11" s="1"/>
  <c r="K593" i="11"/>
  <c r="N593" i="11" s="1"/>
  <c r="L593" i="11"/>
  <c r="P593" i="11" s="1"/>
  <c r="M593" i="11"/>
  <c r="O593" i="11" s="1"/>
  <c r="K592" i="11"/>
  <c r="N592" i="11" s="1"/>
  <c r="L592" i="11"/>
  <c r="P592" i="11" s="1"/>
  <c r="M592" i="11"/>
  <c r="O592" i="11" s="1"/>
  <c r="K591" i="11"/>
  <c r="N591" i="11" s="1"/>
  <c r="L591" i="11"/>
  <c r="P591" i="11" s="1"/>
  <c r="M591" i="11"/>
  <c r="O591" i="11" s="1"/>
  <c r="K590" i="11"/>
  <c r="N590" i="11" s="1"/>
  <c r="L590" i="11"/>
  <c r="P590" i="11" s="1"/>
  <c r="M590" i="11"/>
  <c r="O590" i="11" s="1"/>
  <c r="K589" i="11"/>
  <c r="N589" i="11" s="1"/>
  <c r="L589" i="11"/>
  <c r="P589" i="11" s="1"/>
  <c r="M589" i="11"/>
  <c r="O589" i="11" s="1"/>
  <c r="K588" i="11"/>
  <c r="N588" i="11" s="1"/>
  <c r="L588" i="11"/>
  <c r="P588" i="11" s="1"/>
  <c r="M588" i="11"/>
  <c r="O588" i="11" s="1"/>
  <c r="K587" i="11"/>
  <c r="N587" i="11" s="1"/>
  <c r="L587" i="11"/>
  <c r="P587" i="11" s="1"/>
  <c r="M587" i="11"/>
  <c r="O587" i="11" s="1"/>
  <c r="K586" i="11"/>
  <c r="N586" i="11" s="1"/>
  <c r="L586" i="11"/>
  <c r="P586" i="11" s="1"/>
  <c r="M586" i="11"/>
  <c r="O586" i="11" s="1"/>
  <c r="K585" i="11"/>
  <c r="N585" i="11" s="1"/>
  <c r="L585" i="11"/>
  <c r="P585" i="11" s="1"/>
  <c r="M585" i="11"/>
  <c r="O585" i="11" s="1"/>
  <c r="K584" i="11"/>
  <c r="N584" i="11" s="1"/>
  <c r="L584" i="11"/>
  <c r="P584" i="11" s="1"/>
  <c r="M584" i="11"/>
  <c r="O584" i="11" s="1"/>
  <c r="K583" i="11"/>
  <c r="N583" i="11" s="1"/>
  <c r="L583" i="11"/>
  <c r="P583" i="11" s="1"/>
  <c r="M583" i="11"/>
  <c r="O583" i="11" s="1"/>
  <c r="K582" i="11"/>
  <c r="N582" i="11" s="1"/>
  <c r="L582" i="11"/>
  <c r="P582" i="11" s="1"/>
  <c r="M582" i="11"/>
  <c r="O582" i="11" s="1"/>
  <c r="K581" i="11"/>
  <c r="N581" i="11" s="1"/>
  <c r="L581" i="11"/>
  <c r="P581" i="11" s="1"/>
  <c r="M581" i="11"/>
  <c r="O581" i="11" s="1"/>
  <c r="K580" i="11"/>
  <c r="N580" i="11" s="1"/>
  <c r="L580" i="11"/>
  <c r="P580" i="11" s="1"/>
  <c r="M580" i="11"/>
  <c r="O580" i="11" s="1"/>
  <c r="K579" i="11"/>
  <c r="N579" i="11" s="1"/>
  <c r="L579" i="11"/>
  <c r="P579" i="11" s="1"/>
  <c r="M579" i="11"/>
  <c r="O579" i="11" s="1"/>
  <c r="K578" i="11"/>
  <c r="N578" i="11" s="1"/>
  <c r="L578" i="11"/>
  <c r="P578" i="11" s="1"/>
  <c r="M578" i="11"/>
  <c r="O578" i="11" s="1"/>
  <c r="K577" i="11"/>
  <c r="N577" i="11" s="1"/>
  <c r="L577" i="11"/>
  <c r="P577" i="11" s="1"/>
  <c r="M577" i="11"/>
  <c r="O577" i="11" s="1"/>
  <c r="K576" i="11"/>
  <c r="N576" i="11" s="1"/>
  <c r="L576" i="11"/>
  <c r="P576" i="11" s="1"/>
  <c r="M576" i="11"/>
  <c r="O576" i="11" s="1"/>
  <c r="K575" i="11"/>
  <c r="N575" i="11" s="1"/>
  <c r="L575" i="11"/>
  <c r="P575" i="11" s="1"/>
  <c r="M575" i="11"/>
  <c r="O575" i="11" s="1"/>
  <c r="K574" i="11"/>
  <c r="N574" i="11" s="1"/>
  <c r="L574" i="11"/>
  <c r="P574" i="11" s="1"/>
  <c r="M574" i="11"/>
  <c r="O574" i="11" s="1"/>
  <c r="K573" i="11"/>
  <c r="N573" i="11" s="1"/>
  <c r="L573" i="11"/>
  <c r="P573" i="11" s="1"/>
  <c r="M573" i="11"/>
  <c r="O573" i="11" s="1"/>
  <c r="K572" i="11"/>
  <c r="N572" i="11" s="1"/>
  <c r="L572" i="11"/>
  <c r="P572" i="11" s="1"/>
  <c r="M572" i="11"/>
  <c r="O572" i="11" s="1"/>
  <c r="K571" i="11"/>
  <c r="N571" i="11" s="1"/>
  <c r="L571" i="11"/>
  <c r="P571" i="11" s="1"/>
  <c r="M571" i="11"/>
  <c r="O571" i="11" s="1"/>
  <c r="K570" i="11"/>
  <c r="N570" i="11" s="1"/>
  <c r="L570" i="11"/>
  <c r="P570" i="11" s="1"/>
  <c r="M570" i="11"/>
  <c r="O570" i="11" s="1"/>
  <c r="K569" i="11"/>
  <c r="N569" i="11" s="1"/>
  <c r="L569" i="11"/>
  <c r="P569" i="11" s="1"/>
  <c r="M569" i="11"/>
  <c r="O569" i="11" s="1"/>
  <c r="K568" i="11"/>
  <c r="N568" i="11" s="1"/>
  <c r="L568" i="11"/>
  <c r="P568" i="11" s="1"/>
  <c r="M568" i="11"/>
  <c r="O568" i="11" s="1"/>
  <c r="K567" i="11"/>
  <c r="N567" i="11" s="1"/>
  <c r="L567" i="11"/>
  <c r="P567" i="11" s="1"/>
  <c r="M567" i="11"/>
  <c r="O567" i="11" s="1"/>
  <c r="K566" i="11"/>
  <c r="N566" i="11" s="1"/>
  <c r="L566" i="11"/>
  <c r="P566" i="11" s="1"/>
  <c r="M566" i="11"/>
  <c r="O566" i="11" s="1"/>
  <c r="K565" i="11"/>
  <c r="N565" i="11" s="1"/>
  <c r="L565" i="11"/>
  <c r="P565" i="11" s="1"/>
  <c r="M565" i="11"/>
  <c r="O565" i="11" s="1"/>
  <c r="K564" i="11"/>
  <c r="N564" i="11" s="1"/>
  <c r="L564" i="11"/>
  <c r="P564" i="11" s="1"/>
  <c r="M564" i="11"/>
  <c r="O564" i="11" s="1"/>
  <c r="K563" i="11"/>
  <c r="N563" i="11" s="1"/>
  <c r="L563" i="11"/>
  <c r="P563" i="11" s="1"/>
  <c r="M563" i="11"/>
  <c r="O563" i="11" s="1"/>
  <c r="K562" i="11"/>
  <c r="N562" i="11" s="1"/>
  <c r="L562" i="11"/>
  <c r="P562" i="11" s="1"/>
  <c r="M562" i="11"/>
  <c r="O562" i="11" s="1"/>
  <c r="K561" i="11"/>
  <c r="N561" i="11" s="1"/>
  <c r="L561" i="11"/>
  <c r="P561" i="11" s="1"/>
  <c r="M561" i="11"/>
  <c r="O561" i="11" s="1"/>
  <c r="K560" i="11"/>
  <c r="N560" i="11" s="1"/>
  <c r="L560" i="11"/>
  <c r="P560" i="11" s="1"/>
  <c r="M560" i="11"/>
  <c r="O560" i="11" s="1"/>
  <c r="K559" i="11"/>
  <c r="N559" i="11" s="1"/>
  <c r="L559" i="11"/>
  <c r="P559" i="11" s="1"/>
  <c r="M559" i="11"/>
  <c r="O559" i="11" s="1"/>
  <c r="K558" i="11"/>
  <c r="N558" i="11" s="1"/>
  <c r="L558" i="11"/>
  <c r="P558" i="11" s="1"/>
  <c r="M558" i="11"/>
  <c r="O558" i="11" s="1"/>
  <c r="K557" i="11"/>
  <c r="N557" i="11" s="1"/>
  <c r="L557" i="11"/>
  <c r="P557" i="11" s="1"/>
  <c r="M557" i="11"/>
  <c r="O557" i="11" s="1"/>
  <c r="K556" i="11"/>
  <c r="N556" i="11" s="1"/>
  <c r="L556" i="11"/>
  <c r="P556" i="11" s="1"/>
  <c r="M556" i="11"/>
  <c r="O556" i="11" s="1"/>
  <c r="K555" i="11"/>
  <c r="N555" i="11" s="1"/>
  <c r="L555" i="11"/>
  <c r="P555" i="11" s="1"/>
  <c r="M555" i="11"/>
  <c r="O555" i="11" s="1"/>
  <c r="K554" i="11"/>
  <c r="N554" i="11" s="1"/>
  <c r="L554" i="11"/>
  <c r="P554" i="11" s="1"/>
  <c r="M554" i="11"/>
  <c r="O554" i="11" s="1"/>
  <c r="K553" i="11"/>
  <c r="N553" i="11" s="1"/>
  <c r="L553" i="11"/>
  <c r="P553" i="11" s="1"/>
  <c r="M553" i="11"/>
  <c r="O553" i="11" s="1"/>
  <c r="K552" i="11"/>
  <c r="N552" i="11" s="1"/>
  <c r="L552" i="11"/>
  <c r="P552" i="11" s="1"/>
  <c r="M552" i="11"/>
  <c r="O552" i="11" s="1"/>
  <c r="K551" i="11"/>
  <c r="N551" i="11" s="1"/>
  <c r="L551" i="11"/>
  <c r="P551" i="11" s="1"/>
  <c r="M551" i="11"/>
  <c r="O551" i="11" s="1"/>
  <c r="K550" i="11"/>
  <c r="N550" i="11" s="1"/>
  <c r="L550" i="11"/>
  <c r="P550" i="11" s="1"/>
  <c r="M550" i="11"/>
  <c r="O550" i="11" s="1"/>
  <c r="K549" i="11"/>
  <c r="N549" i="11" s="1"/>
  <c r="L549" i="11"/>
  <c r="P549" i="11" s="1"/>
  <c r="M549" i="11"/>
  <c r="O549" i="11" s="1"/>
  <c r="K548" i="11"/>
  <c r="N548" i="11" s="1"/>
  <c r="L548" i="11"/>
  <c r="P548" i="11" s="1"/>
  <c r="M548" i="11"/>
  <c r="O548" i="11" s="1"/>
  <c r="K547" i="11"/>
  <c r="N547" i="11" s="1"/>
  <c r="L547" i="11"/>
  <c r="P547" i="11" s="1"/>
  <c r="M547" i="11"/>
  <c r="O547" i="11" s="1"/>
  <c r="K546" i="11"/>
  <c r="N546" i="11" s="1"/>
  <c r="L546" i="11"/>
  <c r="P546" i="11" s="1"/>
  <c r="M546" i="11"/>
  <c r="O546" i="11" s="1"/>
  <c r="K545" i="11"/>
  <c r="N545" i="11" s="1"/>
  <c r="L545" i="11"/>
  <c r="P545" i="11" s="1"/>
  <c r="M545" i="11"/>
  <c r="O545" i="11" s="1"/>
  <c r="K544" i="11"/>
  <c r="N544" i="11" s="1"/>
  <c r="L544" i="11"/>
  <c r="P544" i="11" s="1"/>
  <c r="M544" i="11"/>
  <c r="O544" i="11" s="1"/>
  <c r="K543" i="11"/>
  <c r="N543" i="11" s="1"/>
  <c r="L543" i="11"/>
  <c r="P543" i="11" s="1"/>
  <c r="M543" i="11"/>
  <c r="O543" i="11" s="1"/>
  <c r="K542" i="11"/>
  <c r="N542" i="11" s="1"/>
  <c r="L542" i="11"/>
  <c r="P542" i="11" s="1"/>
  <c r="M542" i="11"/>
  <c r="O542" i="11" s="1"/>
  <c r="K541" i="11"/>
  <c r="N541" i="11" s="1"/>
  <c r="L541" i="11"/>
  <c r="P541" i="11" s="1"/>
  <c r="M541" i="11"/>
  <c r="O541" i="11" s="1"/>
  <c r="K540" i="11"/>
  <c r="N540" i="11" s="1"/>
  <c r="L540" i="11"/>
  <c r="P540" i="11" s="1"/>
  <c r="M540" i="11"/>
  <c r="O540" i="11" s="1"/>
  <c r="K539" i="11"/>
  <c r="N539" i="11" s="1"/>
  <c r="L539" i="11"/>
  <c r="P539" i="11" s="1"/>
  <c r="M539" i="11"/>
  <c r="O539" i="11" s="1"/>
  <c r="K538" i="11"/>
  <c r="N538" i="11" s="1"/>
  <c r="L538" i="11"/>
  <c r="P538" i="11" s="1"/>
  <c r="M538" i="11"/>
  <c r="O538" i="11" s="1"/>
  <c r="K537" i="11"/>
  <c r="N537" i="11" s="1"/>
  <c r="L537" i="11"/>
  <c r="P537" i="11" s="1"/>
  <c r="M537" i="11"/>
  <c r="O537" i="11" s="1"/>
  <c r="K536" i="11"/>
  <c r="N536" i="11" s="1"/>
  <c r="L536" i="11"/>
  <c r="P536" i="11" s="1"/>
  <c r="M536" i="11"/>
  <c r="O536" i="11" s="1"/>
  <c r="K535" i="11"/>
  <c r="N535" i="11" s="1"/>
  <c r="L535" i="11"/>
  <c r="P535" i="11" s="1"/>
  <c r="M535" i="11"/>
  <c r="O535" i="11" s="1"/>
  <c r="K534" i="11"/>
  <c r="L534" i="11"/>
  <c r="M534" i="11"/>
  <c r="O534" i="11" s="1"/>
  <c r="E10" i="13"/>
  <c r="D15" i="6" s="1"/>
  <c r="F10" i="13"/>
  <c r="G10" i="13" s="1"/>
  <c r="K533" i="11"/>
  <c r="N533" i="11" s="1"/>
  <c r="L533" i="11"/>
  <c r="P533" i="11" s="1"/>
  <c r="M533" i="11"/>
  <c r="O533" i="11" s="1"/>
  <c r="K532" i="11"/>
  <c r="N532" i="11" s="1"/>
  <c r="L532" i="11"/>
  <c r="P532" i="11" s="1"/>
  <c r="M532" i="11"/>
  <c r="O532" i="11" s="1"/>
  <c r="K531" i="11"/>
  <c r="N531" i="11" s="1"/>
  <c r="L531" i="11"/>
  <c r="P531" i="11" s="1"/>
  <c r="M531" i="11"/>
  <c r="O531" i="11" s="1"/>
  <c r="K530" i="11"/>
  <c r="N530" i="11" s="1"/>
  <c r="L530" i="11"/>
  <c r="P530" i="11" s="1"/>
  <c r="M530" i="11"/>
  <c r="O530" i="11" s="1"/>
  <c r="K529" i="11"/>
  <c r="N529" i="11" s="1"/>
  <c r="L529" i="11"/>
  <c r="P529" i="11" s="1"/>
  <c r="M529" i="11"/>
  <c r="O529" i="11" s="1"/>
  <c r="K528" i="11"/>
  <c r="N528" i="11" s="1"/>
  <c r="L528" i="11"/>
  <c r="P528" i="11" s="1"/>
  <c r="M528" i="11"/>
  <c r="O528" i="11" s="1"/>
  <c r="K527" i="11"/>
  <c r="N527" i="11" s="1"/>
  <c r="L527" i="11"/>
  <c r="P527" i="11" s="1"/>
  <c r="M527" i="11"/>
  <c r="O527" i="11" s="1"/>
  <c r="K526" i="11"/>
  <c r="N526" i="11" s="1"/>
  <c r="L526" i="11"/>
  <c r="P526" i="11" s="1"/>
  <c r="M526" i="11"/>
  <c r="O526" i="11" s="1"/>
  <c r="K525" i="11"/>
  <c r="N525" i="11" s="1"/>
  <c r="L525" i="11"/>
  <c r="P525" i="11" s="1"/>
  <c r="M525" i="11"/>
  <c r="O525" i="11" s="1"/>
  <c r="K524" i="11"/>
  <c r="N524" i="11" s="1"/>
  <c r="L524" i="11"/>
  <c r="P524" i="11" s="1"/>
  <c r="M524" i="11"/>
  <c r="O524" i="11" s="1"/>
  <c r="K523" i="11"/>
  <c r="N523" i="11" s="1"/>
  <c r="L523" i="11"/>
  <c r="P523" i="11" s="1"/>
  <c r="M523" i="11"/>
  <c r="O523" i="11" s="1"/>
  <c r="K522" i="11"/>
  <c r="N522" i="11" s="1"/>
  <c r="L522" i="11"/>
  <c r="P522" i="11" s="1"/>
  <c r="M522" i="11"/>
  <c r="O522" i="11" s="1"/>
  <c r="K521" i="11"/>
  <c r="N521" i="11" s="1"/>
  <c r="L521" i="11"/>
  <c r="P521" i="11" s="1"/>
  <c r="M521" i="11"/>
  <c r="O521" i="11" s="1"/>
  <c r="K520" i="11"/>
  <c r="N520" i="11" s="1"/>
  <c r="L520" i="11"/>
  <c r="P520" i="11" s="1"/>
  <c r="M520" i="11"/>
  <c r="O520" i="11" s="1"/>
  <c r="K519" i="11"/>
  <c r="N519" i="11" s="1"/>
  <c r="L519" i="11"/>
  <c r="P519" i="11" s="1"/>
  <c r="M519" i="11"/>
  <c r="O519" i="11" s="1"/>
  <c r="K518" i="11"/>
  <c r="N518" i="11" s="1"/>
  <c r="L518" i="11"/>
  <c r="P518" i="11" s="1"/>
  <c r="M518" i="11"/>
  <c r="O518" i="11" s="1"/>
  <c r="K517" i="11"/>
  <c r="N517" i="11" s="1"/>
  <c r="L517" i="11"/>
  <c r="P517" i="11" s="1"/>
  <c r="M517" i="11"/>
  <c r="O517" i="11" s="1"/>
  <c r="K516" i="11"/>
  <c r="N516" i="11" s="1"/>
  <c r="L516" i="11"/>
  <c r="P516" i="11" s="1"/>
  <c r="M516" i="11"/>
  <c r="O516" i="11" s="1"/>
  <c r="K515" i="11"/>
  <c r="N515" i="11" s="1"/>
  <c r="L515" i="11"/>
  <c r="P515" i="11" s="1"/>
  <c r="M515" i="11"/>
  <c r="O515" i="11" s="1"/>
  <c r="K514" i="11"/>
  <c r="N514" i="11" s="1"/>
  <c r="L514" i="11"/>
  <c r="P514" i="11" s="1"/>
  <c r="M514" i="11"/>
  <c r="O514" i="11" s="1"/>
  <c r="K513" i="11"/>
  <c r="N513" i="11" s="1"/>
  <c r="L513" i="11"/>
  <c r="P513" i="11" s="1"/>
  <c r="M513" i="11"/>
  <c r="O513" i="11" s="1"/>
  <c r="K512" i="11"/>
  <c r="N512" i="11" s="1"/>
  <c r="L512" i="11"/>
  <c r="P512" i="11" s="1"/>
  <c r="M512" i="11"/>
  <c r="O512" i="11" s="1"/>
  <c r="K511" i="11"/>
  <c r="N511" i="11" s="1"/>
  <c r="L511" i="11"/>
  <c r="P511" i="11" s="1"/>
  <c r="M511" i="11"/>
  <c r="O511" i="11" s="1"/>
  <c r="K510" i="11"/>
  <c r="N510" i="11" s="1"/>
  <c r="L510" i="11"/>
  <c r="P510" i="11" s="1"/>
  <c r="M510" i="11"/>
  <c r="O510" i="11" s="1"/>
  <c r="K509" i="11"/>
  <c r="N509" i="11" s="1"/>
  <c r="L509" i="11"/>
  <c r="P509" i="11" s="1"/>
  <c r="M509" i="11"/>
  <c r="O509" i="11" s="1"/>
  <c r="K508" i="11"/>
  <c r="N508" i="11" s="1"/>
  <c r="L508" i="11"/>
  <c r="P508" i="11" s="1"/>
  <c r="M508" i="11"/>
  <c r="O508" i="11" s="1"/>
  <c r="K507" i="11"/>
  <c r="N507" i="11" s="1"/>
  <c r="L507" i="11"/>
  <c r="P507" i="11" s="1"/>
  <c r="M507" i="11"/>
  <c r="O507" i="11" s="1"/>
  <c r="K506" i="11"/>
  <c r="N506" i="11" s="1"/>
  <c r="L506" i="11"/>
  <c r="P506" i="11" s="1"/>
  <c r="M506" i="11"/>
  <c r="O506" i="11" s="1"/>
  <c r="K505" i="11"/>
  <c r="N505" i="11" s="1"/>
  <c r="L505" i="11"/>
  <c r="P505" i="11" s="1"/>
  <c r="M505" i="11"/>
  <c r="O505" i="11" s="1"/>
  <c r="K504" i="11"/>
  <c r="N504" i="11" s="1"/>
  <c r="L504" i="11"/>
  <c r="P504" i="11" s="1"/>
  <c r="M504" i="11"/>
  <c r="O504" i="11" s="1"/>
  <c r="K503" i="11"/>
  <c r="N503" i="11" s="1"/>
  <c r="L503" i="11"/>
  <c r="P503" i="11" s="1"/>
  <c r="M503" i="11"/>
  <c r="O503" i="11" s="1"/>
  <c r="K502" i="11"/>
  <c r="N502" i="11" s="1"/>
  <c r="L502" i="11"/>
  <c r="P502" i="11" s="1"/>
  <c r="M502" i="11"/>
  <c r="O502" i="11" s="1"/>
  <c r="K501" i="11"/>
  <c r="N501" i="11" s="1"/>
  <c r="L501" i="11"/>
  <c r="P501" i="11" s="1"/>
  <c r="M501" i="11"/>
  <c r="O501" i="11" s="1"/>
  <c r="K500" i="11"/>
  <c r="N500" i="11" s="1"/>
  <c r="L500" i="11"/>
  <c r="P500" i="11" s="1"/>
  <c r="M500" i="11"/>
  <c r="O500" i="11" s="1"/>
  <c r="K499" i="11"/>
  <c r="N499" i="11" s="1"/>
  <c r="L499" i="11"/>
  <c r="P499" i="11" s="1"/>
  <c r="M499" i="11"/>
  <c r="O499" i="11" s="1"/>
  <c r="K498" i="11"/>
  <c r="N498" i="11" s="1"/>
  <c r="L498" i="11"/>
  <c r="P498" i="11" s="1"/>
  <c r="M498" i="11"/>
  <c r="O498" i="11" s="1"/>
  <c r="K497" i="11"/>
  <c r="N497" i="11" s="1"/>
  <c r="L497" i="11"/>
  <c r="P497" i="11" s="1"/>
  <c r="M497" i="11"/>
  <c r="O497" i="11" s="1"/>
  <c r="K496" i="11"/>
  <c r="N496" i="11" s="1"/>
  <c r="L496" i="11"/>
  <c r="P496" i="11" s="1"/>
  <c r="M496" i="11"/>
  <c r="O496" i="11" s="1"/>
  <c r="K495" i="11"/>
  <c r="N495" i="11" s="1"/>
  <c r="L495" i="11"/>
  <c r="P495" i="11" s="1"/>
  <c r="M495" i="11"/>
  <c r="O495" i="11" s="1"/>
  <c r="K494" i="11"/>
  <c r="N494" i="11" s="1"/>
  <c r="L494" i="11"/>
  <c r="P494" i="11" s="1"/>
  <c r="M494" i="11"/>
  <c r="O494" i="11" s="1"/>
  <c r="K493" i="11"/>
  <c r="N493" i="11" s="1"/>
  <c r="L493" i="11"/>
  <c r="P493" i="11" s="1"/>
  <c r="M493" i="11"/>
  <c r="O493" i="11" s="1"/>
  <c r="K492" i="11"/>
  <c r="N492" i="11" s="1"/>
  <c r="L492" i="11"/>
  <c r="P492" i="11" s="1"/>
  <c r="M492" i="11"/>
  <c r="O492" i="11" s="1"/>
  <c r="K491" i="11"/>
  <c r="N491" i="11" s="1"/>
  <c r="L491" i="11"/>
  <c r="P491" i="11" s="1"/>
  <c r="M491" i="11"/>
  <c r="O491" i="11" s="1"/>
  <c r="K490" i="11"/>
  <c r="N490" i="11" s="1"/>
  <c r="L490" i="11"/>
  <c r="P490" i="11" s="1"/>
  <c r="M490" i="11"/>
  <c r="O490" i="11" s="1"/>
  <c r="K489" i="11"/>
  <c r="N489" i="11" s="1"/>
  <c r="L489" i="11"/>
  <c r="P489" i="11" s="1"/>
  <c r="M489" i="11"/>
  <c r="O489" i="11" s="1"/>
  <c r="K488" i="11"/>
  <c r="N488" i="11" s="1"/>
  <c r="L488" i="11"/>
  <c r="P488" i="11" s="1"/>
  <c r="M488" i="11"/>
  <c r="O488" i="11" s="1"/>
  <c r="K487" i="11"/>
  <c r="N487" i="11" s="1"/>
  <c r="L487" i="11"/>
  <c r="P487" i="11" s="1"/>
  <c r="M487" i="11"/>
  <c r="O487" i="11" s="1"/>
  <c r="K486" i="11"/>
  <c r="N486" i="11" s="1"/>
  <c r="L486" i="11"/>
  <c r="P486" i="11" s="1"/>
  <c r="M486" i="11"/>
  <c r="O486" i="11" s="1"/>
  <c r="K485" i="11"/>
  <c r="N485" i="11" s="1"/>
  <c r="L485" i="11"/>
  <c r="P485" i="11" s="1"/>
  <c r="M485" i="11"/>
  <c r="O485" i="11" s="1"/>
  <c r="K484" i="11"/>
  <c r="N484" i="11" s="1"/>
  <c r="L484" i="11"/>
  <c r="P484" i="11" s="1"/>
  <c r="M484" i="11"/>
  <c r="O484" i="11" s="1"/>
  <c r="K483" i="11"/>
  <c r="N483" i="11" s="1"/>
  <c r="L483" i="11"/>
  <c r="P483" i="11" s="1"/>
  <c r="M483" i="11"/>
  <c r="O483" i="11" s="1"/>
  <c r="K482" i="11"/>
  <c r="N482" i="11" s="1"/>
  <c r="L482" i="11"/>
  <c r="P482" i="11" s="1"/>
  <c r="M482" i="11"/>
  <c r="O482" i="11" s="1"/>
  <c r="K481" i="11"/>
  <c r="N481" i="11" s="1"/>
  <c r="L481" i="11"/>
  <c r="P481" i="11" s="1"/>
  <c r="M481" i="11"/>
  <c r="O481" i="11" s="1"/>
  <c r="K480" i="11"/>
  <c r="N480" i="11" s="1"/>
  <c r="L480" i="11"/>
  <c r="P480" i="11" s="1"/>
  <c r="M480" i="11"/>
  <c r="O480" i="11" s="1"/>
  <c r="K479" i="11"/>
  <c r="N479" i="11" s="1"/>
  <c r="L479" i="11"/>
  <c r="P479" i="11" s="1"/>
  <c r="M479" i="11"/>
  <c r="O479" i="11" s="1"/>
  <c r="K478" i="11"/>
  <c r="N478" i="11" s="1"/>
  <c r="L478" i="11"/>
  <c r="P478" i="11" s="1"/>
  <c r="M478" i="11"/>
  <c r="O478" i="11" s="1"/>
  <c r="K477" i="11"/>
  <c r="N477" i="11" s="1"/>
  <c r="L477" i="11"/>
  <c r="P477" i="11" s="1"/>
  <c r="M477" i="11"/>
  <c r="O477" i="11" s="1"/>
  <c r="K476" i="11"/>
  <c r="N476" i="11" s="1"/>
  <c r="L476" i="11"/>
  <c r="P476" i="11" s="1"/>
  <c r="M476" i="11"/>
  <c r="O476" i="11" s="1"/>
  <c r="K475" i="11"/>
  <c r="N475" i="11" s="1"/>
  <c r="L475" i="11"/>
  <c r="P475" i="11" s="1"/>
  <c r="M475" i="11"/>
  <c r="O475" i="11" s="1"/>
  <c r="K474" i="11"/>
  <c r="N474" i="11" s="1"/>
  <c r="L474" i="11"/>
  <c r="P474" i="11" s="1"/>
  <c r="M474" i="11"/>
  <c r="O474" i="11" s="1"/>
  <c r="K473" i="11"/>
  <c r="N473" i="11" s="1"/>
  <c r="L473" i="11"/>
  <c r="P473" i="11" s="1"/>
  <c r="M473" i="11"/>
  <c r="O473" i="11" s="1"/>
  <c r="K472" i="11"/>
  <c r="N472" i="11" s="1"/>
  <c r="L472" i="11"/>
  <c r="P472" i="11" s="1"/>
  <c r="M472" i="11"/>
  <c r="O472" i="11" s="1"/>
  <c r="K471" i="11"/>
  <c r="N471" i="11" s="1"/>
  <c r="L471" i="11"/>
  <c r="P471" i="11" s="1"/>
  <c r="M471" i="11"/>
  <c r="O471" i="11" s="1"/>
  <c r="K470" i="11"/>
  <c r="N470" i="11" s="1"/>
  <c r="L470" i="11"/>
  <c r="P470" i="11" s="1"/>
  <c r="M470" i="11"/>
  <c r="O470" i="11" s="1"/>
  <c r="K469" i="11"/>
  <c r="N469" i="11" s="1"/>
  <c r="L469" i="11"/>
  <c r="P469" i="11" s="1"/>
  <c r="M469" i="11"/>
  <c r="O469" i="11" s="1"/>
  <c r="K468" i="11"/>
  <c r="N468" i="11" s="1"/>
  <c r="L468" i="11"/>
  <c r="P468" i="11" s="1"/>
  <c r="M468" i="11"/>
  <c r="O468" i="11" s="1"/>
  <c r="K467" i="11"/>
  <c r="N467" i="11" s="1"/>
  <c r="L467" i="11"/>
  <c r="P467" i="11" s="1"/>
  <c r="M467" i="11"/>
  <c r="O467" i="11" s="1"/>
  <c r="K466" i="11"/>
  <c r="N466" i="11" s="1"/>
  <c r="L466" i="11"/>
  <c r="P466" i="11" s="1"/>
  <c r="M466" i="11"/>
  <c r="O466" i="11" s="1"/>
  <c r="K465" i="11"/>
  <c r="N465" i="11" s="1"/>
  <c r="L465" i="11"/>
  <c r="P465" i="11" s="1"/>
  <c r="M465" i="11"/>
  <c r="O465" i="11" s="1"/>
  <c r="K464" i="11"/>
  <c r="N464" i="11" s="1"/>
  <c r="L464" i="11"/>
  <c r="P464" i="11" s="1"/>
  <c r="M464" i="11"/>
  <c r="O464" i="11" s="1"/>
  <c r="K463" i="11"/>
  <c r="N463" i="11" s="1"/>
  <c r="L463" i="11"/>
  <c r="P463" i="11" s="1"/>
  <c r="M463" i="11"/>
  <c r="O463" i="11" s="1"/>
  <c r="K462" i="11"/>
  <c r="N462" i="11" s="1"/>
  <c r="L462" i="11"/>
  <c r="P462" i="11" s="1"/>
  <c r="M462" i="11"/>
  <c r="O462" i="11" s="1"/>
  <c r="K461" i="11"/>
  <c r="N461" i="11" s="1"/>
  <c r="L461" i="11"/>
  <c r="P461" i="11" s="1"/>
  <c r="M461" i="11"/>
  <c r="O461" i="11" s="1"/>
  <c r="K460" i="11"/>
  <c r="N460" i="11" s="1"/>
  <c r="L460" i="11"/>
  <c r="P460" i="11" s="1"/>
  <c r="M460" i="11"/>
  <c r="O460" i="11" s="1"/>
  <c r="K459" i="11"/>
  <c r="N459" i="11" s="1"/>
  <c r="L459" i="11"/>
  <c r="P459" i="11" s="1"/>
  <c r="M459" i="11"/>
  <c r="O459" i="11" s="1"/>
  <c r="K458" i="11"/>
  <c r="N458" i="11" s="1"/>
  <c r="L458" i="11"/>
  <c r="P458" i="11" s="1"/>
  <c r="M458" i="11"/>
  <c r="O458" i="11" s="1"/>
  <c r="K457" i="11"/>
  <c r="N457" i="11" s="1"/>
  <c r="L457" i="11"/>
  <c r="P457" i="11" s="1"/>
  <c r="M457" i="11"/>
  <c r="O457" i="11" s="1"/>
  <c r="K456" i="11"/>
  <c r="N456" i="11" s="1"/>
  <c r="L456" i="11"/>
  <c r="P456" i="11" s="1"/>
  <c r="M456" i="11"/>
  <c r="O456" i="11" s="1"/>
  <c r="K455" i="11"/>
  <c r="N455" i="11" s="1"/>
  <c r="L455" i="11"/>
  <c r="P455" i="11" s="1"/>
  <c r="M455" i="11"/>
  <c r="O455" i="11" s="1"/>
  <c r="K454" i="11"/>
  <c r="N454" i="11" s="1"/>
  <c r="L454" i="11"/>
  <c r="P454" i="11" s="1"/>
  <c r="M454" i="11"/>
  <c r="O454" i="11" s="1"/>
  <c r="K453" i="11"/>
  <c r="N453" i="11" s="1"/>
  <c r="L453" i="11"/>
  <c r="P453" i="11" s="1"/>
  <c r="M453" i="11"/>
  <c r="O453" i="11" s="1"/>
  <c r="K452" i="11"/>
  <c r="N452" i="11" s="1"/>
  <c r="L452" i="11"/>
  <c r="P452" i="11" s="1"/>
  <c r="M452" i="11"/>
  <c r="O452" i="11" s="1"/>
  <c r="K451" i="11"/>
  <c r="N451" i="11" s="1"/>
  <c r="L451" i="11"/>
  <c r="P451" i="11" s="1"/>
  <c r="M451" i="11"/>
  <c r="O451" i="11" s="1"/>
  <c r="K450" i="11"/>
  <c r="N450" i="11" s="1"/>
  <c r="L450" i="11"/>
  <c r="P450" i="11" s="1"/>
  <c r="M450" i="11"/>
  <c r="O450" i="11" s="1"/>
  <c r="K449" i="11"/>
  <c r="L449" i="11"/>
  <c r="M449" i="11"/>
  <c r="O449" i="11" s="1"/>
  <c r="E9" i="13"/>
  <c r="D14" i="6" s="1"/>
  <c r="F9" i="13"/>
  <c r="G9" i="13" s="1"/>
  <c r="K448" i="11"/>
  <c r="N448" i="11" s="1"/>
  <c r="L448" i="11"/>
  <c r="P448" i="11" s="1"/>
  <c r="M448" i="11"/>
  <c r="O448" i="11" s="1"/>
  <c r="K447" i="11"/>
  <c r="N447" i="11" s="1"/>
  <c r="L447" i="11"/>
  <c r="P447" i="11" s="1"/>
  <c r="M447" i="11"/>
  <c r="O447" i="11" s="1"/>
  <c r="K446" i="11"/>
  <c r="N446" i="11" s="1"/>
  <c r="L446" i="11"/>
  <c r="P446" i="11" s="1"/>
  <c r="M446" i="11"/>
  <c r="O446" i="11" s="1"/>
  <c r="K445" i="11"/>
  <c r="N445" i="11" s="1"/>
  <c r="L445" i="11"/>
  <c r="P445" i="11" s="1"/>
  <c r="M445" i="11"/>
  <c r="O445" i="11" s="1"/>
  <c r="K444" i="11"/>
  <c r="N444" i="11" s="1"/>
  <c r="L444" i="11"/>
  <c r="P444" i="11" s="1"/>
  <c r="M444" i="11"/>
  <c r="O444" i="11" s="1"/>
  <c r="K443" i="11"/>
  <c r="N443" i="11" s="1"/>
  <c r="L443" i="11"/>
  <c r="P443" i="11" s="1"/>
  <c r="M443" i="11"/>
  <c r="O443" i="11" s="1"/>
  <c r="K442" i="11"/>
  <c r="N442" i="11" s="1"/>
  <c r="L442" i="11"/>
  <c r="P442" i="11" s="1"/>
  <c r="M442" i="11"/>
  <c r="O442" i="11" s="1"/>
  <c r="K441" i="11"/>
  <c r="N441" i="11" s="1"/>
  <c r="L441" i="11"/>
  <c r="P441" i="11" s="1"/>
  <c r="M441" i="11"/>
  <c r="O441" i="11" s="1"/>
  <c r="K440" i="11"/>
  <c r="N440" i="11" s="1"/>
  <c r="L440" i="11"/>
  <c r="P440" i="11" s="1"/>
  <c r="M440" i="11"/>
  <c r="O440" i="11" s="1"/>
  <c r="K439" i="11"/>
  <c r="N439" i="11" s="1"/>
  <c r="L439" i="11"/>
  <c r="P439" i="11" s="1"/>
  <c r="M439" i="11"/>
  <c r="O439" i="11" s="1"/>
  <c r="K438" i="11"/>
  <c r="N438" i="11" s="1"/>
  <c r="L438" i="11"/>
  <c r="P438" i="11" s="1"/>
  <c r="M438" i="11"/>
  <c r="O438" i="11" s="1"/>
  <c r="K437" i="11"/>
  <c r="N437" i="11" s="1"/>
  <c r="L437" i="11"/>
  <c r="P437" i="11" s="1"/>
  <c r="M437" i="11"/>
  <c r="O437" i="11" s="1"/>
  <c r="K436" i="11"/>
  <c r="N436" i="11" s="1"/>
  <c r="L436" i="11"/>
  <c r="P436" i="11" s="1"/>
  <c r="M436" i="11"/>
  <c r="O436" i="11" s="1"/>
  <c r="K435" i="11"/>
  <c r="N435" i="11" s="1"/>
  <c r="L435" i="11"/>
  <c r="P435" i="11" s="1"/>
  <c r="M435" i="11"/>
  <c r="O435" i="11" s="1"/>
  <c r="K434" i="11"/>
  <c r="N434" i="11" s="1"/>
  <c r="L434" i="11"/>
  <c r="P434" i="11" s="1"/>
  <c r="M434" i="11"/>
  <c r="O434" i="11" s="1"/>
  <c r="K433" i="11"/>
  <c r="N433" i="11" s="1"/>
  <c r="L433" i="11"/>
  <c r="P433" i="11" s="1"/>
  <c r="M433" i="11"/>
  <c r="O433" i="11" s="1"/>
  <c r="K432" i="11"/>
  <c r="N432" i="11" s="1"/>
  <c r="L432" i="11"/>
  <c r="P432" i="11" s="1"/>
  <c r="M432" i="11"/>
  <c r="O432" i="11" s="1"/>
  <c r="K431" i="11"/>
  <c r="N431" i="11" s="1"/>
  <c r="L431" i="11"/>
  <c r="P431" i="11" s="1"/>
  <c r="M431" i="11"/>
  <c r="O431" i="11" s="1"/>
  <c r="K430" i="11"/>
  <c r="N430" i="11" s="1"/>
  <c r="L430" i="11"/>
  <c r="P430" i="11" s="1"/>
  <c r="M430" i="11"/>
  <c r="O430" i="11" s="1"/>
  <c r="K429" i="11"/>
  <c r="N429" i="11" s="1"/>
  <c r="L429" i="11"/>
  <c r="P429" i="11" s="1"/>
  <c r="M429" i="11"/>
  <c r="O429" i="11" s="1"/>
  <c r="K428" i="11"/>
  <c r="N428" i="11" s="1"/>
  <c r="L428" i="11"/>
  <c r="P428" i="11" s="1"/>
  <c r="M428" i="11"/>
  <c r="O428" i="11" s="1"/>
  <c r="K427" i="11"/>
  <c r="N427" i="11" s="1"/>
  <c r="L427" i="11"/>
  <c r="P427" i="11" s="1"/>
  <c r="M427" i="11"/>
  <c r="O427" i="11" s="1"/>
  <c r="K426" i="11"/>
  <c r="N426" i="11" s="1"/>
  <c r="L426" i="11"/>
  <c r="P426" i="11" s="1"/>
  <c r="M426" i="11"/>
  <c r="O426" i="11" s="1"/>
  <c r="K425" i="11"/>
  <c r="N425" i="11" s="1"/>
  <c r="L425" i="11"/>
  <c r="P425" i="11" s="1"/>
  <c r="M425" i="11"/>
  <c r="O425" i="11" s="1"/>
  <c r="K424" i="11"/>
  <c r="N424" i="11" s="1"/>
  <c r="L424" i="11"/>
  <c r="P424" i="11" s="1"/>
  <c r="M424" i="11"/>
  <c r="O424" i="11" s="1"/>
  <c r="K423" i="11"/>
  <c r="N423" i="11" s="1"/>
  <c r="L423" i="11"/>
  <c r="P423" i="11" s="1"/>
  <c r="M423" i="11"/>
  <c r="O423" i="11" s="1"/>
  <c r="K422" i="11"/>
  <c r="N422" i="11" s="1"/>
  <c r="L422" i="11"/>
  <c r="P422" i="11" s="1"/>
  <c r="M422" i="11"/>
  <c r="O422" i="11" s="1"/>
  <c r="K421" i="11"/>
  <c r="N421" i="11" s="1"/>
  <c r="L421" i="11"/>
  <c r="P421" i="11" s="1"/>
  <c r="M421" i="11"/>
  <c r="O421" i="11" s="1"/>
  <c r="K420" i="11"/>
  <c r="N420" i="11" s="1"/>
  <c r="L420" i="11"/>
  <c r="P420" i="11" s="1"/>
  <c r="M420" i="11"/>
  <c r="O420" i="11" s="1"/>
  <c r="K419" i="11"/>
  <c r="N419" i="11" s="1"/>
  <c r="L419" i="11"/>
  <c r="P419" i="11" s="1"/>
  <c r="M419" i="11"/>
  <c r="O419" i="11" s="1"/>
  <c r="K418" i="11"/>
  <c r="N418" i="11" s="1"/>
  <c r="L418" i="11"/>
  <c r="P418" i="11" s="1"/>
  <c r="M418" i="11"/>
  <c r="O418" i="11" s="1"/>
  <c r="K417" i="11"/>
  <c r="N417" i="11" s="1"/>
  <c r="L417" i="11"/>
  <c r="P417" i="11" s="1"/>
  <c r="M417" i="11"/>
  <c r="O417" i="11" s="1"/>
  <c r="K416" i="11"/>
  <c r="N416" i="11" s="1"/>
  <c r="L416" i="11"/>
  <c r="P416" i="11" s="1"/>
  <c r="M416" i="11"/>
  <c r="O416" i="11" s="1"/>
  <c r="K415" i="11"/>
  <c r="N415" i="11" s="1"/>
  <c r="L415" i="11"/>
  <c r="P415" i="11" s="1"/>
  <c r="M415" i="11"/>
  <c r="O415" i="11" s="1"/>
  <c r="K414" i="11"/>
  <c r="N414" i="11" s="1"/>
  <c r="L414" i="11"/>
  <c r="P414" i="11" s="1"/>
  <c r="M414" i="11"/>
  <c r="O414" i="11" s="1"/>
  <c r="K413" i="11"/>
  <c r="N413" i="11" s="1"/>
  <c r="L413" i="11"/>
  <c r="P413" i="11" s="1"/>
  <c r="M413" i="11"/>
  <c r="O413" i="11" s="1"/>
  <c r="K412" i="11"/>
  <c r="N412" i="11" s="1"/>
  <c r="L412" i="11"/>
  <c r="P412" i="11" s="1"/>
  <c r="M412" i="11"/>
  <c r="O412" i="11" s="1"/>
  <c r="K411" i="11"/>
  <c r="N411" i="11" s="1"/>
  <c r="L411" i="11"/>
  <c r="P411" i="11" s="1"/>
  <c r="M411" i="11"/>
  <c r="O411" i="11" s="1"/>
  <c r="K410" i="11"/>
  <c r="N410" i="11" s="1"/>
  <c r="L410" i="11"/>
  <c r="P410" i="11" s="1"/>
  <c r="M410" i="11"/>
  <c r="O410" i="11" s="1"/>
  <c r="K409" i="11"/>
  <c r="N409" i="11" s="1"/>
  <c r="L409" i="11"/>
  <c r="P409" i="11" s="1"/>
  <c r="M409" i="11"/>
  <c r="O409" i="11" s="1"/>
  <c r="K408" i="11"/>
  <c r="N408" i="11" s="1"/>
  <c r="L408" i="11"/>
  <c r="P408" i="11" s="1"/>
  <c r="M408" i="11"/>
  <c r="O408" i="11" s="1"/>
  <c r="K407" i="11"/>
  <c r="N407" i="11" s="1"/>
  <c r="L407" i="11"/>
  <c r="P407" i="11" s="1"/>
  <c r="M407" i="11"/>
  <c r="O407" i="11" s="1"/>
  <c r="K406" i="11"/>
  <c r="N406" i="11" s="1"/>
  <c r="L406" i="11"/>
  <c r="P406" i="11" s="1"/>
  <c r="M406" i="11"/>
  <c r="O406" i="11" s="1"/>
  <c r="K405" i="11"/>
  <c r="N405" i="11" s="1"/>
  <c r="L405" i="11"/>
  <c r="P405" i="11" s="1"/>
  <c r="M405" i="11"/>
  <c r="O405" i="11" s="1"/>
  <c r="K404" i="11"/>
  <c r="N404" i="11" s="1"/>
  <c r="L404" i="11"/>
  <c r="P404" i="11" s="1"/>
  <c r="M404" i="11"/>
  <c r="O404" i="11" s="1"/>
  <c r="K403" i="11"/>
  <c r="N403" i="11" s="1"/>
  <c r="L403" i="11"/>
  <c r="P403" i="11" s="1"/>
  <c r="M403" i="11"/>
  <c r="O403" i="11" s="1"/>
  <c r="K402" i="11"/>
  <c r="N402" i="11" s="1"/>
  <c r="L402" i="11"/>
  <c r="P402" i="11" s="1"/>
  <c r="M402" i="11"/>
  <c r="O402" i="11" s="1"/>
  <c r="K401" i="11"/>
  <c r="N401" i="11" s="1"/>
  <c r="L401" i="11"/>
  <c r="P401" i="11" s="1"/>
  <c r="M401" i="11"/>
  <c r="O401" i="11" s="1"/>
  <c r="K400" i="11"/>
  <c r="N400" i="11" s="1"/>
  <c r="L400" i="11"/>
  <c r="P400" i="11" s="1"/>
  <c r="M400" i="11"/>
  <c r="O400" i="11" s="1"/>
  <c r="K399" i="11"/>
  <c r="N399" i="11" s="1"/>
  <c r="L399" i="11"/>
  <c r="P399" i="11" s="1"/>
  <c r="M399" i="11"/>
  <c r="O399" i="11" s="1"/>
  <c r="K398" i="11"/>
  <c r="N398" i="11" s="1"/>
  <c r="L398" i="11"/>
  <c r="P398" i="11" s="1"/>
  <c r="M398" i="11"/>
  <c r="O398" i="11" s="1"/>
  <c r="K397" i="11"/>
  <c r="N397" i="11" s="1"/>
  <c r="L397" i="11"/>
  <c r="P397" i="11" s="1"/>
  <c r="M397" i="11"/>
  <c r="O397" i="11" s="1"/>
  <c r="K396" i="11"/>
  <c r="N396" i="11" s="1"/>
  <c r="L396" i="11"/>
  <c r="P396" i="11" s="1"/>
  <c r="M396" i="11"/>
  <c r="O396" i="11" s="1"/>
  <c r="K395" i="11"/>
  <c r="N395" i="11" s="1"/>
  <c r="L395" i="11"/>
  <c r="P395" i="11" s="1"/>
  <c r="M395" i="11"/>
  <c r="O395" i="11" s="1"/>
  <c r="K394" i="11"/>
  <c r="N394" i="11" s="1"/>
  <c r="L394" i="11"/>
  <c r="P394" i="11" s="1"/>
  <c r="M394" i="11"/>
  <c r="O394" i="11" s="1"/>
  <c r="K393" i="11"/>
  <c r="N393" i="11" s="1"/>
  <c r="L393" i="11"/>
  <c r="P393" i="11" s="1"/>
  <c r="M393" i="11"/>
  <c r="O393" i="11" s="1"/>
  <c r="K392" i="11"/>
  <c r="N392" i="11" s="1"/>
  <c r="L392" i="11"/>
  <c r="P392" i="11" s="1"/>
  <c r="M392" i="11"/>
  <c r="O392" i="11" s="1"/>
  <c r="K391" i="11"/>
  <c r="N391" i="11" s="1"/>
  <c r="L391" i="11"/>
  <c r="P391" i="11" s="1"/>
  <c r="M391" i="11"/>
  <c r="O391" i="11" s="1"/>
  <c r="K390" i="11"/>
  <c r="N390" i="11" s="1"/>
  <c r="L390" i="11"/>
  <c r="P390" i="11" s="1"/>
  <c r="M390" i="11"/>
  <c r="O390" i="11" s="1"/>
  <c r="K389" i="11"/>
  <c r="N389" i="11" s="1"/>
  <c r="L389" i="11"/>
  <c r="P389" i="11" s="1"/>
  <c r="M389" i="11"/>
  <c r="O389" i="11" s="1"/>
  <c r="K388" i="11"/>
  <c r="N388" i="11" s="1"/>
  <c r="L388" i="11"/>
  <c r="P388" i="11" s="1"/>
  <c r="M388" i="11"/>
  <c r="O388" i="11" s="1"/>
  <c r="K387" i="11"/>
  <c r="N387" i="11" s="1"/>
  <c r="L387" i="11"/>
  <c r="P387" i="11" s="1"/>
  <c r="M387" i="11"/>
  <c r="O387" i="11" s="1"/>
  <c r="K386" i="11"/>
  <c r="N386" i="11" s="1"/>
  <c r="L386" i="11"/>
  <c r="P386" i="11" s="1"/>
  <c r="M386" i="11"/>
  <c r="O386" i="11" s="1"/>
  <c r="K385" i="11"/>
  <c r="N385" i="11" s="1"/>
  <c r="L385" i="11"/>
  <c r="P385" i="11" s="1"/>
  <c r="M385" i="11"/>
  <c r="O385" i="11" s="1"/>
  <c r="K384" i="11"/>
  <c r="N384" i="11" s="1"/>
  <c r="L384" i="11"/>
  <c r="P384" i="11" s="1"/>
  <c r="M384" i="11"/>
  <c r="O384" i="11" s="1"/>
  <c r="K383" i="11"/>
  <c r="N383" i="11" s="1"/>
  <c r="L383" i="11"/>
  <c r="P383" i="11" s="1"/>
  <c r="M383" i="11"/>
  <c r="O383" i="11" s="1"/>
  <c r="K382" i="11"/>
  <c r="N382" i="11" s="1"/>
  <c r="L382" i="11"/>
  <c r="P382" i="11" s="1"/>
  <c r="M382" i="11"/>
  <c r="O382" i="11" s="1"/>
  <c r="K381" i="11"/>
  <c r="N381" i="11" s="1"/>
  <c r="L381" i="11"/>
  <c r="P381" i="11" s="1"/>
  <c r="M381" i="11"/>
  <c r="O381" i="11" s="1"/>
  <c r="K380" i="11"/>
  <c r="N380" i="11" s="1"/>
  <c r="L380" i="11"/>
  <c r="P380" i="11" s="1"/>
  <c r="M380" i="11"/>
  <c r="O380" i="11" s="1"/>
  <c r="K379" i="11"/>
  <c r="N379" i="11" s="1"/>
  <c r="L379" i="11"/>
  <c r="P379" i="11" s="1"/>
  <c r="M379" i="11"/>
  <c r="O379" i="11" s="1"/>
  <c r="K378" i="11"/>
  <c r="N378" i="11" s="1"/>
  <c r="L378" i="11"/>
  <c r="P378" i="11" s="1"/>
  <c r="M378" i="11"/>
  <c r="O378" i="11" s="1"/>
  <c r="K377" i="11"/>
  <c r="N377" i="11" s="1"/>
  <c r="L377" i="11"/>
  <c r="P377" i="11" s="1"/>
  <c r="M377" i="11"/>
  <c r="O377" i="11" s="1"/>
  <c r="K376" i="11"/>
  <c r="N376" i="11" s="1"/>
  <c r="L376" i="11"/>
  <c r="P376" i="11" s="1"/>
  <c r="M376" i="11"/>
  <c r="O376" i="11" s="1"/>
  <c r="K375" i="11"/>
  <c r="N375" i="11" s="1"/>
  <c r="L375" i="11"/>
  <c r="P375" i="11" s="1"/>
  <c r="M375" i="11"/>
  <c r="O375" i="11" s="1"/>
  <c r="K374" i="11"/>
  <c r="N374" i="11" s="1"/>
  <c r="L374" i="11"/>
  <c r="P374" i="11" s="1"/>
  <c r="M374" i="11"/>
  <c r="O374" i="11" s="1"/>
  <c r="K373" i="11"/>
  <c r="N373" i="11" s="1"/>
  <c r="L373" i="11"/>
  <c r="P373" i="11" s="1"/>
  <c r="M373" i="11"/>
  <c r="O373" i="11" s="1"/>
  <c r="K372" i="11"/>
  <c r="N372" i="11" s="1"/>
  <c r="L372" i="11"/>
  <c r="P372" i="11" s="1"/>
  <c r="M372" i="11"/>
  <c r="O372" i="11" s="1"/>
  <c r="K371" i="11"/>
  <c r="N371" i="11" s="1"/>
  <c r="L371" i="11"/>
  <c r="P371" i="11" s="1"/>
  <c r="M371" i="11"/>
  <c r="O371" i="11" s="1"/>
  <c r="K370" i="11"/>
  <c r="N370" i="11" s="1"/>
  <c r="L370" i="11"/>
  <c r="P370" i="11" s="1"/>
  <c r="M370" i="11"/>
  <c r="O370" i="11" s="1"/>
  <c r="K369" i="11"/>
  <c r="N369" i="11" s="1"/>
  <c r="L369" i="11"/>
  <c r="P369" i="11" s="1"/>
  <c r="M369" i="11"/>
  <c r="O369" i="11" s="1"/>
  <c r="K368" i="11"/>
  <c r="N368" i="11" s="1"/>
  <c r="L368" i="11"/>
  <c r="P368" i="11" s="1"/>
  <c r="M368" i="11"/>
  <c r="O368" i="11" s="1"/>
  <c r="K367" i="11"/>
  <c r="N367" i="11" s="1"/>
  <c r="L367" i="11"/>
  <c r="P367" i="11" s="1"/>
  <c r="M367" i="11"/>
  <c r="O367" i="11" s="1"/>
  <c r="K366" i="11"/>
  <c r="N366" i="11" s="1"/>
  <c r="L366" i="11"/>
  <c r="P366" i="11" s="1"/>
  <c r="M366" i="11"/>
  <c r="O366" i="11" s="1"/>
  <c r="K365" i="11"/>
  <c r="N365" i="11" s="1"/>
  <c r="L365" i="11"/>
  <c r="P365" i="11" s="1"/>
  <c r="M365" i="11"/>
  <c r="O365" i="11" s="1"/>
  <c r="K364" i="11"/>
  <c r="L364" i="11"/>
  <c r="M364" i="11"/>
  <c r="O364" i="11" s="1"/>
  <c r="E8" i="13"/>
  <c r="D13" i="6" s="1"/>
  <c r="F8" i="13"/>
  <c r="G8" i="13" s="1"/>
  <c r="K363" i="11"/>
  <c r="N363" i="11" s="1"/>
  <c r="L363" i="11"/>
  <c r="P363" i="11" s="1"/>
  <c r="M363" i="11"/>
  <c r="O363" i="11" s="1"/>
  <c r="K362" i="11"/>
  <c r="N362" i="11" s="1"/>
  <c r="L362" i="11"/>
  <c r="P362" i="11" s="1"/>
  <c r="M362" i="11"/>
  <c r="O362" i="11" s="1"/>
  <c r="K361" i="11"/>
  <c r="N361" i="11" s="1"/>
  <c r="L361" i="11"/>
  <c r="P361" i="11" s="1"/>
  <c r="M361" i="11"/>
  <c r="O361" i="11" s="1"/>
  <c r="K360" i="11"/>
  <c r="N360" i="11" s="1"/>
  <c r="L360" i="11"/>
  <c r="P360" i="11" s="1"/>
  <c r="M360" i="11"/>
  <c r="O360" i="11" s="1"/>
  <c r="K359" i="11"/>
  <c r="N359" i="11" s="1"/>
  <c r="L359" i="11"/>
  <c r="P359" i="11" s="1"/>
  <c r="M359" i="11"/>
  <c r="O359" i="11" s="1"/>
  <c r="K358" i="11"/>
  <c r="N358" i="11" s="1"/>
  <c r="L358" i="11"/>
  <c r="P358" i="11" s="1"/>
  <c r="M358" i="11"/>
  <c r="O358" i="11" s="1"/>
  <c r="K357" i="11"/>
  <c r="N357" i="11" s="1"/>
  <c r="L357" i="11"/>
  <c r="P357" i="11" s="1"/>
  <c r="M357" i="11"/>
  <c r="O357" i="11" s="1"/>
  <c r="K356" i="11"/>
  <c r="N356" i="11" s="1"/>
  <c r="L356" i="11"/>
  <c r="P356" i="11" s="1"/>
  <c r="M356" i="11"/>
  <c r="O356" i="11" s="1"/>
  <c r="K355" i="11"/>
  <c r="N355" i="11" s="1"/>
  <c r="L355" i="11"/>
  <c r="P355" i="11" s="1"/>
  <c r="M355" i="11"/>
  <c r="O355" i="11" s="1"/>
  <c r="K354" i="11"/>
  <c r="N354" i="11" s="1"/>
  <c r="L354" i="11"/>
  <c r="P354" i="11" s="1"/>
  <c r="M354" i="11"/>
  <c r="O354" i="11" s="1"/>
  <c r="K353" i="11"/>
  <c r="N353" i="11" s="1"/>
  <c r="L353" i="11"/>
  <c r="P353" i="11" s="1"/>
  <c r="M353" i="11"/>
  <c r="O353" i="11" s="1"/>
  <c r="K352" i="11"/>
  <c r="N352" i="11" s="1"/>
  <c r="L352" i="11"/>
  <c r="P352" i="11" s="1"/>
  <c r="M352" i="11"/>
  <c r="O352" i="11" s="1"/>
  <c r="K351" i="11"/>
  <c r="N351" i="11" s="1"/>
  <c r="L351" i="11"/>
  <c r="P351" i="11" s="1"/>
  <c r="M351" i="11"/>
  <c r="O351" i="11" s="1"/>
  <c r="L350" i="11"/>
  <c r="P350" i="11" s="1"/>
  <c r="K350" i="11"/>
  <c r="N350" i="11" s="1"/>
  <c r="M350" i="11"/>
  <c r="O350" i="11" s="1"/>
  <c r="K349" i="11"/>
  <c r="N349" i="11" s="1"/>
  <c r="L349" i="11"/>
  <c r="P349" i="11" s="1"/>
  <c r="M349" i="11"/>
  <c r="O349" i="11" s="1"/>
  <c r="L348" i="11"/>
  <c r="P348" i="11" s="1"/>
  <c r="K348" i="11"/>
  <c r="N348" i="11" s="1"/>
  <c r="M348" i="11"/>
  <c r="O348" i="11" s="1"/>
  <c r="K347" i="11"/>
  <c r="N347" i="11" s="1"/>
  <c r="L347" i="11"/>
  <c r="P347" i="11" s="1"/>
  <c r="M347" i="11"/>
  <c r="O347" i="11" s="1"/>
  <c r="K346" i="11"/>
  <c r="N346" i="11" s="1"/>
  <c r="L346" i="11"/>
  <c r="P346" i="11" s="1"/>
  <c r="M346" i="11"/>
  <c r="O346" i="11" s="1"/>
  <c r="K345" i="11"/>
  <c r="N345" i="11" s="1"/>
  <c r="L345" i="11"/>
  <c r="P345" i="11" s="1"/>
  <c r="M345" i="11"/>
  <c r="O345" i="11" s="1"/>
  <c r="K344" i="11"/>
  <c r="N344" i="11" s="1"/>
  <c r="L344" i="11"/>
  <c r="P344" i="11" s="1"/>
  <c r="M344" i="11"/>
  <c r="O344" i="11" s="1"/>
  <c r="K343" i="11"/>
  <c r="N343" i="11" s="1"/>
  <c r="L343" i="11"/>
  <c r="P343" i="11" s="1"/>
  <c r="M343" i="11"/>
  <c r="O343" i="11" s="1"/>
  <c r="K342" i="11"/>
  <c r="N342" i="11" s="1"/>
  <c r="L342" i="11"/>
  <c r="P342" i="11" s="1"/>
  <c r="M342" i="11"/>
  <c r="O342" i="11" s="1"/>
  <c r="K341" i="11"/>
  <c r="N341" i="11" s="1"/>
  <c r="L341" i="11"/>
  <c r="P341" i="11" s="1"/>
  <c r="M341" i="11"/>
  <c r="O341" i="11" s="1"/>
  <c r="K340" i="11"/>
  <c r="N340" i="11" s="1"/>
  <c r="L340" i="11"/>
  <c r="P340" i="11" s="1"/>
  <c r="M340" i="11"/>
  <c r="O340" i="11" s="1"/>
  <c r="K339" i="11"/>
  <c r="N339" i="11" s="1"/>
  <c r="L339" i="11"/>
  <c r="P339" i="11" s="1"/>
  <c r="M339" i="11"/>
  <c r="O339" i="11" s="1"/>
  <c r="K338" i="11"/>
  <c r="N338" i="11" s="1"/>
  <c r="L338" i="11"/>
  <c r="P338" i="11" s="1"/>
  <c r="M338" i="11"/>
  <c r="O338" i="11" s="1"/>
  <c r="K337" i="11"/>
  <c r="N337" i="11" s="1"/>
  <c r="L337" i="11"/>
  <c r="P337" i="11" s="1"/>
  <c r="M337" i="11"/>
  <c r="O337" i="11" s="1"/>
  <c r="K336" i="11"/>
  <c r="N336" i="11" s="1"/>
  <c r="L336" i="11"/>
  <c r="P336" i="11" s="1"/>
  <c r="M336" i="11"/>
  <c r="O336" i="11" s="1"/>
  <c r="K335" i="11"/>
  <c r="N335" i="11" s="1"/>
  <c r="L335" i="11"/>
  <c r="P335" i="11" s="1"/>
  <c r="M335" i="11"/>
  <c r="O335" i="11" s="1"/>
  <c r="K334" i="11"/>
  <c r="N334" i="11" s="1"/>
  <c r="L334" i="11"/>
  <c r="P334" i="11" s="1"/>
  <c r="M334" i="11"/>
  <c r="O334" i="11" s="1"/>
  <c r="K333" i="11"/>
  <c r="N333" i="11" s="1"/>
  <c r="L333" i="11"/>
  <c r="P333" i="11" s="1"/>
  <c r="M333" i="11"/>
  <c r="O333" i="11" s="1"/>
  <c r="K332" i="11"/>
  <c r="N332" i="11" s="1"/>
  <c r="L332" i="11"/>
  <c r="P332" i="11" s="1"/>
  <c r="M332" i="11"/>
  <c r="O332" i="11" s="1"/>
  <c r="K331" i="11"/>
  <c r="N331" i="11" s="1"/>
  <c r="L331" i="11"/>
  <c r="P331" i="11" s="1"/>
  <c r="M331" i="11"/>
  <c r="O331" i="11" s="1"/>
  <c r="K330" i="11"/>
  <c r="N330" i="11" s="1"/>
  <c r="L330" i="11"/>
  <c r="P330" i="11" s="1"/>
  <c r="M330" i="11"/>
  <c r="O330" i="11" s="1"/>
  <c r="K329" i="11"/>
  <c r="N329" i="11" s="1"/>
  <c r="L329" i="11"/>
  <c r="P329" i="11" s="1"/>
  <c r="M329" i="11"/>
  <c r="O329" i="11" s="1"/>
  <c r="K328" i="11"/>
  <c r="N328" i="11" s="1"/>
  <c r="L328" i="11"/>
  <c r="P328" i="11" s="1"/>
  <c r="M328" i="11"/>
  <c r="O328" i="11" s="1"/>
  <c r="K327" i="11"/>
  <c r="N327" i="11" s="1"/>
  <c r="L327" i="11"/>
  <c r="P327" i="11" s="1"/>
  <c r="M327" i="11"/>
  <c r="O327" i="11" s="1"/>
  <c r="K326" i="11"/>
  <c r="N326" i="11" s="1"/>
  <c r="L326" i="11"/>
  <c r="P326" i="11" s="1"/>
  <c r="M326" i="11"/>
  <c r="O326" i="11" s="1"/>
  <c r="K325" i="11"/>
  <c r="N325" i="11" s="1"/>
  <c r="L325" i="11"/>
  <c r="P325" i="11" s="1"/>
  <c r="M325" i="11"/>
  <c r="O325" i="11" s="1"/>
  <c r="K324" i="11"/>
  <c r="N324" i="11" s="1"/>
  <c r="L324" i="11"/>
  <c r="P324" i="11" s="1"/>
  <c r="M324" i="11"/>
  <c r="O324" i="11" s="1"/>
  <c r="K323" i="11"/>
  <c r="N323" i="11" s="1"/>
  <c r="L323" i="11"/>
  <c r="P323" i="11" s="1"/>
  <c r="M323" i="11"/>
  <c r="O323" i="11" s="1"/>
  <c r="K322" i="11"/>
  <c r="N322" i="11" s="1"/>
  <c r="L322" i="11"/>
  <c r="P322" i="11" s="1"/>
  <c r="M322" i="11"/>
  <c r="O322" i="11" s="1"/>
  <c r="K321" i="11"/>
  <c r="N321" i="11" s="1"/>
  <c r="L321" i="11"/>
  <c r="P321" i="11" s="1"/>
  <c r="M321" i="11"/>
  <c r="O321" i="11" s="1"/>
  <c r="K320" i="11"/>
  <c r="N320" i="11" s="1"/>
  <c r="L320" i="11"/>
  <c r="P320" i="11" s="1"/>
  <c r="M320" i="11"/>
  <c r="O320" i="11" s="1"/>
  <c r="K319" i="11"/>
  <c r="N319" i="11" s="1"/>
  <c r="L319" i="11"/>
  <c r="P319" i="11" s="1"/>
  <c r="M319" i="11"/>
  <c r="O319" i="11" s="1"/>
  <c r="K318" i="11"/>
  <c r="N318" i="11" s="1"/>
  <c r="L318" i="11"/>
  <c r="P318" i="11" s="1"/>
  <c r="M318" i="11"/>
  <c r="O318" i="11" s="1"/>
  <c r="K317" i="11"/>
  <c r="N317" i="11" s="1"/>
  <c r="L317" i="11"/>
  <c r="P317" i="11" s="1"/>
  <c r="M317" i="11"/>
  <c r="O317" i="11" s="1"/>
  <c r="K316" i="11"/>
  <c r="N316" i="11" s="1"/>
  <c r="L316" i="11"/>
  <c r="P316" i="11" s="1"/>
  <c r="M316" i="11"/>
  <c r="O316" i="11" s="1"/>
  <c r="K315" i="11"/>
  <c r="N315" i="11" s="1"/>
  <c r="L315" i="11"/>
  <c r="P315" i="11" s="1"/>
  <c r="M315" i="11"/>
  <c r="O315" i="11" s="1"/>
  <c r="K314" i="11"/>
  <c r="N314" i="11" s="1"/>
  <c r="L314" i="11"/>
  <c r="P314" i="11" s="1"/>
  <c r="M314" i="11"/>
  <c r="O314" i="11" s="1"/>
  <c r="K313" i="11"/>
  <c r="N313" i="11" s="1"/>
  <c r="L313" i="11"/>
  <c r="P313" i="11" s="1"/>
  <c r="M313" i="11"/>
  <c r="O313" i="11" s="1"/>
  <c r="K312" i="11"/>
  <c r="N312" i="11" s="1"/>
  <c r="L312" i="11"/>
  <c r="P312" i="11" s="1"/>
  <c r="M312" i="11"/>
  <c r="O312" i="11" s="1"/>
  <c r="K311" i="11"/>
  <c r="N311" i="11" s="1"/>
  <c r="L311" i="11"/>
  <c r="P311" i="11" s="1"/>
  <c r="M311" i="11"/>
  <c r="O311" i="11" s="1"/>
  <c r="K310" i="11"/>
  <c r="N310" i="11" s="1"/>
  <c r="L310" i="11"/>
  <c r="P310" i="11" s="1"/>
  <c r="M310" i="11"/>
  <c r="O310" i="11" s="1"/>
  <c r="K309" i="11"/>
  <c r="N309" i="11" s="1"/>
  <c r="L309" i="11"/>
  <c r="P309" i="11" s="1"/>
  <c r="M309" i="11"/>
  <c r="O309" i="11" s="1"/>
  <c r="K308" i="11"/>
  <c r="N308" i="11" s="1"/>
  <c r="L308" i="11"/>
  <c r="P308" i="11" s="1"/>
  <c r="M308" i="11"/>
  <c r="O308" i="11" s="1"/>
  <c r="K307" i="11"/>
  <c r="N307" i="11" s="1"/>
  <c r="L307" i="11"/>
  <c r="P307" i="11" s="1"/>
  <c r="M307" i="11"/>
  <c r="O307" i="11" s="1"/>
  <c r="K306" i="11"/>
  <c r="N306" i="11" s="1"/>
  <c r="L306" i="11"/>
  <c r="P306" i="11" s="1"/>
  <c r="M306" i="11"/>
  <c r="O306" i="11" s="1"/>
  <c r="K305" i="11"/>
  <c r="N305" i="11" s="1"/>
  <c r="L305" i="11"/>
  <c r="P305" i="11" s="1"/>
  <c r="M305" i="11"/>
  <c r="O305" i="11" s="1"/>
  <c r="K304" i="11"/>
  <c r="N304" i="11" s="1"/>
  <c r="L304" i="11"/>
  <c r="P304" i="11" s="1"/>
  <c r="M304" i="11"/>
  <c r="O304" i="11" s="1"/>
  <c r="K303" i="11"/>
  <c r="N303" i="11" s="1"/>
  <c r="L303" i="11"/>
  <c r="P303" i="11" s="1"/>
  <c r="M303" i="11"/>
  <c r="O303" i="11" s="1"/>
  <c r="K302" i="11"/>
  <c r="N302" i="11" s="1"/>
  <c r="L302" i="11"/>
  <c r="P302" i="11" s="1"/>
  <c r="M302" i="11"/>
  <c r="O302" i="11" s="1"/>
  <c r="K301" i="11"/>
  <c r="N301" i="11" s="1"/>
  <c r="L301" i="11"/>
  <c r="P301" i="11" s="1"/>
  <c r="M301" i="11"/>
  <c r="O301" i="11" s="1"/>
  <c r="K300" i="11"/>
  <c r="N300" i="11" s="1"/>
  <c r="L300" i="11"/>
  <c r="P300" i="11" s="1"/>
  <c r="M300" i="11"/>
  <c r="O300" i="11" s="1"/>
  <c r="K299" i="11"/>
  <c r="N299" i="11" s="1"/>
  <c r="L299" i="11"/>
  <c r="P299" i="11" s="1"/>
  <c r="M299" i="11"/>
  <c r="O299" i="11" s="1"/>
  <c r="K298" i="11"/>
  <c r="N298" i="11" s="1"/>
  <c r="L298" i="11"/>
  <c r="P298" i="11" s="1"/>
  <c r="M298" i="11"/>
  <c r="O298" i="11" s="1"/>
  <c r="K297" i="11"/>
  <c r="N297" i="11" s="1"/>
  <c r="L297" i="11"/>
  <c r="P297" i="11" s="1"/>
  <c r="M297" i="11"/>
  <c r="O297" i="11" s="1"/>
  <c r="K296" i="11"/>
  <c r="N296" i="11" s="1"/>
  <c r="L296" i="11"/>
  <c r="P296" i="11" s="1"/>
  <c r="M296" i="11"/>
  <c r="O296" i="11" s="1"/>
  <c r="K295" i="11"/>
  <c r="N295" i="11" s="1"/>
  <c r="L295" i="11"/>
  <c r="P295" i="11" s="1"/>
  <c r="M295" i="11"/>
  <c r="O295" i="11" s="1"/>
  <c r="K294" i="11"/>
  <c r="N294" i="11" s="1"/>
  <c r="L294" i="11"/>
  <c r="P294" i="11" s="1"/>
  <c r="M294" i="11"/>
  <c r="O294" i="11" s="1"/>
  <c r="K293" i="11"/>
  <c r="N293" i="11" s="1"/>
  <c r="L293" i="11"/>
  <c r="P293" i="11" s="1"/>
  <c r="M293" i="11"/>
  <c r="O293" i="11" s="1"/>
  <c r="K292" i="11"/>
  <c r="N292" i="11" s="1"/>
  <c r="L292" i="11"/>
  <c r="P292" i="11" s="1"/>
  <c r="M292" i="11"/>
  <c r="O292" i="11" s="1"/>
  <c r="K291" i="11"/>
  <c r="N291" i="11" s="1"/>
  <c r="L291" i="11"/>
  <c r="P291" i="11" s="1"/>
  <c r="M291" i="11"/>
  <c r="O291" i="11" s="1"/>
  <c r="K290" i="11"/>
  <c r="N290" i="11" s="1"/>
  <c r="L290" i="11"/>
  <c r="P290" i="11" s="1"/>
  <c r="M290" i="11"/>
  <c r="O290" i="11" s="1"/>
  <c r="K289" i="11"/>
  <c r="N289" i="11" s="1"/>
  <c r="L289" i="11"/>
  <c r="P289" i="11" s="1"/>
  <c r="M289" i="11"/>
  <c r="O289" i="11" s="1"/>
  <c r="K288" i="11"/>
  <c r="N288" i="11" s="1"/>
  <c r="L288" i="11"/>
  <c r="P288" i="11" s="1"/>
  <c r="M288" i="11"/>
  <c r="O288" i="11" s="1"/>
  <c r="K287" i="11"/>
  <c r="N287" i="11" s="1"/>
  <c r="L287" i="11"/>
  <c r="P287" i="11" s="1"/>
  <c r="M287" i="11"/>
  <c r="O287" i="11" s="1"/>
  <c r="K286" i="11"/>
  <c r="N286" i="11" s="1"/>
  <c r="L286" i="11"/>
  <c r="P286" i="11" s="1"/>
  <c r="M286" i="11"/>
  <c r="O286" i="11" s="1"/>
  <c r="K285" i="11"/>
  <c r="N285" i="11" s="1"/>
  <c r="L285" i="11"/>
  <c r="P285" i="11" s="1"/>
  <c r="M285" i="11"/>
  <c r="O285" i="11" s="1"/>
  <c r="K284" i="11"/>
  <c r="N284" i="11" s="1"/>
  <c r="L284" i="11"/>
  <c r="P284" i="11" s="1"/>
  <c r="M284" i="11"/>
  <c r="O284" i="11" s="1"/>
  <c r="K283" i="11"/>
  <c r="N283" i="11" s="1"/>
  <c r="L283" i="11"/>
  <c r="P283" i="11" s="1"/>
  <c r="M283" i="11"/>
  <c r="O283" i="11" s="1"/>
  <c r="K282" i="11"/>
  <c r="N282" i="11" s="1"/>
  <c r="L282" i="11"/>
  <c r="P282" i="11" s="1"/>
  <c r="M282" i="11"/>
  <c r="O282" i="11" s="1"/>
  <c r="K281" i="11"/>
  <c r="N281" i="11" s="1"/>
  <c r="L281" i="11"/>
  <c r="P281" i="11" s="1"/>
  <c r="M281" i="11"/>
  <c r="O281" i="11" s="1"/>
  <c r="K280" i="11"/>
  <c r="N280" i="11" s="1"/>
  <c r="L280" i="11"/>
  <c r="P280" i="11" s="1"/>
  <c r="M280" i="11"/>
  <c r="O280" i="11" s="1"/>
  <c r="K279" i="11"/>
  <c r="N279" i="11" s="1"/>
  <c r="L279" i="11"/>
  <c r="P279" i="11" s="1"/>
  <c r="M279" i="11"/>
  <c r="O279" i="11" s="1"/>
  <c r="K278" i="11"/>
  <c r="N278" i="11" s="1"/>
  <c r="L278" i="11"/>
  <c r="P278" i="11" s="1"/>
  <c r="M278" i="11"/>
  <c r="O278" i="11" s="1"/>
  <c r="K277" i="11"/>
  <c r="N277" i="11" s="1"/>
  <c r="L277" i="11"/>
  <c r="P277" i="11" s="1"/>
  <c r="M277" i="11"/>
  <c r="O277" i="11" s="1"/>
  <c r="K276" i="11"/>
  <c r="L276" i="11"/>
  <c r="M276" i="11"/>
  <c r="O276" i="11" s="1"/>
  <c r="E7" i="13"/>
  <c r="D12" i="6" s="1"/>
  <c r="F7" i="13"/>
  <c r="G7" i="13" s="1"/>
  <c r="K275" i="11"/>
  <c r="N275" i="11" s="1"/>
  <c r="L275" i="11"/>
  <c r="P275" i="11" s="1"/>
  <c r="M275" i="11"/>
  <c r="O275" i="11" s="1"/>
  <c r="K274" i="11"/>
  <c r="N274" i="11" s="1"/>
  <c r="L274" i="11"/>
  <c r="P274" i="11" s="1"/>
  <c r="M274" i="11"/>
  <c r="O274" i="11" s="1"/>
  <c r="K273" i="11"/>
  <c r="N273" i="11" s="1"/>
  <c r="L273" i="11"/>
  <c r="P273" i="11" s="1"/>
  <c r="M273" i="11"/>
  <c r="O273" i="11" s="1"/>
  <c r="L272" i="11"/>
  <c r="P272" i="11" s="1"/>
  <c r="K272" i="11"/>
  <c r="N272" i="11" s="1"/>
  <c r="M272" i="11"/>
  <c r="O272" i="11" s="1"/>
  <c r="K271" i="11"/>
  <c r="N271" i="11" s="1"/>
  <c r="L271" i="11"/>
  <c r="P271" i="11" s="1"/>
  <c r="M271" i="11"/>
  <c r="O271" i="11" s="1"/>
  <c r="K270" i="11"/>
  <c r="N270" i="11" s="1"/>
  <c r="L270" i="11"/>
  <c r="P270" i="11" s="1"/>
  <c r="M270" i="11"/>
  <c r="O270" i="11" s="1"/>
  <c r="K269" i="11"/>
  <c r="N269" i="11" s="1"/>
  <c r="L269" i="11"/>
  <c r="P269" i="11" s="1"/>
  <c r="M269" i="11"/>
  <c r="O269" i="11" s="1"/>
  <c r="K268" i="11"/>
  <c r="N268" i="11" s="1"/>
  <c r="L268" i="11"/>
  <c r="P268" i="11" s="1"/>
  <c r="M268" i="11"/>
  <c r="O268" i="11" s="1"/>
  <c r="K267" i="11"/>
  <c r="N267" i="11" s="1"/>
  <c r="L267" i="11"/>
  <c r="P267" i="11" s="1"/>
  <c r="M267" i="11"/>
  <c r="O267" i="11" s="1"/>
  <c r="K266" i="11"/>
  <c r="N266" i="11" s="1"/>
  <c r="L266" i="11"/>
  <c r="P266" i="11" s="1"/>
  <c r="M266" i="11"/>
  <c r="O266" i="11" s="1"/>
  <c r="K265" i="11"/>
  <c r="N265" i="11" s="1"/>
  <c r="L265" i="11"/>
  <c r="P265" i="11" s="1"/>
  <c r="M265" i="11"/>
  <c r="O265" i="11" s="1"/>
  <c r="K264" i="11"/>
  <c r="N264" i="11" s="1"/>
  <c r="L264" i="11"/>
  <c r="P264" i="11" s="1"/>
  <c r="M264" i="11"/>
  <c r="O264" i="11" s="1"/>
  <c r="K263" i="11"/>
  <c r="N263" i="11" s="1"/>
  <c r="L263" i="11"/>
  <c r="P263" i="11" s="1"/>
  <c r="M263" i="11"/>
  <c r="O263" i="11" s="1"/>
  <c r="K262" i="11"/>
  <c r="N262" i="11" s="1"/>
  <c r="L262" i="11"/>
  <c r="P262" i="11" s="1"/>
  <c r="M262" i="11"/>
  <c r="O262" i="11" s="1"/>
  <c r="K261" i="11"/>
  <c r="N261" i="11" s="1"/>
  <c r="L261" i="11"/>
  <c r="P261" i="11" s="1"/>
  <c r="M261" i="11"/>
  <c r="O261" i="11" s="1"/>
  <c r="K260" i="11"/>
  <c r="N260" i="11" s="1"/>
  <c r="L260" i="11"/>
  <c r="P260" i="11" s="1"/>
  <c r="M260" i="11"/>
  <c r="O260" i="11" s="1"/>
  <c r="K259" i="11"/>
  <c r="N259" i="11" s="1"/>
  <c r="L259" i="11"/>
  <c r="P259" i="11" s="1"/>
  <c r="M259" i="11"/>
  <c r="O259" i="11" s="1"/>
  <c r="K258" i="11"/>
  <c r="N258" i="11" s="1"/>
  <c r="L258" i="11"/>
  <c r="P258" i="11" s="1"/>
  <c r="M258" i="11"/>
  <c r="O258" i="11" s="1"/>
  <c r="K257" i="11"/>
  <c r="N257" i="11" s="1"/>
  <c r="L257" i="11"/>
  <c r="P257" i="11" s="1"/>
  <c r="M257" i="11"/>
  <c r="O257" i="11" s="1"/>
  <c r="K256" i="11"/>
  <c r="N256" i="11" s="1"/>
  <c r="L256" i="11"/>
  <c r="P256" i="11" s="1"/>
  <c r="M256" i="11"/>
  <c r="O256" i="11" s="1"/>
  <c r="K255" i="11"/>
  <c r="N255" i="11" s="1"/>
  <c r="L255" i="11"/>
  <c r="P255" i="11" s="1"/>
  <c r="M255" i="11"/>
  <c r="O255" i="11" s="1"/>
  <c r="K254" i="11"/>
  <c r="N254" i="11" s="1"/>
  <c r="L254" i="11"/>
  <c r="P254" i="11" s="1"/>
  <c r="M254" i="11"/>
  <c r="O254" i="11" s="1"/>
  <c r="K253" i="11"/>
  <c r="N253" i="11" s="1"/>
  <c r="L253" i="11"/>
  <c r="P253" i="11" s="1"/>
  <c r="M253" i="11"/>
  <c r="O253" i="11" s="1"/>
  <c r="K252" i="11"/>
  <c r="N252" i="11" s="1"/>
  <c r="L252" i="11"/>
  <c r="P252" i="11" s="1"/>
  <c r="M252" i="11"/>
  <c r="O252" i="11" s="1"/>
  <c r="K251" i="11"/>
  <c r="N251" i="11" s="1"/>
  <c r="L251" i="11"/>
  <c r="P251" i="11" s="1"/>
  <c r="M251" i="11"/>
  <c r="O251" i="11" s="1"/>
  <c r="K250" i="11"/>
  <c r="N250" i="11" s="1"/>
  <c r="L250" i="11"/>
  <c r="P250" i="11" s="1"/>
  <c r="M250" i="11"/>
  <c r="O250" i="11" s="1"/>
  <c r="K249" i="11"/>
  <c r="N249" i="11" s="1"/>
  <c r="L249" i="11"/>
  <c r="P249" i="11" s="1"/>
  <c r="M249" i="11"/>
  <c r="O249" i="11" s="1"/>
  <c r="K248" i="11"/>
  <c r="N248" i="11" s="1"/>
  <c r="L248" i="11"/>
  <c r="P248" i="11" s="1"/>
  <c r="M248" i="11"/>
  <c r="O248" i="11" s="1"/>
  <c r="K247" i="11"/>
  <c r="N247" i="11" s="1"/>
  <c r="L247" i="11"/>
  <c r="P247" i="11" s="1"/>
  <c r="M247" i="11"/>
  <c r="O247" i="11" s="1"/>
  <c r="K246" i="11"/>
  <c r="N246" i="11" s="1"/>
  <c r="L246" i="11"/>
  <c r="P246" i="11" s="1"/>
  <c r="M246" i="11"/>
  <c r="O246" i="11" s="1"/>
  <c r="K245" i="11"/>
  <c r="N245" i="11" s="1"/>
  <c r="L245" i="11"/>
  <c r="P245" i="11" s="1"/>
  <c r="M245" i="11"/>
  <c r="O245" i="11" s="1"/>
  <c r="K244" i="11"/>
  <c r="N244" i="11" s="1"/>
  <c r="L244" i="11"/>
  <c r="P244" i="11" s="1"/>
  <c r="M244" i="11"/>
  <c r="O244" i="11" s="1"/>
  <c r="K243" i="11"/>
  <c r="N243" i="11" s="1"/>
  <c r="L243" i="11"/>
  <c r="P243" i="11" s="1"/>
  <c r="M243" i="11"/>
  <c r="O243" i="11" s="1"/>
  <c r="K242" i="11"/>
  <c r="N242" i="11" s="1"/>
  <c r="L242" i="11"/>
  <c r="P242" i="11" s="1"/>
  <c r="M242" i="11"/>
  <c r="O242" i="11" s="1"/>
  <c r="K241" i="11"/>
  <c r="N241" i="11" s="1"/>
  <c r="L241" i="11"/>
  <c r="P241" i="11" s="1"/>
  <c r="M241" i="11"/>
  <c r="O241" i="11" s="1"/>
  <c r="K240" i="11"/>
  <c r="N240" i="11" s="1"/>
  <c r="L240" i="11"/>
  <c r="P240" i="11" s="1"/>
  <c r="M240" i="11"/>
  <c r="O240" i="11" s="1"/>
  <c r="K239" i="11"/>
  <c r="N239" i="11" s="1"/>
  <c r="L239" i="11"/>
  <c r="P239" i="11" s="1"/>
  <c r="M239" i="11"/>
  <c r="O239" i="11" s="1"/>
  <c r="K238" i="11"/>
  <c r="N238" i="11" s="1"/>
  <c r="L238" i="11"/>
  <c r="P238" i="11" s="1"/>
  <c r="M238" i="11"/>
  <c r="O238" i="11" s="1"/>
  <c r="K237" i="11"/>
  <c r="N237" i="11" s="1"/>
  <c r="L237" i="11"/>
  <c r="P237" i="11" s="1"/>
  <c r="M237" i="11"/>
  <c r="O237" i="11" s="1"/>
  <c r="K236" i="11"/>
  <c r="N236" i="11" s="1"/>
  <c r="L236" i="11"/>
  <c r="P236" i="11" s="1"/>
  <c r="M236" i="11"/>
  <c r="O236" i="11" s="1"/>
  <c r="K235" i="11"/>
  <c r="N235" i="11" s="1"/>
  <c r="L235" i="11"/>
  <c r="P235" i="11" s="1"/>
  <c r="M235" i="11"/>
  <c r="O235" i="11" s="1"/>
  <c r="K234" i="11"/>
  <c r="N234" i="11" s="1"/>
  <c r="L234" i="11"/>
  <c r="P234" i="11" s="1"/>
  <c r="M234" i="11"/>
  <c r="O234" i="11" s="1"/>
  <c r="K233" i="11"/>
  <c r="N233" i="11" s="1"/>
  <c r="L233" i="11"/>
  <c r="P233" i="11" s="1"/>
  <c r="M233" i="11"/>
  <c r="O233" i="11" s="1"/>
  <c r="K232" i="11"/>
  <c r="N232" i="11" s="1"/>
  <c r="L232" i="11"/>
  <c r="P232" i="11" s="1"/>
  <c r="M232" i="11"/>
  <c r="O232" i="11" s="1"/>
  <c r="K231" i="11"/>
  <c r="N231" i="11" s="1"/>
  <c r="L231" i="11"/>
  <c r="P231" i="11" s="1"/>
  <c r="M231" i="11"/>
  <c r="O231" i="11" s="1"/>
  <c r="K230" i="11"/>
  <c r="N230" i="11" s="1"/>
  <c r="L230" i="11"/>
  <c r="P230" i="11" s="1"/>
  <c r="M230" i="11"/>
  <c r="O230" i="11" s="1"/>
  <c r="K229" i="11"/>
  <c r="N229" i="11" s="1"/>
  <c r="L229" i="11"/>
  <c r="P229" i="11" s="1"/>
  <c r="M229" i="11"/>
  <c r="O229" i="11" s="1"/>
  <c r="K228" i="11"/>
  <c r="N228" i="11" s="1"/>
  <c r="L228" i="11"/>
  <c r="P228" i="11" s="1"/>
  <c r="M228" i="11"/>
  <c r="O228" i="11" s="1"/>
  <c r="K227" i="11"/>
  <c r="N227" i="11" s="1"/>
  <c r="L227" i="11"/>
  <c r="P227" i="11" s="1"/>
  <c r="M227" i="11"/>
  <c r="O227" i="11" s="1"/>
  <c r="K226" i="11"/>
  <c r="N226" i="11" s="1"/>
  <c r="L226" i="11"/>
  <c r="P226" i="11" s="1"/>
  <c r="M226" i="11"/>
  <c r="O226" i="11" s="1"/>
  <c r="K225" i="11"/>
  <c r="N225" i="11" s="1"/>
  <c r="L225" i="11"/>
  <c r="P225" i="11" s="1"/>
  <c r="M225" i="11"/>
  <c r="O225" i="11" s="1"/>
  <c r="K224" i="11"/>
  <c r="N224" i="11" s="1"/>
  <c r="L224" i="11"/>
  <c r="P224" i="11" s="1"/>
  <c r="M224" i="11"/>
  <c r="O224" i="11" s="1"/>
  <c r="K223" i="11"/>
  <c r="N223" i="11" s="1"/>
  <c r="L223" i="11"/>
  <c r="P223" i="11" s="1"/>
  <c r="M223" i="11"/>
  <c r="O223" i="11" s="1"/>
  <c r="K222" i="11"/>
  <c r="N222" i="11" s="1"/>
  <c r="L222" i="11"/>
  <c r="P222" i="11" s="1"/>
  <c r="M222" i="11"/>
  <c r="O222" i="11" s="1"/>
  <c r="K221" i="11"/>
  <c r="N221" i="11" s="1"/>
  <c r="L221" i="11"/>
  <c r="P221" i="11" s="1"/>
  <c r="M221" i="11"/>
  <c r="O221" i="11" s="1"/>
  <c r="K220" i="11"/>
  <c r="N220" i="11" s="1"/>
  <c r="L220" i="11"/>
  <c r="P220" i="11" s="1"/>
  <c r="M220" i="11"/>
  <c r="O220" i="11" s="1"/>
  <c r="K219" i="11"/>
  <c r="N219" i="11" s="1"/>
  <c r="L219" i="11"/>
  <c r="P219" i="11" s="1"/>
  <c r="M219" i="11"/>
  <c r="O219" i="11" s="1"/>
  <c r="K218" i="11"/>
  <c r="N218" i="11" s="1"/>
  <c r="L218" i="11"/>
  <c r="P218" i="11" s="1"/>
  <c r="M218" i="11"/>
  <c r="O218" i="11" s="1"/>
  <c r="K217" i="11"/>
  <c r="N217" i="11" s="1"/>
  <c r="L217" i="11"/>
  <c r="P217" i="11" s="1"/>
  <c r="M217" i="11"/>
  <c r="O217" i="11" s="1"/>
  <c r="K216" i="11"/>
  <c r="N216" i="11" s="1"/>
  <c r="L216" i="11"/>
  <c r="P216" i="11" s="1"/>
  <c r="M216" i="11"/>
  <c r="O216" i="11" s="1"/>
  <c r="K215" i="11"/>
  <c r="N215" i="11" s="1"/>
  <c r="L215" i="11"/>
  <c r="P215" i="11" s="1"/>
  <c r="M215" i="11"/>
  <c r="O215" i="11" s="1"/>
  <c r="K214" i="11"/>
  <c r="N214" i="11" s="1"/>
  <c r="L214" i="11"/>
  <c r="P214" i="11" s="1"/>
  <c r="M214" i="11"/>
  <c r="O214" i="11" s="1"/>
  <c r="K213" i="11"/>
  <c r="N213" i="11" s="1"/>
  <c r="L213" i="11"/>
  <c r="P213" i="11" s="1"/>
  <c r="M213" i="11"/>
  <c r="O213" i="11" s="1"/>
  <c r="K212" i="11"/>
  <c r="N212" i="11" s="1"/>
  <c r="L212" i="11"/>
  <c r="P212" i="11" s="1"/>
  <c r="M212" i="11"/>
  <c r="O212" i="11" s="1"/>
  <c r="K211" i="11"/>
  <c r="N211" i="11" s="1"/>
  <c r="L211" i="11"/>
  <c r="P211" i="11" s="1"/>
  <c r="M211" i="11"/>
  <c r="O211" i="11" s="1"/>
  <c r="K210" i="11"/>
  <c r="N210" i="11" s="1"/>
  <c r="L210" i="11"/>
  <c r="P210" i="11" s="1"/>
  <c r="M210" i="11"/>
  <c r="O210" i="11" s="1"/>
  <c r="K209" i="11"/>
  <c r="N209" i="11" s="1"/>
  <c r="L209" i="11"/>
  <c r="P209" i="11" s="1"/>
  <c r="M209" i="11"/>
  <c r="O209" i="11" s="1"/>
  <c r="K208" i="11"/>
  <c r="N208" i="11" s="1"/>
  <c r="L208" i="11"/>
  <c r="P208" i="11" s="1"/>
  <c r="M208" i="11"/>
  <c r="O208" i="11" s="1"/>
  <c r="K207" i="11"/>
  <c r="N207" i="11" s="1"/>
  <c r="L207" i="11"/>
  <c r="P207" i="11" s="1"/>
  <c r="M207" i="11"/>
  <c r="O207" i="11" s="1"/>
  <c r="K206" i="11"/>
  <c r="N206" i="11" s="1"/>
  <c r="L206" i="11"/>
  <c r="P206" i="11" s="1"/>
  <c r="M206" i="11"/>
  <c r="O206" i="11" s="1"/>
  <c r="K205" i="11"/>
  <c r="N205" i="11" s="1"/>
  <c r="L205" i="11"/>
  <c r="P205" i="11" s="1"/>
  <c r="M205" i="11"/>
  <c r="O205" i="11" s="1"/>
  <c r="K204" i="11"/>
  <c r="N204" i="11" s="1"/>
  <c r="L204" i="11"/>
  <c r="P204" i="11" s="1"/>
  <c r="M204" i="11"/>
  <c r="O204" i="11" s="1"/>
  <c r="K203" i="11"/>
  <c r="N203" i="11" s="1"/>
  <c r="L203" i="11"/>
  <c r="P203" i="11" s="1"/>
  <c r="M203" i="11"/>
  <c r="O203" i="11" s="1"/>
  <c r="K202" i="11"/>
  <c r="N202" i="11" s="1"/>
  <c r="L202" i="11"/>
  <c r="P202" i="11" s="1"/>
  <c r="M202" i="11"/>
  <c r="O202" i="11" s="1"/>
  <c r="K201" i="11"/>
  <c r="N201" i="11" s="1"/>
  <c r="L201" i="11"/>
  <c r="P201" i="11" s="1"/>
  <c r="M201" i="11"/>
  <c r="O201" i="11" s="1"/>
  <c r="K200" i="11"/>
  <c r="N200" i="11" s="1"/>
  <c r="L200" i="11"/>
  <c r="P200" i="11" s="1"/>
  <c r="M200" i="11"/>
  <c r="O200" i="11" s="1"/>
  <c r="K199" i="11"/>
  <c r="N199" i="11" s="1"/>
  <c r="L199" i="11"/>
  <c r="P199" i="11" s="1"/>
  <c r="M199" i="11"/>
  <c r="O199" i="11" s="1"/>
  <c r="K198" i="11"/>
  <c r="N198" i="11" s="1"/>
  <c r="L198" i="11"/>
  <c r="P198" i="11" s="1"/>
  <c r="M198" i="11"/>
  <c r="O198" i="11" s="1"/>
  <c r="K197" i="11"/>
  <c r="N197" i="11" s="1"/>
  <c r="L197" i="11"/>
  <c r="P197" i="11" s="1"/>
  <c r="M197" i="11"/>
  <c r="O197" i="11" s="1"/>
  <c r="K196" i="11"/>
  <c r="N196" i="11" s="1"/>
  <c r="L196" i="11"/>
  <c r="P196" i="11" s="1"/>
  <c r="M196" i="11"/>
  <c r="O196" i="11" s="1"/>
  <c r="K195" i="11"/>
  <c r="N195" i="11" s="1"/>
  <c r="L195" i="11"/>
  <c r="P195" i="11" s="1"/>
  <c r="M195" i="11"/>
  <c r="O195" i="11" s="1"/>
  <c r="K194" i="11"/>
  <c r="N194" i="11" s="1"/>
  <c r="L194" i="11"/>
  <c r="P194" i="11" s="1"/>
  <c r="M194" i="11"/>
  <c r="O194" i="11" s="1"/>
  <c r="K193" i="11"/>
  <c r="N193" i="11" s="1"/>
  <c r="L193" i="11"/>
  <c r="P193" i="11" s="1"/>
  <c r="M193" i="11"/>
  <c r="O193" i="11" s="1"/>
  <c r="K192" i="11"/>
  <c r="N192" i="11" s="1"/>
  <c r="L192" i="11"/>
  <c r="P192" i="11" s="1"/>
  <c r="M192" i="11"/>
  <c r="O192" i="11" s="1"/>
  <c r="K191" i="11"/>
  <c r="N191" i="11" s="1"/>
  <c r="L191" i="11"/>
  <c r="P191" i="11" s="1"/>
  <c r="M191" i="11"/>
  <c r="O191" i="11" s="1"/>
  <c r="K190" i="11"/>
  <c r="N190" i="11" s="1"/>
  <c r="L190" i="11"/>
  <c r="P190" i="11" s="1"/>
  <c r="M190" i="11"/>
  <c r="O190" i="11" s="1"/>
  <c r="K189" i="11"/>
  <c r="N189" i="11" s="1"/>
  <c r="L189" i="11"/>
  <c r="P189" i="11" s="1"/>
  <c r="M189" i="11"/>
  <c r="O189" i="11" s="1"/>
  <c r="K188" i="11"/>
  <c r="N188" i="11" s="1"/>
  <c r="L188" i="11"/>
  <c r="P188" i="11" s="1"/>
  <c r="M188" i="11"/>
  <c r="O188" i="11" s="1"/>
  <c r="K187" i="11"/>
  <c r="N187" i="11" s="1"/>
  <c r="L187" i="11"/>
  <c r="P187" i="11" s="1"/>
  <c r="M187" i="11"/>
  <c r="O187" i="11" s="1"/>
  <c r="K186" i="11"/>
  <c r="L186" i="11"/>
  <c r="M186" i="11"/>
  <c r="O186" i="11" s="1"/>
  <c r="E6" i="13"/>
  <c r="D11" i="6" s="1"/>
  <c r="F6" i="13"/>
  <c r="G6" i="13" s="1"/>
  <c r="K185" i="11"/>
  <c r="N185" i="11" s="1"/>
  <c r="L185" i="11"/>
  <c r="P185" i="11" s="1"/>
  <c r="M185" i="11"/>
  <c r="O185" i="11" s="1"/>
  <c r="K184" i="11"/>
  <c r="N184" i="11" s="1"/>
  <c r="L184" i="11"/>
  <c r="P184" i="11" s="1"/>
  <c r="M184" i="11"/>
  <c r="O184" i="11" s="1"/>
  <c r="K183" i="11"/>
  <c r="N183" i="11" s="1"/>
  <c r="L183" i="11"/>
  <c r="P183" i="11" s="1"/>
  <c r="M183" i="11"/>
  <c r="O183" i="11" s="1"/>
  <c r="K182" i="11"/>
  <c r="N182" i="11" s="1"/>
  <c r="L182" i="11"/>
  <c r="P182" i="11" s="1"/>
  <c r="M182" i="11"/>
  <c r="O182" i="11" s="1"/>
  <c r="K181" i="11"/>
  <c r="N181" i="11" s="1"/>
  <c r="L181" i="11"/>
  <c r="P181" i="11" s="1"/>
  <c r="M181" i="11"/>
  <c r="O181" i="11" s="1"/>
  <c r="K180" i="11"/>
  <c r="N180" i="11" s="1"/>
  <c r="L180" i="11"/>
  <c r="P180" i="11" s="1"/>
  <c r="M180" i="11"/>
  <c r="O180" i="11" s="1"/>
  <c r="K179" i="11"/>
  <c r="N179" i="11" s="1"/>
  <c r="L179" i="11"/>
  <c r="P179" i="11" s="1"/>
  <c r="M179" i="11"/>
  <c r="O179" i="11" s="1"/>
  <c r="K178" i="11"/>
  <c r="N178" i="11" s="1"/>
  <c r="L178" i="11"/>
  <c r="P178" i="11" s="1"/>
  <c r="M178" i="11"/>
  <c r="O178" i="11" s="1"/>
  <c r="K177" i="11"/>
  <c r="N177" i="11" s="1"/>
  <c r="L177" i="11"/>
  <c r="P177" i="11" s="1"/>
  <c r="M177" i="11"/>
  <c r="O177" i="11" s="1"/>
  <c r="K176" i="11"/>
  <c r="N176" i="11" s="1"/>
  <c r="L176" i="11"/>
  <c r="P176" i="11" s="1"/>
  <c r="M176" i="11"/>
  <c r="O176" i="11" s="1"/>
  <c r="K175" i="11"/>
  <c r="N175" i="11" s="1"/>
  <c r="L175" i="11"/>
  <c r="P175" i="11" s="1"/>
  <c r="M175" i="11"/>
  <c r="O175" i="11" s="1"/>
  <c r="K174" i="11"/>
  <c r="N174" i="11" s="1"/>
  <c r="L174" i="11"/>
  <c r="P174" i="11" s="1"/>
  <c r="M174" i="11"/>
  <c r="O174" i="11" s="1"/>
  <c r="K173" i="11"/>
  <c r="N173" i="11" s="1"/>
  <c r="L173" i="11"/>
  <c r="P173" i="11" s="1"/>
  <c r="M173" i="11"/>
  <c r="O173" i="11" s="1"/>
  <c r="K172" i="11"/>
  <c r="N172" i="11" s="1"/>
  <c r="L172" i="11"/>
  <c r="P172" i="11" s="1"/>
  <c r="M172" i="11"/>
  <c r="O172" i="11" s="1"/>
  <c r="K171" i="11"/>
  <c r="N171" i="11" s="1"/>
  <c r="L171" i="11"/>
  <c r="P171" i="11" s="1"/>
  <c r="M171" i="11"/>
  <c r="O171" i="11" s="1"/>
  <c r="K170" i="11"/>
  <c r="N170" i="11" s="1"/>
  <c r="L170" i="11"/>
  <c r="P170" i="11" s="1"/>
  <c r="M170" i="11"/>
  <c r="O170" i="11" s="1"/>
  <c r="K169" i="11"/>
  <c r="N169" i="11" s="1"/>
  <c r="L169" i="11"/>
  <c r="P169" i="11" s="1"/>
  <c r="M169" i="11"/>
  <c r="O169" i="11" s="1"/>
  <c r="K168" i="11"/>
  <c r="N168" i="11" s="1"/>
  <c r="L168" i="11"/>
  <c r="P168" i="11" s="1"/>
  <c r="M168" i="11"/>
  <c r="O168" i="11" s="1"/>
  <c r="K167" i="11"/>
  <c r="N167" i="11" s="1"/>
  <c r="L167" i="11"/>
  <c r="P167" i="11" s="1"/>
  <c r="M167" i="11"/>
  <c r="O167" i="11" s="1"/>
  <c r="K166" i="11"/>
  <c r="N166" i="11" s="1"/>
  <c r="L166" i="11"/>
  <c r="P166" i="11" s="1"/>
  <c r="M166" i="11"/>
  <c r="O166" i="11" s="1"/>
  <c r="K165" i="11"/>
  <c r="N165" i="11" s="1"/>
  <c r="L165" i="11"/>
  <c r="P165" i="11" s="1"/>
  <c r="M165" i="11"/>
  <c r="O165" i="11" s="1"/>
  <c r="K164" i="11"/>
  <c r="N164" i="11" s="1"/>
  <c r="L164" i="11"/>
  <c r="P164" i="11" s="1"/>
  <c r="M164" i="11"/>
  <c r="O164" i="11" s="1"/>
  <c r="K163" i="11"/>
  <c r="N163" i="11" s="1"/>
  <c r="L163" i="11"/>
  <c r="P163" i="11" s="1"/>
  <c r="M163" i="11"/>
  <c r="O163" i="11" s="1"/>
  <c r="K162" i="11"/>
  <c r="N162" i="11" s="1"/>
  <c r="L162" i="11"/>
  <c r="P162" i="11" s="1"/>
  <c r="M162" i="11"/>
  <c r="O162" i="11" s="1"/>
  <c r="K161" i="11"/>
  <c r="N161" i="11" s="1"/>
  <c r="L161" i="11"/>
  <c r="P161" i="11" s="1"/>
  <c r="M161" i="11"/>
  <c r="O161" i="11" s="1"/>
  <c r="K160" i="11"/>
  <c r="N160" i="11" s="1"/>
  <c r="L160" i="11"/>
  <c r="P160" i="11" s="1"/>
  <c r="M160" i="11"/>
  <c r="O160" i="11" s="1"/>
  <c r="K159" i="11"/>
  <c r="N159" i="11" s="1"/>
  <c r="L159" i="11"/>
  <c r="P159" i="11" s="1"/>
  <c r="M159" i="11"/>
  <c r="O159" i="11" s="1"/>
  <c r="K158" i="11"/>
  <c r="N158" i="11" s="1"/>
  <c r="L158" i="11"/>
  <c r="P158" i="11" s="1"/>
  <c r="M158" i="11"/>
  <c r="O158" i="11" s="1"/>
  <c r="K157" i="11"/>
  <c r="N157" i="11" s="1"/>
  <c r="L157" i="11"/>
  <c r="P157" i="11" s="1"/>
  <c r="M157" i="11"/>
  <c r="O157" i="11" s="1"/>
  <c r="K156" i="11"/>
  <c r="N156" i="11" s="1"/>
  <c r="L156" i="11"/>
  <c r="P156" i="11" s="1"/>
  <c r="M156" i="11"/>
  <c r="O156" i="11" s="1"/>
  <c r="K155" i="11"/>
  <c r="N155" i="11" s="1"/>
  <c r="L155" i="11"/>
  <c r="P155" i="11" s="1"/>
  <c r="M155" i="11"/>
  <c r="O155" i="11" s="1"/>
  <c r="K154" i="11"/>
  <c r="N154" i="11" s="1"/>
  <c r="L154" i="11"/>
  <c r="P154" i="11" s="1"/>
  <c r="M154" i="11"/>
  <c r="O154" i="11" s="1"/>
  <c r="K153" i="11"/>
  <c r="N153" i="11" s="1"/>
  <c r="L153" i="11"/>
  <c r="P153" i="11" s="1"/>
  <c r="M153" i="11"/>
  <c r="O153" i="11" s="1"/>
  <c r="K152" i="11"/>
  <c r="N152" i="11" s="1"/>
  <c r="L152" i="11"/>
  <c r="P152" i="11" s="1"/>
  <c r="M152" i="11"/>
  <c r="O152" i="11" s="1"/>
  <c r="K151" i="11"/>
  <c r="N151" i="11" s="1"/>
  <c r="L151" i="11"/>
  <c r="P151" i="11" s="1"/>
  <c r="M151" i="11"/>
  <c r="O151" i="11" s="1"/>
  <c r="K150" i="11"/>
  <c r="N150" i="11" s="1"/>
  <c r="L150" i="11"/>
  <c r="P150" i="11" s="1"/>
  <c r="M150" i="11"/>
  <c r="O150" i="11" s="1"/>
  <c r="K149" i="11"/>
  <c r="N149" i="11" s="1"/>
  <c r="L149" i="11"/>
  <c r="P149" i="11" s="1"/>
  <c r="M149" i="11"/>
  <c r="O149" i="11" s="1"/>
  <c r="K148" i="11"/>
  <c r="N148" i="11" s="1"/>
  <c r="L148" i="11"/>
  <c r="P148" i="11" s="1"/>
  <c r="M148" i="11"/>
  <c r="O148" i="11" s="1"/>
  <c r="K147" i="11"/>
  <c r="N147" i="11" s="1"/>
  <c r="L147" i="11"/>
  <c r="P147" i="11" s="1"/>
  <c r="M147" i="11"/>
  <c r="O147" i="11" s="1"/>
  <c r="K146" i="11"/>
  <c r="N146" i="11" s="1"/>
  <c r="L146" i="11"/>
  <c r="P146" i="11" s="1"/>
  <c r="M146" i="11"/>
  <c r="O146" i="11" s="1"/>
  <c r="K145" i="11"/>
  <c r="N145" i="11" s="1"/>
  <c r="L145" i="11"/>
  <c r="P145" i="11" s="1"/>
  <c r="M145" i="11"/>
  <c r="O145" i="11" s="1"/>
  <c r="K144" i="11"/>
  <c r="N144" i="11" s="1"/>
  <c r="L144" i="11"/>
  <c r="P144" i="11" s="1"/>
  <c r="M144" i="11"/>
  <c r="O144" i="11" s="1"/>
  <c r="K143" i="11"/>
  <c r="N143" i="11" s="1"/>
  <c r="L143" i="11"/>
  <c r="P143" i="11" s="1"/>
  <c r="M143" i="11"/>
  <c r="O143" i="11" s="1"/>
  <c r="K142" i="11"/>
  <c r="N142" i="11" s="1"/>
  <c r="L142" i="11"/>
  <c r="P142" i="11" s="1"/>
  <c r="M142" i="11"/>
  <c r="O142" i="11" s="1"/>
  <c r="K141" i="11"/>
  <c r="N141" i="11" s="1"/>
  <c r="L141" i="11"/>
  <c r="P141" i="11" s="1"/>
  <c r="M141" i="11"/>
  <c r="O141" i="11" s="1"/>
  <c r="K140" i="11"/>
  <c r="N140" i="11" s="1"/>
  <c r="L140" i="11"/>
  <c r="P140" i="11" s="1"/>
  <c r="M140" i="11"/>
  <c r="O140" i="11" s="1"/>
  <c r="K139" i="11"/>
  <c r="N139" i="11" s="1"/>
  <c r="L139" i="11"/>
  <c r="P139" i="11" s="1"/>
  <c r="M139" i="11"/>
  <c r="O139" i="11" s="1"/>
  <c r="K138" i="11"/>
  <c r="N138" i="11" s="1"/>
  <c r="L138" i="11"/>
  <c r="P138" i="11" s="1"/>
  <c r="M138" i="11"/>
  <c r="O138" i="11" s="1"/>
  <c r="K137" i="11"/>
  <c r="N137" i="11" s="1"/>
  <c r="L137" i="11"/>
  <c r="P137" i="11" s="1"/>
  <c r="M137" i="11"/>
  <c r="O137" i="11" s="1"/>
  <c r="K136" i="11"/>
  <c r="N136" i="11" s="1"/>
  <c r="L136" i="11"/>
  <c r="P136" i="11" s="1"/>
  <c r="M136" i="11"/>
  <c r="O136" i="11" s="1"/>
  <c r="K135" i="11"/>
  <c r="N135" i="11" s="1"/>
  <c r="L135" i="11"/>
  <c r="P135" i="11" s="1"/>
  <c r="M135" i="11"/>
  <c r="O135" i="11" s="1"/>
  <c r="K134" i="11"/>
  <c r="N134" i="11" s="1"/>
  <c r="L134" i="11"/>
  <c r="P134" i="11" s="1"/>
  <c r="M134" i="11"/>
  <c r="O134" i="11" s="1"/>
  <c r="K133" i="11"/>
  <c r="N133" i="11" s="1"/>
  <c r="L133" i="11"/>
  <c r="P133" i="11" s="1"/>
  <c r="M133" i="11"/>
  <c r="O133" i="11" s="1"/>
  <c r="K132" i="11"/>
  <c r="N132" i="11" s="1"/>
  <c r="L132" i="11"/>
  <c r="P132" i="11" s="1"/>
  <c r="M132" i="11"/>
  <c r="O132" i="11" s="1"/>
  <c r="K131" i="11"/>
  <c r="N131" i="11" s="1"/>
  <c r="L131" i="11"/>
  <c r="P131" i="11" s="1"/>
  <c r="M131" i="11"/>
  <c r="O131" i="11" s="1"/>
  <c r="K130" i="11"/>
  <c r="N130" i="11" s="1"/>
  <c r="L130" i="11"/>
  <c r="P130" i="11" s="1"/>
  <c r="M130" i="11"/>
  <c r="O130" i="11" s="1"/>
  <c r="K129" i="11"/>
  <c r="N129" i="11" s="1"/>
  <c r="L129" i="11"/>
  <c r="P129" i="11" s="1"/>
  <c r="M129" i="11"/>
  <c r="O129" i="11" s="1"/>
  <c r="K128" i="11"/>
  <c r="N128" i="11" s="1"/>
  <c r="L128" i="11"/>
  <c r="P128" i="11" s="1"/>
  <c r="M128" i="11"/>
  <c r="O128" i="11" s="1"/>
  <c r="K127" i="11"/>
  <c r="N127" i="11" s="1"/>
  <c r="L127" i="11"/>
  <c r="P127" i="11" s="1"/>
  <c r="M127" i="11"/>
  <c r="O127" i="11" s="1"/>
  <c r="K126" i="11"/>
  <c r="N126" i="11" s="1"/>
  <c r="L126" i="11"/>
  <c r="P126" i="11" s="1"/>
  <c r="M126" i="11"/>
  <c r="O126" i="11" s="1"/>
  <c r="K125" i="11"/>
  <c r="N125" i="11" s="1"/>
  <c r="L125" i="11"/>
  <c r="P125" i="11" s="1"/>
  <c r="M125" i="11"/>
  <c r="O125" i="11" s="1"/>
  <c r="K124" i="11"/>
  <c r="N124" i="11" s="1"/>
  <c r="L124" i="11"/>
  <c r="P124" i="11" s="1"/>
  <c r="M124" i="11"/>
  <c r="O124" i="11" s="1"/>
  <c r="K123" i="11"/>
  <c r="N123" i="11" s="1"/>
  <c r="L123" i="11"/>
  <c r="P123" i="11" s="1"/>
  <c r="M123" i="11"/>
  <c r="O123" i="11" s="1"/>
  <c r="K122" i="11"/>
  <c r="N122" i="11" s="1"/>
  <c r="L122" i="11"/>
  <c r="P122" i="11" s="1"/>
  <c r="M122" i="11"/>
  <c r="O122" i="11" s="1"/>
  <c r="K121" i="11"/>
  <c r="N121" i="11" s="1"/>
  <c r="L121" i="11"/>
  <c r="P121" i="11" s="1"/>
  <c r="M121" i="11"/>
  <c r="O121" i="11" s="1"/>
  <c r="K120" i="11"/>
  <c r="N120" i="11" s="1"/>
  <c r="L120" i="11"/>
  <c r="P120" i="11" s="1"/>
  <c r="M120" i="11"/>
  <c r="O120" i="11" s="1"/>
  <c r="K119" i="11"/>
  <c r="N119" i="11" s="1"/>
  <c r="L119" i="11"/>
  <c r="P119" i="11" s="1"/>
  <c r="M119" i="11"/>
  <c r="O119" i="11" s="1"/>
  <c r="K118" i="11"/>
  <c r="N118" i="11" s="1"/>
  <c r="L118" i="11"/>
  <c r="P118" i="11" s="1"/>
  <c r="M118" i="11"/>
  <c r="O118" i="11" s="1"/>
  <c r="K117" i="11"/>
  <c r="N117" i="11" s="1"/>
  <c r="L117" i="11"/>
  <c r="P117" i="11" s="1"/>
  <c r="M117" i="11"/>
  <c r="O117" i="11" s="1"/>
  <c r="K116" i="11"/>
  <c r="N116" i="11" s="1"/>
  <c r="L116" i="11"/>
  <c r="P116" i="11" s="1"/>
  <c r="M116" i="11"/>
  <c r="O116" i="11" s="1"/>
  <c r="K115" i="11"/>
  <c r="N115" i="11" s="1"/>
  <c r="L115" i="11"/>
  <c r="P115" i="11" s="1"/>
  <c r="M115" i="11"/>
  <c r="O115" i="11" s="1"/>
  <c r="K114" i="11"/>
  <c r="N114" i="11" s="1"/>
  <c r="L114" i="11"/>
  <c r="P114" i="11" s="1"/>
  <c r="M114" i="11"/>
  <c r="O114" i="11" s="1"/>
  <c r="K113" i="11"/>
  <c r="N113" i="11" s="1"/>
  <c r="L113" i="11"/>
  <c r="P113" i="11" s="1"/>
  <c r="M113" i="11"/>
  <c r="O113" i="11" s="1"/>
  <c r="K112" i="11"/>
  <c r="N112" i="11" s="1"/>
  <c r="L112" i="11"/>
  <c r="P112" i="11" s="1"/>
  <c r="M112" i="11"/>
  <c r="O112" i="11" s="1"/>
  <c r="K111" i="11"/>
  <c r="N111" i="11" s="1"/>
  <c r="L111" i="11"/>
  <c r="P111" i="11" s="1"/>
  <c r="M111" i="11"/>
  <c r="O111" i="11" s="1"/>
  <c r="K110" i="11"/>
  <c r="N110" i="11" s="1"/>
  <c r="L110" i="11"/>
  <c r="P110" i="11" s="1"/>
  <c r="M110" i="11"/>
  <c r="O110" i="11" s="1"/>
  <c r="K109" i="11"/>
  <c r="N109" i="11" s="1"/>
  <c r="L109" i="11"/>
  <c r="P109" i="11" s="1"/>
  <c r="M109" i="11"/>
  <c r="O109" i="11" s="1"/>
  <c r="K108" i="11"/>
  <c r="N108" i="11" s="1"/>
  <c r="L108" i="11"/>
  <c r="P108" i="11" s="1"/>
  <c r="M108" i="11"/>
  <c r="O108" i="11" s="1"/>
  <c r="K107" i="11"/>
  <c r="N107" i="11" s="1"/>
  <c r="L107" i="11"/>
  <c r="P107" i="11" s="1"/>
  <c r="M107" i="11"/>
  <c r="O107" i="11" s="1"/>
  <c r="K106" i="11"/>
  <c r="N106" i="11" s="1"/>
  <c r="L106" i="11"/>
  <c r="P106" i="11" s="1"/>
  <c r="M106" i="11"/>
  <c r="O106" i="11" s="1"/>
  <c r="K105" i="11"/>
  <c r="N105" i="11" s="1"/>
  <c r="L105" i="11"/>
  <c r="P105" i="11" s="1"/>
  <c r="M105" i="11"/>
  <c r="O105" i="11" s="1"/>
  <c r="K104" i="11"/>
  <c r="N104" i="11" s="1"/>
  <c r="L104" i="11"/>
  <c r="P104" i="11" s="1"/>
  <c r="M104" i="11"/>
  <c r="O104" i="11" s="1"/>
  <c r="K103" i="11"/>
  <c r="N103" i="11" s="1"/>
  <c r="L103" i="11"/>
  <c r="P103" i="11" s="1"/>
  <c r="M103" i="11"/>
  <c r="O103" i="11" s="1"/>
  <c r="K102" i="11"/>
  <c r="N102" i="11" s="1"/>
  <c r="L102" i="11"/>
  <c r="P102" i="11" s="1"/>
  <c r="M102" i="11"/>
  <c r="O102" i="11" s="1"/>
  <c r="K101" i="11"/>
  <c r="L101" i="11"/>
  <c r="M101" i="11"/>
  <c r="O101" i="11" s="1"/>
  <c r="E5" i="13"/>
  <c r="D10" i="6" s="1"/>
  <c r="F5" i="13"/>
  <c r="G5" i="13" s="1"/>
  <c r="K100" i="11"/>
  <c r="N100" i="11" s="1"/>
  <c r="L100" i="11"/>
  <c r="P100" i="11" s="1"/>
  <c r="M100" i="11"/>
  <c r="O100" i="11" s="1"/>
  <c r="K99" i="11"/>
  <c r="N99" i="11" s="1"/>
  <c r="L99" i="11"/>
  <c r="P99" i="11" s="1"/>
  <c r="M99" i="11"/>
  <c r="O99" i="11" s="1"/>
  <c r="K98" i="11"/>
  <c r="N98" i="11" s="1"/>
  <c r="L98" i="11"/>
  <c r="P98" i="11" s="1"/>
  <c r="M98" i="11"/>
  <c r="O98" i="11" s="1"/>
  <c r="K97" i="11"/>
  <c r="N97" i="11" s="1"/>
  <c r="L97" i="11"/>
  <c r="P97" i="11" s="1"/>
  <c r="M97" i="11"/>
  <c r="O97" i="11" s="1"/>
  <c r="K96" i="11"/>
  <c r="N96" i="11" s="1"/>
  <c r="L96" i="11"/>
  <c r="P96" i="11" s="1"/>
  <c r="M96" i="11"/>
  <c r="O96" i="11" s="1"/>
  <c r="K95" i="11"/>
  <c r="N95" i="11" s="1"/>
  <c r="L95" i="11"/>
  <c r="P95" i="11" s="1"/>
  <c r="M95" i="11"/>
  <c r="O95" i="11" s="1"/>
  <c r="K94" i="11"/>
  <c r="N94" i="11" s="1"/>
  <c r="L94" i="11"/>
  <c r="P94" i="11" s="1"/>
  <c r="M94" i="11"/>
  <c r="O94" i="11" s="1"/>
  <c r="K93" i="11"/>
  <c r="N93" i="11" s="1"/>
  <c r="L93" i="11"/>
  <c r="P93" i="11" s="1"/>
  <c r="M93" i="11"/>
  <c r="O93" i="11" s="1"/>
  <c r="K92" i="11"/>
  <c r="N92" i="11" s="1"/>
  <c r="L92" i="11"/>
  <c r="P92" i="11" s="1"/>
  <c r="M92" i="11"/>
  <c r="O92" i="11" s="1"/>
  <c r="K91" i="11"/>
  <c r="N91" i="11" s="1"/>
  <c r="L91" i="11"/>
  <c r="P91" i="11" s="1"/>
  <c r="M91" i="11"/>
  <c r="O91" i="11" s="1"/>
  <c r="K90" i="11"/>
  <c r="N90" i="11" s="1"/>
  <c r="L90" i="11"/>
  <c r="P90" i="11" s="1"/>
  <c r="M90" i="11"/>
  <c r="O90" i="11" s="1"/>
  <c r="K89" i="11"/>
  <c r="N89" i="11" s="1"/>
  <c r="L89" i="11"/>
  <c r="P89" i="11" s="1"/>
  <c r="M89" i="11"/>
  <c r="O89" i="11" s="1"/>
  <c r="K88" i="11"/>
  <c r="N88" i="11" s="1"/>
  <c r="L88" i="11"/>
  <c r="P88" i="11" s="1"/>
  <c r="M88" i="11"/>
  <c r="O88" i="11" s="1"/>
  <c r="K87" i="11"/>
  <c r="N87" i="11" s="1"/>
  <c r="L87" i="11"/>
  <c r="P87" i="11" s="1"/>
  <c r="M87" i="11"/>
  <c r="O87" i="11" s="1"/>
  <c r="K86" i="11"/>
  <c r="N86" i="11" s="1"/>
  <c r="L86" i="11"/>
  <c r="P86" i="11" s="1"/>
  <c r="M86" i="11"/>
  <c r="O86" i="11" s="1"/>
  <c r="K85" i="11"/>
  <c r="N85" i="11" s="1"/>
  <c r="L85" i="11"/>
  <c r="P85" i="11" s="1"/>
  <c r="M85" i="11"/>
  <c r="O85" i="11" s="1"/>
  <c r="K84" i="11"/>
  <c r="N84" i="11" s="1"/>
  <c r="L84" i="11"/>
  <c r="P84" i="11" s="1"/>
  <c r="M84" i="11"/>
  <c r="O84" i="11" s="1"/>
  <c r="K83" i="11"/>
  <c r="N83" i="11" s="1"/>
  <c r="L83" i="11"/>
  <c r="P83" i="11" s="1"/>
  <c r="M83" i="11"/>
  <c r="O83" i="11" s="1"/>
  <c r="L82" i="11"/>
  <c r="P82" i="11" s="1"/>
  <c r="K82" i="11"/>
  <c r="N82" i="11" s="1"/>
  <c r="M82" i="11"/>
  <c r="O82" i="11" s="1"/>
  <c r="K81" i="11"/>
  <c r="N81" i="11" s="1"/>
  <c r="L81" i="11"/>
  <c r="P81" i="11" s="1"/>
  <c r="M81" i="11"/>
  <c r="O81" i="11" s="1"/>
  <c r="K80" i="11"/>
  <c r="N80" i="11" s="1"/>
  <c r="L80" i="11"/>
  <c r="P80" i="11" s="1"/>
  <c r="M80" i="11"/>
  <c r="O80" i="11" s="1"/>
  <c r="K79" i="11"/>
  <c r="L79" i="11"/>
  <c r="M79" i="11"/>
  <c r="O79" i="11" s="1"/>
  <c r="E4" i="13"/>
  <c r="D9" i="6" s="1"/>
  <c r="F4" i="13"/>
  <c r="G4" i="13" s="1"/>
  <c r="K78" i="11"/>
  <c r="N78" i="11" s="1"/>
  <c r="L78" i="11"/>
  <c r="P78" i="11" s="1"/>
  <c r="M78" i="11"/>
  <c r="O78" i="11" s="1"/>
  <c r="K77" i="11"/>
  <c r="N77" i="11" s="1"/>
  <c r="L77" i="11"/>
  <c r="P77" i="11" s="1"/>
  <c r="M77" i="11"/>
  <c r="O77" i="11" s="1"/>
  <c r="K76" i="11"/>
  <c r="N76" i="11" s="1"/>
  <c r="L76" i="11"/>
  <c r="P76" i="11" s="1"/>
  <c r="M76" i="11"/>
  <c r="O76" i="11" s="1"/>
  <c r="L75" i="11"/>
  <c r="P75" i="11" s="1"/>
  <c r="K75" i="11"/>
  <c r="N75" i="11" s="1"/>
  <c r="M75" i="11"/>
  <c r="O75" i="11" s="1"/>
  <c r="K74" i="11"/>
  <c r="N74" i="11" s="1"/>
  <c r="L74" i="11"/>
  <c r="P74" i="11" s="1"/>
  <c r="M74" i="11"/>
  <c r="O74" i="11" s="1"/>
  <c r="K73" i="11"/>
  <c r="N73" i="11" s="1"/>
  <c r="L73" i="11"/>
  <c r="P73" i="11" s="1"/>
  <c r="M73" i="11"/>
  <c r="O73" i="11" s="1"/>
  <c r="K72" i="11"/>
  <c r="N72" i="11" s="1"/>
  <c r="L72" i="11"/>
  <c r="P72" i="11" s="1"/>
  <c r="M72" i="11"/>
  <c r="O72" i="11" s="1"/>
  <c r="K71" i="11"/>
  <c r="N71" i="11" s="1"/>
  <c r="L71" i="11"/>
  <c r="P71" i="11" s="1"/>
  <c r="M71" i="11"/>
  <c r="O71" i="11" s="1"/>
  <c r="K70" i="11"/>
  <c r="N70" i="11" s="1"/>
  <c r="L70" i="11"/>
  <c r="P70" i="11" s="1"/>
  <c r="M70" i="11"/>
  <c r="O70" i="11" s="1"/>
  <c r="K69" i="11"/>
  <c r="N69" i="11" s="1"/>
  <c r="L69" i="11"/>
  <c r="P69" i="11" s="1"/>
  <c r="M69" i="11"/>
  <c r="O69" i="11" s="1"/>
  <c r="L68" i="11"/>
  <c r="P68" i="11" s="1"/>
  <c r="K68" i="11"/>
  <c r="N68" i="11" s="1"/>
  <c r="M68" i="11"/>
  <c r="O68" i="11" s="1"/>
  <c r="K67" i="11"/>
  <c r="N67" i="11" s="1"/>
  <c r="L67" i="11"/>
  <c r="P67" i="11" s="1"/>
  <c r="M67" i="11"/>
  <c r="O67" i="11" s="1"/>
  <c r="K66" i="11"/>
  <c r="N66" i="11" s="1"/>
  <c r="L66" i="11"/>
  <c r="P66" i="11" s="1"/>
  <c r="M66" i="11"/>
  <c r="O66" i="11" s="1"/>
  <c r="M65" i="11"/>
  <c r="O65" i="11" s="1"/>
  <c r="K65" i="11"/>
  <c r="N65" i="11" s="1"/>
  <c r="L65" i="11"/>
  <c r="P65" i="11" s="1"/>
  <c r="K64" i="11"/>
  <c r="N64" i="11" s="1"/>
  <c r="M64" i="11"/>
  <c r="O64" i="11" s="1"/>
  <c r="L64" i="11"/>
  <c r="P64" i="11" s="1"/>
  <c r="K63" i="11"/>
  <c r="N63" i="11" s="1"/>
  <c r="L63" i="11"/>
  <c r="P63" i="11" s="1"/>
  <c r="M63" i="11"/>
  <c r="O63" i="11" s="1"/>
  <c r="K62" i="11"/>
  <c r="N62" i="11" s="1"/>
  <c r="L62" i="11"/>
  <c r="P62" i="11" s="1"/>
  <c r="M62" i="11"/>
  <c r="O62" i="11" s="1"/>
  <c r="K61" i="11"/>
  <c r="N61" i="11" s="1"/>
  <c r="L61" i="11"/>
  <c r="P61" i="11" s="1"/>
  <c r="M61" i="11"/>
  <c r="O61" i="11" s="1"/>
  <c r="K60" i="11"/>
  <c r="N60" i="11" s="1"/>
  <c r="M60" i="11"/>
  <c r="O60" i="11" s="1"/>
  <c r="L60" i="11"/>
  <c r="P60" i="11" s="1"/>
  <c r="K59" i="11"/>
  <c r="N59" i="11" s="1"/>
  <c r="L59" i="11"/>
  <c r="P59" i="11" s="1"/>
  <c r="M59" i="11"/>
  <c r="O59" i="11" s="1"/>
  <c r="K58" i="11"/>
  <c r="N58" i="11" s="1"/>
  <c r="L58" i="11"/>
  <c r="P58" i="11" s="1"/>
  <c r="M58" i="11"/>
  <c r="O58" i="11" s="1"/>
  <c r="K57" i="11"/>
  <c r="N57" i="11" s="1"/>
  <c r="L57" i="11"/>
  <c r="P57" i="11" s="1"/>
  <c r="M57" i="11"/>
  <c r="O57" i="11" s="1"/>
  <c r="K56" i="11"/>
  <c r="N56" i="11" s="1"/>
  <c r="L56" i="11"/>
  <c r="P56" i="11" s="1"/>
  <c r="M56" i="11"/>
  <c r="O56" i="11" s="1"/>
  <c r="K55" i="11"/>
  <c r="N55" i="11" s="1"/>
  <c r="M55" i="11"/>
  <c r="O55" i="11" s="1"/>
  <c r="L55" i="11"/>
  <c r="P55" i="11" s="1"/>
  <c r="K54" i="11"/>
  <c r="N54" i="11" s="1"/>
  <c r="L54" i="11"/>
  <c r="P54" i="11" s="1"/>
  <c r="M54" i="11"/>
  <c r="O54" i="11" s="1"/>
  <c r="K53" i="11"/>
  <c r="N53" i="11" s="1"/>
  <c r="L53" i="11"/>
  <c r="P53" i="11" s="1"/>
  <c r="M53" i="11"/>
  <c r="O53" i="11" s="1"/>
  <c r="K52" i="11"/>
  <c r="N52" i="11" s="1"/>
  <c r="L52" i="11"/>
  <c r="P52" i="11" s="1"/>
  <c r="M52" i="11"/>
  <c r="O52" i="11" s="1"/>
  <c r="L51" i="11"/>
  <c r="P51" i="11" s="1"/>
  <c r="K51" i="11"/>
  <c r="N51" i="11" s="1"/>
  <c r="M51" i="11"/>
  <c r="O51" i="11" s="1"/>
  <c r="L50" i="11"/>
  <c r="P50" i="11" s="1"/>
  <c r="K50" i="11"/>
  <c r="N50" i="11" s="1"/>
  <c r="M50" i="11"/>
  <c r="O50" i="11" s="1"/>
  <c r="K49" i="11"/>
  <c r="N49" i="11" s="1"/>
  <c r="L49" i="11"/>
  <c r="P49" i="11" s="1"/>
  <c r="M49" i="11"/>
  <c r="O49" i="11" s="1"/>
  <c r="K48" i="11"/>
  <c r="N48" i="11" s="1"/>
  <c r="L48" i="11"/>
  <c r="P48" i="11" s="1"/>
  <c r="M48" i="11"/>
  <c r="O48" i="11" s="1"/>
  <c r="K47" i="11"/>
  <c r="N47" i="11" s="1"/>
  <c r="L47" i="11"/>
  <c r="P47" i="11" s="1"/>
  <c r="M47" i="11"/>
  <c r="O47" i="11" s="1"/>
  <c r="L46" i="11"/>
  <c r="P46" i="11" s="1"/>
  <c r="K46" i="11"/>
  <c r="N46" i="11" s="1"/>
  <c r="M46" i="11"/>
  <c r="O46" i="11" s="1"/>
  <c r="K45" i="11"/>
  <c r="N45" i="11" s="1"/>
  <c r="L45" i="11"/>
  <c r="P45" i="11" s="1"/>
  <c r="M45" i="11"/>
  <c r="O45" i="11" s="1"/>
  <c r="K44" i="11"/>
  <c r="N44" i="11" s="1"/>
  <c r="L44" i="11"/>
  <c r="P44" i="11" s="1"/>
  <c r="M44" i="11"/>
  <c r="O44" i="11" s="1"/>
  <c r="K43" i="11"/>
  <c r="N43" i="11" s="1"/>
  <c r="M43" i="11"/>
  <c r="O43" i="11" s="1"/>
  <c r="L43" i="11"/>
  <c r="P43" i="11" s="1"/>
  <c r="L42" i="11"/>
  <c r="P42" i="11" s="1"/>
  <c r="K42" i="11"/>
  <c r="N42" i="11" s="1"/>
  <c r="M42" i="11"/>
  <c r="O42" i="11" s="1"/>
  <c r="K41" i="11"/>
  <c r="N41" i="11" s="1"/>
  <c r="L41" i="11"/>
  <c r="P41" i="11" s="1"/>
  <c r="M41" i="11"/>
  <c r="O41" i="11" s="1"/>
  <c r="K40" i="11"/>
  <c r="N40" i="11" s="1"/>
  <c r="L40" i="11"/>
  <c r="P40" i="11" s="1"/>
  <c r="M40" i="11"/>
  <c r="O40" i="11" s="1"/>
  <c r="K39" i="11"/>
  <c r="N39" i="11" s="1"/>
  <c r="L39" i="11"/>
  <c r="P39" i="11" s="1"/>
  <c r="M39" i="11"/>
  <c r="O39" i="11" s="1"/>
  <c r="K38" i="11"/>
  <c r="N38" i="11" s="1"/>
  <c r="L38" i="11"/>
  <c r="P38" i="11" s="1"/>
  <c r="M38" i="11"/>
  <c r="O38" i="11" s="1"/>
  <c r="K37" i="11"/>
  <c r="N37" i="11" s="1"/>
  <c r="L37" i="11"/>
  <c r="P37" i="11" s="1"/>
  <c r="M37" i="11"/>
  <c r="O37" i="11" s="1"/>
  <c r="K36" i="11"/>
  <c r="N36" i="11" s="1"/>
  <c r="L36" i="11"/>
  <c r="P36" i="11" s="1"/>
  <c r="M36" i="11"/>
  <c r="O36" i="11" s="1"/>
  <c r="K35" i="11"/>
  <c r="N35" i="11" s="1"/>
  <c r="L35" i="11"/>
  <c r="P35" i="11" s="1"/>
  <c r="M35" i="11"/>
  <c r="O35" i="11" s="1"/>
  <c r="L34" i="11"/>
  <c r="P34" i="11" s="1"/>
  <c r="K34" i="11"/>
  <c r="N34" i="11" s="1"/>
  <c r="M34" i="11"/>
  <c r="O34" i="11" s="1"/>
  <c r="K33" i="11"/>
  <c r="N33" i="11" s="1"/>
  <c r="L33" i="11"/>
  <c r="P33" i="11" s="1"/>
  <c r="M33" i="11"/>
  <c r="O33" i="11" s="1"/>
  <c r="K32" i="11"/>
  <c r="N32" i="11" s="1"/>
  <c r="L32" i="11"/>
  <c r="P32" i="11" s="1"/>
  <c r="M32" i="11"/>
  <c r="O32" i="11" s="1"/>
  <c r="K31" i="11"/>
  <c r="N31" i="11" s="1"/>
  <c r="L31" i="11"/>
  <c r="P31" i="11" s="1"/>
  <c r="M31" i="11"/>
  <c r="O31" i="11" s="1"/>
  <c r="K30" i="11"/>
  <c r="N30" i="11" s="1"/>
  <c r="L30" i="11"/>
  <c r="P30" i="11" s="1"/>
  <c r="M30" i="11"/>
  <c r="O30" i="11" s="1"/>
  <c r="K29" i="11"/>
  <c r="N29" i="11" s="1"/>
  <c r="L29" i="11"/>
  <c r="P29" i="11" s="1"/>
  <c r="M29" i="11"/>
  <c r="O29" i="11" s="1"/>
  <c r="K28" i="11"/>
  <c r="N28" i="11" s="1"/>
  <c r="L28" i="11"/>
  <c r="P28" i="11" s="1"/>
  <c r="M28" i="11"/>
  <c r="O28" i="11" s="1"/>
  <c r="K27" i="11"/>
  <c r="N27" i="11" s="1"/>
  <c r="L27" i="11"/>
  <c r="P27" i="11" s="1"/>
  <c r="M27" i="11"/>
  <c r="O27" i="11" s="1"/>
  <c r="K26" i="11"/>
  <c r="N26" i="11" s="1"/>
  <c r="L26" i="11"/>
  <c r="P26" i="11" s="1"/>
  <c r="M26" i="11"/>
  <c r="O26" i="11" s="1"/>
  <c r="L25" i="11"/>
  <c r="P25" i="11" s="1"/>
  <c r="K25" i="11"/>
  <c r="N25" i="11" s="1"/>
  <c r="M25" i="11"/>
  <c r="O25" i="11" s="1"/>
  <c r="K24" i="11"/>
  <c r="N24" i="11" s="1"/>
  <c r="L24" i="11"/>
  <c r="P24" i="11" s="1"/>
  <c r="M24" i="11"/>
  <c r="O24" i="11" s="1"/>
  <c r="K23" i="11"/>
  <c r="N23" i="11" s="1"/>
  <c r="L23" i="11"/>
  <c r="P23" i="11" s="1"/>
  <c r="M23" i="11"/>
  <c r="O23" i="11" s="1"/>
  <c r="K22" i="11"/>
  <c r="N22" i="11" s="1"/>
  <c r="L22" i="11"/>
  <c r="P22" i="11" s="1"/>
  <c r="M22" i="11"/>
  <c r="O22" i="11" s="1"/>
  <c r="K21" i="11"/>
  <c r="N21" i="11" s="1"/>
  <c r="L21" i="11"/>
  <c r="P21" i="11" s="1"/>
  <c r="M21" i="11"/>
  <c r="O21" i="11" s="1"/>
  <c r="K20" i="11"/>
  <c r="N20" i="11" s="1"/>
  <c r="L20" i="11"/>
  <c r="P20" i="11" s="1"/>
  <c r="M20" i="11"/>
  <c r="O20" i="11" s="1"/>
  <c r="K19" i="11"/>
  <c r="N19" i="11" s="1"/>
  <c r="L19" i="11"/>
  <c r="P19" i="11" s="1"/>
  <c r="M19" i="11"/>
  <c r="O19" i="11" s="1"/>
  <c r="K18" i="11"/>
  <c r="N18" i="11" s="1"/>
  <c r="L18" i="11"/>
  <c r="P18" i="11" s="1"/>
  <c r="M18" i="11"/>
  <c r="O18" i="11" s="1"/>
  <c r="K17" i="11"/>
  <c r="N17" i="11" s="1"/>
  <c r="L17" i="11"/>
  <c r="P17" i="11" s="1"/>
  <c r="M17" i="11"/>
  <c r="O17" i="11" s="1"/>
  <c r="K16" i="11"/>
  <c r="N16" i="11" s="1"/>
  <c r="L16" i="11"/>
  <c r="P16" i="11" s="1"/>
  <c r="M16" i="11"/>
  <c r="O16" i="11" s="1"/>
  <c r="K15" i="11"/>
  <c r="N15" i="11" s="1"/>
  <c r="L15" i="11"/>
  <c r="P15" i="11" s="1"/>
  <c r="M15" i="11"/>
  <c r="O15" i="11" s="1"/>
  <c r="K14" i="11"/>
  <c r="N14" i="11" s="1"/>
  <c r="L14" i="11"/>
  <c r="P14" i="11" s="1"/>
  <c r="M14" i="11"/>
  <c r="O14" i="11" s="1"/>
  <c r="K13" i="11"/>
  <c r="N13" i="11" s="1"/>
  <c r="L13" i="11"/>
  <c r="P13" i="11" s="1"/>
  <c r="M13" i="11"/>
  <c r="O13" i="11" s="1"/>
  <c r="K12" i="11"/>
  <c r="N12" i="11" s="1"/>
  <c r="L12" i="11"/>
  <c r="P12" i="11" s="1"/>
  <c r="M12" i="11"/>
  <c r="O12" i="11" s="1"/>
  <c r="K11" i="11"/>
  <c r="N11" i="11" s="1"/>
  <c r="L11" i="11"/>
  <c r="P11" i="11" s="1"/>
  <c r="M11" i="11"/>
  <c r="O11" i="11" s="1"/>
  <c r="M10" i="11"/>
  <c r="O10" i="11" s="1"/>
  <c r="K10" i="11"/>
  <c r="N10" i="11" s="1"/>
  <c r="L10" i="11"/>
  <c r="P10" i="11" s="1"/>
  <c r="K9" i="11"/>
  <c r="N9" i="11" s="1"/>
  <c r="L9" i="11"/>
  <c r="P9" i="11" s="1"/>
  <c r="M9" i="11"/>
  <c r="O9" i="11" s="1"/>
  <c r="K8" i="11"/>
  <c r="N8" i="11" s="1"/>
  <c r="M8" i="11"/>
  <c r="O8" i="11" s="1"/>
  <c r="L8" i="11"/>
  <c r="P8" i="11" s="1"/>
  <c r="K7" i="11"/>
  <c r="N7" i="11" s="1"/>
  <c r="L7" i="11"/>
  <c r="P7" i="11" s="1"/>
  <c r="M7" i="11"/>
  <c r="O7" i="11" s="1"/>
  <c r="K6" i="11"/>
  <c r="N6" i="11" s="1"/>
  <c r="L6" i="11"/>
  <c r="P6" i="11" s="1"/>
  <c r="M6" i="11"/>
  <c r="O6" i="11" s="1"/>
  <c r="K5" i="11"/>
  <c r="N5" i="11" s="1"/>
  <c r="L5" i="11"/>
  <c r="P5" i="11" s="1"/>
  <c r="M5" i="11"/>
  <c r="O5" i="11" s="1"/>
  <c r="K4" i="11"/>
  <c r="N4" i="11" s="1"/>
  <c r="L4" i="11"/>
  <c r="P4" i="11" s="1"/>
  <c r="M4" i="11"/>
  <c r="O4" i="11" s="1"/>
  <c r="K3" i="11"/>
  <c r="L3" i="11"/>
  <c r="M3" i="11"/>
  <c r="C4" i="10"/>
  <c r="E3" i="13"/>
  <c r="D8" i="6" s="1"/>
  <c r="F3" i="13"/>
  <c r="C8" i="1"/>
  <c r="C9" i="1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F7" i="4"/>
  <c r="G7" i="4" s="1"/>
  <c r="F8" i="4"/>
  <c r="G8" i="4" s="1"/>
  <c r="H163" i="7"/>
  <c r="H156" i="7"/>
  <c r="H155" i="7"/>
  <c r="H154" i="7"/>
  <c r="H153" i="7"/>
  <c r="H147" i="7"/>
  <c r="H146" i="7"/>
  <c r="K6" i="9"/>
  <c r="J6" i="9"/>
  <c r="I6" i="9"/>
  <c r="H6" i="9"/>
  <c r="G6" i="9"/>
  <c r="F6" i="9"/>
  <c r="E6" i="9"/>
  <c r="D6" i="9"/>
  <c r="C6" i="9"/>
  <c r="B6" i="9"/>
  <c r="E15" i="8"/>
  <c r="I17" i="6"/>
  <c r="J17" i="6"/>
  <c r="K17" i="6"/>
  <c r="H17" i="6"/>
  <c r="J16" i="6"/>
  <c r="I16" i="6"/>
  <c r="E14" i="8"/>
  <c r="K16" i="6"/>
  <c r="H16" i="6"/>
  <c r="J15" i="6"/>
  <c r="I15" i="6"/>
  <c r="K15" i="6"/>
  <c r="E13" i="8"/>
  <c r="H15" i="6"/>
  <c r="I14" i="6"/>
  <c r="J14" i="6"/>
  <c r="K14" i="6"/>
  <c r="E12" i="8"/>
  <c r="H14" i="6"/>
  <c r="I13" i="6"/>
  <c r="K13" i="6"/>
  <c r="J13" i="6"/>
  <c r="H13" i="6"/>
  <c r="I12" i="6"/>
  <c r="J12" i="6"/>
  <c r="K12" i="6"/>
  <c r="I11" i="6"/>
  <c r="K11" i="6"/>
  <c r="J11" i="6"/>
  <c r="K10" i="6"/>
  <c r="I10" i="6"/>
  <c r="J10" i="6"/>
  <c r="J9" i="6"/>
  <c r="I9" i="6"/>
  <c r="K9" i="6"/>
  <c r="G18" i="6"/>
  <c r="I8" i="6"/>
  <c r="I18" i="6" s="1"/>
  <c r="J8" i="6"/>
  <c r="J18" i="6" s="1"/>
  <c r="K8" i="6"/>
  <c r="K18" i="6" s="1"/>
  <c r="H10" i="5"/>
  <c r="F10" i="5"/>
  <c r="F9" i="5"/>
  <c r="H9" i="5"/>
  <c r="F8" i="5"/>
  <c r="H8" i="5"/>
  <c r="F7" i="5"/>
  <c r="H7" i="5"/>
  <c r="H6" i="5"/>
  <c r="H11" i="5" s="1"/>
  <c r="D18" i="5" s="1"/>
  <c r="F6" i="5"/>
  <c r="F11" i="5" s="1"/>
  <c r="D17" i="5" s="1"/>
  <c r="H12" i="6" l="1"/>
  <c r="H11" i="6"/>
  <c r="H10" i="6"/>
  <c r="H44" i="7"/>
  <c r="D15" i="9"/>
  <c r="H9" i="6"/>
  <c r="B11" i="9"/>
  <c r="L11" i="9"/>
  <c r="B12" i="9"/>
  <c r="B14" i="9"/>
  <c r="B16" i="9"/>
  <c r="L16" i="9"/>
  <c r="B17" i="9"/>
  <c r="L17" i="9"/>
  <c r="B18" i="9"/>
  <c r="L18" i="9"/>
  <c r="B19" i="9"/>
  <c r="L19" i="9"/>
  <c r="B20" i="9"/>
  <c r="L20" i="9"/>
  <c r="B21" i="9"/>
  <c r="L21" i="9"/>
  <c r="B22" i="9"/>
  <c r="L22" i="9"/>
  <c r="B23" i="9"/>
  <c r="L23" i="9"/>
  <c r="B24" i="9"/>
  <c r="L24" i="9"/>
  <c r="H8" i="6"/>
  <c r="C18" i="6"/>
  <c r="N616" i="11"/>
  <c r="L15" i="8" s="1"/>
  <c r="M15" i="8" s="1"/>
  <c r="I12" i="13"/>
  <c r="H12" i="13"/>
  <c r="P616" i="11"/>
  <c r="N602" i="11"/>
  <c r="L14" i="8" s="1"/>
  <c r="M14" i="8" s="1"/>
  <c r="I11" i="13"/>
  <c r="P602" i="11"/>
  <c r="H11" i="13"/>
  <c r="N534" i="11"/>
  <c r="L13" i="8" s="1"/>
  <c r="M13" i="8" s="1"/>
  <c r="I10" i="13"/>
  <c r="P534" i="11"/>
  <c r="H10" i="13"/>
  <c r="N449" i="11"/>
  <c r="L12" i="8" s="1"/>
  <c r="M12" i="8" s="1"/>
  <c r="I9" i="13"/>
  <c r="P449" i="11"/>
  <c r="H9" i="13"/>
  <c r="N364" i="11"/>
  <c r="L11" i="8" s="1"/>
  <c r="M11" i="8" s="1"/>
  <c r="I8" i="13"/>
  <c r="P364" i="11"/>
  <c r="H8" i="13"/>
  <c r="N276" i="11"/>
  <c r="L10" i="8" s="1"/>
  <c r="M10" i="8" s="1"/>
  <c r="I7" i="13"/>
  <c r="P276" i="11"/>
  <c r="H7" i="13"/>
  <c r="N186" i="11"/>
  <c r="L9" i="8" s="1"/>
  <c r="M9" i="8" s="1"/>
  <c r="I6" i="13"/>
  <c r="P186" i="11"/>
  <c r="H6" i="13"/>
  <c r="N101" i="11"/>
  <c r="L8" i="8" s="1"/>
  <c r="M8" i="8" s="1"/>
  <c r="I5" i="13"/>
  <c r="P101" i="11"/>
  <c r="H5" i="13"/>
  <c r="N79" i="11"/>
  <c r="L7" i="8" s="1"/>
  <c r="M7" i="8" s="1"/>
  <c r="I4" i="13"/>
  <c r="P79" i="11"/>
  <c r="H4" i="13"/>
  <c r="N3" i="11"/>
  <c r="F4" i="10"/>
  <c r="I3" i="13"/>
  <c r="I13" i="13" s="1"/>
  <c r="C14" i="1"/>
  <c r="P3" i="11"/>
  <c r="D4" i="10"/>
  <c r="H3" i="13"/>
  <c r="C13" i="1"/>
  <c r="O3" i="11"/>
  <c r="E4" i="10"/>
  <c r="C10" i="1"/>
  <c r="G3" i="13"/>
  <c r="G13" i="13" s="1"/>
  <c r="F13" i="13"/>
  <c r="F8" i="1"/>
  <c r="H6" i="4"/>
  <c r="I6" i="4" s="1"/>
  <c r="H7" i="4"/>
  <c r="I7" i="4" s="1"/>
  <c r="H8" i="4"/>
  <c r="I8" i="4" s="1"/>
  <c r="H9" i="4"/>
  <c r="I9" i="4" s="1"/>
  <c r="H10" i="4"/>
  <c r="I10" i="4" s="1"/>
  <c r="H4" i="10"/>
  <c r="L5" i="9"/>
  <c r="D18" i="6"/>
  <c r="C6" i="2"/>
  <c r="I209" i="7"/>
  <c r="J209" i="7" s="1"/>
  <c r="D34" i="9" s="1"/>
  <c r="I202" i="7"/>
  <c r="J202" i="7" s="1"/>
  <c r="G33" i="9" s="1"/>
  <c r="I199" i="7"/>
  <c r="J199" i="7" s="1"/>
  <c r="D33" i="9" s="1"/>
  <c r="I189" i="7"/>
  <c r="J189" i="7" s="1"/>
  <c r="D32" i="9" s="1"/>
  <c r="I162" i="7"/>
  <c r="J162" i="7" s="1"/>
  <c r="G29" i="9" s="1"/>
  <c r="I191" i="7"/>
  <c r="J191" i="7" s="1"/>
  <c r="F32" i="9" s="1"/>
  <c r="I178" i="7"/>
  <c r="J178" i="7" s="1"/>
  <c r="C31" i="9" s="1"/>
  <c r="I181" i="7"/>
  <c r="J181" i="7" s="1"/>
  <c r="F31" i="9" s="1"/>
  <c r="I177" i="7"/>
  <c r="J177" i="7" s="1"/>
  <c r="I200" i="7"/>
  <c r="J200" i="7" s="1"/>
  <c r="E33" i="9" s="1"/>
  <c r="I204" i="7"/>
  <c r="J204" i="7" s="1"/>
  <c r="I33" i="9" s="1"/>
  <c r="I207" i="7"/>
  <c r="J207" i="7" s="1"/>
  <c r="I211" i="7"/>
  <c r="J211" i="7" s="1"/>
  <c r="F34" i="9" s="1"/>
  <c r="I212" i="7"/>
  <c r="J212" i="7" s="1"/>
  <c r="G34" i="9" s="1"/>
  <c r="I214" i="7"/>
  <c r="J214" i="7" s="1"/>
  <c r="I34" i="9" s="1"/>
  <c r="I216" i="7"/>
  <c r="J216" i="7" s="1"/>
  <c r="K34" i="9" s="1"/>
  <c r="I195" i="7"/>
  <c r="J195" i="7" s="1"/>
  <c r="J32" i="9" s="1"/>
  <c r="I197" i="7"/>
  <c r="J197" i="7" s="1"/>
  <c r="I192" i="7"/>
  <c r="J192" i="7" s="1"/>
  <c r="G32" i="9" s="1"/>
  <c r="I176" i="7"/>
  <c r="J176" i="7" s="1"/>
  <c r="K30" i="9" s="1"/>
  <c r="I175" i="7"/>
  <c r="J175" i="7" s="1"/>
  <c r="J30" i="9" s="1"/>
  <c r="I174" i="7"/>
  <c r="J174" i="7" s="1"/>
  <c r="I30" i="9" s="1"/>
  <c r="I173" i="7"/>
  <c r="J173" i="7" s="1"/>
  <c r="H30" i="9" s="1"/>
  <c r="I190" i="7"/>
  <c r="J190" i="7" s="1"/>
  <c r="E32" i="9" s="1"/>
  <c r="I171" i="7"/>
  <c r="J171" i="7" s="1"/>
  <c r="F30" i="9" s="1"/>
  <c r="I170" i="7"/>
  <c r="J170" i="7" s="1"/>
  <c r="E30" i="9" s="1"/>
  <c r="I169" i="7"/>
  <c r="J169" i="7" s="1"/>
  <c r="D30" i="9" s="1"/>
  <c r="I168" i="7"/>
  <c r="J168" i="7" s="1"/>
  <c r="C30" i="9" s="1"/>
  <c r="I167" i="7"/>
  <c r="J167" i="7" s="1"/>
  <c r="I166" i="7"/>
  <c r="J166" i="7" s="1"/>
  <c r="K29" i="9" s="1"/>
  <c r="I165" i="7"/>
  <c r="J165" i="7" s="1"/>
  <c r="J29" i="9" s="1"/>
  <c r="I164" i="7"/>
  <c r="J164" i="7" s="1"/>
  <c r="I29" i="9" s="1"/>
  <c r="I163" i="7"/>
  <c r="J163" i="7" s="1"/>
  <c r="H29" i="9" s="1"/>
  <c r="I187" i="7"/>
  <c r="J187" i="7" s="1"/>
  <c r="I161" i="7"/>
  <c r="J161" i="7" s="1"/>
  <c r="F29" i="9" s="1"/>
  <c r="I185" i="7"/>
  <c r="J185" i="7" s="1"/>
  <c r="J31" i="9" s="1"/>
  <c r="I183" i="7"/>
  <c r="J183" i="7" s="1"/>
  <c r="H31" i="9" s="1"/>
  <c r="I160" i="7"/>
  <c r="J160" i="7" s="1"/>
  <c r="E29" i="9" s="1"/>
  <c r="I159" i="7"/>
  <c r="J159" i="7" s="1"/>
  <c r="D29" i="9" s="1"/>
  <c r="I179" i="7"/>
  <c r="J179" i="7" s="1"/>
  <c r="D31" i="9" s="1"/>
  <c r="I158" i="7"/>
  <c r="J158" i="7" s="1"/>
  <c r="C29" i="9" s="1"/>
  <c r="I193" i="7"/>
  <c r="J193" i="7" s="1"/>
  <c r="H32" i="9" s="1"/>
  <c r="I188" i="7"/>
  <c r="J188" i="7" s="1"/>
  <c r="C32" i="9" s="1"/>
  <c r="I157" i="7"/>
  <c r="J157" i="7" s="1"/>
  <c r="I184" i="7"/>
  <c r="J184" i="7" s="1"/>
  <c r="I31" i="9" s="1"/>
  <c r="I194" i="7"/>
  <c r="J194" i="7" s="1"/>
  <c r="I32" i="9" s="1"/>
  <c r="I196" i="7"/>
  <c r="J196" i="7" s="1"/>
  <c r="K32" i="9" s="1"/>
  <c r="I205" i="7"/>
  <c r="J205" i="7" s="1"/>
  <c r="J33" i="9" s="1"/>
  <c r="I213" i="7"/>
  <c r="J213" i="7" s="1"/>
  <c r="H34" i="9" s="1"/>
  <c r="I203" i="7"/>
  <c r="J203" i="7" s="1"/>
  <c r="H33" i="9" s="1"/>
  <c r="I201" i="7"/>
  <c r="J201" i="7" s="1"/>
  <c r="F33" i="9" s="1"/>
  <c r="I182" i="7"/>
  <c r="J182" i="7" s="1"/>
  <c r="G31" i="9" s="1"/>
  <c r="I210" i="7"/>
  <c r="J210" i="7" s="1"/>
  <c r="E34" i="9" s="1"/>
  <c r="I180" i="7"/>
  <c r="J180" i="7" s="1"/>
  <c r="E31" i="9" s="1"/>
  <c r="I215" i="7"/>
  <c r="J215" i="7" s="1"/>
  <c r="J34" i="9" s="1"/>
  <c r="I208" i="7"/>
  <c r="J208" i="7" s="1"/>
  <c r="C34" i="9" s="1"/>
  <c r="I206" i="7"/>
  <c r="J206" i="7" s="1"/>
  <c r="K33" i="9" s="1"/>
  <c r="I198" i="7"/>
  <c r="J198" i="7" s="1"/>
  <c r="C33" i="9" s="1"/>
  <c r="I186" i="7"/>
  <c r="J186" i="7" s="1"/>
  <c r="K31" i="9" s="1"/>
  <c r="I172" i="7"/>
  <c r="J172" i="7" s="1"/>
  <c r="G30" i="9" s="1"/>
  <c r="I44" i="7"/>
  <c r="J44" i="7" s="1"/>
  <c r="I135" i="7"/>
  <c r="J135" i="7" s="1"/>
  <c r="J18" i="9" s="1"/>
  <c r="I133" i="7"/>
  <c r="J133" i="7" s="1"/>
  <c r="I131" i="7"/>
  <c r="J131" i="7" s="1"/>
  <c r="I27" i="9" s="1"/>
  <c r="I68" i="7"/>
  <c r="J68" i="7" s="1"/>
  <c r="E22" i="9" s="1"/>
  <c r="I66" i="7"/>
  <c r="J66" i="7" s="1"/>
  <c r="E20" i="9" s="1"/>
  <c r="I64" i="7"/>
  <c r="J64" i="7" s="1"/>
  <c r="E18" i="9" s="1"/>
  <c r="I127" i="7"/>
  <c r="J127" i="7" s="1"/>
  <c r="I23" i="9" s="1"/>
  <c r="I62" i="7"/>
  <c r="J62" i="7" s="1"/>
  <c r="E16" i="9" s="1"/>
  <c r="I30" i="7"/>
  <c r="J30" i="7" s="1"/>
  <c r="C19" i="9" s="1"/>
  <c r="I21" i="7"/>
  <c r="J21" i="7" s="1"/>
  <c r="I123" i="7"/>
  <c r="J123" i="7" s="1"/>
  <c r="I19" i="9" s="1"/>
  <c r="I16" i="7"/>
  <c r="J16" i="7" s="1"/>
  <c r="I120" i="7"/>
  <c r="J120" i="7" s="1"/>
  <c r="I12" i="7"/>
  <c r="J12" i="7" s="1"/>
  <c r="I117" i="7"/>
  <c r="J117" i="7" s="1"/>
  <c r="H26" i="9" s="1"/>
  <c r="I9" i="7"/>
  <c r="J9" i="7" s="1"/>
  <c r="I115" i="7"/>
  <c r="J115" i="7" s="1"/>
  <c r="H24" i="9" s="1"/>
  <c r="I113" i="7"/>
  <c r="J113" i="7" s="1"/>
  <c r="H22" i="9" s="1"/>
  <c r="I4" i="7"/>
  <c r="J4" i="7" s="1"/>
  <c r="I109" i="7"/>
  <c r="J109" i="7" s="1"/>
  <c r="H18" i="9" s="1"/>
  <c r="I107" i="7"/>
  <c r="J107" i="7" s="1"/>
  <c r="H16" i="9" s="1"/>
  <c r="I137" i="7"/>
  <c r="J137" i="7" s="1"/>
  <c r="J20" i="9" s="1"/>
  <c r="I70" i="7"/>
  <c r="J70" i="7" s="1"/>
  <c r="E24" i="9" s="1"/>
  <c r="I67" i="7"/>
  <c r="J67" i="7" s="1"/>
  <c r="E21" i="9" s="1"/>
  <c r="I59" i="7"/>
  <c r="J59" i="7" s="1"/>
  <c r="E13" i="9" s="1"/>
  <c r="I130" i="7"/>
  <c r="J130" i="7" s="1"/>
  <c r="I26" i="9" s="1"/>
  <c r="I126" i="7"/>
  <c r="J126" i="7" s="1"/>
  <c r="I22" i="9" s="1"/>
  <c r="I56" i="7"/>
  <c r="J56" i="7" s="1"/>
  <c r="D27" i="9" s="1"/>
  <c r="I54" i="7"/>
  <c r="J54" i="7" s="1"/>
  <c r="D25" i="9" s="1"/>
  <c r="I52" i="7"/>
  <c r="J52" i="7" s="1"/>
  <c r="D23" i="9" s="1"/>
  <c r="I122" i="7"/>
  <c r="J122" i="7" s="1"/>
  <c r="I18" i="9" s="1"/>
  <c r="I119" i="7"/>
  <c r="J119" i="7" s="1"/>
  <c r="H28" i="9" s="1"/>
  <c r="I48" i="7"/>
  <c r="J48" i="7" s="1"/>
  <c r="D19" i="9" s="1"/>
  <c r="I47" i="7"/>
  <c r="J47" i="7" s="1"/>
  <c r="D18" i="9" s="1"/>
  <c r="I111" i="7"/>
  <c r="J111" i="7" s="1"/>
  <c r="H20" i="9" s="1"/>
  <c r="I43" i="7"/>
  <c r="J43" i="7" s="1"/>
  <c r="D14" i="9" s="1"/>
  <c r="I108" i="7"/>
  <c r="J108" i="7" s="1"/>
  <c r="H17" i="9" s="1"/>
  <c r="I39" i="7"/>
  <c r="J39" i="7" s="1"/>
  <c r="C28" i="9" s="1"/>
  <c r="I105" i="7"/>
  <c r="J105" i="7" s="1"/>
  <c r="G28" i="9" s="1"/>
  <c r="I36" i="7"/>
  <c r="J36" i="7" s="1"/>
  <c r="C25" i="9" s="1"/>
  <c r="I33" i="7"/>
  <c r="J33" i="7" s="1"/>
  <c r="C22" i="9" s="1"/>
  <c r="I31" i="7"/>
  <c r="J31" i="7" s="1"/>
  <c r="C20" i="9" s="1"/>
  <c r="I103" i="7"/>
  <c r="J103" i="7" s="1"/>
  <c r="G26" i="9" s="1"/>
  <c r="I27" i="7"/>
  <c r="J27" i="7" s="1"/>
  <c r="C16" i="9" s="1"/>
  <c r="I24" i="7"/>
  <c r="J24" i="7" s="1"/>
  <c r="C13" i="9" s="1"/>
  <c r="I100" i="7"/>
  <c r="J100" i="7" s="1"/>
  <c r="G23" i="9" s="1"/>
  <c r="I95" i="7"/>
  <c r="J95" i="7" s="1"/>
  <c r="G18" i="9" s="1"/>
  <c r="I20" i="7"/>
  <c r="J20" i="7" s="1"/>
  <c r="I92" i="7"/>
  <c r="J92" i="7" s="1"/>
  <c r="I18" i="7"/>
  <c r="J18" i="7" s="1"/>
  <c r="I17" i="7"/>
  <c r="J17" i="7" s="1"/>
  <c r="I13" i="7"/>
  <c r="J13" i="7" s="1"/>
  <c r="I86" i="7"/>
  <c r="J86" i="7" s="1"/>
  <c r="F23" i="9" s="1"/>
  <c r="I82" i="7"/>
  <c r="J82" i="7" s="1"/>
  <c r="F19" i="9" s="1"/>
  <c r="I7" i="7"/>
  <c r="J7" i="7" s="1"/>
  <c r="I78" i="7"/>
  <c r="J78" i="7" s="1"/>
  <c r="F15" i="9" s="1"/>
  <c r="I69" i="7"/>
  <c r="J69" i="7" s="1"/>
  <c r="E23" i="9" s="1"/>
  <c r="I65" i="7"/>
  <c r="J65" i="7" s="1"/>
  <c r="E19" i="9" s="1"/>
  <c r="I63" i="7"/>
  <c r="J63" i="7" s="1"/>
  <c r="E17" i="9" s="1"/>
  <c r="I61" i="7"/>
  <c r="J61" i="7" s="1"/>
  <c r="E15" i="9" s="1"/>
  <c r="I140" i="7"/>
  <c r="J140" i="7" s="1"/>
  <c r="J23" i="9" s="1"/>
  <c r="I58" i="7"/>
  <c r="J58" i="7" s="1"/>
  <c r="I49" i="7"/>
  <c r="J49" i="7" s="1"/>
  <c r="D20" i="9" s="1"/>
  <c r="I90" i="7"/>
  <c r="J90" i="7" s="1"/>
  <c r="F27" i="9" s="1"/>
  <c r="I87" i="7"/>
  <c r="J87" i="7" s="1"/>
  <c r="F24" i="9" s="1"/>
  <c r="I45" i="7"/>
  <c r="J45" i="7" s="1"/>
  <c r="D16" i="9" s="1"/>
  <c r="I34" i="7"/>
  <c r="J34" i="7" s="1"/>
  <c r="C23" i="9" s="1"/>
  <c r="I29" i="7"/>
  <c r="J29" i="7" s="1"/>
  <c r="C18" i="9" s="1"/>
  <c r="I25" i="7"/>
  <c r="J25" i="7" s="1"/>
  <c r="I75" i="7"/>
  <c r="J75" i="7" s="1"/>
  <c r="I72" i="7"/>
  <c r="J72" i="7" s="1"/>
  <c r="E26" i="9" s="1"/>
  <c r="I23" i="7"/>
  <c r="J23" i="7" s="1"/>
  <c r="I19" i="7"/>
  <c r="J19" i="7" s="1"/>
  <c r="I15" i="7"/>
  <c r="J15" i="7" s="1"/>
  <c r="I8" i="7"/>
  <c r="J8" i="7" s="1"/>
  <c r="I6" i="7"/>
  <c r="J6" i="7" s="1"/>
  <c r="I143" i="7"/>
  <c r="J143" i="7" s="1"/>
  <c r="J26" i="9" s="1"/>
  <c r="I141" i="7"/>
  <c r="J141" i="7" s="1"/>
  <c r="J24" i="9" s="1"/>
  <c r="I60" i="7"/>
  <c r="J60" i="7" s="1"/>
  <c r="E14" i="9" s="1"/>
  <c r="I138" i="7"/>
  <c r="J138" i="7" s="1"/>
  <c r="J21" i="9" s="1"/>
  <c r="I55" i="7"/>
  <c r="J55" i="7" s="1"/>
  <c r="D26" i="9" s="1"/>
  <c r="I53" i="7"/>
  <c r="J53" i="7" s="1"/>
  <c r="D24" i="9" s="1"/>
  <c r="I50" i="7"/>
  <c r="J50" i="7" s="1"/>
  <c r="D21" i="9" s="1"/>
  <c r="I132" i="7"/>
  <c r="J132" i="7" s="1"/>
  <c r="I28" i="9" s="1"/>
  <c r="I41" i="7"/>
  <c r="J41" i="7" s="1"/>
  <c r="D12" i="9" s="1"/>
  <c r="I38" i="7"/>
  <c r="J38" i="7" s="1"/>
  <c r="C27" i="9" s="1"/>
  <c r="I35" i="7"/>
  <c r="J35" i="7" s="1"/>
  <c r="C24" i="9" s="1"/>
  <c r="I129" i="7"/>
  <c r="J129" i="7" s="1"/>
  <c r="I25" i="9" s="1"/>
  <c r="I124" i="7"/>
  <c r="J124" i="7" s="1"/>
  <c r="I20" i="9" s="1"/>
  <c r="I26" i="7"/>
  <c r="J26" i="7" s="1"/>
  <c r="C15" i="9" s="1"/>
  <c r="I121" i="7"/>
  <c r="J121" i="7" s="1"/>
  <c r="I17" i="9" s="1"/>
  <c r="I96" i="7"/>
  <c r="J96" i="7" s="1"/>
  <c r="G19" i="9" s="1"/>
  <c r="I89" i="7"/>
  <c r="J89" i="7" s="1"/>
  <c r="F26" i="9" s="1"/>
  <c r="I85" i="7"/>
  <c r="J85" i="7" s="1"/>
  <c r="F22" i="9" s="1"/>
  <c r="I83" i="7"/>
  <c r="J83" i="7" s="1"/>
  <c r="F20" i="9" s="1"/>
  <c r="I81" i="7"/>
  <c r="J81" i="7" s="1"/>
  <c r="F18" i="9" s="1"/>
  <c r="I80" i="7"/>
  <c r="J80" i="7" s="1"/>
  <c r="F17" i="9" s="1"/>
  <c r="I77" i="7"/>
  <c r="J77" i="7" s="1"/>
  <c r="F14" i="9" s="1"/>
  <c r="I51" i="7"/>
  <c r="J51" i="7" s="1"/>
  <c r="D22" i="9" s="1"/>
  <c r="I46" i="7"/>
  <c r="J46" i="7" s="1"/>
  <c r="D17" i="9" s="1"/>
  <c r="I42" i="7"/>
  <c r="J42" i="7" s="1"/>
  <c r="D13" i="9" s="1"/>
  <c r="I88" i="7"/>
  <c r="J88" i="7" s="1"/>
  <c r="F25" i="9" s="1"/>
  <c r="I144" i="7"/>
  <c r="J144" i="7" s="1"/>
  <c r="J27" i="9" s="1"/>
  <c r="I37" i="7"/>
  <c r="J37" i="7" s="1"/>
  <c r="C26" i="9" s="1"/>
  <c r="I142" i="7"/>
  <c r="J142" i="7" s="1"/>
  <c r="J25" i="9" s="1"/>
  <c r="I134" i="7"/>
  <c r="J134" i="7" s="1"/>
  <c r="J17" i="9" s="1"/>
  <c r="I136" i="7"/>
  <c r="J136" i="7" s="1"/>
  <c r="J19" i="9" s="1"/>
  <c r="I32" i="7"/>
  <c r="J32" i="7" s="1"/>
  <c r="C21" i="9" s="1"/>
  <c r="I28" i="7"/>
  <c r="J28" i="7" s="1"/>
  <c r="C17" i="9" s="1"/>
  <c r="I128" i="7"/>
  <c r="J128" i="7" s="1"/>
  <c r="I24" i="9" s="1"/>
  <c r="I125" i="7"/>
  <c r="J125" i="7" s="1"/>
  <c r="I21" i="9" s="1"/>
  <c r="I118" i="7"/>
  <c r="J118" i="7" s="1"/>
  <c r="H27" i="9" s="1"/>
  <c r="I116" i="7"/>
  <c r="J116" i="7" s="1"/>
  <c r="H25" i="9" s="1"/>
  <c r="I11" i="7"/>
  <c r="J11" i="7" s="1"/>
  <c r="I114" i="7"/>
  <c r="J114" i="7" s="1"/>
  <c r="H23" i="9" s="1"/>
  <c r="I112" i="7"/>
  <c r="J112" i="7" s="1"/>
  <c r="H21" i="9" s="1"/>
  <c r="I5" i="7"/>
  <c r="J5" i="7" s="1"/>
  <c r="I156" i="7"/>
  <c r="J156" i="7" s="1"/>
  <c r="K28" i="9" s="1"/>
  <c r="I155" i="7"/>
  <c r="J155" i="7" s="1"/>
  <c r="K27" i="9" s="1"/>
  <c r="I154" i="7"/>
  <c r="J154" i="7" s="1"/>
  <c r="K26" i="9" s="1"/>
  <c r="I153" i="7"/>
  <c r="J153" i="7" s="1"/>
  <c r="K25" i="9" s="1"/>
  <c r="I152" i="7"/>
  <c r="J152" i="7" s="1"/>
  <c r="K24" i="9" s="1"/>
  <c r="I110" i="7"/>
  <c r="J110" i="7" s="1"/>
  <c r="H19" i="9" s="1"/>
  <c r="I106" i="7"/>
  <c r="J106" i="7" s="1"/>
  <c r="I151" i="7"/>
  <c r="J151" i="7" s="1"/>
  <c r="K23" i="9" s="1"/>
  <c r="I150" i="7"/>
  <c r="J150" i="7" s="1"/>
  <c r="K22" i="9" s="1"/>
  <c r="I104" i="7"/>
  <c r="J104" i="7" s="1"/>
  <c r="G27" i="9" s="1"/>
  <c r="I102" i="7"/>
  <c r="J102" i="7" s="1"/>
  <c r="G25" i="9" s="1"/>
  <c r="I149" i="7"/>
  <c r="J149" i="7" s="1"/>
  <c r="K21" i="9" s="1"/>
  <c r="I148" i="7"/>
  <c r="J148" i="7" s="1"/>
  <c r="K20" i="9" s="1"/>
  <c r="I99" i="7"/>
  <c r="J99" i="7" s="1"/>
  <c r="G22" i="9" s="1"/>
  <c r="I147" i="7"/>
  <c r="J147" i="7" s="1"/>
  <c r="K19" i="9" s="1"/>
  <c r="I146" i="7"/>
  <c r="J146" i="7" s="1"/>
  <c r="I98" i="7"/>
  <c r="J98" i="7" s="1"/>
  <c r="G21" i="9" s="1"/>
  <c r="I93" i="7"/>
  <c r="J93" i="7" s="1"/>
  <c r="G16" i="9" s="1"/>
  <c r="I91" i="7"/>
  <c r="J91" i="7" s="1"/>
  <c r="F28" i="9" s="1"/>
  <c r="I101" i="7"/>
  <c r="J101" i="7" s="1"/>
  <c r="G24" i="9" s="1"/>
  <c r="I97" i="7"/>
  <c r="J97" i="7" s="1"/>
  <c r="G20" i="9" s="1"/>
  <c r="I94" i="7"/>
  <c r="J94" i="7" s="1"/>
  <c r="G17" i="9" s="1"/>
  <c r="I84" i="7"/>
  <c r="J84" i="7" s="1"/>
  <c r="F21" i="9" s="1"/>
  <c r="I40" i="7"/>
  <c r="J40" i="7" s="1"/>
  <c r="I79" i="7"/>
  <c r="J79" i="7" s="1"/>
  <c r="F16" i="9" s="1"/>
  <c r="I76" i="7"/>
  <c r="J76" i="7" s="1"/>
  <c r="F13" i="9" s="1"/>
  <c r="I74" i="7"/>
  <c r="J74" i="7" s="1"/>
  <c r="E28" i="9" s="1"/>
  <c r="I22" i="7"/>
  <c r="J22" i="7" s="1"/>
  <c r="I145" i="7"/>
  <c r="J145" i="7" s="1"/>
  <c r="J28" i="9" s="1"/>
  <c r="I14" i="7"/>
  <c r="J14" i="7" s="1"/>
  <c r="I73" i="7"/>
  <c r="J73" i="7" s="1"/>
  <c r="E27" i="9" s="1"/>
  <c r="I10" i="7"/>
  <c r="J10" i="7" s="1"/>
  <c r="I139" i="7"/>
  <c r="J139" i="7" s="1"/>
  <c r="J22" i="9" s="1"/>
  <c r="I71" i="7"/>
  <c r="J71" i="7" s="1"/>
  <c r="E25" i="9" s="1"/>
  <c r="I57" i="7"/>
  <c r="J57" i="7" s="1"/>
  <c r="D28" i="9" s="1"/>
  <c r="G4" i="10" l="1"/>
  <c r="C15" i="1"/>
  <c r="L6" i="8"/>
  <c r="N4" i="10"/>
  <c r="F6" i="1"/>
  <c r="F7" i="1"/>
  <c r="I4" i="10"/>
  <c r="F15" i="8"/>
  <c r="G15" i="8" s="1"/>
  <c r="F14" i="8"/>
  <c r="G14" i="8" s="1"/>
  <c r="F13" i="8"/>
  <c r="G13" i="8" s="1"/>
  <c r="F12" i="8"/>
  <c r="G12" i="8" s="1"/>
  <c r="F11" i="8"/>
  <c r="G11" i="8" s="1"/>
  <c r="F10" i="8"/>
  <c r="G10" i="8" s="1"/>
  <c r="F9" i="8"/>
  <c r="G9" i="8" s="1"/>
  <c r="F8" i="8"/>
  <c r="G8" i="8" s="1"/>
  <c r="F7" i="8"/>
  <c r="G7" i="8" s="1"/>
  <c r="F6" i="8"/>
  <c r="G6" i="8" s="1"/>
  <c r="M5" i="6"/>
  <c r="B31" i="9"/>
  <c r="L31" i="9"/>
  <c r="B34" i="9"/>
  <c r="L34" i="9"/>
  <c r="B33" i="9"/>
  <c r="L33" i="9"/>
  <c r="L30" i="9"/>
  <c r="B30" i="9"/>
  <c r="L32" i="9"/>
  <c r="B32" i="9"/>
  <c r="J7" i="9"/>
  <c r="J14" i="8"/>
  <c r="J16" i="9"/>
  <c r="I7" i="9"/>
  <c r="J13" i="8"/>
  <c r="I16" i="9"/>
  <c r="L7" i="9"/>
  <c r="B7" i="9"/>
  <c r="J6" i="8"/>
  <c r="G15" i="9"/>
  <c r="G7" i="9"/>
  <c r="J11" i="8"/>
  <c r="E12" i="9"/>
  <c r="E7" i="9"/>
  <c r="J9" i="8"/>
  <c r="F7" i="9"/>
  <c r="J10" i="8"/>
  <c r="F12" i="9"/>
  <c r="H7" i="9"/>
  <c r="J12" i="8"/>
  <c r="H15" i="9"/>
  <c r="K18" i="9"/>
  <c r="K7" i="9"/>
  <c r="J15" i="8"/>
  <c r="D11" i="9"/>
  <c r="D7" i="9"/>
  <c r="J8" i="8"/>
  <c r="C7" i="9"/>
  <c r="J7" i="8"/>
  <c r="C11" i="9"/>
  <c r="B29" i="9"/>
  <c r="L29" i="9"/>
  <c r="B28" i="9"/>
  <c r="L28" i="9"/>
  <c r="L27" i="9"/>
  <c r="B27" i="9"/>
  <c r="B25" i="9"/>
  <c r="L25" i="9"/>
  <c r="C14" i="9"/>
  <c r="L14" i="9"/>
  <c r="C12" i="9"/>
  <c r="L12" i="9"/>
  <c r="B26" i="9"/>
  <c r="L26" i="9"/>
  <c r="B15" i="9"/>
  <c r="L15" i="9"/>
  <c r="L13" i="9"/>
  <c r="B13" i="9"/>
  <c r="M6" i="8" l="1"/>
  <c r="L16" i="8"/>
  <c r="H15" i="8"/>
  <c r="I15" i="8"/>
  <c r="K15" i="8" s="1"/>
  <c r="H14" i="8"/>
  <c r="I14" i="8"/>
  <c r="K14" i="8" s="1"/>
  <c r="H13" i="8"/>
  <c r="I13" i="8"/>
  <c r="K13" i="8" s="1"/>
  <c r="H12" i="8"/>
  <c r="I12" i="8"/>
  <c r="K12" i="8" s="1"/>
  <c r="H11" i="8"/>
  <c r="I11" i="8"/>
  <c r="K11" i="8" s="1"/>
  <c r="H10" i="8"/>
  <c r="I10" i="8"/>
  <c r="K10" i="8" s="1"/>
  <c r="H9" i="8"/>
  <c r="I9" i="8"/>
  <c r="K9" i="8" s="1"/>
  <c r="H8" i="8"/>
  <c r="I8" i="8"/>
  <c r="K8" i="8" s="1"/>
  <c r="H7" i="8"/>
  <c r="I7" i="8"/>
  <c r="K7" i="8" s="1"/>
  <c r="H6" i="8"/>
  <c r="I6" i="8"/>
  <c r="G16" i="8"/>
  <c r="H16" i="8" s="1"/>
  <c r="L8" i="6"/>
  <c r="M8" i="6" s="1"/>
  <c r="L9" i="6"/>
  <c r="M9" i="6" s="1"/>
  <c r="N9" i="6" s="1"/>
  <c r="L10" i="6"/>
  <c r="M10" i="6" s="1"/>
  <c r="N10" i="6" s="1"/>
  <c r="L11" i="6"/>
  <c r="M11" i="6" s="1"/>
  <c r="N11" i="6" s="1"/>
  <c r="L12" i="6"/>
  <c r="M12" i="6" s="1"/>
  <c r="N12" i="6" s="1"/>
  <c r="L13" i="6"/>
  <c r="M13" i="6" s="1"/>
  <c r="N13" i="6" s="1"/>
  <c r="L14" i="6"/>
  <c r="M14" i="6" s="1"/>
  <c r="N14" i="6" s="1"/>
  <c r="L15" i="6"/>
  <c r="M15" i="6" s="1"/>
  <c r="N15" i="6" s="1"/>
  <c r="L16" i="6"/>
  <c r="M16" i="6" s="1"/>
  <c r="N16" i="6" s="1"/>
  <c r="L17" i="6"/>
  <c r="M17" i="6" s="1"/>
  <c r="N17" i="6" s="1"/>
  <c r="J16" i="8"/>
  <c r="F14" i="1" s="1"/>
  <c r="M16" i="8" l="1"/>
  <c r="L4" i="10"/>
  <c r="F15" i="1"/>
  <c r="K6" i="8"/>
  <c r="I16" i="8"/>
  <c r="N8" i="6"/>
  <c r="M18" i="6"/>
  <c r="K16" i="8" l="1"/>
  <c r="F13" i="1"/>
  <c r="N18" i="6"/>
  <c r="K4" i="10"/>
  <c r="J4" i="10"/>
  <c r="F10" i="1"/>
  <c r="F9" i="1"/>
</calcChain>
</file>

<file path=xl/sharedStrings.xml><?xml version="1.0" encoding="utf-8"?>
<sst xmlns="http://schemas.openxmlformats.org/spreadsheetml/2006/main" count="4356" uniqueCount="846">
  <si>
    <t>DASHBOARD — VISÃO GERAL DO CONFINAMENTO PD</t>
  </si>
  <si>
    <t>REBANHO</t>
  </si>
  <si>
    <t>ECONÔMICO / NUTRIÇÃO</t>
  </si>
  <si>
    <t>Total de animais</t>
  </si>
  <si>
    <t>Preço da arroba (R$/@)</t>
  </si>
  <si>
    <t>Bois (currais 1–9)</t>
  </si>
  <si>
    <t>Valor do rebanho (R$)</t>
  </si>
  <si>
    <t>F1 Cruz. Industrial (curral 10)</t>
  </si>
  <si>
    <t>Custo da dieta (R$/kg MN)</t>
  </si>
  <si>
    <t>Peso vivo total atual (kg)</t>
  </si>
  <si>
    <t>Consumo planejado/dia (kg MN)</t>
  </si>
  <si>
    <t>Peso médio atual (kg)</t>
  </si>
  <si>
    <t>Custo total ração/dia (R$)</t>
  </si>
  <si>
    <t>@ totais em estoque</t>
  </si>
  <si>
    <t>Custo ração/cab/dia (R$)</t>
  </si>
  <si>
    <t>DESEMPENHO (onde há 2+ pesagens)</t>
  </si>
  <si>
    <t>CUSTO ACUMULADO / @</t>
  </si>
  <si>
    <t>GMD médio do rebanho (kg/dia)</t>
  </si>
  <si>
    <t>Custo nutrição estim. acum. (R$)</t>
  </si>
  <si>
    <t>Ganho total acumulado (kg)</t>
  </si>
  <si>
    <t>Custo nutrição real acum. (R$)</t>
  </si>
  <si>
    <t>@ produzidas (ganho)</t>
  </si>
  <si>
    <t>Custo estim./@ produzida (R$)</t>
  </si>
  <si>
    <t>GMD meta (kg/dia)</t>
  </si>
  <si>
    <t>Obs.: custo/@ produzida aparece quando houver ganho (2+ pesagens).</t>
  </si>
  <si>
    <t>PARÂMETROS (edite as células amarelas)</t>
  </si>
  <si>
    <t>Parâmetro</t>
  </si>
  <si>
    <t>Valor</t>
  </si>
  <si>
    <t>Observação</t>
  </si>
  <si>
    <t>Data de referência</t>
  </si>
  <si>
    <t>Data usada para calcular os dias de confinamento.</t>
  </si>
  <si>
    <t>PLACEHOLDER — ajuste ao preço do boi gordo (ver arquivo CEPEA).</t>
  </si>
  <si>
    <t>Custo da ração (R$/kg matéria natural)</t>
  </si>
  <si>
    <t>Automático: usa a dieta vigente na Data de referência (tabela de vigência em Ingredientes_Dieta).</t>
  </si>
  <si>
    <t>% Matéria seca da dieta</t>
  </si>
  <si>
    <t>PLACEHOLDER — teor de MS da dieta de silagem. Ajuste ao valor real.</t>
  </si>
  <si>
    <t>Rendimento de carcaça (%)</t>
  </si>
  <si>
    <t>Rendimento de carcaça para converter peso vivo em @.</t>
  </si>
  <si>
    <t>Custo fixo diário (R$/cab/dia)</t>
  </si>
  <si>
    <t>PLACEHOLDER — sanidade + mão de obra (não entra no custo só-ração).</t>
  </si>
  <si>
    <t>Meta de ganho médio diário (pós-adaptação).</t>
  </si>
  <si>
    <t>Peso de abate alvo (kg)</t>
  </si>
  <si>
    <t>Peso vivo alvo para projeções.</t>
  </si>
  <si>
    <t>COMPRAS / PREÇOS DE INSUMOS (por data)</t>
  </si>
  <si>
    <t>Registre CADA compra: Data, Insumo, Preço R$/kg e Qtd. O custo da dieta usa sempre o preço da COMPRA MAIS RECENTE de cada insumo. Células amarelas = você edita.</t>
  </si>
  <si>
    <t>Data</t>
  </si>
  <si>
    <t>Insumo</t>
  </si>
  <si>
    <t>Preço (R$/kg)</t>
  </si>
  <si>
    <t>Qtd Comprada (kg)</t>
  </si>
  <si>
    <t>Valor Total (R$)</t>
  </si>
  <si>
    <t>Fornecedor</t>
  </si>
  <si>
    <t>Obs</t>
  </si>
  <si>
    <t>Silagem de Capim</t>
  </si>
  <si>
    <t>Produção própria</t>
  </si>
  <si>
    <t>Custo estimado de produção</t>
  </si>
  <si>
    <t>Farelo de Soja</t>
  </si>
  <si>
    <t>Milho Moído</t>
  </si>
  <si>
    <t>Ureia</t>
  </si>
  <si>
    <t>Núcleo Flex (Minerthal)</t>
  </si>
  <si>
    <t>Minerthal</t>
  </si>
  <si>
    <t>Compra informada — entrada de estoque</t>
  </si>
  <si>
    <t>,</t>
  </si>
  <si>
    <t>ESTOQUE DE INSUMOS (estimativa)</t>
  </si>
  <si>
    <t>Informe o Estoque na data-base e a Data-base de cada insumo (amarelo). O consumo é calculado pelos tratos, respeitando a % de cada dieta vigente por data. Estoque Atual = Estoque na data-base + Compras após − Consumo após.</t>
  </si>
  <si>
    <t>Estoque na data-base (kg)</t>
  </si>
  <si>
    <t>Data-base</t>
  </si>
  <si>
    <t>Compras após (kg)</t>
  </si>
  <si>
    <t>Consumo após (kg)</t>
  </si>
  <si>
    <t>Estoque Atual (kg)</t>
  </si>
  <si>
    <t>Consumo/dia dieta atual (kg)</t>
  </si>
  <si>
    <t>Dias de estoque</t>
  </si>
  <si>
    <t>% dieta atual</t>
  </si>
  <si>
    <t>Obs.: para o milho, considerou-se os 38.200 kg como estoque em 27/07 (sem sobra anterior). Se havia sobra do lote antigo, aumente o 'Estoque na data-base'. 'Dias de estoque' usa o consumo diário na dieta atual (crescimento).</t>
  </si>
  <si>
    <t>INGREDIENTES DA DIETA — CRESCIMENTO PAU D'ARCO</t>
  </si>
  <si>
    <t>Preço vem AUTOMÁTICO da última compra (Precos_Insumos). Edite só as % de inclusão (amarelo) de cada dieta. O custo por data usa a DIETA VIGENTE (tabela de vigência abaixo).</t>
  </si>
  <si>
    <t>Ingrediente</t>
  </si>
  <si>
    <t>Preço atual (R$/kg)</t>
  </si>
  <si>
    <t>Última compra</t>
  </si>
  <si>
    <t>% Adaptação</t>
  </si>
  <si>
    <t>Custo Adapt. (R$/kg)</t>
  </si>
  <si>
    <t>% Crescimento</t>
  </si>
  <si>
    <t>Custo Cresc. (R$/kg)</t>
  </si>
  <si>
    <t>TOTAL / Custo da dieta</t>
  </si>
  <si>
    <t>Conferência % (Adapt / Cresc, devem dar 100%):</t>
  </si>
  <si>
    <t>DIETAS — VIGÊNCIA (o custo por data usa a dieta vigente)</t>
  </si>
  <si>
    <t>Dieta</t>
  </si>
  <si>
    <t>Início (vigência)</t>
  </si>
  <si>
    <t>Custo (R$/kg)</t>
  </si>
  <si>
    <t>Adaptação</t>
  </si>
  <si>
    <t xml:space="preserve"> </t>
  </si>
  <si>
    <t>Crescimento</t>
  </si>
  <si>
    <t>Para trocar de dieta: acrescente uma linha nesta tabela com a data de início e a dieta passa a valer a partir dela (mantenha as datas em ordem crescente).</t>
  </si>
  <si>
    <t>z'</t>
  </si>
  <si>
    <t>CALCULADORA DE TRATO POR CURRAL</t>
  </si>
  <si>
    <t>Edite o consumo BASE (kg MN/dia) e o AJUSTE % de cada curral (amarelo). O ajuste aumenta/reduz o trato. Split manhã/almoço/tarde editável abaixo. Base inicial = Calculadora de Trato (dieta adaptação).</t>
  </si>
  <si>
    <t>Split do trato (%):</t>
  </si>
  <si>
    <t>Manhã</t>
  </si>
  <si>
    <t>Almoço</t>
  </si>
  <si>
    <t>Tarde</t>
  </si>
  <si>
    <t>Custo dieta (R$/kg):</t>
  </si>
  <si>
    <t>Curral</t>
  </si>
  <si>
    <t>Nº Cab</t>
  </si>
  <si>
    <t>Peso Médio (kg)</t>
  </si>
  <si>
    <t>Base Total (kg MN/dia)</t>
  </si>
  <si>
    <t>Ajuste %</t>
  </si>
  <si>
    <t>Consumo Ajustado (kg MN/dia)</t>
  </si>
  <si>
    <t>kg MN/cab</t>
  </si>
  <si>
    <t>Trato Manhã (kg)</t>
  </si>
  <si>
    <t>Trato Almoço (kg)</t>
  </si>
  <si>
    <t>Trato Tarde (kg)</t>
  </si>
  <si>
    <t>Custo Dieta (R$/kg)</t>
  </si>
  <si>
    <t>Custo Planejado/dia (R$)</t>
  </si>
  <si>
    <t>Custo/cab/dia (R$)</t>
  </si>
  <si>
    <t>TOTAL</t>
  </si>
  <si>
    <t>LANÇAMENTO DIÁRIO DE TRATO (REAL) POR CURRAL</t>
  </si>
  <si>
    <t>Lance o que foi REALMENTE fornecido por dia/curral (amarelo). O custo alimenta o 'Custo Real' por lote. Total e custo são calculados.</t>
  </si>
  <si>
    <t>Trato Manhã (kg MN)</t>
  </si>
  <si>
    <t>Trato Almoço (kg MN)</t>
  </si>
  <si>
    <t>Trato Tarde (kg MN)</t>
  </si>
  <si>
    <t>Total Dia (kg MN)</t>
  </si>
  <si>
    <t>Custo Total (R$)</t>
  </si>
  <si>
    <t>Dieta -10%</t>
  </si>
  <si>
    <t>Dieta cheia</t>
  </si>
  <si>
    <t>Dieta cheia (qtd. anterior)</t>
  </si>
  <si>
    <t>Novo consumo (07/08)</t>
  </si>
  <si>
    <t>CUSTO DE NUTRIÇÃO POR LOTE (CURRAL)</t>
  </si>
  <si>
    <t>Estimativa = consumo planejado/dia (Calculadora_Trato) × dias de confinamento × custo da dieta. Real = soma dos lançamentos do Trato_Diario. @ produzidas vêm das pesagens.</t>
  </si>
  <si>
    <t>Lote (Curral)</t>
  </si>
  <si>
    <t>Dias Conf</t>
  </si>
  <si>
    <t>Consumo Planej./dia (kg MN)</t>
  </si>
  <si>
    <t>Custo Ração/dia (R$)</t>
  </si>
  <si>
    <t>Custo Estim. Acum. (R$)</t>
  </si>
  <si>
    <t>Custo Real Acum. (R$)</t>
  </si>
  <si>
    <t>Custo/cab Acum. (R$)</t>
  </si>
  <si>
    <t>@ Produzidas</t>
  </si>
  <si>
    <t>Custo Estim./@ (R$)</t>
  </si>
  <si>
    <t>CUSTO MÉDIO DIÁRIO DE RAÇÃO POR CABEÇA — POR CURRAL</t>
  </si>
  <si>
    <t>Custo REAL de ração por cabeça por dia (custo do trato do dia ÷ nº de cabeças). A linha MÉDIA DIÁRIA = custo total do período ÷ (dias × cabeças) de cada curral. Tudo atualiza conforme você lança os tratos.</t>
  </si>
  <si>
    <t>Curral 1</t>
  </si>
  <si>
    <t>Curral 2</t>
  </si>
  <si>
    <t>Curral 3</t>
  </si>
  <si>
    <t>Curral 4</t>
  </si>
  <si>
    <t>Curral 5</t>
  </si>
  <si>
    <t>Curral 6</t>
  </si>
  <si>
    <t>Curral 7</t>
  </si>
  <si>
    <t>Curral 8</t>
  </si>
  <si>
    <t>Curral 9</t>
  </si>
  <si>
    <t>Curral 10</t>
  </si>
  <si>
    <t>Rebanho</t>
  </si>
  <si>
    <t>Nº cabeças</t>
  </si>
  <si>
    <t>Dias com trato</t>
  </si>
  <si>
    <t>MÉDIA DIÁRIA (R$/cab/dia)</t>
  </si>
  <si>
    <t>DETALHE DIA A DIA — custo do dia por cabeça (R$/cab/dia)</t>
  </si>
  <si>
    <t>HISTÓRICO DE KPIs — ZOOTÉCNICO E FINANCEIRO</t>
  </si>
  <si>
    <t>Para guardar um snapshot: selecione a linha AO VIVO (linha 4), copie, e cole como VALORES (colar especial → valores) na primeira linha vazia do histórico. Assim você congela os KPIs daquela data.</t>
  </si>
  <si>
    <t>Nº Animais</t>
  </si>
  <si>
    <t>GMD Médio (kg/dia)</t>
  </si>
  <si>
    <t>@ em Estoque</t>
  </si>
  <si>
    <t>Ganho Acum. (kg)</t>
  </si>
  <si>
    <t>Consumo/dia (kg MN)</t>
  </si>
  <si>
    <t>Custo Ração/cab/dia (R$)</t>
  </si>
  <si>
    <t>Custo Estim./@ prod. (R$)</t>
  </si>
  <si>
    <t>Preço Arroba (R$/@)</t>
  </si>
  <si>
    <t>Valor Rebanho (R$)</t>
  </si>
  <si>
    <t>HISTÓRICO (cole valores aqui, uma linha por data):</t>
  </si>
  <si>
    <t>Snapshot inicial (exemplo)</t>
  </si>
  <si>
    <t>CADASTRO DE ANIMAIS — CONFINAMENTO PAU D'ARCO</t>
  </si>
  <si>
    <t>ID</t>
  </si>
  <si>
    <t>Brinco</t>
  </si>
  <si>
    <t>Categoria</t>
  </si>
  <si>
    <t>Lote/Origem</t>
  </si>
  <si>
    <t>Data Entrada</t>
  </si>
  <si>
    <t>Peso Entrada (kg)</t>
  </si>
  <si>
    <t>Data Última Pesagem</t>
  </si>
  <si>
    <t>Peso Atual (kg)</t>
  </si>
  <si>
    <t>Dias Confinado</t>
  </si>
  <si>
    <t>Ganho Total (kg)</t>
  </si>
  <si>
    <t>GMD (kg/dia)</t>
  </si>
  <si>
    <t>@ Atual</t>
  </si>
  <si>
    <t>Ganho (@)</t>
  </si>
  <si>
    <t>Valor Atual (R$)</t>
  </si>
  <si>
    <t>Meta GMD?</t>
  </si>
  <si>
    <t>PD-0001</t>
  </si>
  <si>
    <t>Boi</t>
  </si>
  <si>
    <t>Pau D'Arco</t>
  </si>
  <si>
    <t>PD-0002</t>
  </si>
  <si>
    <t>PD-0003</t>
  </si>
  <si>
    <t>PD-0004</t>
  </si>
  <si>
    <t>PD-0005</t>
  </si>
  <si>
    <t>PD-0006</t>
  </si>
  <si>
    <t>PD-0007</t>
  </si>
  <si>
    <t>PD-0008</t>
  </si>
  <si>
    <t>PD-0009</t>
  </si>
  <si>
    <t>PD-0010</t>
  </si>
  <si>
    <t>PD-0011</t>
  </si>
  <si>
    <t>PD-0012</t>
  </si>
  <si>
    <t>PD-0013</t>
  </si>
  <si>
    <t>PD-0014</t>
  </si>
  <si>
    <t>PD-0015</t>
  </si>
  <si>
    <t>PD-0016</t>
  </si>
  <si>
    <t>PD-0017</t>
  </si>
  <si>
    <t>PD-0018</t>
  </si>
  <si>
    <t>PD-0019</t>
  </si>
  <si>
    <t>PD-0020</t>
  </si>
  <si>
    <t>PD-0021</t>
  </si>
  <si>
    <t>PD-0022</t>
  </si>
  <si>
    <t>PD-0023</t>
  </si>
  <si>
    <t>PD-0024</t>
  </si>
  <si>
    <t>PD-0025</t>
  </si>
  <si>
    <t>PD-0026</t>
  </si>
  <si>
    <t>PD-0027</t>
  </si>
  <si>
    <t>PD-0028</t>
  </si>
  <si>
    <t>PD-0029</t>
  </si>
  <si>
    <t>PD-0030</t>
  </si>
  <si>
    <t>PD-0031</t>
  </si>
  <si>
    <t>PD-0032</t>
  </si>
  <si>
    <t>PD-0033</t>
  </si>
  <si>
    <t>PD-0034</t>
  </si>
  <si>
    <t>PD-0035</t>
  </si>
  <si>
    <t>PD-0036</t>
  </si>
  <si>
    <t>PD-0037</t>
  </si>
  <si>
    <t>PD-0038</t>
  </si>
  <si>
    <t>PD-0039</t>
  </si>
  <si>
    <t>PD-0040</t>
  </si>
  <si>
    <t>PD-0041</t>
  </si>
  <si>
    <t>PD-0042</t>
  </si>
  <si>
    <t>PD-0043</t>
  </si>
  <si>
    <t>PD-0044</t>
  </si>
  <si>
    <t>PD-0045</t>
  </si>
  <si>
    <t>PD-0046</t>
  </si>
  <si>
    <t>PD-0047</t>
  </si>
  <si>
    <t>PD-0048</t>
  </si>
  <si>
    <t>PD-0049</t>
  </si>
  <si>
    <t>PD-0050</t>
  </si>
  <si>
    <t>PD-0051</t>
  </si>
  <si>
    <t>PD-0052</t>
  </si>
  <si>
    <t>PD-0053</t>
  </si>
  <si>
    <t>PD-0054</t>
  </si>
  <si>
    <t>PD-0055</t>
  </si>
  <si>
    <t>PD-0056</t>
  </si>
  <si>
    <t>PD-0057</t>
  </si>
  <si>
    <t>PD-0058</t>
  </si>
  <si>
    <t>PD-0059</t>
  </si>
  <si>
    <t>PD-0060</t>
  </si>
  <si>
    <t>PD-0061</t>
  </si>
  <si>
    <t>PD-0062</t>
  </si>
  <si>
    <t>PD-0063</t>
  </si>
  <si>
    <t>PD-0064</t>
  </si>
  <si>
    <t>PD-0065</t>
  </si>
  <si>
    <t>PD-0066</t>
  </si>
  <si>
    <t>PD-0067</t>
  </si>
  <si>
    <t>PD-0068</t>
  </si>
  <si>
    <t>PD-0069</t>
  </si>
  <si>
    <t>PD-0070</t>
  </si>
  <si>
    <t>PD-0071</t>
  </si>
  <si>
    <t>PD-0072</t>
  </si>
  <si>
    <t>PD-0073</t>
  </si>
  <si>
    <t>PD-0074</t>
  </si>
  <si>
    <t>PD-0075</t>
  </si>
  <si>
    <t>PD-0076</t>
  </si>
  <si>
    <t>PD-0077</t>
  </si>
  <si>
    <t>PD-0078</t>
  </si>
  <si>
    <t>PD-0079</t>
  </si>
  <si>
    <t>PD-0080</t>
  </si>
  <si>
    <t>PD-0081</t>
  </si>
  <si>
    <t>PD-0082</t>
  </si>
  <si>
    <t>PD-0083</t>
  </si>
  <si>
    <t>PD-0084</t>
  </si>
  <si>
    <t>PD-0085</t>
  </si>
  <si>
    <t>PD-0086</t>
  </si>
  <si>
    <t>PD-0087</t>
  </si>
  <si>
    <t>PD-0088</t>
  </si>
  <si>
    <t>PD-0089</t>
  </si>
  <si>
    <t>PD-0090</t>
  </si>
  <si>
    <t>PD-0091</t>
  </si>
  <si>
    <t>PD-0092</t>
  </si>
  <si>
    <t>PD-0093</t>
  </si>
  <si>
    <t>PD-0094</t>
  </si>
  <si>
    <t>PD-0095</t>
  </si>
  <si>
    <t>PD-0096</t>
  </si>
  <si>
    <t>PD-0097</t>
  </si>
  <si>
    <t>PD-0098</t>
  </si>
  <si>
    <t>PD-0099</t>
  </si>
  <si>
    <t>PD-0100</t>
  </si>
  <si>
    <t>PD-0101</t>
  </si>
  <si>
    <t>PD-0102</t>
  </si>
  <si>
    <t>PD-0103</t>
  </si>
  <si>
    <t>PD-0104</t>
  </si>
  <si>
    <t>PD-0105</t>
  </si>
  <si>
    <t>PD-0106</t>
  </si>
  <si>
    <t>PD-0107</t>
  </si>
  <si>
    <t>PD-0108</t>
  </si>
  <si>
    <t>PD-0109</t>
  </si>
  <si>
    <t>PD-0110</t>
  </si>
  <si>
    <t>PD-0111</t>
  </si>
  <si>
    <t>PD-0112</t>
  </si>
  <si>
    <t>PD-0113</t>
  </si>
  <si>
    <t>PD-0114</t>
  </si>
  <si>
    <t>PD-0115</t>
  </si>
  <si>
    <t>PD-0116</t>
  </si>
  <si>
    <t>PD-0117</t>
  </si>
  <si>
    <t>PD-0118</t>
  </si>
  <si>
    <t>PD-0119</t>
  </si>
  <si>
    <t>PD-0120</t>
  </si>
  <si>
    <t>PD-0121</t>
  </si>
  <si>
    <t>PD-0122</t>
  </si>
  <si>
    <t>PD-0123</t>
  </si>
  <si>
    <t>PD-0124</t>
  </si>
  <si>
    <t>PD-0125</t>
  </si>
  <si>
    <t>PD-0126</t>
  </si>
  <si>
    <t>PD-0127</t>
  </si>
  <si>
    <t>PD-0128</t>
  </si>
  <si>
    <t>PD-0129</t>
  </si>
  <si>
    <t>PD-0130</t>
  </si>
  <si>
    <t>PD-0131</t>
  </si>
  <si>
    <t>PD-0132</t>
  </si>
  <si>
    <t>PD-0133</t>
  </si>
  <si>
    <t>PD-0134</t>
  </si>
  <si>
    <t>PD-0135</t>
  </si>
  <si>
    <t>PD-0136</t>
  </si>
  <si>
    <t>PD-0137</t>
  </si>
  <si>
    <t>PD-0138</t>
  </si>
  <si>
    <t>PD-0139</t>
  </si>
  <si>
    <t>PD-0140</t>
  </si>
  <si>
    <t>PD-0141</t>
  </si>
  <si>
    <t>PD-0142</t>
  </si>
  <si>
    <t>PD-0143</t>
  </si>
  <si>
    <t>PD-0144</t>
  </si>
  <si>
    <t>PD-0145</t>
  </si>
  <si>
    <t>PD-0146</t>
  </si>
  <si>
    <t>PD-0147</t>
  </si>
  <si>
    <t>PD-0148</t>
  </si>
  <si>
    <t>PD-0149</t>
  </si>
  <si>
    <t>PD-0150</t>
  </si>
  <si>
    <t>PD-0151</t>
  </si>
  <si>
    <t>PD-0152</t>
  </si>
  <si>
    <t>PD-0153</t>
  </si>
  <si>
    <t>PD-0154</t>
  </si>
  <si>
    <t>PD-0155</t>
  </si>
  <si>
    <t>PD-0156</t>
  </si>
  <si>
    <t>PD-0157</t>
  </si>
  <si>
    <t>PD-0158</t>
  </si>
  <si>
    <t>PD-0159</t>
  </si>
  <si>
    <t>PD-0160</t>
  </si>
  <si>
    <t>PD-0161</t>
  </si>
  <si>
    <t>PD-0162</t>
  </si>
  <si>
    <t>PD-0163</t>
  </si>
  <si>
    <t>PD-0164</t>
  </si>
  <si>
    <t>PD-0165</t>
  </si>
  <si>
    <t>PD-0166</t>
  </si>
  <si>
    <t>PD-0167</t>
  </si>
  <si>
    <t>PD-0168</t>
  </si>
  <si>
    <t>PD-0169</t>
  </si>
  <si>
    <t>PD-0170</t>
  </si>
  <si>
    <t>PD-0171</t>
  </si>
  <si>
    <t>PD-0172</t>
  </si>
  <si>
    <t>PD-0173</t>
  </si>
  <si>
    <t>PD-0174</t>
  </si>
  <si>
    <t>PD-0175</t>
  </si>
  <si>
    <t>PD-0176</t>
  </si>
  <si>
    <t>PD-0177</t>
  </si>
  <si>
    <t>PD-0178</t>
  </si>
  <si>
    <t>PD-0179</t>
  </si>
  <si>
    <t>PD-0180</t>
  </si>
  <si>
    <t>PD-0181</t>
  </si>
  <si>
    <t>PD-0182</t>
  </si>
  <si>
    <t>PD-0183</t>
  </si>
  <si>
    <t>PD-0184</t>
  </si>
  <si>
    <t>PD-0185</t>
  </si>
  <si>
    <t>PD-0186</t>
  </si>
  <si>
    <t>PD-0187</t>
  </si>
  <si>
    <t>PD-0188</t>
  </si>
  <si>
    <t>PD-0189</t>
  </si>
  <si>
    <t>PD-0190</t>
  </si>
  <si>
    <t>PD-0191</t>
  </si>
  <si>
    <t>PD-0192</t>
  </si>
  <si>
    <t>PD-0193</t>
  </si>
  <si>
    <t>PD-0194</t>
  </si>
  <si>
    <t>PD-0195</t>
  </si>
  <si>
    <t>PD-0196</t>
  </si>
  <si>
    <t>PD-0197</t>
  </si>
  <si>
    <t>PD-0198</t>
  </si>
  <si>
    <t>PD-0199</t>
  </si>
  <si>
    <t>PD-0200</t>
  </si>
  <si>
    <t>PD-0201</t>
  </si>
  <si>
    <t>PD-0202</t>
  </si>
  <si>
    <t>PD-0203</t>
  </si>
  <si>
    <t>PD-0204</t>
  </si>
  <si>
    <t>PD-0205</t>
  </si>
  <si>
    <t>PD-0206</t>
  </si>
  <si>
    <t>PD-0207</t>
  </si>
  <si>
    <t>PD-0208</t>
  </si>
  <si>
    <t>PD-0209</t>
  </si>
  <si>
    <t>PD-0210</t>
  </si>
  <si>
    <t>PD-0211</t>
  </si>
  <si>
    <t>PD-0212</t>
  </si>
  <si>
    <t>PD-0213</t>
  </si>
  <si>
    <t>PD-0214</t>
  </si>
  <si>
    <t>PD-0215</t>
  </si>
  <si>
    <t>PD-0216</t>
  </si>
  <si>
    <t>PD-0217</t>
  </si>
  <si>
    <t>PD-0218</t>
  </si>
  <si>
    <t>PD-0219</t>
  </si>
  <si>
    <t>PD-0220</t>
  </si>
  <si>
    <t>PD-0221</t>
  </si>
  <si>
    <t>PD-0222</t>
  </si>
  <si>
    <t>PD-0223</t>
  </si>
  <si>
    <t>PD-0224</t>
  </si>
  <si>
    <t>PD-0225</t>
  </si>
  <si>
    <t>PD-0226</t>
  </si>
  <si>
    <t>PD-0227</t>
  </si>
  <si>
    <t>PD-0228</t>
  </si>
  <si>
    <t>PD-0229</t>
  </si>
  <si>
    <t>PD-0230</t>
  </si>
  <si>
    <t>PD-0231</t>
  </si>
  <si>
    <t>PD-0232</t>
  </si>
  <si>
    <t>PD-0233</t>
  </si>
  <si>
    <t>PD-0234</t>
  </si>
  <si>
    <t>PD-0235</t>
  </si>
  <si>
    <t>PD-0236</t>
  </si>
  <si>
    <t>PD-0237</t>
  </si>
  <si>
    <t>PD-0238</t>
  </si>
  <si>
    <t>PD-0239</t>
  </si>
  <si>
    <t>PD-0240</t>
  </si>
  <si>
    <t>PD-0241</t>
  </si>
  <si>
    <t>PD-0242</t>
  </si>
  <si>
    <t>PD-0243</t>
  </si>
  <si>
    <t>PD-0244</t>
  </si>
  <si>
    <t>PD-0245</t>
  </si>
  <si>
    <t>PD-0246</t>
  </si>
  <si>
    <t>PD-0247</t>
  </si>
  <si>
    <t>PD-0248</t>
  </si>
  <si>
    <t>PD-0249</t>
  </si>
  <si>
    <t>PD-0250</t>
  </si>
  <si>
    <t>PD-0251</t>
  </si>
  <si>
    <t>PD-0252</t>
  </si>
  <si>
    <t>PD-0253</t>
  </si>
  <si>
    <t>PD-0254</t>
  </si>
  <si>
    <t>PD-0255</t>
  </si>
  <si>
    <t>PD-0256</t>
  </si>
  <si>
    <t>PD-0257</t>
  </si>
  <si>
    <t>PD-0258</t>
  </si>
  <si>
    <t>PD-0259</t>
  </si>
  <si>
    <t>PD-0260</t>
  </si>
  <si>
    <t>PD-0261</t>
  </si>
  <si>
    <t>PD-0262</t>
  </si>
  <si>
    <t>PD-0263</t>
  </si>
  <si>
    <t>PD-0264</t>
  </si>
  <si>
    <t>PD-0265</t>
  </si>
  <si>
    <t>PD-0266</t>
  </si>
  <si>
    <t>PD-0267</t>
  </si>
  <si>
    <t>PD-0268</t>
  </si>
  <si>
    <t>PD-0269</t>
  </si>
  <si>
    <t>PD-0270</t>
  </si>
  <si>
    <t>PD-0271</t>
  </si>
  <si>
    <t>PD-0272</t>
  </si>
  <si>
    <t>PD-0273</t>
  </si>
  <si>
    <t>PD-0274</t>
  </si>
  <si>
    <t>PD-0275</t>
  </si>
  <si>
    <t>PD-0276</t>
  </si>
  <si>
    <t>PD-0277</t>
  </si>
  <si>
    <t>PD-0278</t>
  </si>
  <si>
    <t>PD-0279</t>
  </si>
  <si>
    <t>PD-0280</t>
  </si>
  <si>
    <t>PD-0281</t>
  </si>
  <si>
    <t>PD-0282</t>
  </si>
  <si>
    <t>PD-0283</t>
  </si>
  <si>
    <t>PD-0284</t>
  </si>
  <si>
    <t>PD-0285</t>
  </si>
  <si>
    <t>PD-0286</t>
  </si>
  <si>
    <t>PD-0287</t>
  </si>
  <si>
    <t>PD-0288</t>
  </si>
  <si>
    <t>PD-0289</t>
  </si>
  <si>
    <t>PD-0290</t>
  </si>
  <si>
    <t>PD-0291</t>
  </si>
  <si>
    <t>PD-0292</t>
  </si>
  <si>
    <t>PD-0293</t>
  </si>
  <si>
    <t>PD-0294</t>
  </si>
  <si>
    <t>PD-0295</t>
  </si>
  <si>
    <t>PD-0296</t>
  </si>
  <si>
    <t>PD-0297</t>
  </si>
  <si>
    <t>PD-0298</t>
  </si>
  <si>
    <t>PD-0299</t>
  </si>
  <si>
    <t>PD-0300</t>
  </si>
  <si>
    <t>PD-0301</t>
  </si>
  <si>
    <t>PD-0302</t>
  </si>
  <si>
    <t>PD-0303</t>
  </si>
  <si>
    <t>PD-0304</t>
  </si>
  <si>
    <t>PD-0305</t>
  </si>
  <si>
    <t>PD-0306</t>
  </si>
  <si>
    <t>PD-0307</t>
  </si>
  <si>
    <t>PD-0308</t>
  </si>
  <si>
    <t>PD-0309</t>
  </si>
  <si>
    <t>PD-0310</t>
  </si>
  <si>
    <t>PD-0311</t>
  </si>
  <si>
    <t>PD-0312</t>
  </si>
  <si>
    <t>PD-0313</t>
  </si>
  <si>
    <t>PD-0314</t>
  </si>
  <si>
    <t>PD-0315</t>
  </si>
  <si>
    <t>PD-0316</t>
  </si>
  <si>
    <t>PD-0317</t>
  </si>
  <si>
    <t>PD-0318</t>
  </si>
  <si>
    <t>PD-0319</t>
  </si>
  <si>
    <t>PD-0320</t>
  </si>
  <si>
    <t>PD-0321</t>
  </si>
  <si>
    <t>PD-0322</t>
  </si>
  <si>
    <t>PD-0323</t>
  </si>
  <si>
    <t>PD-0324</t>
  </si>
  <si>
    <t>PD-0325</t>
  </si>
  <si>
    <t>PD-0326</t>
  </si>
  <si>
    <t>PD-0327</t>
  </si>
  <si>
    <t>PD-0328</t>
  </si>
  <si>
    <t>PD-0329</t>
  </si>
  <si>
    <t>PD-0330</t>
  </si>
  <si>
    <t>PD-0331</t>
  </si>
  <si>
    <t>PD-0332</t>
  </si>
  <si>
    <t>PD-0333</t>
  </si>
  <si>
    <t>PD-0334</t>
  </si>
  <si>
    <t>PD-0335</t>
  </si>
  <si>
    <t>PD-0336</t>
  </si>
  <si>
    <t>PD-0337</t>
  </si>
  <si>
    <t>PD-0338</t>
  </si>
  <si>
    <t>PD-0339</t>
  </si>
  <si>
    <t>PD-0340</t>
  </si>
  <si>
    <t>PD-0341</t>
  </si>
  <si>
    <t>PD-0342</t>
  </si>
  <si>
    <t>PD-0343</t>
  </si>
  <si>
    <t>PD-0344</t>
  </si>
  <si>
    <t>PD-0345</t>
  </si>
  <si>
    <t>PD-0346</t>
  </si>
  <si>
    <t>PD-0347</t>
  </si>
  <si>
    <t>PD-0348</t>
  </si>
  <si>
    <t>PD-0349</t>
  </si>
  <si>
    <t>PD-0350</t>
  </si>
  <si>
    <t>PD-0351</t>
  </si>
  <si>
    <t>PD-0352</t>
  </si>
  <si>
    <t>PD-0353</t>
  </si>
  <si>
    <t>PD-0354</t>
  </si>
  <si>
    <t>PD-0355</t>
  </si>
  <si>
    <t>PD-0356</t>
  </si>
  <si>
    <t>PD-0357</t>
  </si>
  <si>
    <t>PD-0358</t>
  </si>
  <si>
    <t>PD-0359</t>
  </si>
  <si>
    <t>PD-0360</t>
  </si>
  <si>
    <t>PD-0361</t>
  </si>
  <si>
    <t>PD-0362</t>
  </si>
  <si>
    <t>PD-0363</t>
  </si>
  <si>
    <t>PD-0364</t>
  </si>
  <si>
    <t>PD-0365</t>
  </si>
  <si>
    <t>PD-0366</t>
  </si>
  <si>
    <t>PD-0367</t>
  </si>
  <si>
    <t>PD-0368</t>
  </si>
  <si>
    <t>PD-0369</t>
  </si>
  <si>
    <t>PD-0370</t>
  </si>
  <si>
    <t>PD-0371</t>
  </si>
  <si>
    <t>PD-0372</t>
  </si>
  <si>
    <t>PD-0373</t>
  </si>
  <si>
    <t>PD-0374</t>
  </si>
  <si>
    <t>PD-0375</t>
  </si>
  <si>
    <t>PD-0376</t>
  </si>
  <si>
    <t>PD-0377</t>
  </si>
  <si>
    <t>PD-0378</t>
  </si>
  <si>
    <t>PD-0379</t>
  </si>
  <si>
    <t>PD-0380</t>
  </si>
  <si>
    <t>PD-0381</t>
  </si>
  <si>
    <t>PD-0382</t>
  </si>
  <si>
    <t>PD-0383</t>
  </si>
  <si>
    <t>PD-0384</t>
  </si>
  <si>
    <t>PD-0385</t>
  </si>
  <si>
    <t>PD-0386</t>
  </si>
  <si>
    <t>PD-0387</t>
  </si>
  <si>
    <t>PD-0388</t>
  </si>
  <si>
    <t>PD-0389</t>
  </si>
  <si>
    <t>PD-0390</t>
  </si>
  <si>
    <t>PD-0391</t>
  </si>
  <si>
    <t>PD-0392</t>
  </si>
  <si>
    <t>PD-0393</t>
  </si>
  <si>
    <t>PD-0394</t>
  </si>
  <si>
    <t>PD-0395</t>
  </si>
  <si>
    <t>PD-0396</t>
  </si>
  <si>
    <t>PD-0397</t>
  </si>
  <si>
    <t>PD-0398</t>
  </si>
  <si>
    <t>PD-0399</t>
  </si>
  <si>
    <t>PD-0400</t>
  </si>
  <si>
    <t>PD-0401</t>
  </si>
  <si>
    <t>PD-0402</t>
  </si>
  <si>
    <t>PD-0403</t>
  </si>
  <si>
    <t>PD-0404</t>
  </si>
  <si>
    <t>PD-0405</t>
  </si>
  <si>
    <t>PD-0406</t>
  </si>
  <si>
    <t>PD-0407</t>
  </si>
  <si>
    <t>PD-0408</t>
  </si>
  <si>
    <t>PD-0409</t>
  </si>
  <si>
    <t>PD-0410</t>
  </si>
  <si>
    <t>PD-0411</t>
  </si>
  <si>
    <t>PD-0412</t>
  </si>
  <si>
    <t>PD-0413</t>
  </si>
  <si>
    <t>PD-0414</t>
  </si>
  <si>
    <t>PD-0415</t>
  </si>
  <si>
    <t>PD-0416</t>
  </si>
  <si>
    <t>PD-0417</t>
  </si>
  <si>
    <t>PD-0418</t>
  </si>
  <si>
    <t>PD-0419</t>
  </si>
  <si>
    <t>PD-0420</t>
  </si>
  <si>
    <t>PD-0421</t>
  </si>
  <si>
    <t>PD-0422</t>
  </si>
  <si>
    <t>PD-0423</t>
  </si>
  <si>
    <t>PD-0424</t>
  </si>
  <si>
    <t>PD-0425</t>
  </si>
  <si>
    <t>PD-0426</t>
  </si>
  <si>
    <t>PD-0427</t>
  </si>
  <si>
    <t>PD-0428</t>
  </si>
  <si>
    <t>PD-0429</t>
  </si>
  <si>
    <t>PD-0430</t>
  </si>
  <si>
    <t>PD-0431</t>
  </si>
  <si>
    <t>PD-0432</t>
  </si>
  <si>
    <t>PD-0433</t>
  </si>
  <si>
    <t>PD-0434</t>
  </si>
  <si>
    <t>PD-0435</t>
  </si>
  <si>
    <t>PD-0436</t>
  </si>
  <si>
    <t>PD-0437</t>
  </si>
  <si>
    <t>PD-0438</t>
  </si>
  <si>
    <t>PD-0439</t>
  </si>
  <si>
    <t>PD-0440</t>
  </si>
  <si>
    <t>PD-0441</t>
  </si>
  <si>
    <t>PD-0442</t>
  </si>
  <si>
    <t>PD-0443</t>
  </si>
  <si>
    <t>PD-0444</t>
  </si>
  <si>
    <t>PD-0445</t>
  </si>
  <si>
    <t>PD-0446</t>
  </si>
  <si>
    <t>PD-0447</t>
  </si>
  <si>
    <t>PD-0448</t>
  </si>
  <si>
    <t>PD-0449</t>
  </si>
  <si>
    <t>PD-0450</t>
  </si>
  <si>
    <t>PD-0451</t>
  </si>
  <si>
    <t>PD-0452</t>
  </si>
  <si>
    <t>PD-0453</t>
  </si>
  <si>
    <t>PD-0454</t>
  </si>
  <si>
    <t>PD-0455</t>
  </si>
  <si>
    <t>PD-0456</t>
  </si>
  <si>
    <t>PD-0457</t>
  </si>
  <si>
    <t>PD-0458</t>
  </si>
  <si>
    <t>PD-0459</t>
  </si>
  <si>
    <t>PD-0460</t>
  </si>
  <si>
    <t>PD-0461</t>
  </si>
  <si>
    <t>PD-0462</t>
  </si>
  <si>
    <t>PD-0463</t>
  </si>
  <si>
    <t>PD-0464</t>
  </si>
  <si>
    <t>PD-0465</t>
  </si>
  <si>
    <t>PD-0466</t>
  </si>
  <si>
    <t>PD-0467</t>
  </si>
  <si>
    <t>PD-0468</t>
  </si>
  <si>
    <t>PD-0469</t>
  </si>
  <si>
    <t>PD-0470</t>
  </si>
  <si>
    <t>PD-0471</t>
  </si>
  <si>
    <t>PD-0472</t>
  </si>
  <si>
    <t>PD-0473</t>
  </si>
  <si>
    <t>PD-0474</t>
  </si>
  <si>
    <t>PD-0475</t>
  </si>
  <si>
    <t>PD-0476</t>
  </si>
  <si>
    <t>PD-0477</t>
  </si>
  <si>
    <t>PD-0478</t>
  </si>
  <si>
    <t>PD-0479</t>
  </si>
  <si>
    <t>PD-0480</t>
  </si>
  <si>
    <t>PD-0481</t>
  </si>
  <si>
    <t>PD-0482</t>
  </si>
  <si>
    <t>PD-0483</t>
  </si>
  <si>
    <t>PD-0484</t>
  </si>
  <si>
    <t>PD-0485</t>
  </si>
  <si>
    <t>PD-0486</t>
  </si>
  <si>
    <t>PD-0487</t>
  </si>
  <si>
    <t>PD-0488</t>
  </si>
  <si>
    <t>PD-0489</t>
  </si>
  <si>
    <t>PD-0490</t>
  </si>
  <si>
    <t>PD-0491</t>
  </si>
  <si>
    <t>PD-0492</t>
  </si>
  <si>
    <t>PD-0493</t>
  </si>
  <si>
    <t>PD-0494</t>
  </si>
  <si>
    <t>PD-0495</t>
  </si>
  <si>
    <t>PD-0496</t>
  </si>
  <si>
    <t>PD-0497</t>
  </si>
  <si>
    <t>PD-0498</t>
  </si>
  <si>
    <t>PD-0499</t>
  </si>
  <si>
    <t>PD-0500</t>
  </si>
  <si>
    <t>PD-0501</t>
  </si>
  <si>
    <t>PD-0502</t>
  </si>
  <si>
    <t>PD-0503</t>
  </si>
  <si>
    <t>PD-0504</t>
  </si>
  <si>
    <t>PD-0505</t>
  </si>
  <si>
    <t>PD-0506</t>
  </si>
  <si>
    <t>PD-0507</t>
  </si>
  <si>
    <t>PD-0508</t>
  </si>
  <si>
    <t>PD-0509</t>
  </si>
  <si>
    <t>PD-0510</t>
  </si>
  <si>
    <t>PD-0511</t>
  </si>
  <si>
    <t>PD-0512</t>
  </si>
  <si>
    <t>PD-0513</t>
  </si>
  <si>
    <t>PD-0514</t>
  </si>
  <si>
    <t>PD-0515</t>
  </si>
  <si>
    <t>PD-0516</t>
  </si>
  <si>
    <t>PD-0517</t>
  </si>
  <si>
    <t>PD-0518</t>
  </si>
  <si>
    <t>PD-0519</t>
  </si>
  <si>
    <t>PD-0520</t>
  </si>
  <si>
    <t>PD-0521</t>
  </si>
  <si>
    <t>PD-0522</t>
  </si>
  <si>
    <t>PD-0523</t>
  </si>
  <si>
    <t>PD-0524</t>
  </si>
  <si>
    <t>PD-0525</t>
  </si>
  <si>
    <t>PD-0526</t>
  </si>
  <si>
    <t>PD-0527</t>
  </si>
  <si>
    <t>PD-0528</t>
  </si>
  <si>
    <t>PD-0529</t>
  </si>
  <si>
    <t>PD-0530</t>
  </si>
  <si>
    <t>PD-0531</t>
  </si>
  <si>
    <t>PD-0532</t>
  </si>
  <si>
    <t>PD-0533</t>
  </si>
  <si>
    <t>PD-0534</t>
  </si>
  <si>
    <t>PD-0535</t>
  </si>
  <si>
    <t>PD-0536</t>
  </si>
  <si>
    <t>PD-0537</t>
  </si>
  <si>
    <t>PD-0538</t>
  </si>
  <si>
    <t>PD-0539</t>
  </si>
  <si>
    <t>PD-0540</t>
  </si>
  <si>
    <t>PD-0541</t>
  </si>
  <si>
    <t>PD-0542</t>
  </si>
  <si>
    <t>PD-0543</t>
  </si>
  <si>
    <t>PD-0544</t>
  </si>
  <si>
    <t>PD-0545</t>
  </si>
  <si>
    <t>PD-0546</t>
  </si>
  <si>
    <t>PD-0547</t>
  </si>
  <si>
    <t>PD-0548</t>
  </si>
  <si>
    <t>PD-0549</t>
  </si>
  <si>
    <t>PD-0550</t>
  </si>
  <si>
    <t>PD-0551</t>
  </si>
  <si>
    <t>PD-0552</t>
  </si>
  <si>
    <t>PD-0553</t>
  </si>
  <si>
    <t>PD-0554</t>
  </si>
  <si>
    <t>PD-0555</t>
  </si>
  <si>
    <t>PD-0556</t>
  </si>
  <si>
    <t>PD-0557</t>
  </si>
  <si>
    <t>PD-0558</t>
  </si>
  <si>
    <t>PD-0559</t>
  </si>
  <si>
    <t>PD-0560</t>
  </si>
  <si>
    <t>PD-0561</t>
  </si>
  <si>
    <t>PD-0562</t>
  </si>
  <si>
    <t>PD-0563</t>
  </si>
  <si>
    <t>PD-0564</t>
  </si>
  <si>
    <t>PD-0565</t>
  </si>
  <si>
    <t>PD-0566</t>
  </si>
  <si>
    <t>PD-0567</t>
  </si>
  <si>
    <t>PD-0568</t>
  </si>
  <si>
    <t>PD-0569</t>
  </si>
  <si>
    <t>PD-0570</t>
  </si>
  <si>
    <t>PD-0571</t>
  </si>
  <si>
    <t>PD-0572</t>
  </si>
  <si>
    <t>PD-0573</t>
  </si>
  <si>
    <t>PD-0574</t>
  </si>
  <si>
    <t>PD-0575</t>
  </si>
  <si>
    <t>PD-0576</t>
  </si>
  <si>
    <t>PD-0577</t>
  </si>
  <si>
    <t>PD-0578</t>
  </si>
  <si>
    <t>PD-0579</t>
  </si>
  <si>
    <t>PD-0580</t>
  </si>
  <si>
    <t>PD-0581</t>
  </si>
  <si>
    <t>PD-0582</t>
  </si>
  <si>
    <t>PD-0583</t>
  </si>
  <si>
    <t>PD-0584</t>
  </si>
  <si>
    <t>PD-0585</t>
  </si>
  <si>
    <t>PD-0586</t>
  </si>
  <si>
    <t>PD-0587</t>
  </si>
  <si>
    <t>PD-0588</t>
  </si>
  <si>
    <t>PD-0589</t>
  </si>
  <si>
    <t>PD-0590</t>
  </si>
  <si>
    <t>PD-0591</t>
  </si>
  <si>
    <t>PD-0592</t>
  </si>
  <si>
    <t>PD-0593</t>
  </si>
  <si>
    <t>PD-0594</t>
  </si>
  <si>
    <t>PD-0595</t>
  </si>
  <si>
    <t>PD-0596</t>
  </si>
  <si>
    <t>PD-0597</t>
  </si>
  <si>
    <t>PD-0598</t>
  </si>
  <si>
    <t>PD-0599</t>
  </si>
  <si>
    <t>PD-0600</t>
  </si>
  <si>
    <t>PD-0601</t>
  </si>
  <si>
    <t>PD-0602</t>
  </si>
  <si>
    <t>PD-0603</t>
  </si>
  <si>
    <t>PD-0604</t>
  </si>
  <si>
    <t>PD-0605</t>
  </si>
  <si>
    <t>PD-0606</t>
  </si>
  <si>
    <t>PD-0607</t>
  </si>
  <si>
    <t>PD-0608</t>
  </si>
  <si>
    <t>PD-0609</t>
  </si>
  <si>
    <t>PD-0610</t>
  </si>
  <si>
    <t>PD-0611</t>
  </si>
  <si>
    <t>PD-0612</t>
  </si>
  <si>
    <t>PD-0613</t>
  </si>
  <si>
    <t>PD-0614</t>
  </si>
  <si>
    <t>F Cruz.Ind.</t>
  </si>
  <si>
    <t>Pau D'Arco (peso estimado)</t>
  </si>
  <si>
    <t>PD-0615</t>
  </si>
  <si>
    <t>PD-0616</t>
  </si>
  <si>
    <t>PD-0617</t>
  </si>
  <si>
    <t>PD-0618</t>
  </si>
  <si>
    <t>PD-0619</t>
  </si>
  <si>
    <t>PD-0620</t>
  </si>
  <si>
    <t>PD-0621</t>
  </si>
  <si>
    <t>PD-0622</t>
  </si>
  <si>
    <t>PD-0623</t>
  </si>
  <si>
    <t>PD-0624</t>
  </si>
  <si>
    <t>PD-0625</t>
  </si>
  <si>
    <t>PD-0626</t>
  </si>
  <si>
    <t>PD-0627</t>
  </si>
  <si>
    <t>PD-0628</t>
  </si>
  <si>
    <t>PD-0629</t>
  </si>
  <si>
    <t>PD-0630</t>
  </si>
  <si>
    <t>PD-0631</t>
  </si>
  <si>
    <t>PD-0632</t>
  </si>
  <si>
    <t>PD-0633</t>
  </si>
  <si>
    <t>PD-0634</t>
  </si>
  <si>
    <t>PD-0635</t>
  </si>
  <si>
    <t>PD-0636</t>
  </si>
  <si>
    <t>PD-0637</t>
  </si>
  <si>
    <t>PD-0638</t>
  </si>
  <si>
    <t>PD-0639</t>
  </si>
  <si>
    <t>PD-0640</t>
  </si>
  <si>
    <t>PD-0641</t>
  </si>
  <si>
    <t>PD-0642</t>
  </si>
  <si>
    <t>PD-0643</t>
  </si>
  <si>
    <t>PD-0644</t>
  </si>
  <si>
    <t>PD-0645</t>
  </si>
  <si>
    <t>PD-0646</t>
  </si>
  <si>
    <t>HISTÓRICO DE PESAGENS</t>
  </si>
  <si>
    <t>Peso (kg)</t>
  </si>
  <si>
    <t>Evento/Obs</t>
  </si>
  <si>
    <t>Entrada</t>
  </si>
  <si>
    <t>Entrada (peso estimado)</t>
  </si>
  <si>
    <t>RESUMO POR CURRAL</t>
  </si>
  <si>
    <t>Descrição</t>
  </si>
  <si>
    <t>Nº Cabeças</t>
  </si>
  <si>
    <t>Peso Médio Entrada (kg)</t>
  </si>
  <si>
    <t>Peso Médio Atual (kg)</t>
  </si>
  <si>
    <t>Peso Total Atual (kg)</t>
  </si>
  <si>
    <t>@ Total</t>
  </si>
  <si>
    <t>Bois de engorda — Pau D'Arco</t>
  </si>
  <si>
    <t>F1 Cruz. Industrial — Pau D'Arco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</si>
</sst>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$ &quot;#,##0.00"/>
    <numFmt numFmtId="165" formatCode="&quot;R$ &quot;#,##0.000"/>
    <numFmt numFmtId="166" formatCode="#,##0.0"/>
    <numFmt numFmtId="167" formatCode="0.000"/>
    <numFmt numFmtId="168" formatCode="m/d/yyyy"/>
    <numFmt numFmtId="169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9"/>
      <color rgb="FF7A7A7A"/>
      <name val="Arial"/>
      <charset val="1"/>
    </font>
    <font>
      <sz val="11"/>
      <color rgb="FF0000FF"/>
      <name val="Arial"/>
      <charset val="1"/>
    </font>
    <font>
      <sz val="9"/>
      <color rgb="FF7A7A7A"/>
      <name val="Arial"/>
      <charset val="1"/>
    </font>
    <font>
      <sz val="11"/>
      <color rgb="FF006100"/>
      <name val="Arial"/>
      <charset val="1"/>
    </font>
    <font>
      <b/>
      <sz val="11"/>
      <color rgb="FF006100"/>
      <name val="Arial"/>
      <charset val="1"/>
    </font>
    <font>
      <b/>
      <sz val="11"/>
      <color rgb="FF0000FF"/>
      <name val="Arial"/>
      <charset val="1"/>
    </font>
    <font>
      <b/>
      <sz val="11"/>
      <color rgb="FF1F4E2E"/>
      <name val="Arial"/>
      <charset val="1"/>
    </font>
    <font>
      <sz val="11"/>
      <color rgb="FF1F4E2E"/>
      <name val="Arial"/>
      <charset val="1"/>
    </font>
    <font>
      <b/>
      <sz val="11"/>
      <color rgb="FF7A4E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4351F"/>
        <bgColor rgb="FF333300"/>
      </patternFill>
    </fill>
    <fill>
      <patternFill patternType="solid">
        <fgColor rgb="FF1F4E2E"/>
        <bgColor rgb="FF14351F"/>
      </patternFill>
    </fill>
    <fill>
      <patternFill patternType="solid">
        <fgColor rgb="FFFFF2CC"/>
        <bgColor rgb="FFFCE9C8"/>
      </patternFill>
    </fill>
    <fill>
      <patternFill patternType="solid">
        <fgColor rgb="FFF2F7F3"/>
        <bgColor rgb="FFFFFFFF"/>
      </patternFill>
    </fill>
    <fill>
      <patternFill patternType="solid">
        <fgColor rgb="FFD9E6DD"/>
        <bgColor rgb="FFD9D9D9"/>
      </patternFill>
    </fill>
    <fill>
      <patternFill patternType="solid">
        <fgColor rgb="FFFCE9C8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9CDBF"/>
      </left>
      <right style="thin">
        <color rgb="FFB9CDBF"/>
      </right>
      <top style="thin">
        <color rgb="FFB9CDBF"/>
      </top>
      <bottom style="thin">
        <color rgb="FFB9CDBF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3" borderId="0" xfId="0" applyFont="1" applyFill="1"/>
    <xf numFmtId="0" fontId="4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2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8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9" fontId="6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8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9" fontId="3" fillId="5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  <xf numFmtId="169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9" fontId="5" fillId="0" borderId="0" xfId="0" applyNumberFormat="1" applyFont="1" applyAlignment="1">
      <alignment horizontal="center"/>
    </xf>
    <xf numFmtId="169" fontId="5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169" fontId="10" fillId="4" borderId="0" xfId="0" applyNumberFormat="1" applyFont="1" applyFill="1" applyAlignment="1">
      <alignment horizontal="center"/>
    </xf>
    <xf numFmtId="165" fontId="9" fillId="5" borderId="0" xfId="0" applyNumberFormat="1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1" fontId="3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3" borderId="1" xfId="0" applyFill="1" applyBorder="1"/>
    <xf numFmtId="166" fontId="2" fillId="3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3" fontId="12" fillId="6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8" fontId="3" fillId="5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8" fontId="9" fillId="5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/>
    </xf>
    <xf numFmtId="168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/>
    <xf numFmtId="167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67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9CDBF"/>
      <rgbColor rgb="FF7A7A7A"/>
      <rgbColor rgb="FF9999FF"/>
      <rgbColor rgb="FF993366"/>
      <rgbColor rgb="FFFFF2CC"/>
      <rgbColor rgb="FFF2F7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6DD"/>
      <rgbColor rgb="FFFCE9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351F"/>
      <rgbColor rgb="FF333300"/>
      <rgbColor rgb="FF7A4E00"/>
      <rgbColor rgb="FF993366"/>
      <rgbColor rgb="FF333399"/>
      <rgbColor rgb="FF1F4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44" customWidth="1"/>
    <col min="3" max="3" width="18" customWidth="1"/>
    <col min="4" max="4" width="6" customWidth="1"/>
    <col min="5" max="5" width="44" customWidth="1"/>
    <col min="6" max="6" width="18" customWidth="1"/>
  </cols>
  <sheetData>
    <row r="2" spans="2:6" ht="24" customHeight="1" x14ac:dyDescent="0.3">
      <c r="B2" s="7" t="s">
        <v>0</v>
      </c>
      <c r="C2" s="7"/>
      <c r="D2" s="7"/>
      <c r="E2" s="7"/>
      <c r="F2" s="7"/>
    </row>
    <row r="4" spans="2:6" ht="15" customHeight="1" x14ac:dyDescent="0.3">
      <c r="B4" s="5" t="s">
        <v>1</v>
      </c>
      <c r="C4" s="5"/>
      <c r="E4" s="5" t="s">
        <v>2</v>
      </c>
      <c r="F4" s="5"/>
    </row>
    <row r="5" spans="2:6" ht="15" customHeight="1" x14ac:dyDescent="0.3">
      <c r="B5" s="8" t="s">
        <v>3</v>
      </c>
      <c r="C5" s="9">
        <f>COUNTA(Cadastro_Animais!$B$3:$B$5001)</f>
        <v>646</v>
      </c>
      <c r="E5" s="8" t="s">
        <v>4</v>
      </c>
      <c r="F5" s="10">
        <f>Parâmetros!$C$5</f>
        <v>320</v>
      </c>
    </row>
    <row r="6" spans="2:6" ht="15" customHeight="1" x14ac:dyDescent="0.3">
      <c r="B6" s="8" t="s">
        <v>5</v>
      </c>
      <c r="C6" s="9">
        <f>COUNTIF(Cadastro_Animais!$C$3:$C$5001,"Boi")</f>
        <v>613</v>
      </c>
      <c r="E6" s="8" t="s">
        <v>6</v>
      </c>
      <c r="F6" s="10">
        <f>SUM(Cadastro_Animais!$O$3:$O$5001)</f>
        <v>2925419.0933333328</v>
      </c>
    </row>
    <row r="7" spans="2:6" ht="15" customHeight="1" x14ac:dyDescent="0.3">
      <c r="B7" s="8" t="s">
        <v>7</v>
      </c>
      <c r="C7" s="9">
        <f>COUNTIF(Cadastro_Animais!$C$3:$C$5001,"F Cruz.Ind.")</f>
        <v>33</v>
      </c>
      <c r="E7" s="8" t="s">
        <v>8</v>
      </c>
      <c r="F7" s="11">
        <f>Parâmetros!$C$6</f>
        <v>0.82269999999999999</v>
      </c>
    </row>
    <row r="8" spans="2:6" ht="15" customHeight="1" x14ac:dyDescent="0.3">
      <c r="B8" s="8" t="s">
        <v>9</v>
      </c>
      <c r="C8" s="9">
        <f>SUM(Cadastro_Animais!$I$3:$I$5001)</f>
        <v>258734</v>
      </c>
      <c r="E8" s="8" t="s">
        <v>10</v>
      </c>
      <c r="F8" s="9">
        <f>Calculadora_Trato!$G$18</f>
        <v>11800</v>
      </c>
    </row>
    <row r="9" spans="2:6" ht="15" customHeight="1" x14ac:dyDescent="0.3">
      <c r="B9" s="8" t="s">
        <v>11</v>
      </c>
      <c r="C9" s="9">
        <f>IFERROR(AVERAGE(Cadastro_Animais!$I$3:$I$5001),"")</f>
        <v>400.51702786377712</v>
      </c>
      <c r="E9" s="8" t="s">
        <v>12</v>
      </c>
      <c r="F9" s="10">
        <f>Calculadora_Trato!$M$18</f>
        <v>9707.86</v>
      </c>
    </row>
    <row r="10" spans="2:6" ht="15" customHeight="1" x14ac:dyDescent="0.3">
      <c r="B10" s="8" t="s">
        <v>13</v>
      </c>
      <c r="C10" s="12">
        <f>SUM(Cadastro_Animais!$M$3:$M$5001)</f>
        <v>9141.9346666666352</v>
      </c>
      <c r="E10" s="8" t="s">
        <v>14</v>
      </c>
      <c r="F10" s="10">
        <f>IFERROR(Calculadora_Trato!$M$18/COUNTA(Cadastro_Animais!$B$3:$B$5001),"")</f>
        <v>15.027647058823531</v>
      </c>
    </row>
    <row r="12" spans="2:6" ht="15" customHeight="1" x14ac:dyDescent="0.3">
      <c r="B12" s="5" t="s">
        <v>15</v>
      </c>
      <c r="C12" s="5"/>
      <c r="E12" s="5" t="s">
        <v>16</v>
      </c>
      <c r="F12" s="5"/>
    </row>
    <row r="13" spans="2:6" ht="15" customHeight="1" x14ac:dyDescent="0.3">
      <c r="B13" s="8" t="s">
        <v>17</v>
      </c>
      <c r="C13" s="13" t="str">
        <f>IFERROR(AVERAGE(Cadastro_Animais!$L$3:$L$5001),"")</f>
        <v/>
      </c>
      <c r="E13" s="8" t="s">
        <v>18</v>
      </c>
      <c r="F13" s="10">
        <f>Custo_Nutricao_Lote!$I$16</f>
        <v>153111.05160000001</v>
      </c>
    </row>
    <row r="14" spans="2:6" ht="15" customHeight="1" x14ac:dyDescent="0.3">
      <c r="B14" s="8" t="s">
        <v>19</v>
      </c>
      <c r="C14" s="9">
        <f>SUM(Cadastro_Animais!$K$3:$K$5001)</f>
        <v>0</v>
      </c>
      <c r="E14" s="8" t="s">
        <v>20</v>
      </c>
      <c r="F14" s="10">
        <f>Custo_Nutricao_Lote!$J$16</f>
        <v>166976.79303</v>
      </c>
    </row>
    <row r="15" spans="2:6" ht="15" customHeight="1" x14ac:dyDescent="0.3">
      <c r="B15" s="8" t="s">
        <v>21</v>
      </c>
      <c r="C15" s="12">
        <f>SUM(Cadastro_Animais!$N$3:$N$5001)</f>
        <v>0</v>
      </c>
      <c r="E15" s="8" t="s">
        <v>22</v>
      </c>
      <c r="F15" s="10" t="str">
        <f>IF(Custo_Nutricao_Lote!$L$16&lt;=0,"",Custo_Nutricao_Lote!$I$16/Custo_Nutricao_Lote!$L$16)</f>
        <v/>
      </c>
    </row>
    <row r="16" spans="2:6" ht="15" customHeight="1" x14ac:dyDescent="0.3">
      <c r="B16" s="8" t="s">
        <v>23</v>
      </c>
      <c r="C16" s="14">
        <f>Parâmetros!$C$10</f>
        <v>1.5</v>
      </c>
      <c r="E16" s="4" t="s">
        <v>24</v>
      </c>
      <c r="F16" s="4"/>
    </row>
    <row r="17" spans="5:6" ht="15" customHeight="1" x14ac:dyDescent="0.3">
      <c r="E17" s="4"/>
      <c r="F17" s="4"/>
    </row>
  </sheetData>
  <mergeCells count="6">
    <mergeCell ref="E16:F17"/>
    <mergeCell ref="B2:F2"/>
    <mergeCell ref="B4:C4"/>
    <mergeCell ref="E4:F4"/>
    <mergeCell ref="B12:C12"/>
    <mergeCell ref="E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1"/>
  <sheetViews>
    <sheetView showGridLines="0" zoomScaleNormal="100" workbookViewId="0">
      <selection activeCell="C6" sqref="C6"/>
    </sheetView>
  </sheetViews>
  <sheetFormatPr defaultColWidth="8.6640625" defaultRowHeight="14.4" x14ac:dyDescent="0.3"/>
  <cols>
    <col min="1" max="1" width="2" customWidth="1"/>
    <col min="2" max="2" width="42" customWidth="1"/>
    <col min="3" max="3" width="16" customWidth="1"/>
    <col min="4" max="4" width="64" customWidth="1"/>
  </cols>
  <sheetData>
    <row r="2" spans="2:4" ht="24" customHeight="1" x14ac:dyDescent="0.3">
      <c r="B2" s="7" t="s">
        <v>25</v>
      </c>
      <c r="C2" s="7"/>
      <c r="D2" s="7"/>
    </row>
    <row r="3" spans="2:4" ht="30" customHeight="1" x14ac:dyDescent="0.3">
      <c r="B3" s="15" t="s">
        <v>26</v>
      </c>
      <c r="C3" s="15" t="s">
        <v>27</v>
      </c>
      <c r="D3" s="15" t="s">
        <v>28</v>
      </c>
    </row>
    <row r="4" spans="2:4" ht="15" customHeight="1" x14ac:dyDescent="0.3">
      <c r="B4" s="16" t="s">
        <v>29</v>
      </c>
      <c r="C4" s="17">
        <v>46238</v>
      </c>
      <c r="D4" s="18" t="s">
        <v>30</v>
      </c>
    </row>
    <row r="5" spans="2:4" ht="15" customHeight="1" x14ac:dyDescent="0.3">
      <c r="B5" s="16" t="s">
        <v>4</v>
      </c>
      <c r="C5" s="19">
        <v>320</v>
      </c>
      <c r="D5" s="18" t="s">
        <v>31</v>
      </c>
    </row>
    <row r="6" spans="2:4" ht="21.75" customHeight="1" x14ac:dyDescent="0.3">
      <c r="B6" s="16" t="s">
        <v>32</v>
      </c>
      <c r="C6" s="20">
        <f>IFERROR(LOOKUP($C$4,Ingredientes_Dieta!$C$17:$C$18,Ingredientes_Dieta!$D$17:$D$18),Ingredientes_Dieta!$F$11)</f>
        <v>0.82269999999999999</v>
      </c>
      <c r="D6" s="18" t="s">
        <v>33</v>
      </c>
    </row>
    <row r="7" spans="2:4" ht="15" customHeight="1" x14ac:dyDescent="0.3">
      <c r="B7" s="16" t="s">
        <v>34</v>
      </c>
      <c r="C7" s="21">
        <v>0.55000000000000004</v>
      </c>
      <c r="D7" s="18" t="s">
        <v>35</v>
      </c>
    </row>
    <row r="8" spans="2:4" ht="15" customHeight="1" x14ac:dyDescent="0.3">
      <c r="B8" s="16" t="s">
        <v>36</v>
      </c>
      <c r="C8" s="21">
        <v>0.53</v>
      </c>
      <c r="D8" s="18" t="s">
        <v>37</v>
      </c>
    </row>
    <row r="9" spans="2:4" ht="15" customHeight="1" x14ac:dyDescent="0.3">
      <c r="B9" s="16" t="s">
        <v>38</v>
      </c>
      <c r="C9" s="19">
        <v>2.5</v>
      </c>
      <c r="D9" s="18" t="s">
        <v>39</v>
      </c>
    </row>
    <row r="10" spans="2:4" ht="15" customHeight="1" x14ac:dyDescent="0.3">
      <c r="B10" s="16" t="s">
        <v>23</v>
      </c>
      <c r="C10" s="22">
        <v>1.5</v>
      </c>
      <c r="D10" s="18" t="s">
        <v>40</v>
      </c>
    </row>
    <row r="11" spans="2:4" ht="15" customHeight="1" x14ac:dyDescent="0.3">
      <c r="B11" s="16" t="s">
        <v>41</v>
      </c>
      <c r="C11" s="23">
        <v>530</v>
      </c>
      <c r="D11" s="18" t="s">
        <v>42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3"/>
  <sheetViews>
    <sheetView showGridLines="0" zoomScaleNormal="100" workbookViewId="0">
      <pane ySplit="3" topLeftCell="A4" activePane="bottomLeft" state="frozen"/>
      <selection pane="bottomLeft" activeCell="A11" sqref="A11"/>
    </sheetView>
  </sheetViews>
  <sheetFormatPr defaultColWidth="8.6640625" defaultRowHeight="14.4" x14ac:dyDescent="0.3"/>
  <cols>
    <col min="1" max="1" width="13" customWidth="1"/>
    <col min="2" max="2" width="26" customWidth="1"/>
    <col min="3" max="3" width="15" customWidth="1"/>
    <col min="4" max="5" width="16" customWidth="1"/>
    <col min="6" max="6" width="20" customWidth="1"/>
    <col min="7" max="7" width="26" customWidth="1"/>
  </cols>
  <sheetData>
    <row r="1" spans="1:7" ht="24" customHeight="1" x14ac:dyDescent="0.3">
      <c r="A1" s="7" t="s">
        <v>43</v>
      </c>
      <c r="B1" s="7"/>
      <c r="C1" s="7"/>
      <c r="D1" s="7"/>
      <c r="E1" s="7"/>
      <c r="F1" s="7"/>
      <c r="G1" s="7"/>
    </row>
    <row r="2" spans="1:7" ht="39.75" customHeight="1" x14ac:dyDescent="0.3">
      <c r="A2" s="6" t="s">
        <v>44</v>
      </c>
      <c r="B2" s="6"/>
      <c r="C2" s="6"/>
      <c r="D2" s="6"/>
      <c r="E2" s="6"/>
      <c r="F2" s="6"/>
      <c r="G2" s="6"/>
    </row>
    <row r="3" spans="1:7" ht="30" customHeight="1" x14ac:dyDescent="0.3">
      <c r="A3" s="15" t="s">
        <v>45</v>
      </c>
      <c r="B3" s="15" t="s">
        <v>46</v>
      </c>
      <c r="C3" s="15" t="s">
        <v>47</v>
      </c>
      <c r="D3" s="15" t="s">
        <v>48</v>
      </c>
      <c r="E3" s="15" t="s">
        <v>49</v>
      </c>
      <c r="F3" s="15" t="s">
        <v>50</v>
      </c>
      <c r="G3" s="15" t="s">
        <v>51</v>
      </c>
    </row>
    <row r="4" spans="1:7" ht="15" customHeight="1" x14ac:dyDescent="0.3">
      <c r="A4" s="17">
        <v>46218</v>
      </c>
      <c r="B4" s="24" t="s">
        <v>52</v>
      </c>
      <c r="C4" s="25">
        <v>0.1</v>
      </c>
      <c r="D4" s="23"/>
      <c r="E4" s="26" t="str">
        <f t="shared" ref="E4:E35" si="0">IF(D4="","",C4*D4)</f>
        <v/>
      </c>
      <c r="F4" s="27" t="s">
        <v>53</v>
      </c>
      <c r="G4" s="27" t="s">
        <v>54</v>
      </c>
    </row>
    <row r="5" spans="1:7" ht="15" customHeight="1" x14ac:dyDescent="0.3">
      <c r="A5" s="17">
        <v>46218</v>
      </c>
      <c r="B5" s="24" t="s">
        <v>55</v>
      </c>
      <c r="C5" s="25">
        <v>2</v>
      </c>
      <c r="D5" s="23"/>
      <c r="E5" s="28" t="str">
        <f t="shared" si="0"/>
        <v/>
      </c>
      <c r="F5" s="29"/>
      <c r="G5" s="29"/>
    </row>
    <row r="6" spans="1:7" ht="15" customHeight="1" x14ac:dyDescent="0.3">
      <c r="A6" s="17">
        <v>46218</v>
      </c>
      <c r="B6" s="24" t="s">
        <v>56</v>
      </c>
      <c r="C6" s="25">
        <v>1.05</v>
      </c>
      <c r="D6" s="23"/>
      <c r="E6" s="26" t="str">
        <f t="shared" si="0"/>
        <v/>
      </c>
      <c r="F6" s="27"/>
      <c r="G6" s="27"/>
    </row>
    <row r="7" spans="1:7" ht="15" customHeight="1" x14ac:dyDescent="0.3">
      <c r="A7" s="17">
        <v>46218</v>
      </c>
      <c r="B7" s="24" t="s">
        <v>57</v>
      </c>
      <c r="C7" s="25">
        <v>4.5</v>
      </c>
      <c r="D7" s="23"/>
      <c r="E7" s="28" t="str">
        <f t="shared" si="0"/>
        <v/>
      </c>
      <c r="F7" s="29"/>
      <c r="G7" s="29"/>
    </row>
    <row r="8" spans="1:7" ht="15" customHeight="1" x14ac:dyDescent="0.3">
      <c r="A8" s="17">
        <v>46218</v>
      </c>
      <c r="B8" s="24" t="s">
        <v>58</v>
      </c>
      <c r="C8" s="25">
        <v>3.83</v>
      </c>
      <c r="D8" s="23"/>
      <c r="E8" s="26" t="str">
        <f t="shared" si="0"/>
        <v/>
      </c>
      <c r="F8" s="27" t="s">
        <v>59</v>
      </c>
      <c r="G8" s="27"/>
    </row>
    <row r="9" spans="1:7" ht="15" customHeight="1" x14ac:dyDescent="0.3">
      <c r="A9" s="17">
        <v>46230</v>
      </c>
      <c r="B9" s="24" t="s">
        <v>56</v>
      </c>
      <c r="C9" s="25">
        <v>1.05</v>
      </c>
      <c r="D9" s="23">
        <v>38200</v>
      </c>
      <c r="E9" s="28">
        <f t="shared" si="0"/>
        <v>40110</v>
      </c>
      <c r="F9" s="29"/>
      <c r="G9" s="30" t="s">
        <v>60</v>
      </c>
    </row>
    <row r="10" spans="1:7" ht="15" customHeight="1" x14ac:dyDescent="0.3">
      <c r="A10" s="31">
        <v>46238</v>
      </c>
      <c r="B10" s="24" t="s">
        <v>55</v>
      </c>
      <c r="C10" s="25">
        <v>2</v>
      </c>
      <c r="D10" s="32">
        <v>5000</v>
      </c>
      <c r="E10" s="28">
        <f t="shared" si="0"/>
        <v>10000</v>
      </c>
      <c r="F10" s="29"/>
      <c r="G10" s="29"/>
    </row>
    <row r="11" spans="1:7" ht="15" customHeight="1" x14ac:dyDescent="0.3">
      <c r="A11" s="31">
        <v>46240</v>
      </c>
      <c r="B11" s="33" t="s">
        <v>56</v>
      </c>
      <c r="C11" s="34">
        <v>1.1000000000000001</v>
      </c>
      <c r="D11" s="32">
        <v>45040</v>
      </c>
      <c r="E11" s="28">
        <f t="shared" si="0"/>
        <v>49544.000000000007</v>
      </c>
      <c r="F11" s="29"/>
      <c r="G11" s="29"/>
    </row>
    <row r="12" spans="1:7" ht="15" customHeight="1" x14ac:dyDescent="0.3">
      <c r="A12" s="31">
        <v>46241</v>
      </c>
      <c r="B12" s="33" t="s">
        <v>55</v>
      </c>
      <c r="C12" s="34">
        <v>2.5299999999999998</v>
      </c>
      <c r="D12" s="32">
        <v>20000</v>
      </c>
      <c r="E12" s="28">
        <f t="shared" si="0"/>
        <v>50599.999999999993</v>
      </c>
      <c r="F12" s="29"/>
      <c r="G12" s="29"/>
    </row>
    <row r="13" spans="1:7" ht="15" customHeight="1" x14ac:dyDescent="0.3">
      <c r="A13" s="31"/>
      <c r="B13" s="33" t="s">
        <v>61</v>
      </c>
      <c r="C13" s="34"/>
      <c r="D13" s="32"/>
      <c r="E13" s="28" t="str">
        <f t="shared" si="0"/>
        <v/>
      </c>
      <c r="F13" s="29"/>
      <c r="G13" s="29"/>
    </row>
    <row r="14" spans="1:7" ht="15" customHeight="1" x14ac:dyDescent="0.3">
      <c r="A14" s="31"/>
      <c r="B14" s="33"/>
      <c r="C14" s="34"/>
      <c r="D14" s="32"/>
      <c r="E14" s="28" t="str">
        <f t="shared" si="0"/>
        <v/>
      </c>
      <c r="F14" s="29"/>
      <c r="G14" s="29"/>
    </row>
    <row r="15" spans="1:7" ht="15" customHeight="1" x14ac:dyDescent="0.3">
      <c r="A15" s="31"/>
      <c r="B15" s="33"/>
      <c r="C15" s="34"/>
      <c r="D15" s="32"/>
      <c r="E15" s="28" t="str">
        <f t="shared" si="0"/>
        <v/>
      </c>
      <c r="F15" s="29"/>
      <c r="G15" s="29"/>
    </row>
    <row r="16" spans="1:7" ht="15" customHeight="1" x14ac:dyDescent="0.3">
      <c r="A16" s="31"/>
      <c r="B16" s="33"/>
      <c r="C16" s="34"/>
      <c r="D16" s="32"/>
      <c r="E16" s="28" t="str">
        <f t="shared" si="0"/>
        <v/>
      </c>
      <c r="F16" s="29"/>
      <c r="G16" s="29"/>
    </row>
    <row r="17" spans="1:7" ht="15" customHeight="1" x14ac:dyDescent="0.3">
      <c r="A17" s="31"/>
      <c r="B17" s="33"/>
      <c r="C17" s="34"/>
      <c r="D17" s="32"/>
      <c r="E17" s="28" t="str">
        <f t="shared" si="0"/>
        <v/>
      </c>
      <c r="F17" s="29"/>
      <c r="G17" s="29"/>
    </row>
    <row r="18" spans="1:7" ht="15" customHeight="1" x14ac:dyDescent="0.3">
      <c r="A18" s="31"/>
      <c r="B18" s="33"/>
      <c r="C18" s="34"/>
      <c r="D18" s="32"/>
      <c r="E18" s="28" t="str">
        <f t="shared" si="0"/>
        <v/>
      </c>
      <c r="F18" s="29"/>
      <c r="G18" s="29"/>
    </row>
    <row r="19" spans="1:7" ht="15" customHeight="1" x14ac:dyDescent="0.3">
      <c r="A19" s="31"/>
      <c r="B19" s="33"/>
      <c r="C19" s="34"/>
      <c r="D19" s="32"/>
      <c r="E19" s="28" t="str">
        <f t="shared" si="0"/>
        <v/>
      </c>
      <c r="F19" s="29"/>
      <c r="G19" s="29"/>
    </row>
    <row r="20" spans="1:7" ht="15" customHeight="1" x14ac:dyDescent="0.3">
      <c r="A20" s="31"/>
      <c r="B20" s="33"/>
      <c r="C20" s="34"/>
      <c r="D20" s="32"/>
      <c r="E20" s="28" t="str">
        <f t="shared" si="0"/>
        <v/>
      </c>
      <c r="F20" s="29"/>
      <c r="G20" s="29"/>
    </row>
    <row r="21" spans="1:7" ht="15" customHeight="1" x14ac:dyDescent="0.3">
      <c r="A21" s="31"/>
      <c r="B21" s="33"/>
      <c r="C21" s="34"/>
      <c r="D21" s="32"/>
      <c r="E21" s="28" t="str">
        <f t="shared" si="0"/>
        <v/>
      </c>
      <c r="F21" s="29"/>
      <c r="G21" s="29"/>
    </row>
    <row r="22" spans="1:7" ht="15" customHeight="1" x14ac:dyDescent="0.3">
      <c r="A22" s="31"/>
      <c r="B22" s="33"/>
      <c r="C22" s="34"/>
      <c r="D22" s="32"/>
      <c r="E22" s="28" t="str">
        <f t="shared" si="0"/>
        <v/>
      </c>
      <c r="F22" s="29"/>
      <c r="G22" s="29"/>
    </row>
    <row r="23" spans="1:7" ht="15" customHeight="1" x14ac:dyDescent="0.3">
      <c r="A23" s="31"/>
      <c r="B23" s="33"/>
      <c r="C23" s="34"/>
      <c r="D23" s="32"/>
      <c r="E23" s="28" t="str">
        <f t="shared" si="0"/>
        <v/>
      </c>
      <c r="F23" s="29"/>
      <c r="G23" s="29"/>
    </row>
    <row r="24" spans="1:7" ht="15" customHeight="1" x14ac:dyDescent="0.3">
      <c r="A24" s="31"/>
      <c r="B24" s="33"/>
      <c r="C24" s="34"/>
      <c r="D24" s="32"/>
      <c r="E24" s="28" t="str">
        <f t="shared" si="0"/>
        <v/>
      </c>
      <c r="F24" s="29"/>
      <c r="G24" s="29"/>
    </row>
    <row r="25" spans="1:7" ht="15" customHeight="1" x14ac:dyDescent="0.3">
      <c r="A25" s="31"/>
      <c r="B25" s="33"/>
      <c r="C25" s="34"/>
      <c r="D25" s="32"/>
      <c r="E25" s="28" t="str">
        <f t="shared" si="0"/>
        <v/>
      </c>
      <c r="F25" s="29"/>
      <c r="G25" s="29"/>
    </row>
    <row r="26" spans="1:7" ht="15" customHeight="1" x14ac:dyDescent="0.3">
      <c r="A26" s="31"/>
      <c r="B26" s="33"/>
      <c r="C26" s="34"/>
      <c r="D26" s="32"/>
      <c r="E26" s="28" t="str">
        <f t="shared" si="0"/>
        <v/>
      </c>
      <c r="F26" s="29"/>
      <c r="G26" s="29"/>
    </row>
    <row r="27" spans="1:7" ht="15" customHeight="1" x14ac:dyDescent="0.3">
      <c r="A27" s="31"/>
      <c r="B27" s="33"/>
      <c r="C27" s="34"/>
      <c r="D27" s="32"/>
      <c r="E27" s="28" t="str">
        <f t="shared" si="0"/>
        <v/>
      </c>
      <c r="F27" s="29"/>
      <c r="G27" s="29"/>
    </row>
    <row r="28" spans="1:7" ht="15" customHeight="1" x14ac:dyDescent="0.3">
      <c r="A28" s="31"/>
      <c r="B28" s="33"/>
      <c r="C28" s="34"/>
      <c r="D28" s="32"/>
      <c r="E28" s="28" t="str">
        <f t="shared" si="0"/>
        <v/>
      </c>
      <c r="F28" s="29"/>
      <c r="G28" s="29"/>
    </row>
    <row r="29" spans="1:7" ht="15" customHeight="1" x14ac:dyDescent="0.3">
      <c r="A29" s="31"/>
      <c r="B29" s="33"/>
      <c r="C29" s="34"/>
      <c r="D29" s="32"/>
      <c r="E29" s="28" t="str">
        <f t="shared" si="0"/>
        <v/>
      </c>
      <c r="F29" s="29"/>
      <c r="G29" s="29"/>
    </row>
    <row r="30" spans="1:7" ht="15" customHeight="1" x14ac:dyDescent="0.3">
      <c r="A30" s="31"/>
      <c r="B30" s="33"/>
      <c r="C30" s="34"/>
      <c r="D30" s="32"/>
      <c r="E30" s="28" t="str">
        <f t="shared" si="0"/>
        <v/>
      </c>
      <c r="F30" s="29"/>
      <c r="G30" s="29"/>
    </row>
    <row r="31" spans="1:7" ht="15" customHeight="1" x14ac:dyDescent="0.3">
      <c r="A31" s="31"/>
      <c r="B31" s="33"/>
      <c r="C31" s="34"/>
      <c r="D31" s="32"/>
      <c r="E31" s="28" t="str">
        <f t="shared" si="0"/>
        <v/>
      </c>
      <c r="F31" s="29"/>
      <c r="G31" s="29"/>
    </row>
    <row r="32" spans="1:7" ht="15" customHeight="1" x14ac:dyDescent="0.3">
      <c r="A32" s="31"/>
      <c r="B32" s="33"/>
      <c r="C32" s="34"/>
      <c r="D32" s="32"/>
      <c r="E32" s="28" t="str">
        <f t="shared" si="0"/>
        <v/>
      </c>
      <c r="F32" s="29"/>
      <c r="G32" s="29"/>
    </row>
    <row r="33" spans="1:7" ht="15" customHeight="1" x14ac:dyDescent="0.3">
      <c r="A33" s="31"/>
      <c r="B33" s="33"/>
      <c r="C33" s="34"/>
      <c r="D33" s="32"/>
      <c r="E33" s="28" t="str">
        <f t="shared" si="0"/>
        <v/>
      </c>
      <c r="F33" s="29"/>
      <c r="G33" s="29"/>
    </row>
    <row r="34" spans="1:7" ht="15" customHeight="1" x14ac:dyDescent="0.3">
      <c r="A34" s="31"/>
      <c r="B34" s="33"/>
      <c r="C34" s="34"/>
      <c r="D34" s="32"/>
      <c r="E34" s="28" t="str">
        <f t="shared" si="0"/>
        <v/>
      </c>
      <c r="F34" s="29"/>
      <c r="G34" s="29"/>
    </row>
    <row r="35" spans="1:7" ht="15" customHeight="1" x14ac:dyDescent="0.3">
      <c r="A35" s="31"/>
      <c r="B35" s="33"/>
      <c r="C35" s="34"/>
      <c r="D35" s="32"/>
      <c r="E35" s="28" t="str">
        <f t="shared" si="0"/>
        <v/>
      </c>
      <c r="F35" s="29"/>
      <c r="G35" s="29"/>
    </row>
    <row r="36" spans="1:7" ht="15" customHeight="1" x14ac:dyDescent="0.3">
      <c r="A36" s="31"/>
      <c r="B36" s="33"/>
      <c r="C36" s="34"/>
      <c r="D36" s="32"/>
      <c r="E36" s="28" t="str">
        <f t="shared" ref="E36:E67" si="1">IF(D36="","",C36*D36)</f>
        <v/>
      </c>
      <c r="F36" s="29"/>
      <c r="G36" s="29"/>
    </row>
    <row r="37" spans="1:7" ht="15" customHeight="1" x14ac:dyDescent="0.3">
      <c r="A37" s="31"/>
      <c r="B37" s="33"/>
      <c r="C37" s="34"/>
      <c r="D37" s="32"/>
      <c r="E37" s="28" t="str">
        <f t="shared" si="1"/>
        <v/>
      </c>
      <c r="F37" s="29"/>
      <c r="G37" s="29"/>
    </row>
    <row r="38" spans="1:7" ht="15" customHeight="1" x14ac:dyDescent="0.3">
      <c r="A38" s="31"/>
      <c r="B38" s="33"/>
      <c r="C38" s="34"/>
      <c r="D38" s="32"/>
      <c r="E38" s="28" t="str">
        <f t="shared" si="1"/>
        <v/>
      </c>
      <c r="F38" s="29"/>
      <c r="G38" s="29"/>
    </row>
    <row r="39" spans="1:7" ht="15" customHeight="1" x14ac:dyDescent="0.3">
      <c r="A39" s="31"/>
      <c r="B39" s="33"/>
      <c r="C39" s="34"/>
      <c r="D39" s="32"/>
      <c r="E39" s="28" t="str">
        <f t="shared" si="1"/>
        <v/>
      </c>
      <c r="F39" s="29"/>
      <c r="G39" s="29"/>
    </row>
    <row r="40" spans="1:7" ht="15" customHeight="1" x14ac:dyDescent="0.3">
      <c r="A40" s="31"/>
      <c r="B40" s="33"/>
      <c r="C40" s="34"/>
      <c r="D40" s="32"/>
      <c r="E40" s="28" t="str">
        <f t="shared" si="1"/>
        <v/>
      </c>
      <c r="F40" s="29"/>
      <c r="G40" s="29"/>
    </row>
    <row r="41" spans="1:7" ht="15" customHeight="1" x14ac:dyDescent="0.3">
      <c r="A41" s="31"/>
      <c r="B41" s="33"/>
      <c r="C41" s="34"/>
      <c r="D41" s="32"/>
      <c r="E41" s="28" t="str">
        <f t="shared" si="1"/>
        <v/>
      </c>
      <c r="F41" s="29"/>
      <c r="G41" s="29"/>
    </row>
    <row r="42" spans="1:7" ht="15" customHeight="1" x14ac:dyDescent="0.3">
      <c r="A42" s="31"/>
      <c r="B42" s="33"/>
      <c r="C42" s="34"/>
      <c r="D42" s="32"/>
      <c r="E42" s="28" t="str">
        <f t="shared" si="1"/>
        <v/>
      </c>
      <c r="F42" s="29"/>
      <c r="G42" s="29"/>
    </row>
    <row r="43" spans="1:7" ht="15" customHeight="1" x14ac:dyDescent="0.3">
      <c r="A43" s="31"/>
      <c r="B43" s="33"/>
      <c r="C43" s="34"/>
      <c r="D43" s="32"/>
      <c r="E43" s="28" t="str">
        <f t="shared" si="1"/>
        <v/>
      </c>
      <c r="F43" s="29"/>
      <c r="G43" s="29"/>
    </row>
    <row r="44" spans="1:7" ht="15" customHeight="1" x14ac:dyDescent="0.3">
      <c r="A44" s="31"/>
      <c r="B44" s="33"/>
      <c r="C44" s="34"/>
      <c r="D44" s="32"/>
      <c r="E44" s="28" t="str">
        <f t="shared" si="1"/>
        <v/>
      </c>
      <c r="F44" s="29"/>
      <c r="G44" s="29"/>
    </row>
    <row r="45" spans="1:7" ht="15" customHeight="1" x14ac:dyDescent="0.3">
      <c r="A45" s="31"/>
      <c r="B45" s="33"/>
      <c r="C45" s="34"/>
      <c r="D45" s="32"/>
      <c r="E45" s="28" t="str">
        <f t="shared" si="1"/>
        <v/>
      </c>
      <c r="F45" s="29"/>
      <c r="G45" s="29"/>
    </row>
    <row r="46" spans="1:7" ht="15" customHeight="1" x14ac:dyDescent="0.3">
      <c r="A46" s="31"/>
      <c r="B46" s="33"/>
      <c r="C46" s="34"/>
      <c r="D46" s="32"/>
      <c r="E46" s="28" t="str">
        <f t="shared" si="1"/>
        <v/>
      </c>
      <c r="F46" s="29"/>
      <c r="G46" s="29"/>
    </row>
    <row r="47" spans="1:7" ht="15" customHeight="1" x14ac:dyDescent="0.3">
      <c r="A47" s="31"/>
      <c r="B47" s="33"/>
      <c r="C47" s="34"/>
      <c r="D47" s="32"/>
      <c r="E47" s="28" t="str">
        <f t="shared" si="1"/>
        <v/>
      </c>
      <c r="F47" s="29"/>
      <c r="G47" s="29"/>
    </row>
    <row r="48" spans="1:7" ht="15" customHeight="1" x14ac:dyDescent="0.3">
      <c r="A48" s="31"/>
      <c r="B48" s="33"/>
      <c r="C48" s="34"/>
      <c r="D48" s="32"/>
      <c r="E48" s="28" t="str">
        <f t="shared" si="1"/>
        <v/>
      </c>
      <c r="F48" s="29"/>
      <c r="G48" s="29"/>
    </row>
    <row r="49" spans="1:7" ht="15" customHeight="1" x14ac:dyDescent="0.3">
      <c r="A49" s="31"/>
      <c r="B49" s="33"/>
      <c r="C49" s="34"/>
      <c r="D49" s="32"/>
      <c r="E49" s="28" t="str">
        <f t="shared" si="1"/>
        <v/>
      </c>
      <c r="F49" s="29"/>
      <c r="G49" s="29"/>
    </row>
    <row r="50" spans="1:7" ht="15" customHeight="1" x14ac:dyDescent="0.3">
      <c r="A50" s="31"/>
      <c r="B50" s="33"/>
      <c r="C50" s="34"/>
      <c r="D50" s="32"/>
      <c r="E50" s="28" t="str">
        <f t="shared" si="1"/>
        <v/>
      </c>
      <c r="F50" s="29"/>
      <c r="G50" s="29"/>
    </row>
    <row r="51" spans="1:7" ht="15" customHeight="1" x14ac:dyDescent="0.3">
      <c r="A51" s="31"/>
      <c r="B51" s="33"/>
      <c r="C51" s="34"/>
      <c r="D51" s="32"/>
      <c r="E51" s="28" t="str">
        <f t="shared" si="1"/>
        <v/>
      </c>
      <c r="F51" s="29"/>
      <c r="G51" s="29"/>
    </row>
    <row r="52" spans="1:7" ht="15" customHeight="1" x14ac:dyDescent="0.3">
      <c r="A52" s="31"/>
      <c r="B52" s="33"/>
      <c r="C52" s="34"/>
      <c r="D52" s="32"/>
      <c r="E52" s="28" t="str">
        <f t="shared" si="1"/>
        <v/>
      </c>
      <c r="F52" s="29"/>
      <c r="G52" s="29"/>
    </row>
    <row r="53" spans="1:7" ht="15" customHeight="1" x14ac:dyDescent="0.3">
      <c r="A53" s="31"/>
      <c r="B53" s="33"/>
      <c r="C53" s="34"/>
      <c r="D53" s="32"/>
      <c r="E53" s="28" t="str">
        <f t="shared" si="1"/>
        <v/>
      </c>
      <c r="F53" s="29"/>
      <c r="G53" s="29"/>
    </row>
    <row r="54" spans="1:7" ht="15" customHeight="1" x14ac:dyDescent="0.3">
      <c r="A54" s="31"/>
      <c r="B54" s="33"/>
      <c r="C54" s="34"/>
      <c r="D54" s="32"/>
      <c r="E54" s="28" t="str">
        <f t="shared" si="1"/>
        <v/>
      </c>
      <c r="F54" s="29"/>
      <c r="G54" s="29"/>
    </row>
    <row r="55" spans="1:7" ht="15" customHeight="1" x14ac:dyDescent="0.3">
      <c r="A55" s="31"/>
      <c r="B55" s="33"/>
      <c r="C55" s="34"/>
      <c r="D55" s="32"/>
      <c r="E55" s="28" t="str">
        <f t="shared" si="1"/>
        <v/>
      </c>
      <c r="F55" s="29"/>
      <c r="G55" s="29"/>
    </row>
    <row r="56" spans="1:7" ht="15" customHeight="1" x14ac:dyDescent="0.3">
      <c r="A56" s="31"/>
      <c r="B56" s="33"/>
      <c r="C56" s="34"/>
      <c r="D56" s="32"/>
      <c r="E56" s="28" t="str">
        <f t="shared" si="1"/>
        <v/>
      </c>
      <c r="F56" s="29"/>
      <c r="G56" s="29"/>
    </row>
    <row r="57" spans="1:7" ht="15" customHeight="1" x14ac:dyDescent="0.3">
      <c r="A57" s="31"/>
      <c r="B57" s="33"/>
      <c r="C57" s="34"/>
      <c r="D57" s="32"/>
      <c r="E57" s="28" t="str">
        <f t="shared" si="1"/>
        <v/>
      </c>
      <c r="F57" s="29"/>
      <c r="G57" s="29"/>
    </row>
    <row r="58" spans="1:7" ht="15" customHeight="1" x14ac:dyDescent="0.3">
      <c r="A58" s="31"/>
      <c r="B58" s="33"/>
      <c r="C58" s="34"/>
      <c r="D58" s="32"/>
      <c r="E58" s="28" t="str">
        <f t="shared" si="1"/>
        <v/>
      </c>
      <c r="F58" s="29"/>
      <c r="G58" s="29"/>
    </row>
    <row r="59" spans="1:7" ht="15" customHeight="1" x14ac:dyDescent="0.3">
      <c r="A59" s="31"/>
      <c r="B59" s="33"/>
      <c r="C59" s="34"/>
      <c r="D59" s="32"/>
      <c r="E59" s="28" t="str">
        <f t="shared" si="1"/>
        <v/>
      </c>
      <c r="F59" s="29"/>
      <c r="G59" s="29"/>
    </row>
    <row r="60" spans="1:7" ht="15" customHeight="1" x14ac:dyDescent="0.3">
      <c r="A60" s="31"/>
      <c r="B60" s="33"/>
      <c r="C60" s="34"/>
      <c r="D60" s="32"/>
      <c r="E60" s="28" t="str">
        <f t="shared" si="1"/>
        <v/>
      </c>
      <c r="F60" s="29"/>
      <c r="G60" s="29"/>
    </row>
    <row r="61" spans="1:7" ht="15" customHeight="1" x14ac:dyDescent="0.3">
      <c r="A61" s="31"/>
      <c r="B61" s="33"/>
      <c r="C61" s="34"/>
      <c r="D61" s="32"/>
      <c r="E61" s="28" t="str">
        <f t="shared" si="1"/>
        <v/>
      </c>
      <c r="F61" s="29"/>
      <c r="G61" s="29"/>
    </row>
    <row r="62" spans="1:7" ht="15" customHeight="1" x14ac:dyDescent="0.3">
      <c r="A62" s="31"/>
      <c r="B62" s="33"/>
      <c r="C62" s="34"/>
      <c r="D62" s="32"/>
      <c r="E62" s="28" t="str">
        <f t="shared" si="1"/>
        <v/>
      </c>
      <c r="F62" s="29"/>
      <c r="G62" s="29"/>
    </row>
    <row r="63" spans="1:7" ht="15" customHeight="1" x14ac:dyDescent="0.3">
      <c r="A63" s="31"/>
      <c r="B63" s="33"/>
      <c r="C63" s="34"/>
      <c r="D63" s="32"/>
      <c r="E63" s="28" t="str">
        <f t="shared" si="1"/>
        <v/>
      </c>
      <c r="F63" s="29"/>
      <c r="G63" s="29"/>
    </row>
    <row r="64" spans="1:7" ht="15" customHeight="1" x14ac:dyDescent="0.3">
      <c r="A64" s="31"/>
      <c r="B64" s="33"/>
      <c r="C64" s="34"/>
      <c r="D64" s="32"/>
      <c r="E64" s="28" t="str">
        <f t="shared" si="1"/>
        <v/>
      </c>
      <c r="F64" s="29"/>
      <c r="G64" s="29"/>
    </row>
    <row r="65" spans="1:7" ht="15" customHeight="1" x14ac:dyDescent="0.3">
      <c r="A65" s="31"/>
      <c r="B65" s="33"/>
      <c r="C65" s="34"/>
      <c r="D65" s="32"/>
      <c r="E65" s="28" t="str">
        <f t="shared" si="1"/>
        <v/>
      </c>
      <c r="F65" s="29"/>
      <c r="G65" s="29"/>
    </row>
    <row r="66" spans="1:7" ht="15" customHeight="1" x14ac:dyDescent="0.3">
      <c r="A66" s="31"/>
      <c r="B66" s="33"/>
      <c r="C66" s="34"/>
      <c r="D66" s="32"/>
      <c r="E66" s="28" t="str">
        <f t="shared" si="1"/>
        <v/>
      </c>
      <c r="F66" s="29"/>
      <c r="G66" s="29"/>
    </row>
    <row r="67" spans="1:7" ht="15" customHeight="1" x14ac:dyDescent="0.3">
      <c r="A67" s="31"/>
      <c r="B67" s="33"/>
      <c r="C67" s="34"/>
      <c r="D67" s="32"/>
      <c r="E67" s="28" t="str">
        <f t="shared" si="1"/>
        <v/>
      </c>
      <c r="F67" s="29"/>
      <c r="G67" s="29"/>
    </row>
    <row r="68" spans="1:7" ht="15" customHeight="1" x14ac:dyDescent="0.3">
      <c r="A68" s="31"/>
      <c r="B68" s="33"/>
      <c r="C68" s="34"/>
      <c r="D68" s="32"/>
      <c r="E68" s="28" t="str">
        <f t="shared" ref="E68:E99" si="2">IF(D68="","",C68*D68)</f>
        <v/>
      </c>
      <c r="F68" s="29"/>
      <c r="G68" s="29"/>
    </row>
    <row r="69" spans="1:7" ht="15" customHeight="1" x14ac:dyDescent="0.3">
      <c r="A69" s="31"/>
      <c r="B69" s="33"/>
      <c r="C69" s="34"/>
      <c r="D69" s="32"/>
      <c r="E69" s="28" t="str">
        <f t="shared" si="2"/>
        <v/>
      </c>
      <c r="F69" s="29"/>
      <c r="G69" s="29"/>
    </row>
    <row r="70" spans="1:7" ht="15" customHeight="1" x14ac:dyDescent="0.3">
      <c r="A70" s="31"/>
      <c r="B70" s="33"/>
      <c r="C70" s="34"/>
      <c r="D70" s="32"/>
      <c r="E70" s="28" t="str">
        <f t="shared" si="2"/>
        <v/>
      </c>
      <c r="F70" s="29"/>
      <c r="G70" s="29"/>
    </row>
    <row r="71" spans="1:7" ht="15" customHeight="1" x14ac:dyDescent="0.3">
      <c r="A71" s="31"/>
      <c r="B71" s="33"/>
      <c r="C71" s="34"/>
      <c r="D71" s="32"/>
      <c r="E71" s="28" t="str">
        <f t="shared" si="2"/>
        <v/>
      </c>
      <c r="F71" s="29"/>
      <c r="G71" s="29"/>
    </row>
    <row r="72" spans="1:7" ht="15" customHeight="1" x14ac:dyDescent="0.3">
      <c r="A72" s="31"/>
      <c r="B72" s="33"/>
      <c r="C72" s="34"/>
      <c r="D72" s="32"/>
      <c r="E72" s="28" t="str">
        <f t="shared" si="2"/>
        <v/>
      </c>
      <c r="F72" s="29"/>
      <c r="G72" s="29"/>
    </row>
    <row r="73" spans="1:7" ht="15" customHeight="1" x14ac:dyDescent="0.3">
      <c r="A73" s="31"/>
      <c r="B73" s="33"/>
      <c r="C73" s="34"/>
      <c r="D73" s="32"/>
      <c r="E73" s="28" t="str">
        <f t="shared" si="2"/>
        <v/>
      </c>
      <c r="F73" s="29"/>
      <c r="G73" s="29"/>
    </row>
    <row r="74" spans="1:7" ht="15" customHeight="1" x14ac:dyDescent="0.3">
      <c r="A74" s="31"/>
      <c r="B74" s="33"/>
      <c r="C74" s="34"/>
      <c r="D74" s="32"/>
      <c r="E74" s="28" t="str">
        <f t="shared" si="2"/>
        <v/>
      </c>
      <c r="F74" s="29"/>
      <c r="G74" s="29"/>
    </row>
    <row r="75" spans="1:7" ht="15" customHeight="1" x14ac:dyDescent="0.3">
      <c r="A75" s="31"/>
      <c r="B75" s="33"/>
      <c r="C75" s="34"/>
      <c r="D75" s="32"/>
      <c r="E75" s="28" t="str">
        <f t="shared" si="2"/>
        <v/>
      </c>
      <c r="F75" s="29"/>
      <c r="G75" s="29"/>
    </row>
    <row r="76" spans="1:7" ht="15" customHeight="1" x14ac:dyDescent="0.3">
      <c r="A76" s="31"/>
      <c r="B76" s="33"/>
      <c r="C76" s="34"/>
      <c r="D76" s="32"/>
      <c r="E76" s="28" t="str">
        <f t="shared" si="2"/>
        <v/>
      </c>
      <c r="F76" s="29"/>
      <c r="G76" s="29"/>
    </row>
    <row r="77" spans="1:7" ht="15" customHeight="1" x14ac:dyDescent="0.3">
      <c r="A77" s="31"/>
      <c r="B77" s="33"/>
      <c r="C77" s="34"/>
      <c r="D77" s="32"/>
      <c r="E77" s="28" t="str">
        <f t="shared" si="2"/>
        <v/>
      </c>
      <c r="F77" s="29"/>
      <c r="G77" s="29"/>
    </row>
    <row r="78" spans="1:7" ht="15" customHeight="1" x14ac:dyDescent="0.3">
      <c r="A78" s="31"/>
      <c r="B78" s="33"/>
      <c r="C78" s="34"/>
      <c r="D78" s="32"/>
      <c r="E78" s="28" t="str">
        <f t="shared" si="2"/>
        <v/>
      </c>
      <c r="F78" s="29"/>
      <c r="G78" s="29"/>
    </row>
    <row r="79" spans="1:7" ht="15" customHeight="1" x14ac:dyDescent="0.3">
      <c r="A79" s="31"/>
      <c r="B79" s="33"/>
      <c r="C79" s="34"/>
      <c r="D79" s="32"/>
      <c r="E79" s="28" t="str">
        <f t="shared" si="2"/>
        <v/>
      </c>
      <c r="F79" s="29"/>
      <c r="G79" s="29"/>
    </row>
    <row r="80" spans="1:7" ht="15" customHeight="1" x14ac:dyDescent="0.3">
      <c r="A80" s="31"/>
      <c r="B80" s="33"/>
      <c r="C80" s="34"/>
      <c r="D80" s="32"/>
      <c r="E80" s="28" t="str">
        <f t="shared" si="2"/>
        <v/>
      </c>
      <c r="F80" s="29"/>
      <c r="G80" s="29"/>
    </row>
    <row r="81" spans="1:7" ht="15" customHeight="1" x14ac:dyDescent="0.3">
      <c r="A81" s="31"/>
      <c r="B81" s="33"/>
      <c r="C81" s="34"/>
      <c r="D81" s="32"/>
      <c r="E81" s="28" t="str">
        <f t="shared" si="2"/>
        <v/>
      </c>
      <c r="F81" s="29"/>
      <c r="G81" s="29"/>
    </row>
    <row r="82" spans="1:7" ht="15" customHeight="1" x14ac:dyDescent="0.3">
      <c r="A82" s="31"/>
      <c r="B82" s="33"/>
      <c r="C82" s="34"/>
      <c r="D82" s="32"/>
      <c r="E82" s="28" t="str">
        <f t="shared" si="2"/>
        <v/>
      </c>
      <c r="F82" s="29"/>
      <c r="G82" s="29"/>
    </row>
    <row r="83" spans="1:7" ht="15" customHeight="1" x14ac:dyDescent="0.3">
      <c r="A83" s="31"/>
      <c r="B83" s="33"/>
      <c r="C83" s="34"/>
      <c r="D83" s="32"/>
      <c r="E83" s="28" t="str">
        <f t="shared" si="2"/>
        <v/>
      </c>
      <c r="F83" s="29"/>
      <c r="G83" s="29"/>
    </row>
    <row r="84" spans="1:7" ht="15" customHeight="1" x14ac:dyDescent="0.3">
      <c r="A84" s="31"/>
      <c r="B84" s="33"/>
      <c r="C84" s="34"/>
      <c r="D84" s="32"/>
      <c r="E84" s="28" t="str">
        <f t="shared" si="2"/>
        <v/>
      </c>
      <c r="F84" s="29"/>
      <c r="G84" s="29"/>
    </row>
    <row r="85" spans="1:7" ht="15" customHeight="1" x14ac:dyDescent="0.3">
      <c r="A85" s="31"/>
      <c r="B85" s="33"/>
      <c r="C85" s="34"/>
      <c r="D85" s="32"/>
      <c r="E85" s="28" t="str">
        <f t="shared" si="2"/>
        <v/>
      </c>
      <c r="F85" s="29"/>
      <c r="G85" s="29"/>
    </row>
    <row r="86" spans="1:7" ht="15" customHeight="1" x14ac:dyDescent="0.3">
      <c r="A86" s="31"/>
      <c r="B86" s="33"/>
      <c r="C86" s="34"/>
      <c r="D86" s="32"/>
      <c r="E86" s="28" t="str">
        <f t="shared" si="2"/>
        <v/>
      </c>
      <c r="F86" s="29"/>
      <c r="G86" s="29"/>
    </row>
    <row r="87" spans="1:7" ht="15" customHeight="1" x14ac:dyDescent="0.3">
      <c r="A87" s="31"/>
      <c r="B87" s="33"/>
      <c r="C87" s="34"/>
      <c r="D87" s="32"/>
      <c r="E87" s="28" t="str">
        <f t="shared" si="2"/>
        <v/>
      </c>
      <c r="F87" s="29"/>
      <c r="G87" s="29"/>
    </row>
    <row r="88" spans="1:7" ht="15" customHeight="1" x14ac:dyDescent="0.3">
      <c r="A88" s="31"/>
      <c r="B88" s="33"/>
      <c r="C88" s="34"/>
      <c r="D88" s="32"/>
      <c r="E88" s="28" t="str">
        <f t="shared" si="2"/>
        <v/>
      </c>
      <c r="F88" s="29"/>
      <c r="G88" s="29"/>
    </row>
    <row r="89" spans="1:7" ht="15" customHeight="1" x14ac:dyDescent="0.3">
      <c r="A89" s="31"/>
      <c r="B89" s="33"/>
      <c r="C89" s="34"/>
      <c r="D89" s="32"/>
      <c r="E89" s="28" t="str">
        <f t="shared" si="2"/>
        <v/>
      </c>
      <c r="F89" s="29"/>
      <c r="G89" s="29"/>
    </row>
    <row r="90" spans="1:7" ht="15" customHeight="1" x14ac:dyDescent="0.3">
      <c r="A90" s="31"/>
      <c r="B90" s="33"/>
      <c r="C90" s="34"/>
      <c r="D90" s="32"/>
      <c r="E90" s="28" t="str">
        <f t="shared" si="2"/>
        <v/>
      </c>
      <c r="F90" s="29"/>
      <c r="G90" s="29"/>
    </row>
    <row r="91" spans="1:7" ht="15" customHeight="1" x14ac:dyDescent="0.3">
      <c r="A91" s="31"/>
      <c r="B91" s="33"/>
      <c r="C91" s="34"/>
      <c r="D91" s="32"/>
      <c r="E91" s="28" t="str">
        <f t="shared" si="2"/>
        <v/>
      </c>
      <c r="F91" s="29"/>
      <c r="G91" s="29"/>
    </row>
    <row r="92" spans="1:7" ht="15" customHeight="1" x14ac:dyDescent="0.3">
      <c r="A92" s="31"/>
      <c r="B92" s="33"/>
      <c r="C92" s="34"/>
      <c r="D92" s="32"/>
      <c r="E92" s="28" t="str">
        <f t="shared" si="2"/>
        <v/>
      </c>
      <c r="F92" s="29"/>
      <c r="G92" s="29"/>
    </row>
    <row r="93" spans="1:7" ht="15" customHeight="1" x14ac:dyDescent="0.3">
      <c r="A93" s="31"/>
      <c r="B93" s="33"/>
      <c r="C93" s="34"/>
      <c r="D93" s="32"/>
      <c r="E93" s="28" t="str">
        <f t="shared" si="2"/>
        <v/>
      </c>
      <c r="F93" s="29"/>
      <c r="G93" s="29"/>
    </row>
    <row r="94" spans="1:7" ht="15" customHeight="1" x14ac:dyDescent="0.3">
      <c r="A94" s="31"/>
      <c r="B94" s="33"/>
      <c r="C94" s="34"/>
      <c r="D94" s="32"/>
      <c r="E94" s="28" t="str">
        <f t="shared" si="2"/>
        <v/>
      </c>
      <c r="F94" s="29"/>
      <c r="G94" s="29"/>
    </row>
    <row r="95" spans="1:7" ht="15" customHeight="1" x14ac:dyDescent="0.3">
      <c r="A95" s="31"/>
      <c r="B95" s="33"/>
      <c r="C95" s="34"/>
      <c r="D95" s="32"/>
      <c r="E95" s="28" t="str">
        <f t="shared" si="2"/>
        <v/>
      </c>
      <c r="F95" s="29"/>
      <c r="G95" s="29"/>
    </row>
    <row r="96" spans="1:7" ht="15" customHeight="1" x14ac:dyDescent="0.3">
      <c r="A96" s="31"/>
      <c r="B96" s="33"/>
      <c r="C96" s="34"/>
      <c r="D96" s="32"/>
      <c r="E96" s="28" t="str">
        <f t="shared" si="2"/>
        <v/>
      </c>
      <c r="F96" s="29"/>
      <c r="G96" s="29"/>
    </row>
    <row r="97" spans="1:7" ht="15" customHeight="1" x14ac:dyDescent="0.3">
      <c r="A97" s="31"/>
      <c r="B97" s="33"/>
      <c r="C97" s="34"/>
      <c r="D97" s="32"/>
      <c r="E97" s="28" t="str">
        <f t="shared" si="2"/>
        <v/>
      </c>
      <c r="F97" s="29"/>
      <c r="G97" s="29"/>
    </row>
    <row r="98" spans="1:7" ht="15" customHeight="1" x14ac:dyDescent="0.3">
      <c r="A98" s="31"/>
      <c r="B98" s="33"/>
      <c r="C98" s="34"/>
      <c r="D98" s="32"/>
      <c r="E98" s="28" t="str">
        <f t="shared" si="2"/>
        <v/>
      </c>
      <c r="F98" s="29"/>
      <c r="G98" s="29"/>
    </row>
    <row r="99" spans="1:7" ht="15" customHeight="1" x14ac:dyDescent="0.3">
      <c r="A99" s="31"/>
      <c r="B99" s="33"/>
      <c r="C99" s="34"/>
      <c r="D99" s="32"/>
      <c r="E99" s="28" t="str">
        <f t="shared" si="2"/>
        <v/>
      </c>
      <c r="F99" s="29"/>
      <c r="G99" s="29"/>
    </row>
    <row r="100" spans="1:7" ht="15" customHeight="1" x14ac:dyDescent="0.3">
      <c r="A100" s="31"/>
      <c r="B100" s="33"/>
      <c r="C100" s="34"/>
      <c r="D100" s="32"/>
      <c r="E100" s="28" t="str">
        <f t="shared" ref="E100:E131" si="3">IF(D100="","",C100*D100)</f>
        <v/>
      </c>
      <c r="F100" s="29"/>
      <c r="G100" s="29"/>
    </row>
    <row r="101" spans="1:7" ht="15" customHeight="1" x14ac:dyDescent="0.3">
      <c r="A101" s="31"/>
      <c r="B101" s="33"/>
      <c r="C101" s="34"/>
      <c r="D101" s="32"/>
      <c r="E101" s="28" t="str">
        <f t="shared" si="3"/>
        <v/>
      </c>
      <c r="F101" s="29"/>
      <c r="G101" s="29"/>
    </row>
    <row r="102" spans="1:7" ht="15" customHeight="1" x14ac:dyDescent="0.3">
      <c r="A102" s="31"/>
      <c r="B102" s="33"/>
      <c r="C102" s="34"/>
      <c r="D102" s="32"/>
      <c r="E102" s="28" t="str">
        <f t="shared" si="3"/>
        <v/>
      </c>
      <c r="F102" s="29"/>
      <c r="G102" s="29"/>
    </row>
    <row r="103" spans="1:7" ht="15" customHeight="1" x14ac:dyDescent="0.3">
      <c r="A103" s="31"/>
      <c r="B103" s="33"/>
      <c r="C103" s="34"/>
      <c r="D103" s="32"/>
      <c r="E103" s="28" t="str">
        <f t="shared" si="3"/>
        <v/>
      </c>
      <c r="F103" s="29"/>
      <c r="G103" s="29"/>
    </row>
    <row r="104" spans="1:7" ht="15" customHeight="1" x14ac:dyDescent="0.3">
      <c r="A104" s="31"/>
      <c r="B104" s="33"/>
      <c r="C104" s="34"/>
      <c r="D104" s="32"/>
      <c r="E104" s="28" t="str">
        <f t="shared" si="3"/>
        <v/>
      </c>
      <c r="F104" s="29"/>
      <c r="G104" s="29"/>
    </row>
    <row r="105" spans="1:7" ht="15" customHeight="1" x14ac:dyDescent="0.3">
      <c r="A105" s="31"/>
      <c r="B105" s="33"/>
      <c r="C105" s="34"/>
      <c r="D105" s="32"/>
      <c r="E105" s="28" t="str">
        <f t="shared" si="3"/>
        <v/>
      </c>
      <c r="F105" s="29"/>
      <c r="G105" s="29"/>
    </row>
    <row r="106" spans="1:7" ht="15" customHeight="1" x14ac:dyDescent="0.3">
      <c r="A106" s="31"/>
      <c r="B106" s="33"/>
      <c r="C106" s="34"/>
      <c r="D106" s="32"/>
      <c r="E106" s="28" t="str">
        <f t="shared" si="3"/>
        <v/>
      </c>
      <c r="F106" s="29"/>
      <c r="G106" s="29"/>
    </row>
    <row r="107" spans="1:7" ht="15" customHeight="1" x14ac:dyDescent="0.3">
      <c r="A107" s="31"/>
      <c r="B107" s="33"/>
      <c r="C107" s="34"/>
      <c r="D107" s="32"/>
      <c r="E107" s="28" t="str">
        <f t="shared" si="3"/>
        <v/>
      </c>
      <c r="F107" s="29"/>
      <c r="G107" s="29"/>
    </row>
    <row r="108" spans="1:7" ht="15" customHeight="1" x14ac:dyDescent="0.3">
      <c r="A108" s="31"/>
      <c r="B108" s="33"/>
      <c r="C108" s="34"/>
      <c r="D108" s="32"/>
      <c r="E108" s="28" t="str">
        <f t="shared" si="3"/>
        <v/>
      </c>
      <c r="F108" s="29"/>
      <c r="G108" s="29"/>
    </row>
    <row r="109" spans="1:7" ht="15" customHeight="1" x14ac:dyDescent="0.3">
      <c r="A109" s="31"/>
      <c r="B109" s="33"/>
      <c r="C109" s="34"/>
      <c r="D109" s="32"/>
      <c r="E109" s="28" t="str">
        <f t="shared" si="3"/>
        <v/>
      </c>
      <c r="F109" s="29"/>
      <c r="G109" s="29"/>
    </row>
    <row r="110" spans="1:7" ht="15" customHeight="1" x14ac:dyDescent="0.3">
      <c r="A110" s="31"/>
      <c r="B110" s="33"/>
      <c r="C110" s="34"/>
      <c r="D110" s="32"/>
      <c r="E110" s="28" t="str">
        <f t="shared" si="3"/>
        <v/>
      </c>
      <c r="F110" s="29"/>
      <c r="G110" s="29"/>
    </row>
    <row r="111" spans="1:7" ht="15" customHeight="1" x14ac:dyDescent="0.3">
      <c r="A111" s="31"/>
      <c r="B111" s="33"/>
      <c r="C111" s="34"/>
      <c r="D111" s="32"/>
      <c r="E111" s="28" t="str">
        <f t="shared" si="3"/>
        <v/>
      </c>
      <c r="F111" s="29"/>
      <c r="G111" s="29"/>
    </row>
    <row r="112" spans="1:7" ht="15" customHeight="1" x14ac:dyDescent="0.3">
      <c r="A112" s="31"/>
      <c r="B112" s="33"/>
      <c r="C112" s="34"/>
      <c r="D112" s="32"/>
      <c r="E112" s="28" t="str">
        <f t="shared" si="3"/>
        <v/>
      </c>
      <c r="F112" s="29"/>
      <c r="G112" s="29"/>
    </row>
    <row r="113" spans="1:7" ht="15" customHeight="1" x14ac:dyDescent="0.3">
      <c r="A113" s="31"/>
      <c r="B113" s="33"/>
      <c r="C113" s="34"/>
      <c r="D113" s="32"/>
      <c r="E113" s="28" t="str">
        <f t="shared" si="3"/>
        <v/>
      </c>
      <c r="F113" s="29"/>
      <c r="G113" s="29"/>
    </row>
    <row r="114" spans="1:7" ht="15" customHeight="1" x14ac:dyDescent="0.3">
      <c r="A114" s="31"/>
      <c r="B114" s="33"/>
      <c r="C114" s="34"/>
      <c r="D114" s="32"/>
      <c r="E114" s="28" t="str">
        <f t="shared" si="3"/>
        <v/>
      </c>
      <c r="F114" s="29"/>
      <c r="G114" s="29"/>
    </row>
    <row r="115" spans="1:7" ht="15" customHeight="1" x14ac:dyDescent="0.3">
      <c r="A115" s="31"/>
      <c r="B115" s="33"/>
      <c r="C115" s="34"/>
      <c r="D115" s="32"/>
      <c r="E115" s="28" t="str">
        <f t="shared" si="3"/>
        <v/>
      </c>
      <c r="F115" s="29"/>
      <c r="G115" s="29"/>
    </row>
    <row r="116" spans="1:7" ht="15" customHeight="1" x14ac:dyDescent="0.3">
      <c r="A116" s="31"/>
      <c r="B116" s="33"/>
      <c r="C116" s="34"/>
      <c r="D116" s="32"/>
      <c r="E116" s="28" t="str">
        <f t="shared" si="3"/>
        <v/>
      </c>
      <c r="F116" s="29"/>
      <c r="G116" s="29"/>
    </row>
    <row r="117" spans="1:7" ht="15" customHeight="1" x14ac:dyDescent="0.3">
      <c r="A117" s="31"/>
      <c r="B117" s="33"/>
      <c r="C117" s="34"/>
      <c r="D117" s="32"/>
      <c r="E117" s="28" t="str">
        <f t="shared" si="3"/>
        <v/>
      </c>
      <c r="F117" s="29"/>
      <c r="G117" s="29"/>
    </row>
    <row r="118" spans="1:7" ht="15" customHeight="1" x14ac:dyDescent="0.3">
      <c r="A118" s="31"/>
      <c r="B118" s="33"/>
      <c r="C118" s="34"/>
      <c r="D118" s="32"/>
      <c r="E118" s="28" t="str">
        <f t="shared" si="3"/>
        <v/>
      </c>
      <c r="F118" s="29"/>
      <c r="G118" s="29"/>
    </row>
    <row r="119" spans="1:7" ht="15" customHeight="1" x14ac:dyDescent="0.3">
      <c r="A119" s="31"/>
      <c r="B119" s="33"/>
      <c r="C119" s="34"/>
      <c r="D119" s="32"/>
      <c r="E119" s="28" t="str">
        <f t="shared" si="3"/>
        <v/>
      </c>
      <c r="F119" s="29"/>
      <c r="G119" s="29"/>
    </row>
    <row r="120" spans="1:7" ht="15" customHeight="1" x14ac:dyDescent="0.3">
      <c r="A120" s="31"/>
      <c r="B120" s="33"/>
      <c r="C120" s="34"/>
      <c r="D120" s="32"/>
      <c r="E120" s="28" t="str">
        <f t="shared" si="3"/>
        <v/>
      </c>
      <c r="F120" s="29"/>
      <c r="G120" s="29"/>
    </row>
    <row r="121" spans="1:7" ht="15" customHeight="1" x14ac:dyDescent="0.3">
      <c r="A121" s="31"/>
      <c r="B121" s="33"/>
      <c r="C121" s="34"/>
      <c r="D121" s="32"/>
      <c r="E121" s="28" t="str">
        <f t="shared" si="3"/>
        <v/>
      </c>
      <c r="F121" s="29"/>
      <c r="G121" s="29"/>
    </row>
    <row r="122" spans="1:7" ht="15" customHeight="1" x14ac:dyDescent="0.3">
      <c r="A122" s="31"/>
      <c r="B122" s="33"/>
      <c r="C122" s="34"/>
      <c r="D122" s="32"/>
      <c r="E122" s="28" t="str">
        <f t="shared" si="3"/>
        <v/>
      </c>
      <c r="F122" s="29"/>
      <c r="G122" s="29"/>
    </row>
    <row r="123" spans="1:7" ht="15" customHeight="1" x14ac:dyDescent="0.3">
      <c r="A123" s="31"/>
      <c r="B123" s="33"/>
      <c r="C123" s="34"/>
      <c r="D123" s="32"/>
      <c r="E123" s="28" t="str">
        <f t="shared" si="3"/>
        <v/>
      </c>
      <c r="F123" s="29"/>
      <c r="G123" s="29"/>
    </row>
    <row r="124" spans="1:7" ht="15" customHeight="1" x14ac:dyDescent="0.3">
      <c r="A124" s="31"/>
      <c r="B124" s="33"/>
      <c r="C124" s="34"/>
      <c r="D124" s="32"/>
      <c r="E124" s="28" t="str">
        <f t="shared" si="3"/>
        <v/>
      </c>
      <c r="F124" s="29"/>
      <c r="G124" s="29"/>
    </row>
    <row r="125" spans="1:7" ht="15" customHeight="1" x14ac:dyDescent="0.3">
      <c r="A125" s="31"/>
      <c r="B125" s="33"/>
      <c r="C125" s="34"/>
      <c r="D125" s="32"/>
      <c r="E125" s="28" t="str">
        <f t="shared" si="3"/>
        <v/>
      </c>
      <c r="F125" s="29"/>
      <c r="G125" s="29"/>
    </row>
    <row r="126" spans="1:7" ht="15" customHeight="1" x14ac:dyDescent="0.3">
      <c r="A126" s="31"/>
      <c r="B126" s="33"/>
      <c r="C126" s="34"/>
      <c r="D126" s="32"/>
      <c r="E126" s="28" t="str">
        <f t="shared" si="3"/>
        <v/>
      </c>
      <c r="F126" s="29"/>
      <c r="G126" s="29"/>
    </row>
    <row r="127" spans="1:7" ht="15" customHeight="1" x14ac:dyDescent="0.3">
      <c r="A127" s="31"/>
      <c r="B127" s="33"/>
      <c r="C127" s="34"/>
      <c r="D127" s="32"/>
      <c r="E127" s="28" t="str">
        <f t="shared" si="3"/>
        <v/>
      </c>
      <c r="F127" s="29"/>
      <c r="G127" s="29"/>
    </row>
    <row r="128" spans="1:7" ht="15" customHeight="1" x14ac:dyDescent="0.3">
      <c r="A128" s="31"/>
      <c r="B128" s="33"/>
      <c r="C128" s="34"/>
      <c r="D128" s="32"/>
      <c r="E128" s="28" t="str">
        <f t="shared" si="3"/>
        <v/>
      </c>
      <c r="F128" s="29"/>
      <c r="G128" s="29"/>
    </row>
    <row r="129" spans="1:7" ht="15" customHeight="1" x14ac:dyDescent="0.3">
      <c r="A129" s="31"/>
      <c r="B129" s="33"/>
      <c r="C129" s="34"/>
      <c r="D129" s="32"/>
      <c r="E129" s="28" t="str">
        <f t="shared" si="3"/>
        <v/>
      </c>
      <c r="F129" s="29"/>
      <c r="G129" s="29"/>
    </row>
    <row r="130" spans="1:7" ht="15" customHeight="1" x14ac:dyDescent="0.3">
      <c r="A130" s="31"/>
      <c r="B130" s="33"/>
      <c r="C130" s="34"/>
      <c r="D130" s="32"/>
      <c r="E130" s="28" t="str">
        <f t="shared" si="3"/>
        <v/>
      </c>
      <c r="F130" s="29"/>
      <c r="G130" s="29"/>
    </row>
    <row r="131" spans="1:7" ht="15" customHeight="1" x14ac:dyDescent="0.3">
      <c r="A131" s="31"/>
      <c r="B131" s="33"/>
      <c r="C131" s="34"/>
      <c r="D131" s="32"/>
      <c r="E131" s="28" t="str">
        <f t="shared" si="3"/>
        <v/>
      </c>
      <c r="F131" s="29"/>
      <c r="G131" s="29"/>
    </row>
    <row r="132" spans="1:7" ht="15" customHeight="1" x14ac:dyDescent="0.3">
      <c r="A132" s="31"/>
      <c r="B132" s="33"/>
      <c r="C132" s="34"/>
      <c r="D132" s="32"/>
      <c r="E132" s="28" t="str">
        <f t="shared" ref="E132:E163" si="4">IF(D132="","",C132*D132)</f>
        <v/>
      </c>
      <c r="F132" s="29"/>
      <c r="G132" s="29"/>
    </row>
    <row r="133" spans="1:7" ht="15" customHeight="1" x14ac:dyDescent="0.3">
      <c r="A133" s="31"/>
      <c r="B133" s="33"/>
      <c r="C133" s="34"/>
      <c r="D133" s="32"/>
      <c r="E133" s="28" t="str">
        <f t="shared" si="4"/>
        <v/>
      </c>
      <c r="F133" s="29"/>
      <c r="G133" s="29"/>
    </row>
    <row r="134" spans="1:7" ht="15" customHeight="1" x14ac:dyDescent="0.3">
      <c r="A134" s="31"/>
      <c r="B134" s="33"/>
      <c r="C134" s="34"/>
      <c r="D134" s="32"/>
      <c r="E134" s="28" t="str">
        <f t="shared" si="4"/>
        <v/>
      </c>
      <c r="F134" s="29"/>
      <c r="G134" s="29"/>
    </row>
    <row r="135" spans="1:7" ht="15" customHeight="1" x14ac:dyDescent="0.3">
      <c r="A135" s="31"/>
      <c r="B135" s="33"/>
      <c r="C135" s="34"/>
      <c r="D135" s="32"/>
      <c r="E135" s="28" t="str">
        <f t="shared" si="4"/>
        <v/>
      </c>
      <c r="F135" s="29"/>
      <c r="G135" s="29"/>
    </row>
    <row r="136" spans="1:7" ht="15" customHeight="1" x14ac:dyDescent="0.3">
      <c r="A136" s="31"/>
      <c r="B136" s="33"/>
      <c r="C136" s="34"/>
      <c r="D136" s="32"/>
      <c r="E136" s="28" t="str">
        <f t="shared" si="4"/>
        <v/>
      </c>
      <c r="F136" s="29"/>
      <c r="G136" s="29"/>
    </row>
    <row r="137" spans="1:7" ht="15" customHeight="1" x14ac:dyDescent="0.3">
      <c r="A137" s="31"/>
      <c r="B137" s="33"/>
      <c r="C137" s="34"/>
      <c r="D137" s="32"/>
      <c r="E137" s="28" t="str">
        <f t="shared" si="4"/>
        <v/>
      </c>
      <c r="F137" s="29"/>
      <c r="G137" s="29"/>
    </row>
    <row r="138" spans="1:7" ht="15" customHeight="1" x14ac:dyDescent="0.3">
      <c r="A138" s="31"/>
      <c r="B138" s="33"/>
      <c r="C138" s="34"/>
      <c r="D138" s="32"/>
      <c r="E138" s="28" t="str">
        <f t="shared" si="4"/>
        <v/>
      </c>
      <c r="F138" s="29"/>
      <c r="G138" s="29"/>
    </row>
    <row r="139" spans="1:7" ht="15" customHeight="1" x14ac:dyDescent="0.3">
      <c r="A139" s="31"/>
      <c r="B139" s="33"/>
      <c r="C139" s="34"/>
      <c r="D139" s="32"/>
      <c r="E139" s="28" t="str">
        <f t="shared" si="4"/>
        <v/>
      </c>
      <c r="F139" s="29"/>
      <c r="G139" s="29"/>
    </row>
    <row r="140" spans="1:7" ht="15" customHeight="1" x14ac:dyDescent="0.3">
      <c r="A140" s="31"/>
      <c r="B140" s="33"/>
      <c r="C140" s="34"/>
      <c r="D140" s="32"/>
      <c r="E140" s="28" t="str">
        <f t="shared" si="4"/>
        <v/>
      </c>
      <c r="F140" s="29"/>
      <c r="G140" s="29"/>
    </row>
    <row r="141" spans="1:7" ht="15" customHeight="1" x14ac:dyDescent="0.3">
      <c r="A141" s="31"/>
      <c r="B141" s="33"/>
      <c r="C141" s="34"/>
      <c r="D141" s="32"/>
      <c r="E141" s="28" t="str">
        <f t="shared" si="4"/>
        <v/>
      </c>
      <c r="F141" s="29"/>
      <c r="G141" s="29"/>
    </row>
    <row r="142" spans="1:7" ht="15" customHeight="1" x14ac:dyDescent="0.3">
      <c r="A142" s="31"/>
      <c r="B142" s="33"/>
      <c r="C142" s="34"/>
      <c r="D142" s="32"/>
      <c r="E142" s="28" t="str">
        <f t="shared" si="4"/>
        <v/>
      </c>
      <c r="F142" s="29"/>
      <c r="G142" s="29"/>
    </row>
    <row r="143" spans="1:7" ht="15" customHeight="1" x14ac:dyDescent="0.3">
      <c r="A143" s="31"/>
      <c r="B143" s="33"/>
      <c r="C143" s="34"/>
      <c r="D143" s="32"/>
      <c r="E143" s="28" t="str">
        <f t="shared" si="4"/>
        <v/>
      </c>
      <c r="F143" s="29"/>
      <c r="G143" s="29"/>
    </row>
    <row r="144" spans="1:7" ht="15" customHeight="1" x14ac:dyDescent="0.3">
      <c r="A144" s="31"/>
      <c r="B144" s="33"/>
      <c r="C144" s="34"/>
      <c r="D144" s="32"/>
      <c r="E144" s="28" t="str">
        <f t="shared" si="4"/>
        <v/>
      </c>
      <c r="F144" s="29"/>
      <c r="G144" s="29"/>
    </row>
    <row r="145" spans="1:7" ht="15" customHeight="1" x14ac:dyDescent="0.3">
      <c r="A145" s="31"/>
      <c r="B145" s="33"/>
      <c r="C145" s="34"/>
      <c r="D145" s="32"/>
      <c r="E145" s="28" t="str">
        <f t="shared" si="4"/>
        <v/>
      </c>
      <c r="F145" s="29"/>
      <c r="G145" s="29"/>
    </row>
    <row r="146" spans="1:7" ht="15" customHeight="1" x14ac:dyDescent="0.3">
      <c r="A146" s="31"/>
      <c r="B146" s="33"/>
      <c r="C146" s="34"/>
      <c r="D146" s="32"/>
      <c r="E146" s="28" t="str">
        <f t="shared" si="4"/>
        <v/>
      </c>
      <c r="F146" s="29"/>
      <c r="G146" s="29"/>
    </row>
    <row r="147" spans="1:7" ht="15" customHeight="1" x14ac:dyDescent="0.3">
      <c r="A147" s="31"/>
      <c r="B147" s="33"/>
      <c r="C147" s="34"/>
      <c r="D147" s="32"/>
      <c r="E147" s="28" t="str">
        <f t="shared" si="4"/>
        <v/>
      </c>
      <c r="F147" s="29"/>
      <c r="G147" s="29"/>
    </row>
    <row r="148" spans="1:7" ht="15" customHeight="1" x14ac:dyDescent="0.3">
      <c r="A148" s="31"/>
      <c r="B148" s="33"/>
      <c r="C148" s="34"/>
      <c r="D148" s="32"/>
      <c r="E148" s="28" t="str">
        <f t="shared" si="4"/>
        <v/>
      </c>
      <c r="F148" s="29"/>
      <c r="G148" s="29"/>
    </row>
    <row r="149" spans="1:7" ht="15" customHeight="1" x14ac:dyDescent="0.3">
      <c r="A149" s="31"/>
      <c r="B149" s="33"/>
      <c r="C149" s="34"/>
      <c r="D149" s="32"/>
      <c r="E149" s="28" t="str">
        <f t="shared" si="4"/>
        <v/>
      </c>
      <c r="F149" s="29"/>
      <c r="G149" s="29"/>
    </row>
    <row r="150" spans="1:7" ht="15" customHeight="1" x14ac:dyDescent="0.3">
      <c r="A150" s="31"/>
      <c r="B150" s="33"/>
      <c r="C150" s="34"/>
      <c r="D150" s="32"/>
      <c r="E150" s="28" t="str">
        <f t="shared" si="4"/>
        <v/>
      </c>
      <c r="F150" s="29"/>
      <c r="G150" s="29"/>
    </row>
    <row r="151" spans="1:7" ht="15" customHeight="1" x14ac:dyDescent="0.3">
      <c r="A151" s="31"/>
      <c r="B151" s="33"/>
      <c r="C151" s="34"/>
      <c r="D151" s="32"/>
      <c r="E151" s="28" t="str">
        <f t="shared" si="4"/>
        <v/>
      </c>
      <c r="F151" s="29"/>
      <c r="G151" s="29"/>
    </row>
    <row r="152" spans="1:7" ht="15" customHeight="1" x14ac:dyDescent="0.3">
      <c r="A152" s="31"/>
      <c r="B152" s="33"/>
      <c r="C152" s="34"/>
      <c r="D152" s="32"/>
      <c r="E152" s="28" t="str">
        <f t="shared" si="4"/>
        <v/>
      </c>
      <c r="F152" s="29"/>
      <c r="G152" s="29"/>
    </row>
    <row r="153" spans="1:7" ht="15" customHeight="1" x14ac:dyDescent="0.3">
      <c r="A153" s="31"/>
      <c r="B153" s="33"/>
      <c r="C153" s="34"/>
      <c r="D153" s="32"/>
      <c r="E153" s="28" t="str">
        <f t="shared" si="4"/>
        <v/>
      </c>
      <c r="F153" s="29"/>
      <c r="G153" s="29"/>
    </row>
    <row r="154" spans="1:7" ht="15" customHeight="1" x14ac:dyDescent="0.3">
      <c r="A154" s="31"/>
      <c r="B154" s="33"/>
      <c r="C154" s="34"/>
      <c r="D154" s="32"/>
      <c r="E154" s="28" t="str">
        <f t="shared" si="4"/>
        <v/>
      </c>
      <c r="F154" s="29"/>
      <c r="G154" s="29"/>
    </row>
    <row r="155" spans="1:7" ht="15" customHeight="1" x14ac:dyDescent="0.3">
      <c r="A155" s="31"/>
      <c r="B155" s="33"/>
      <c r="C155" s="34"/>
      <c r="D155" s="32"/>
      <c r="E155" s="28" t="str">
        <f t="shared" si="4"/>
        <v/>
      </c>
      <c r="F155" s="29"/>
      <c r="G155" s="29"/>
    </row>
    <row r="156" spans="1:7" ht="15" customHeight="1" x14ac:dyDescent="0.3">
      <c r="A156" s="31"/>
      <c r="B156" s="33"/>
      <c r="C156" s="34"/>
      <c r="D156" s="32"/>
      <c r="E156" s="28" t="str">
        <f t="shared" si="4"/>
        <v/>
      </c>
      <c r="F156" s="29"/>
      <c r="G156" s="29"/>
    </row>
    <row r="157" spans="1:7" ht="15" customHeight="1" x14ac:dyDescent="0.3">
      <c r="A157" s="31"/>
      <c r="B157" s="33"/>
      <c r="C157" s="34"/>
      <c r="D157" s="32"/>
      <c r="E157" s="28" t="str">
        <f t="shared" si="4"/>
        <v/>
      </c>
      <c r="F157" s="29"/>
      <c r="G157" s="29"/>
    </row>
    <row r="158" spans="1:7" ht="15" customHeight="1" x14ac:dyDescent="0.3">
      <c r="A158" s="31"/>
      <c r="B158" s="33"/>
      <c r="C158" s="34"/>
      <c r="D158" s="32"/>
      <c r="E158" s="28" t="str">
        <f t="shared" si="4"/>
        <v/>
      </c>
      <c r="F158" s="29"/>
      <c r="G158" s="29"/>
    </row>
    <row r="159" spans="1:7" ht="15" customHeight="1" x14ac:dyDescent="0.3">
      <c r="A159" s="31"/>
      <c r="B159" s="33"/>
      <c r="C159" s="34"/>
      <c r="D159" s="32"/>
      <c r="E159" s="28" t="str">
        <f t="shared" si="4"/>
        <v/>
      </c>
      <c r="F159" s="29"/>
      <c r="G159" s="29"/>
    </row>
    <row r="160" spans="1:7" ht="15" customHeight="1" x14ac:dyDescent="0.3">
      <c r="A160" s="31"/>
      <c r="B160" s="33"/>
      <c r="C160" s="34"/>
      <c r="D160" s="32"/>
      <c r="E160" s="28" t="str">
        <f t="shared" si="4"/>
        <v/>
      </c>
      <c r="F160" s="29"/>
      <c r="G160" s="29"/>
    </row>
    <row r="161" spans="1:7" ht="15" customHeight="1" x14ac:dyDescent="0.3">
      <c r="A161" s="31"/>
      <c r="B161" s="33"/>
      <c r="C161" s="34"/>
      <c r="D161" s="32"/>
      <c r="E161" s="28" t="str">
        <f t="shared" si="4"/>
        <v/>
      </c>
      <c r="F161" s="29"/>
      <c r="G161" s="29"/>
    </row>
    <row r="162" spans="1:7" ht="15" customHeight="1" x14ac:dyDescent="0.3">
      <c r="A162" s="31"/>
      <c r="B162" s="33"/>
      <c r="C162" s="34"/>
      <c r="D162" s="32"/>
      <c r="E162" s="28" t="str">
        <f t="shared" si="4"/>
        <v/>
      </c>
      <c r="F162" s="29"/>
      <c r="G162" s="29"/>
    </row>
    <row r="163" spans="1:7" ht="15" customHeight="1" x14ac:dyDescent="0.3">
      <c r="A163" s="31"/>
      <c r="B163" s="33"/>
      <c r="C163" s="34"/>
      <c r="D163" s="32"/>
      <c r="E163" s="28" t="str">
        <f t="shared" si="4"/>
        <v/>
      </c>
      <c r="F163" s="29"/>
      <c r="G163" s="29"/>
    </row>
    <row r="164" spans="1:7" ht="15" customHeight="1" x14ac:dyDescent="0.3">
      <c r="A164" s="31"/>
      <c r="B164" s="33"/>
      <c r="C164" s="34"/>
      <c r="D164" s="32"/>
      <c r="E164" s="28" t="str">
        <f t="shared" ref="E164:E195" si="5">IF(D164="","",C164*D164)</f>
        <v/>
      </c>
      <c r="F164" s="29"/>
      <c r="G164" s="29"/>
    </row>
    <row r="165" spans="1:7" ht="15" customHeight="1" x14ac:dyDescent="0.3">
      <c r="A165" s="31"/>
      <c r="B165" s="33"/>
      <c r="C165" s="34"/>
      <c r="D165" s="32"/>
      <c r="E165" s="28" t="str">
        <f t="shared" si="5"/>
        <v/>
      </c>
      <c r="F165" s="29"/>
      <c r="G165" s="29"/>
    </row>
    <row r="166" spans="1:7" ht="15" customHeight="1" x14ac:dyDescent="0.3">
      <c r="A166" s="31"/>
      <c r="B166" s="33"/>
      <c r="C166" s="34"/>
      <c r="D166" s="32"/>
      <c r="E166" s="28" t="str">
        <f t="shared" si="5"/>
        <v/>
      </c>
      <c r="F166" s="29"/>
      <c r="G166" s="29"/>
    </row>
    <row r="167" spans="1:7" ht="15" customHeight="1" x14ac:dyDescent="0.3">
      <c r="A167" s="31"/>
      <c r="B167" s="33"/>
      <c r="C167" s="34"/>
      <c r="D167" s="32"/>
      <c r="E167" s="28" t="str">
        <f t="shared" si="5"/>
        <v/>
      </c>
      <c r="F167" s="29"/>
      <c r="G167" s="29"/>
    </row>
    <row r="168" spans="1:7" ht="15" customHeight="1" x14ac:dyDescent="0.3">
      <c r="A168" s="31"/>
      <c r="B168" s="33"/>
      <c r="C168" s="34"/>
      <c r="D168" s="32"/>
      <c r="E168" s="28" t="str">
        <f t="shared" si="5"/>
        <v/>
      </c>
      <c r="F168" s="29"/>
      <c r="G168" s="29"/>
    </row>
    <row r="169" spans="1:7" ht="15" customHeight="1" x14ac:dyDescent="0.3">
      <c r="A169" s="31"/>
      <c r="B169" s="33"/>
      <c r="C169" s="34"/>
      <c r="D169" s="32"/>
      <c r="E169" s="28" t="str">
        <f t="shared" si="5"/>
        <v/>
      </c>
      <c r="F169" s="29"/>
      <c r="G169" s="29"/>
    </row>
    <row r="170" spans="1:7" ht="15" customHeight="1" x14ac:dyDescent="0.3">
      <c r="A170" s="31"/>
      <c r="B170" s="33"/>
      <c r="C170" s="34"/>
      <c r="D170" s="32"/>
      <c r="E170" s="28" t="str">
        <f t="shared" si="5"/>
        <v/>
      </c>
      <c r="F170" s="29"/>
      <c r="G170" s="29"/>
    </row>
    <row r="171" spans="1:7" ht="15" customHeight="1" x14ac:dyDescent="0.3">
      <c r="A171" s="31"/>
      <c r="B171" s="33"/>
      <c r="C171" s="34"/>
      <c r="D171" s="32"/>
      <c r="E171" s="28" t="str">
        <f t="shared" si="5"/>
        <v/>
      </c>
      <c r="F171" s="29"/>
      <c r="G171" s="29"/>
    </row>
    <row r="172" spans="1:7" ht="15" customHeight="1" x14ac:dyDescent="0.3">
      <c r="A172" s="31"/>
      <c r="B172" s="33"/>
      <c r="C172" s="34"/>
      <c r="D172" s="32"/>
      <c r="E172" s="28" t="str">
        <f t="shared" si="5"/>
        <v/>
      </c>
      <c r="F172" s="29"/>
      <c r="G172" s="29"/>
    </row>
    <row r="173" spans="1:7" ht="15" customHeight="1" x14ac:dyDescent="0.3">
      <c r="A173" s="31"/>
      <c r="B173" s="33"/>
      <c r="C173" s="34"/>
      <c r="D173" s="32"/>
      <c r="E173" s="28" t="str">
        <f t="shared" si="5"/>
        <v/>
      </c>
      <c r="F173" s="29"/>
      <c r="G173" s="29"/>
    </row>
    <row r="174" spans="1:7" ht="15" customHeight="1" x14ac:dyDescent="0.3">
      <c r="A174" s="31"/>
      <c r="B174" s="33"/>
      <c r="C174" s="34"/>
      <c r="D174" s="32"/>
      <c r="E174" s="28" t="str">
        <f t="shared" si="5"/>
        <v/>
      </c>
      <c r="F174" s="29"/>
      <c r="G174" s="29"/>
    </row>
    <row r="175" spans="1:7" ht="15" customHeight="1" x14ac:dyDescent="0.3">
      <c r="A175" s="31"/>
      <c r="B175" s="33"/>
      <c r="C175" s="34"/>
      <c r="D175" s="32"/>
      <c r="E175" s="28" t="str">
        <f t="shared" si="5"/>
        <v/>
      </c>
      <c r="F175" s="29"/>
      <c r="G175" s="29"/>
    </row>
    <row r="176" spans="1:7" ht="15" customHeight="1" x14ac:dyDescent="0.3">
      <c r="A176" s="31"/>
      <c r="B176" s="33"/>
      <c r="C176" s="34"/>
      <c r="D176" s="32"/>
      <c r="E176" s="28" t="str">
        <f t="shared" si="5"/>
        <v/>
      </c>
      <c r="F176" s="29"/>
      <c r="G176" s="29"/>
    </row>
    <row r="177" spans="1:7" ht="15" customHeight="1" x14ac:dyDescent="0.3">
      <c r="A177" s="31"/>
      <c r="B177" s="33"/>
      <c r="C177" s="34"/>
      <c r="D177" s="32"/>
      <c r="E177" s="28" t="str">
        <f t="shared" si="5"/>
        <v/>
      </c>
      <c r="F177" s="29"/>
      <c r="G177" s="29"/>
    </row>
    <row r="178" spans="1:7" ht="15" customHeight="1" x14ac:dyDescent="0.3">
      <c r="A178" s="31"/>
      <c r="B178" s="33"/>
      <c r="C178" s="34"/>
      <c r="D178" s="32"/>
      <c r="E178" s="28" t="str">
        <f t="shared" si="5"/>
        <v/>
      </c>
      <c r="F178" s="29"/>
      <c r="G178" s="29"/>
    </row>
    <row r="179" spans="1:7" ht="15" customHeight="1" x14ac:dyDescent="0.3">
      <c r="A179" s="31"/>
      <c r="B179" s="33"/>
      <c r="C179" s="34"/>
      <c r="D179" s="32"/>
      <c r="E179" s="28" t="str">
        <f t="shared" si="5"/>
        <v/>
      </c>
      <c r="F179" s="29"/>
      <c r="G179" s="29"/>
    </row>
    <row r="180" spans="1:7" ht="15" customHeight="1" x14ac:dyDescent="0.3">
      <c r="A180" s="31"/>
      <c r="B180" s="33"/>
      <c r="C180" s="34"/>
      <c r="D180" s="32"/>
      <c r="E180" s="28" t="str">
        <f t="shared" si="5"/>
        <v/>
      </c>
      <c r="F180" s="29"/>
      <c r="G180" s="29"/>
    </row>
    <row r="181" spans="1:7" ht="15" customHeight="1" x14ac:dyDescent="0.3">
      <c r="A181" s="31"/>
      <c r="B181" s="33"/>
      <c r="C181" s="34"/>
      <c r="D181" s="32"/>
      <c r="E181" s="28" t="str">
        <f t="shared" si="5"/>
        <v/>
      </c>
      <c r="F181" s="29"/>
      <c r="G181" s="29"/>
    </row>
    <row r="182" spans="1:7" ht="15" customHeight="1" x14ac:dyDescent="0.3">
      <c r="A182" s="31"/>
      <c r="B182" s="33"/>
      <c r="C182" s="34"/>
      <c r="D182" s="32"/>
      <c r="E182" s="28" t="str">
        <f t="shared" si="5"/>
        <v/>
      </c>
      <c r="F182" s="29"/>
      <c r="G182" s="29"/>
    </row>
    <row r="183" spans="1:7" ht="15" customHeight="1" x14ac:dyDescent="0.3">
      <c r="A183" s="31"/>
      <c r="B183" s="33"/>
      <c r="C183" s="34"/>
      <c r="D183" s="32"/>
      <c r="E183" s="28" t="str">
        <f t="shared" si="5"/>
        <v/>
      </c>
      <c r="F183" s="29"/>
      <c r="G183" s="29"/>
    </row>
    <row r="184" spans="1:7" ht="15" customHeight="1" x14ac:dyDescent="0.3">
      <c r="A184" s="31"/>
      <c r="B184" s="33"/>
      <c r="C184" s="34"/>
      <c r="D184" s="32"/>
      <c r="E184" s="28" t="str">
        <f t="shared" si="5"/>
        <v/>
      </c>
      <c r="F184" s="29"/>
      <c r="G184" s="29"/>
    </row>
    <row r="185" spans="1:7" ht="15" customHeight="1" x14ac:dyDescent="0.3">
      <c r="A185" s="31"/>
      <c r="B185" s="33"/>
      <c r="C185" s="34"/>
      <c r="D185" s="32"/>
      <c r="E185" s="28" t="str">
        <f t="shared" si="5"/>
        <v/>
      </c>
      <c r="F185" s="29"/>
      <c r="G185" s="29"/>
    </row>
    <row r="186" spans="1:7" ht="15" customHeight="1" x14ac:dyDescent="0.3">
      <c r="A186" s="31"/>
      <c r="B186" s="33"/>
      <c r="C186" s="34"/>
      <c r="D186" s="32"/>
      <c r="E186" s="28" t="str">
        <f t="shared" si="5"/>
        <v/>
      </c>
      <c r="F186" s="29"/>
      <c r="G186" s="29"/>
    </row>
    <row r="187" spans="1:7" ht="15" customHeight="1" x14ac:dyDescent="0.3">
      <c r="A187" s="31"/>
      <c r="B187" s="33"/>
      <c r="C187" s="34"/>
      <c r="D187" s="32"/>
      <c r="E187" s="28" t="str">
        <f t="shared" si="5"/>
        <v/>
      </c>
      <c r="F187" s="29"/>
      <c r="G187" s="29"/>
    </row>
    <row r="188" spans="1:7" ht="15" customHeight="1" x14ac:dyDescent="0.3">
      <c r="A188" s="31"/>
      <c r="B188" s="33"/>
      <c r="C188" s="34"/>
      <c r="D188" s="32"/>
      <c r="E188" s="28" t="str">
        <f t="shared" si="5"/>
        <v/>
      </c>
      <c r="F188" s="29"/>
      <c r="G188" s="29"/>
    </row>
    <row r="189" spans="1:7" ht="15" customHeight="1" x14ac:dyDescent="0.3">
      <c r="A189" s="31"/>
      <c r="B189" s="33"/>
      <c r="C189" s="34"/>
      <c r="D189" s="32"/>
      <c r="E189" s="28" t="str">
        <f t="shared" si="5"/>
        <v/>
      </c>
      <c r="F189" s="29"/>
      <c r="G189" s="29"/>
    </row>
    <row r="190" spans="1:7" ht="15" customHeight="1" x14ac:dyDescent="0.3">
      <c r="A190" s="31"/>
      <c r="B190" s="33"/>
      <c r="C190" s="34"/>
      <c r="D190" s="32"/>
      <c r="E190" s="28" t="str">
        <f t="shared" si="5"/>
        <v/>
      </c>
      <c r="F190" s="29"/>
      <c r="G190" s="29"/>
    </row>
    <row r="191" spans="1:7" ht="15" customHeight="1" x14ac:dyDescent="0.3">
      <c r="A191" s="31"/>
      <c r="B191" s="33"/>
      <c r="C191" s="34"/>
      <c r="D191" s="32"/>
      <c r="E191" s="28" t="str">
        <f t="shared" si="5"/>
        <v/>
      </c>
      <c r="F191" s="29"/>
      <c r="G191" s="29"/>
    </row>
    <row r="192" spans="1:7" ht="15" customHeight="1" x14ac:dyDescent="0.3">
      <c r="A192" s="31"/>
      <c r="B192" s="33"/>
      <c r="C192" s="34"/>
      <c r="D192" s="32"/>
      <c r="E192" s="28" t="str">
        <f t="shared" si="5"/>
        <v/>
      </c>
      <c r="F192" s="29"/>
      <c r="G192" s="29"/>
    </row>
    <row r="193" spans="1:7" ht="15" customHeight="1" x14ac:dyDescent="0.3">
      <c r="A193" s="31"/>
      <c r="B193" s="33"/>
      <c r="C193" s="34"/>
      <c r="D193" s="32"/>
      <c r="E193" s="28" t="str">
        <f t="shared" si="5"/>
        <v/>
      </c>
      <c r="F193" s="29"/>
      <c r="G193" s="29"/>
    </row>
    <row r="194" spans="1:7" ht="15" customHeight="1" x14ac:dyDescent="0.3">
      <c r="A194" s="31"/>
      <c r="B194" s="33"/>
      <c r="C194" s="34"/>
      <c r="D194" s="32"/>
      <c r="E194" s="28" t="str">
        <f t="shared" si="5"/>
        <v/>
      </c>
      <c r="F194" s="29"/>
      <c r="G194" s="29"/>
    </row>
    <row r="195" spans="1:7" ht="15" customHeight="1" x14ac:dyDescent="0.3">
      <c r="A195" s="31"/>
      <c r="B195" s="33"/>
      <c r="C195" s="34"/>
      <c r="D195" s="32"/>
      <c r="E195" s="28" t="str">
        <f t="shared" si="5"/>
        <v/>
      </c>
      <c r="F195" s="29"/>
      <c r="G195" s="29"/>
    </row>
    <row r="196" spans="1:7" ht="15" customHeight="1" x14ac:dyDescent="0.3">
      <c r="A196" s="31"/>
      <c r="B196" s="33"/>
      <c r="C196" s="34"/>
      <c r="D196" s="32"/>
      <c r="E196" s="28" t="str">
        <f t="shared" ref="E196:E227" si="6">IF(D196="","",C196*D196)</f>
        <v/>
      </c>
      <c r="F196" s="29"/>
      <c r="G196" s="29"/>
    </row>
    <row r="197" spans="1:7" ht="15" customHeight="1" x14ac:dyDescent="0.3">
      <c r="A197" s="31"/>
      <c r="B197" s="33"/>
      <c r="C197" s="34"/>
      <c r="D197" s="32"/>
      <c r="E197" s="28" t="str">
        <f t="shared" si="6"/>
        <v/>
      </c>
      <c r="F197" s="29"/>
      <c r="G197" s="29"/>
    </row>
    <row r="198" spans="1:7" ht="15" customHeight="1" x14ac:dyDescent="0.3">
      <c r="A198" s="31"/>
      <c r="B198" s="33"/>
      <c r="C198" s="34"/>
      <c r="D198" s="32"/>
      <c r="E198" s="28" t="str">
        <f t="shared" si="6"/>
        <v/>
      </c>
      <c r="F198" s="29"/>
      <c r="G198" s="29"/>
    </row>
    <row r="199" spans="1:7" ht="15" customHeight="1" x14ac:dyDescent="0.3">
      <c r="A199" s="31"/>
      <c r="B199" s="33"/>
      <c r="C199" s="34"/>
      <c r="D199" s="32"/>
      <c r="E199" s="28" t="str">
        <f t="shared" si="6"/>
        <v/>
      </c>
      <c r="F199" s="29"/>
      <c r="G199" s="29"/>
    </row>
    <row r="200" spans="1:7" ht="15" customHeight="1" x14ac:dyDescent="0.3">
      <c r="A200" s="31"/>
      <c r="B200" s="33"/>
      <c r="C200" s="34"/>
      <c r="D200" s="32"/>
      <c r="E200" s="28" t="str">
        <f t="shared" si="6"/>
        <v/>
      </c>
      <c r="F200" s="29"/>
      <c r="G200" s="29"/>
    </row>
    <row r="201" spans="1:7" ht="15" customHeight="1" x14ac:dyDescent="0.3">
      <c r="A201" s="31"/>
      <c r="B201" s="33"/>
      <c r="C201" s="34"/>
      <c r="D201" s="32"/>
      <c r="E201" s="28" t="str">
        <f t="shared" si="6"/>
        <v/>
      </c>
      <c r="F201" s="29"/>
      <c r="G201" s="29"/>
    </row>
    <row r="202" spans="1:7" ht="15" customHeight="1" x14ac:dyDescent="0.3">
      <c r="A202" s="31"/>
      <c r="B202" s="33"/>
      <c r="C202" s="34"/>
      <c r="D202" s="32"/>
      <c r="E202" s="28" t="str">
        <f t="shared" si="6"/>
        <v/>
      </c>
      <c r="F202" s="29"/>
      <c r="G202" s="29"/>
    </row>
    <row r="203" spans="1:7" ht="15" customHeight="1" x14ac:dyDescent="0.3">
      <c r="A203" s="31"/>
      <c r="B203" s="33"/>
      <c r="C203" s="34"/>
      <c r="D203" s="32"/>
      <c r="E203" s="28" t="str">
        <f t="shared" si="6"/>
        <v/>
      </c>
      <c r="F203" s="29"/>
      <c r="G203" s="29"/>
    </row>
  </sheetData>
  <mergeCells count="2">
    <mergeCell ref="A1:G1"/>
    <mergeCell ref="A2:G2"/>
  </mergeCells>
  <dataValidations count="1">
    <dataValidation type="list" allowBlank="1" sqref="B4:B203" xr:uid="{00000000-0002-0000-0200-000000000000}">
      <formula1>"Silagem de Capim,Farelo de Soja,Milho Moído,Ureia,Núcleo Flex (Minerthal)"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showGridLines="0" tabSelected="1" zoomScaleNormal="100" workbookViewId="0">
      <selection activeCell="F17" sqref="F17"/>
    </sheetView>
  </sheetViews>
  <sheetFormatPr defaultColWidth="8.6640625" defaultRowHeight="14.4" x14ac:dyDescent="0.3"/>
  <cols>
    <col min="1" max="1" width="2" customWidth="1"/>
    <col min="2" max="2" width="26" customWidth="1"/>
    <col min="3" max="3" width="18" customWidth="1"/>
    <col min="4" max="4" width="13" customWidth="1"/>
    <col min="5" max="5" width="15" customWidth="1"/>
    <col min="6" max="7" width="16" customWidth="1"/>
    <col min="8" max="8" width="18" customWidth="1"/>
    <col min="9" max="9" width="16" customWidth="1"/>
    <col min="10" max="10" width="14" customWidth="1"/>
  </cols>
  <sheetData>
    <row r="2" spans="2:10" ht="24" customHeight="1" x14ac:dyDescent="0.3">
      <c r="B2" s="7" t="s">
        <v>62</v>
      </c>
      <c r="C2" s="7"/>
      <c r="D2" s="7"/>
      <c r="E2" s="7"/>
      <c r="F2" s="7"/>
      <c r="G2" s="7"/>
      <c r="H2" s="7"/>
      <c r="I2" s="7"/>
      <c r="J2" s="7"/>
    </row>
    <row r="3" spans="2:10" ht="43.5" customHeight="1" x14ac:dyDescent="0.3">
      <c r="B3" s="6" t="s">
        <v>63</v>
      </c>
      <c r="C3" s="6"/>
      <c r="D3" s="6"/>
      <c r="E3" s="6"/>
      <c r="F3" s="6"/>
      <c r="G3" s="6"/>
      <c r="H3" s="6"/>
      <c r="I3" s="6"/>
      <c r="J3" s="6"/>
    </row>
    <row r="5" spans="2:10" ht="43.5" customHeight="1" x14ac:dyDescent="0.3">
      <c r="B5" s="15" t="s">
        <v>46</v>
      </c>
      <c r="C5" s="15" t="s">
        <v>64</v>
      </c>
      <c r="D5" s="15" t="s">
        <v>65</v>
      </c>
      <c r="E5" s="15" t="s">
        <v>66</v>
      </c>
      <c r="F5" s="15" t="s">
        <v>67</v>
      </c>
      <c r="G5" s="15" t="s">
        <v>68</v>
      </c>
      <c r="H5" s="15" t="s">
        <v>69</v>
      </c>
      <c r="I5" s="15" t="s">
        <v>70</v>
      </c>
      <c r="J5" s="15" t="s">
        <v>71</v>
      </c>
    </row>
    <row r="6" spans="2:10" ht="15" customHeight="1" x14ac:dyDescent="0.3">
      <c r="B6" s="27" t="s">
        <v>52</v>
      </c>
      <c r="C6" s="23"/>
      <c r="D6" s="17"/>
      <c r="E6" s="35" t="str">
        <f>IF($D6="","",SUMIFS(Precos_Insumos!$D$4:$D$203,Precos_Insumos!$B$4:$B$203,$B6,Precos_Insumos!$A$4:$A$203,"&gt;"&amp;$D6))</f>
        <v/>
      </c>
      <c r="F6" s="35" t="str">
        <f>IF($D6="","",SUMIFS(Trato_Diario!$F$4:$F$300,Trato_Diario!$A$4:$A$300,"&gt;="&amp;$D6,Trato_Diario!$A$4:$A$300,"&lt;"&amp;Ingredientes_Dieta!$C$18)*INDEX(Ingredientes_Dieta!$E$6:$E$10,MATCH($B6,Ingredientes_Dieta!$B$6:$B$10,0))+SUMIFS(Trato_Diario!$F$4:$F$300,Trato_Diario!$A$4:$A$300,"&gt;="&amp;MAX($D6,Ingredientes_Dieta!$C$18))*INDEX(Ingredientes_Dieta!$G$6:$G$10,MATCH($B6,Ingredientes_Dieta!$B$6:$B$10,0)))</f>
        <v/>
      </c>
      <c r="G6" s="36" t="str">
        <f>IF($C6="","",$C6+N(E6)-N(F6))</f>
        <v/>
      </c>
      <c r="H6" s="37">
        <f>Calculadora_Trato!$G$18*INDEX(Ingredientes_Dieta!$G$6:$G$10,MATCH($B6,Ingredientes_Dieta!$B$6:$B$10,0))</f>
        <v>5900</v>
      </c>
      <c r="I6" s="38" t="str">
        <f>IF(OR(G6="",H6=0),"",G6/H6)</f>
        <v/>
      </c>
      <c r="J6" s="39">
        <f>IFERROR(INDEX(Ingredientes_Dieta!$G$6:$G$10,MATCH($B6,Ingredientes_Dieta!$B$6:$B$10,0)),"")</f>
        <v>0.5</v>
      </c>
    </row>
    <row r="7" spans="2:10" ht="15" customHeight="1" x14ac:dyDescent="0.3">
      <c r="B7" s="29" t="s">
        <v>55</v>
      </c>
      <c r="C7" s="23">
        <v>5000</v>
      </c>
      <c r="D7" s="17">
        <v>46238</v>
      </c>
      <c r="E7" s="40">
        <f>IF($D7="","",SUMIFS(Precos_Insumos!$D$4:$D$203,Precos_Insumos!$B$4:$B$203,$B7,Precos_Insumos!$A$4:$A$203,"&gt;"&amp;$D7))</f>
        <v>20000</v>
      </c>
      <c r="F7" s="40">
        <f>IF($D7="","",SUMIFS(Trato_Diario!$F$4:$F$300,Trato_Diario!$A$4:$A$300,"&gt;="&amp;$D7,Trato_Diario!$A$4:$A$300,"&lt;"&amp;Ingredientes_Dieta!$C$18)*INDEX(Ingredientes_Dieta!$E$6:$E$10,MATCH($B7,Ingredientes_Dieta!$B$6:$B$10,0))+SUMIFS(Trato_Diario!$F$4:$F$300,Trato_Diario!$A$4:$A$300,"&gt;="&amp;MAX($D7,Ingredientes_Dieta!$C$18))*INDEX(Ingredientes_Dieta!$G$6:$G$10,MATCH($B7,Ingredientes_Dieta!$B$6:$B$10,0)))</f>
        <v>8754.768</v>
      </c>
      <c r="G7" s="41">
        <f>IF($C7="","",$C7+N(E7)-N(F7))</f>
        <v>16245.232</v>
      </c>
      <c r="H7" s="42">
        <f>Calculadora_Trato!$G$18*INDEX(Ingredientes_Dieta!$G$6:$G$10,MATCH($B7,Ingredientes_Dieta!$B$6:$B$10,0))</f>
        <v>1416</v>
      </c>
      <c r="I7" s="43">
        <f>IF(OR(G7="",H7=0),"",G7/H7)</f>
        <v>11.472621468926553</v>
      </c>
      <c r="J7" s="44">
        <f>IFERROR(INDEX(Ingredientes_Dieta!$G$6:$G$10,MATCH($B7,Ingredientes_Dieta!$B$6:$B$10,0)),"")</f>
        <v>0.12</v>
      </c>
    </row>
    <row r="8" spans="2:10" ht="15" customHeight="1" x14ac:dyDescent="0.3">
      <c r="B8" s="27" t="s">
        <v>56</v>
      </c>
      <c r="C8" s="23">
        <v>38200</v>
      </c>
      <c r="D8" s="17">
        <v>46230</v>
      </c>
      <c r="E8" s="35">
        <f>IF($D8="","",SUMIFS(Precos_Insumos!$D$4:$D$203,Precos_Insumos!$B$4:$B$203,$B8,Precos_Insumos!$A$4:$A$203,"&gt;"&amp;$D8))</f>
        <v>45040</v>
      </c>
      <c r="F8" s="35">
        <f>IF($D8="","",SUMIFS(Trato_Diario!$F$4:$F$300,Trato_Diario!$A$4:$A$300,"&gt;="&amp;$D8,Trato_Diario!$A$4:$A$300,"&lt;"&amp;Ingredientes_Dieta!$C$18)*INDEX(Ingredientes_Dieta!$E$6:$E$10,MATCH($B8,Ingredientes_Dieta!$B$6:$B$10,0))+SUMIFS(Trato_Diario!$F$4:$F$300,Trato_Diario!$A$4:$A$300,"&gt;="&amp;MAX($D8,Ingredientes_Dieta!$C$18))*INDEX(Ingredientes_Dieta!$G$6:$G$10,MATCH($B8,Ingredientes_Dieta!$B$6:$B$10,0)))</f>
        <v>47690.007200000022</v>
      </c>
      <c r="G8" s="36">
        <f>IF($C8="","",$C8+N(E8)-N(F8))</f>
        <v>35549.992799999978</v>
      </c>
      <c r="H8" s="37">
        <f>Calculadora_Trato!$G$18*INDEX(Ingredientes_Dieta!$G$6:$G$10,MATCH($B8,Ingredientes_Dieta!$B$6:$B$10,0))</f>
        <v>4283.3999999999996</v>
      </c>
      <c r="I8" s="38">
        <f>IF(OR(G8="",H8=0),"",G8/H8)</f>
        <v>8.2994800392211747</v>
      </c>
      <c r="J8" s="39">
        <f>IFERROR(INDEX(Ingredientes_Dieta!$G$6:$G$10,MATCH($B8,Ingredientes_Dieta!$B$6:$B$10,0)),"")</f>
        <v>0.36299999999999999</v>
      </c>
    </row>
    <row r="9" spans="2:10" ht="15" customHeight="1" x14ac:dyDescent="0.3">
      <c r="B9" s="29" t="s">
        <v>57</v>
      </c>
      <c r="C9" s="23"/>
      <c r="D9" s="17"/>
      <c r="E9" s="40" t="str">
        <f>IF($D9="","",SUMIFS(Precos_Insumos!$D$4:$D$203,Precos_Insumos!$B$4:$B$203,$B9,Precos_Insumos!$A$4:$A$203,"&gt;"&amp;$D9))</f>
        <v/>
      </c>
      <c r="F9" s="40" t="str">
        <f>IF($D9="","",SUMIFS(Trato_Diario!$F$4:$F$300,Trato_Diario!$A$4:$A$300,"&gt;="&amp;$D9,Trato_Diario!$A$4:$A$300,"&lt;"&amp;Ingredientes_Dieta!$C$18)*INDEX(Ingredientes_Dieta!$E$6:$E$10,MATCH($B9,Ingredientes_Dieta!$B$6:$B$10,0))+SUMIFS(Trato_Diario!$F$4:$F$300,Trato_Diario!$A$4:$A$300,"&gt;="&amp;MAX($D9,Ingredientes_Dieta!$C$18))*INDEX(Ingredientes_Dieta!$G$6:$G$10,MATCH($B9,Ingredientes_Dieta!$B$6:$B$10,0)))</f>
        <v/>
      </c>
      <c r="G9" s="41" t="str">
        <f>IF($C9="","",$C9+N(E9)-N(F9))</f>
        <v/>
      </c>
      <c r="H9" s="42">
        <f>Calculadora_Trato!$G$18*INDEX(Ingredientes_Dieta!$G$6:$G$10,MATCH($B9,Ingredientes_Dieta!$B$6:$B$10,0))</f>
        <v>82.600000000000009</v>
      </c>
      <c r="I9" s="43" t="str">
        <f>IF(OR(G9="",H9=0),"",G9/H9)</f>
        <v/>
      </c>
      <c r="J9" s="44">
        <f>IFERROR(INDEX(Ingredientes_Dieta!$G$6:$G$10,MATCH($B9,Ingredientes_Dieta!$B$6:$B$10,0)),"")</f>
        <v>7.0000000000000001E-3</v>
      </c>
    </row>
    <row r="10" spans="2:10" ht="15" customHeight="1" x14ac:dyDescent="0.3">
      <c r="B10" s="27" t="s">
        <v>58</v>
      </c>
      <c r="C10" s="23"/>
      <c r="D10" s="17"/>
      <c r="E10" s="35" t="str">
        <f>IF($D10="","",SUMIFS(Precos_Insumos!$D$4:$D$203,Precos_Insumos!$B$4:$B$203,$B10,Precos_Insumos!$A$4:$A$203,"&gt;"&amp;$D10))</f>
        <v/>
      </c>
      <c r="F10" s="35" t="str">
        <f>IF($D10="","",SUMIFS(Trato_Diario!$F$4:$F$300,Trato_Diario!$A$4:$A$300,"&gt;="&amp;$D10,Trato_Diario!$A$4:$A$300,"&lt;"&amp;Ingredientes_Dieta!$C$18)*INDEX(Ingredientes_Dieta!$E$6:$E$10,MATCH($B10,Ingredientes_Dieta!$B$6:$B$10,0))+SUMIFS(Trato_Diario!$F$4:$F$300,Trato_Diario!$A$4:$A$300,"&gt;="&amp;MAX($D10,Ingredientes_Dieta!$C$18))*INDEX(Ingredientes_Dieta!$G$6:$G$10,MATCH($B10,Ingredientes_Dieta!$B$6:$B$10,0)))</f>
        <v/>
      </c>
      <c r="G10" s="36" t="str">
        <f>IF($C10="","",$C10+N(E10)-N(F10))</f>
        <v/>
      </c>
      <c r="H10" s="37">
        <f>Calculadora_Trato!$G$18*INDEX(Ingredientes_Dieta!$G$6:$G$10,MATCH($B10,Ingredientes_Dieta!$B$6:$B$10,0))</f>
        <v>118</v>
      </c>
      <c r="I10" s="38" t="str">
        <f>IF(OR(G10="",H10=0),"",G10/H10)</f>
        <v/>
      </c>
      <c r="J10" s="39">
        <f>IFERROR(INDEX(Ingredientes_Dieta!$G$6:$G$10,MATCH($B10,Ingredientes_Dieta!$B$6:$B$10,0)),"")</f>
        <v>0.01</v>
      </c>
    </row>
    <row r="12" spans="2:10" ht="15" customHeight="1" x14ac:dyDescent="0.3">
      <c r="B12" s="4" t="s">
        <v>72</v>
      </c>
      <c r="C12" s="4"/>
      <c r="D12" s="4"/>
      <c r="E12" s="4"/>
      <c r="F12" s="4"/>
      <c r="G12" s="4"/>
      <c r="H12" s="4"/>
      <c r="I12" s="4"/>
      <c r="J12" s="4"/>
    </row>
    <row r="13" spans="2:10" ht="15" customHeight="1" x14ac:dyDescent="0.3">
      <c r="B13" s="4"/>
      <c r="C13" s="4"/>
      <c r="D13" s="4"/>
      <c r="E13" s="4"/>
      <c r="F13" s="4"/>
      <c r="G13" s="4"/>
      <c r="H13" s="4"/>
      <c r="I13" s="4"/>
      <c r="J13" s="4"/>
    </row>
    <row r="14" spans="2:10" ht="15" customHeight="1" x14ac:dyDescent="0.3">
      <c r="B14" s="4"/>
      <c r="C14" s="4"/>
      <c r="D14" s="4"/>
      <c r="E14" s="4"/>
      <c r="F14" s="4"/>
      <c r="G14" s="4"/>
      <c r="H14" s="4"/>
      <c r="I14" s="4"/>
      <c r="J14" s="4"/>
    </row>
    <row r="15" spans="2:10" x14ac:dyDescent="0.3">
      <c r="F15" s="108">
        <v>46240</v>
      </c>
      <c r="G15">
        <v>8</v>
      </c>
    </row>
    <row r="16" spans="2:10" x14ac:dyDescent="0.3">
      <c r="F16" s="108">
        <f>F15+G15</f>
        <v>46248</v>
      </c>
    </row>
  </sheetData>
  <mergeCells count="3">
    <mergeCell ref="B2:J2"/>
    <mergeCell ref="B3:J3"/>
    <mergeCell ref="B12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J21"/>
  <sheetViews>
    <sheetView showGridLines="0" topLeftCell="A4" zoomScaleNormal="100" workbookViewId="0">
      <selection activeCell="H15" sqref="H15"/>
    </sheetView>
  </sheetViews>
  <sheetFormatPr defaultColWidth="8.6640625" defaultRowHeight="14.4" x14ac:dyDescent="0.3"/>
  <cols>
    <col min="1" max="1" width="2" customWidth="1"/>
    <col min="2" max="2" width="28" customWidth="1"/>
    <col min="3" max="3" width="16.109375" customWidth="1"/>
    <col min="4" max="4" width="14" customWidth="1"/>
    <col min="5" max="5" width="13" customWidth="1"/>
    <col min="6" max="6" width="15" customWidth="1"/>
    <col min="7" max="7" width="14" customWidth="1"/>
    <col min="8" max="8" width="15" customWidth="1"/>
  </cols>
  <sheetData>
    <row r="2" spans="2:10" ht="24" customHeight="1" x14ac:dyDescent="0.3">
      <c r="B2" s="7" t="s">
        <v>73</v>
      </c>
      <c r="C2" s="7"/>
      <c r="D2" s="7"/>
      <c r="E2" s="7"/>
      <c r="F2" s="7"/>
    </row>
    <row r="3" spans="2:10" ht="39.75" customHeight="1" x14ac:dyDescent="0.3">
      <c r="B3" s="6" t="s">
        <v>74</v>
      </c>
      <c r="C3" s="6"/>
      <c r="D3" s="6"/>
      <c r="E3" s="6"/>
      <c r="F3" s="6"/>
    </row>
    <row r="5" spans="2:10" ht="30" customHeight="1" x14ac:dyDescent="0.3">
      <c r="B5" s="15" t="s">
        <v>75</v>
      </c>
      <c r="C5" s="15" t="s">
        <v>76</v>
      </c>
      <c r="D5" s="15" t="s">
        <v>77</v>
      </c>
      <c r="E5" s="15" t="s">
        <v>78</v>
      </c>
      <c r="F5" s="15" t="s">
        <v>79</v>
      </c>
      <c r="G5" s="15" t="s">
        <v>80</v>
      </c>
      <c r="H5" s="15" t="s">
        <v>81</v>
      </c>
      <c r="J5">
        <v>2000</v>
      </c>
    </row>
    <row r="6" spans="2:10" ht="15" customHeight="1" x14ac:dyDescent="0.3">
      <c r="B6" s="29" t="s">
        <v>52</v>
      </c>
      <c r="C6" s="20">
        <f>IFERROR(AVERAGEIFS(Precos_Insumos!$C$4:$C$203,Precos_Insumos!$B$4:$B$203,B6,Precos_Insumos!$A$4:$A$203,D6),0)</f>
        <v>0.1</v>
      </c>
      <c r="D6" s="45">
        <f>IFERROR(_xlfn.MAXIFS(Precos_Insumos!$A$4:$A$203,Precos_Insumos!$B$4:$B$203,B6),"")</f>
        <v>46218</v>
      </c>
      <c r="E6" s="21">
        <v>0.68300000000000005</v>
      </c>
      <c r="F6" s="46">
        <f>C6*E6</f>
        <v>6.8300000000000013E-2</v>
      </c>
      <c r="G6" s="21">
        <v>0.5</v>
      </c>
      <c r="H6" s="46">
        <f>C6*G6</f>
        <v>0.05</v>
      </c>
      <c r="J6">
        <f>J5*G6</f>
        <v>1000</v>
      </c>
    </row>
    <row r="7" spans="2:10" ht="15" customHeight="1" x14ac:dyDescent="0.3">
      <c r="B7" s="29" t="s">
        <v>55</v>
      </c>
      <c r="C7" s="20">
        <f>IFERROR(AVERAGEIFS(Precos_Insumos!$C$4:$C$203,Precos_Insumos!$B$4:$B$203,B7,Precos_Insumos!$A$4:$A$203,D7),0)</f>
        <v>2.5299999999999998</v>
      </c>
      <c r="D7" s="45">
        <f>IFERROR(_xlfn.MAXIFS(Precos_Insumos!$A$4:$A$203,Precos_Insumos!$B$4:$B$203,B7),"")</f>
        <v>46241</v>
      </c>
      <c r="E7" s="21">
        <v>0.08</v>
      </c>
      <c r="F7" s="46">
        <f>C7*E7</f>
        <v>0.2024</v>
      </c>
      <c r="G7" s="21">
        <v>0.12</v>
      </c>
      <c r="H7" s="46">
        <f>C7*G7</f>
        <v>0.30359999999999998</v>
      </c>
      <c r="J7">
        <f>J5*G7</f>
        <v>240</v>
      </c>
    </row>
    <row r="8" spans="2:10" ht="15" customHeight="1" x14ac:dyDescent="0.3">
      <c r="B8" s="29" t="s">
        <v>56</v>
      </c>
      <c r="C8" s="20">
        <f>IFERROR(AVERAGEIFS(Precos_Insumos!$C$4:$C$203,Precos_Insumos!$B$4:$B$203,B8,Precos_Insumos!$A$4:$A$203,D8),0)</f>
        <v>1.1000000000000001</v>
      </c>
      <c r="D8" s="45">
        <f>IFERROR(_xlfn.MAXIFS(Precos_Insumos!$A$4:$A$203,Precos_Insumos!$B$4:$B$203,B8),"")</f>
        <v>46240</v>
      </c>
      <c r="E8" s="21">
        <v>0.22</v>
      </c>
      <c r="F8" s="46">
        <f>C8*E8</f>
        <v>0.24200000000000002</v>
      </c>
      <c r="G8" s="21">
        <v>0.36299999999999999</v>
      </c>
      <c r="H8" s="46">
        <f>C8*G8</f>
        <v>0.39930000000000004</v>
      </c>
      <c r="J8">
        <f>J5*G8</f>
        <v>726</v>
      </c>
    </row>
    <row r="9" spans="2:10" ht="15" customHeight="1" x14ac:dyDescent="0.3">
      <c r="B9" s="29" t="s">
        <v>57</v>
      </c>
      <c r="C9" s="20">
        <f>IFERROR(AVERAGEIFS(Precos_Insumos!$C$4:$C$203,Precos_Insumos!$B$4:$B$203,B9,Precos_Insumos!$A$4:$A$203,D9),0)</f>
        <v>4.5</v>
      </c>
      <c r="D9" s="45">
        <f>IFERROR(_xlfn.MAXIFS(Precos_Insumos!$A$4:$A$203,Precos_Insumos!$B$4:$B$203,B9),"")</f>
        <v>46218</v>
      </c>
      <c r="E9" s="21">
        <v>7.0000000000000001E-3</v>
      </c>
      <c r="F9" s="46">
        <f>C9*E9</f>
        <v>3.15E-2</v>
      </c>
      <c r="G9" s="21">
        <v>7.0000000000000001E-3</v>
      </c>
      <c r="H9" s="46">
        <f>C9*G9</f>
        <v>3.15E-2</v>
      </c>
      <c r="J9">
        <f>J5*G9</f>
        <v>14</v>
      </c>
    </row>
    <row r="10" spans="2:10" ht="15" customHeight="1" x14ac:dyDescent="0.3">
      <c r="B10" s="29" t="s">
        <v>58</v>
      </c>
      <c r="C10" s="20">
        <f>IFERROR(AVERAGEIFS(Precos_Insumos!$C$4:$C$203,Precos_Insumos!$B$4:$B$203,B10,Precos_Insumos!$A$4:$A$203,D10),0)</f>
        <v>3.83</v>
      </c>
      <c r="D10" s="45">
        <f>IFERROR(_xlfn.MAXIFS(Precos_Insumos!$A$4:$A$203,Precos_Insumos!$B$4:$B$203,B10),"")</f>
        <v>46218</v>
      </c>
      <c r="E10" s="21">
        <v>0.01</v>
      </c>
      <c r="F10" s="46">
        <f>C10*E10</f>
        <v>3.8300000000000001E-2</v>
      </c>
      <c r="G10" s="21">
        <v>0.01</v>
      </c>
      <c r="H10" s="46">
        <f>C10*G10</f>
        <v>3.8300000000000001E-2</v>
      </c>
      <c r="J10">
        <f>J5*G10</f>
        <v>20</v>
      </c>
    </row>
    <row r="11" spans="2:10" ht="15" customHeight="1" x14ac:dyDescent="0.3">
      <c r="B11" s="47" t="s">
        <v>82</v>
      </c>
      <c r="C11" s="48"/>
      <c r="D11" s="49"/>
      <c r="E11" s="50">
        <f>SUM(E6:E10)</f>
        <v>1</v>
      </c>
      <c r="F11" s="51">
        <f>SUM(F6:F10)</f>
        <v>0.58250000000000002</v>
      </c>
      <c r="G11" s="50">
        <f>SUM(G6:G10)</f>
        <v>1</v>
      </c>
      <c r="H11" s="51">
        <f>SUM(H6:H10)</f>
        <v>0.82269999999999999</v>
      </c>
    </row>
    <row r="13" spans="2:10" ht="15" customHeight="1" x14ac:dyDescent="0.3">
      <c r="B13" s="52" t="s">
        <v>83</v>
      </c>
      <c r="D13" s="53"/>
      <c r="E13" s="54">
        <f>E11</f>
        <v>1</v>
      </c>
      <c r="G13" s="54">
        <f>G11</f>
        <v>1</v>
      </c>
    </row>
    <row r="15" spans="2:10" ht="15" customHeight="1" x14ac:dyDescent="0.3">
      <c r="B15" s="5" t="s">
        <v>84</v>
      </c>
      <c r="C15" s="5"/>
      <c r="D15" s="5"/>
    </row>
    <row r="16" spans="2:10" ht="15" customHeight="1" x14ac:dyDescent="0.3">
      <c r="B16" s="55" t="s">
        <v>85</v>
      </c>
      <c r="C16" s="55" t="s">
        <v>86</v>
      </c>
      <c r="D16" s="55" t="s">
        <v>87</v>
      </c>
    </row>
    <row r="17" spans="2:8" ht="15" customHeight="1" x14ac:dyDescent="0.3">
      <c r="B17" s="29" t="s">
        <v>88</v>
      </c>
      <c r="C17" s="17">
        <v>46220</v>
      </c>
      <c r="D17" s="56">
        <f>F11</f>
        <v>0.58250000000000002</v>
      </c>
      <c r="F17" t="s">
        <v>89</v>
      </c>
    </row>
    <row r="18" spans="2:8" ht="15" customHeight="1" x14ac:dyDescent="0.3">
      <c r="B18" s="29" t="s">
        <v>90</v>
      </c>
      <c r="C18" s="17">
        <v>46238</v>
      </c>
      <c r="D18" s="56">
        <f>H11</f>
        <v>0.82269999999999999</v>
      </c>
    </row>
    <row r="20" spans="2:8" ht="15" customHeight="1" x14ac:dyDescent="0.3">
      <c r="B20" s="3" t="s">
        <v>91</v>
      </c>
      <c r="C20" s="3"/>
      <c r="D20" s="3"/>
      <c r="E20" s="3"/>
      <c r="F20" s="3"/>
      <c r="G20" s="3"/>
      <c r="H20" s="3"/>
    </row>
    <row r="21" spans="2:8" ht="15" customHeight="1" x14ac:dyDescent="0.3">
      <c r="B21" s="3"/>
      <c r="C21" s="3"/>
      <c r="D21" s="3"/>
      <c r="E21" s="3"/>
      <c r="F21" s="3"/>
      <c r="G21" s="3"/>
      <c r="H21" s="3"/>
    </row>
  </sheetData>
  <mergeCells count="4">
    <mergeCell ref="B2:F2"/>
    <mergeCell ref="B3:F3"/>
    <mergeCell ref="B15:D15"/>
    <mergeCell ref="B20:H21"/>
  </mergeCells>
  <pageMargins left="0.75" right="0.75" top="1" bottom="1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showGridLines="0" topLeftCell="A3" zoomScaleNormal="100" workbookViewId="0">
      <selection activeCell="F18" sqref="F18"/>
    </sheetView>
  </sheetViews>
  <sheetFormatPr defaultColWidth="8.6640625" defaultRowHeight="14.4" x14ac:dyDescent="0.3"/>
  <cols>
    <col min="1" max="1" width="2" customWidth="1"/>
    <col min="2" max="3" width="9" customWidth="1"/>
    <col min="4" max="4" width="14" customWidth="1"/>
    <col min="5" max="5" width="15" customWidth="1"/>
    <col min="6" max="6" width="11" customWidth="1"/>
    <col min="7" max="7" width="17" customWidth="1"/>
    <col min="8" max="10" width="12" customWidth="1"/>
    <col min="11" max="12" width="13" customWidth="1"/>
    <col min="13" max="13" width="16" customWidth="1"/>
    <col min="14" max="14" width="15" customWidth="1"/>
  </cols>
  <sheetData>
    <row r="1" spans="1:14" ht="14.25" customHeight="1" x14ac:dyDescent="0.3">
      <c r="A1" t="s">
        <v>92</v>
      </c>
    </row>
    <row r="2" spans="1:14" ht="24" customHeight="1" x14ac:dyDescent="0.3">
      <c r="B2" s="7" t="s">
        <v>93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4" ht="39.75" customHeight="1" x14ac:dyDescent="0.3">
      <c r="B3" s="6" t="s">
        <v>94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4" ht="15" customHeight="1" x14ac:dyDescent="0.3">
      <c r="B5" s="2" t="s">
        <v>95</v>
      </c>
      <c r="C5" s="2"/>
      <c r="D5" s="57" t="s">
        <v>96</v>
      </c>
      <c r="E5" s="58">
        <v>0.4</v>
      </c>
      <c r="F5" s="57" t="s">
        <v>97</v>
      </c>
      <c r="G5" s="58">
        <v>0.2</v>
      </c>
      <c r="H5" s="57" t="s">
        <v>98</v>
      </c>
      <c r="I5" s="58">
        <v>0.4</v>
      </c>
      <c r="K5" s="2" t="s">
        <v>99</v>
      </c>
      <c r="L5" s="2"/>
      <c r="M5" s="59">
        <f>Parâmetros!$C$6</f>
        <v>0.82269999999999999</v>
      </c>
    </row>
    <row r="7" spans="1:14" ht="43.5" customHeight="1" x14ac:dyDescent="0.3">
      <c r="B7" s="15" t="s">
        <v>100</v>
      </c>
      <c r="C7" s="15" t="s">
        <v>101</v>
      </c>
      <c r="D7" s="15" t="s">
        <v>102</v>
      </c>
      <c r="E7" s="15" t="s">
        <v>103</v>
      </c>
      <c r="F7" s="15" t="s">
        <v>104</v>
      </c>
      <c r="G7" s="15" t="s">
        <v>105</v>
      </c>
      <c r="H7" s="15" t="s">
        <v>106</v>
      </c>
      <c r="I7" s="15" t="s">
        <v>107</v>
      </c>
      <c r="J7" s="15" t="s">
        <v>108</v>
      </c>
      <c r="K7" s="15" t="s">
        <v>109</v>
      </c>
      <c r="L7" s="15" t="s">
        <v>110</v>
      </c>
      <c r="M7" s="15" t="s">
        <v>111</v>
      </c>
      <c r="N7" s="15" t="s">
        <v>112</v>
      </c>
    </row>
    <row r="8" spans="1:14" ht="15" customHeight="1" x14ac:dyDescent="0.3">
      <c r="B8" s="60">
        <v>1</v>
      </c>
      <c r="C8" s="60">
        <f>IFERROR(INDEX(Currais!$C:$C,MATCH(B8,Currais!$A:$A,0)),0)</f>
        <v>76</v>
      </c>
      <c r="D8" s="61">
        <f>IFERROR(INDEX(Currais!$E:$E,MATCH(B8,Currais!$A:$A,0)),0)</f>
        <v>452.85526315789474</v>
      </c>
      <c r="E8" s="62">
        <v>1598</v>
      </c>
      <c r="F8" s="21">
        <v>0</v>
      </c>
      <c r="G8" s="35">
        <f t="shared" ref="G8:G17" si="0">E8*(1+F8)</f>
        <v>1598</v>
      </c>
      <c r="H8" s="37">
        <f t="shared" ref="H8:H17" si="1">IF(C8=0,"",G8/C8)</f>
        <v>21.026315789473685</v>
      </c>
      <c r="I8" s="35">
        <f t="shared" ref="I8:I17" si="2">G8*$E$5</f>
        <v>639.20000000000005</v>
      </c>
      <c r="J8" s="35">
        <f t="shared" ref="J8:J17" si="3">G8*$G$5</f>
        <v>319.60000000000002</v>
      </c>
      <c r="K8" s="35">
        <f t="shared" ref="K8:K17" si="4">G8*$I$5</f>
        <v>639.20000000000005</v>
      </c>
      <c r="L8" s="63">
        <f t="shared" ref="L8:L17" si="5">$M$5</f>
        <v>0.82269999999999999</v>
      </c>
      <c r="M8" s="26">
        <f t="shared" ref="M8:M17" si="6">G8*L8</f>
        <v>1314.6746000000001</v>
      </c>
      <c r="N8" s="26">
        <f t="shared" ref="N8:N18" si="7">IF(C8=0,"",M8/C8)</f>
        <v>17.298349999999999</v>
      </c>
    </row>
    <row r="9" spans="1:14" ht="15" customHeight="1" x14ac:dyDescent="0.3">
      <c r="B9" s="64">
        <v>2</v>
      </c>
      <c r="C9" s="64">
        <f>IFERROR(INDEX(Currais!$C:$C,MATCH(B9,Currais!$A:$A,0)),0)</f>
        <v>22</v>
      </c>
      <c r="D9" s="65">
        <f>IFERROR(INDEX(Currais!$E:$E,MATCH(B9,Currais!$A:$A,0)),0)</f>
        <v>501.40909090909093</v>
      </c>
      <c r="E9" s="62">
        <v>487</v>
      </c>
      <c r="F9" s="21">
        <v>0</v>
      </c>
      <c r="G9" s="40">
        <f t="shared" si="0"/>
        <v>487</v>
      </c>
      <c r="H9" s="42">
        <f t="shared" si="1"/>
        <v>22.136363636363637</v>
      </c>
      <c r="I9" s="40">
        <f t="shared" si="2"/>
        <v>194.8</v>
      </c>
      <c r="J9" s="40">
        <f t="shared" si="3"/>
        <v>97.4</v>
      </c>
      <c r="K9" s="40">
        <f t="shared" si="4"/>
        <v>194.8</v>
      </c>
      <c r="L9" s="46">
        <f t="shared" si="5"/>
        <v>0.82269999999999999</v>
      </c>
      <c r="M9" s="28">
        <f t="shared" si="6"/>
        <v>400.6549</v>
      </c>
      <c r="N9" s="28">
        <f t="shared" si="7"/>
        <v>18.211586363636364</v>
      </c>
    </row>
    <row r="10" spans="1:14" ht="15" customHeight="1" x14ac:dyDescent="0.3">
      <c r="B10" s="60">
        <v>3</v>
      </c>
      <c r="C10" s="60">
        <f>IFERROR(INDEX(Currais!$C:$C,MATCH(B10,Currais!$A:$A,0)),0)</f>
        <v>85</v>
      </c>
      <c r="D10" s="61">
        <f>IFERROR(INDEX(Currais!$E:$E,MATCH(B10,Currais!$A:$A,0)),0)</f>
        <v>410.05882352941177</v>
      </c>
      <c r="E10" s="62">
        <v>1618</v>
      </c>
      <c r="F10" s="21">
        <v>0</v>
      </c>
      <c r="G10" s="35">
        <f t="shared" si="0"/>
        <v>1618</v>
      </c>
      <c r="H10" s="37">
        <f t="shared" si="1"/>
        <v>19.035294117647059</v>
      </c>
      <c r="I10" s="35">
        <f t="shared" si="2"/>
        <v>647.20000000000005</v>
      </c>
      <c r="J10" s="35">
        <f t="shared" si="3"/>
        <v>323.60000000000002</v>
      </c>
      <c r="K10" s="35">
        <f t="shared" si="4"/>
        <v>647.20000000000005</v>
      </c>
      <c r="L10" s="63">
        <f t="shared" si="5"/>
        <v>0.82269999999999999</v>
      </c>
      <c r="M10" s="26">
        <f t="shared" si="6"/>
        <v>1331.1286</v>
      </c>
      <c r="N10" s="26">
        <f t="shared" si="7"/>
        <v>15.660336470588236</v>
      </c>
    </row>
    <row r="11" spans="1:14" ht="15" customHeight="1" x14ac:dyDescent="0.3">
      <c r="B11" s="64">
        <v>4</v>
      </c>
      <c r="C11" s="64">
        <f>IFERROR(INDEX(Currais!$C:$C,MATCH(B11,Currais!$A:$A,0)),0)</f>
        <v>90</v>
      </c>
      <c r="D11" s="65">
        <f>IFERROR(INDEX(Currais!$E:$E,MATCH(B11,Currais!$A:$A,0)),0)</f>
        <v>381.83333333333331</v>
      </c>
      <c r="E11" s="62">
        <v>1596</v>
      </c>
      <c r="F11" s="21">
        <v>0</v>
      </c>
      <c r="G11" s="40">
        <f t="shared" si="0"/>
        <v>1596</v>
      </c>
      <c r="H11" s="42">
        <f t="shared" si="1"/>
        <v>17.733333333333334</v>
      </c>
      <c r="I11" s="40">
        <f t="shared" si="2"/>
        <v>638.40000000000009</v>
      </c>
      <c r="J11" s="40">
        <f t="shared" si="3"/>
        <v>319.20000000000005</v>
      </c>
      <c r="K11" s="40">
        <f t="shared" si="4"/>
        <v>638.40000000000009</v>
      </c>
      <c r="L11" s="46">
        <f t="shared" si="5"/>
        <v>0.82269999999999999</v>
      </c>
      <c r="M11" s="28">
        <f t="shared" si="6"/>
        <v>1313.0291999999999</v>
      </c>
      <c r="N11" s="28">
        <f t="shared" si="7"/>
        <v>14.589213333333333</v>
      </c>
    </row>
    <row r="12" spans="1:14" ht="15" customHeight="1" x14ac:dyDescent="0.3">
      <c r="B12" s="60">
        <v>5</v>
      </c>
      <c r="C12" s="60">
        <f>IFERROR(INDEX(Currais!$C:$C,MATCH(B12,Currais!$A:$A,0)),0)</f>
        <v>88</v>
      </c>
      <c r="D12" s="61">
        <f>IFERROR(INDEX(Currais!$E:$E,MATCH(B12,Currais!$A:$A,0)),0)</f>
        <v>361.80681818181819</v>
      </c>
      <c r="E12" s="62">
        <v>1477</v>
      </c>
      <c r="F12" s="21">
        <v>0</v>
      </c>
      <c r="G12" s="35">
        <f t="shared" si="0"/>
        <v>1477</v>
      </c>
      <c r="H12" s="37">
        <f t="shared" si="1"/>
        <v>16.78409090909091</v>
      </c>
      <c r="I12" s="35">
        <f t="shared" si="2"/>
        <v>590.80000000000007</v>
      </c>
      <c r="J12" s="35">
        <f t="shared" si="3"/>
        <v>295.40000000000003</v>
      </c>
      <c r="K12" s="35">
        <f t="shared" si="4"/>
        <v>590.80000000000007</v>
      </c>
      <c r="L12" s="63">
        <f t="shared" si="5"/>
        <v>0.82269999999999999</v>
      </c>
      <c r="M12" s="26">
        <f t="shared" si="6"/>
        <v>1215.1279</v>
      </c>
      <c r="N12" s="26">
        <f t="shared" si="7"/>
        <v>13.80827159090909</v>
      </c>
    </row>
    <row r="13" spans="1:14" ht="15" customHeight="1" x14ac:dyDescent="0.3">
      <c r="B13" s="64">
        <v>6</v>
      </c>
      <c r="C13" s="64">
        <f>IFERROR(INDEX(Currais!$C:$C,MATCH(B13,Currais!$A:$A,0)),0)</f>
        <v>85</v>
      </c>
      <c r="D13" s="65">
        <f>IFERROR(INDEX(Currais!$E:$E,MATCH(B13,Currais!$A:$A,0)),0)</f>
        <v>385.96470588235292</v>
      </c>
      <c r="E13" s="62">
        <v>1451</v>
      </c>
      <c r="F13" s="21">
        <v>0</v>
      </c>
      <c r="G13" s="40">
        <f t="shared" si="0"/>
        <v>1451</v>
      </c>
      <c r="H13" s="42">
        <f t="shared" si="1"/>
        <v>17.070588235294117</v>
      </c>
      <c r="I13" s="40">
        <f t="shared" si="2"/>
        <v>580.4</v>
      </c>
      <c r="J13" s="40">
        <f t="shared" si="3"/>
        <v>290.2</v>
      </c>
      <c r="K13" s="40">
        <f t="shared" si="4"/>
        <v>580.4</v>
      </c>
      <c r="L13" s="46">
        <f t="shared" si="5"/>
        <v>0.82269999999999999</v>
      </c>
      <c r="M13" s="28">
        <f t="shared" si="6"/>
        <v>1193.7376999999999</v>
      </c>
      <c r="N13" s="28">
        <f t="shared" si="7"/>
        <v>14.04397294117647</v>
      </c>
    </row>
    <row r="14" spans="1:14" ht="15" customHeight="1" x14ac:dyDescent="0.3">
      <c r="B14" s="60">
        <v>7</v>
      </c>
      <c r="C14" s="60">
        <f>IFERROR(INDEX(Currais!$C:$C,MATCH(B14,Currais!$A:$A,0)),0)</f>
        <v>85</v>
      </c>
      <c r="D14" s="61">
        <f>IFERROR(INDEX(Currais!$E:$E,MATCH(B14,Currais!$A:$A,0)),0)</f>
        <v>415.10588235294119</v>
      </c>
      <c r="E14" s="62">
        <v>1560</v>
      </c>
      <c r="F14" s="21">
        <v>0</v>
      </c>
      <c r="G14" s="35">
        <f t="shared" si="0"/>
        <v>1560</v>
      </c>
      <c r="H14" s="37">
        <f t="shared" si="1"/>
        <v>18.352941176470587</v>
      </c>
      <c r="I14" s="35">
        <f t="shared" si="2"/>
        <v>624</v>
      </c>
      <c r="J14" s="35">
        <f t="shared" si="3"/>
        <v>312</v>
      </c>
      <c r="K14" s="35">
        <f t="shared" si="4"/>
        <v>624</v>
      </c>
      <c r="L14" s="63">
        <f t="shared" si="5"/>
        <v>0.82269999999999999</v>
      </c>
      <c r="M14" s="26">
        <f t="shared" si="6"/>
        <v>1283.412</v>
      </c>
      <c r="N14" s="26">
        <f t="shared" si="7"/>
        <v>15.098964705882354</v>
      </c>
    </row>
    <row r="15" spans="1:14" ht="15" customHeight="1" x14ac:dyDescent="0.3">
      <c r="B15" s="64">
        <v>8</v>
      </c>
      <c r="C15" s="64">
        <f>IFERROR(INDEX(Currais!$C:$C,MATCH(B15,Currais!$A:$A,0)),0)</f>
        <v>68</v>
      </c>
      <c r="D15" s="65">
        <f>IFERROR(INDEX(Currais!$E:$E,MATCH(B15,Currais!$A:$A,0)),0)</f>
        <v>394.95588235294116</v>
      </c>
      <c r="E15" s="62">
        <v>1247</v>
      </c>
      <c r="F15" s="21">
        <v>0</v>
      </c>
      <c r="G15" s="40">
        <f t="shared" si="0"/>
        <v>1247</v>
      </c>
      <c r="H15" s="42">
        <f t="shared" si="1"/>
        <v>18.338235294117649</v>
      </c>
      <c r="I15" s="40">
        <f t="shared" si="2"/>
        <v>498.8</v>
      </c>
      <c r="J15" s="40">
        <f t="shared" si="3"/>
        <v>249.4</v>
      </c>
      <c r="K15" s="40">
        <f t="shared" si="4"/>
        <v>498.8</v>
      </c>
      <c r="L15" s="46">
        <f t="shared" si="5"/>
        <v>0.82269999999999999</v>
      </c>
      <c r="M15" s="28">
        <f t="shared" si="6"/>
        <v>1025.9069</v>
      </c>
      <c r="N15" s="28">
        <f t="shared" si="7"/>
        <v>15.086866176470588</v>
      </c>
    </row>
    <row r="16" spans="1:14" ht="15" customHeight="1" x14ac:dyDescent="0.3">
      <c r="B16" s="60">
        <v>9</v>
      </c>
      <c r="C16" s="60">
        <f>IFERROR(INDEX(Currais!$C:$C,MATCH(B16,Currais!$A:$A,0)),0)</f>
        <v>14</v>
      </c>
      <c r="D16" s="61">
        <f>IFERROR(INDEX(Currais!$E:$E,MATCH(B16,Currais!$A:$A,0)),0)</f>
        <v>338.5</v>
      </c>
      <c r="E16" s="62">
        <v>211</v>
      </c>
      <c r="F16" s="21">
        <v>0</v>
      </c>
      <c r="G16" s="35">
        <f t="shared" si="0"/>
        <v>211</v>
      </c>
      <c r="H16" s="37">
        <f t="shared" si="1"/>
        <v>15.071428571428571</v>
      </c>
      <c r="I16" s="35">
        <f t="shared" si="2"/>
        <v>84.4</v>
      </c>
      <c r="J16" s="35">
        <f t="shared" si="3"/>
        <v>42.2</v>
      </c>
      <c r="K16" s="35">
        <f t="shared" si="4"/>
        <v>84.4</v>
      </c>
      <c r="L16" s="63">
        <f t="shared" si="5"/>
        <v>0.82269999999999999</v>
      </c>
      <c r="M16" s="26">
        <f t="shared" si="6"/>
        <v>173.58969999999999</v>
      </c>
      <c r="N16" s="26">
        <f t="shared" si="7"/>
        <v>12.399264285714285</v>
      </c>
    </row>
    <row r="17" spans="2:14" ht="15" customHeight="1" x14ac:dyDescent="0.3">
      <c r="B17" s="64">
        <v>10</v>
      </c>
      <c r="C17" s="64">
        <f>IFERROR(INDEX(Currais!$C:$C,MATCH(B17,Currais!$A:$A,0)),0)</f>
        <v>33</v>
      </c>
      <c r="D17" s="65">
        <f>IFERROR(INDEX(Currais!$E:$E,MATCH(B17,Currais!$A:$A,0)),0)</f>
        <v>380</v>
      </c>
      <c r="E17" s="62">
        <v>555</v>
      </c>
      <c r="F17" s="21">
        <v>0</v>
      </c>
      <c r="G17" s="40">
        <f t="shared" si="0"/>
        <v>555</v>
      </c>
      <c r="H17" s="42">
        <f t="shared" si="1"/>
        <v>16.818181818181817</v>
      </c>
      <c r="I17" s="40">
        <f t="shared" si="2"/>
        <v>222</v>
      </c>
      <c r="J17" s="40">
        <f t="shared" si="3"/>
        <v>111</v>
      </c>
      <c r="K17" s="40">
        <f t="shared" si="4"/>
        <v>222</v>
      </c>
      <c r="L17" s="46">
        <f t="shared" si="5"/>
        <v>0.82269999999999999</v>
      </c>
      <c r="M17" s="28">
        <f t="shared" si="6"/>
        <v>456.5985</v>
      </c>
      <c r="N17" s="28">
        <f t="shared" si="7"/>
        <v>13.836318181818182</v>
      </c>
    </row>
    <row r="18" spans="2:14" ht="15" customHeight="1" x14ac:dyDescent="0.3">
      <c r="B18" s="66" t="s">
        <v>113</v>
      </c>
      <c r="C18" s="67">
        <f>SUM(C8:C17)</f>
        <v>646</v>
      </c>
      <c r="D18" s="67">
        <f>IFERROR(SUMPRODUCT(C8:C17,D8:D17)/C18,"")</f>
        <v>400.51702786377712</v>
      </c>
      <c r="E18" s="67">
        <f>SUM(E8:E17)</f>
        <v>11800</v>
      </c>
      <c r="F18" s="68"/>
      <c r="G18" s="67">
        <f>SUM(G8:G17)</f>
        <v>11800</v>
      </c>
      <c r="H18" s="68"/>
      <c r="I18" s="67">
        <f>SUM(I8:I17)</f>
        <v>4720</v>
      </c>
      <c r="J18" s="67">
        <f>SUM(J8:J17)</f>
        <v>2360</v>
      </c>
      <c r="K18" s="67">
        <f>SUM(K8:K17)</f>
        <v>4720</v>
      </c>
      <c r="L18" s="69"/>
      <c r="M18" s="70">
        <f>SUM(M8:M17)</f>
        <v>9707.86</v>
      </c>
      <c r="N18" s="70">
        <f t="shared" si="7"/>
        <v>15.027647058823531</v>
      </c>
    </row>
  </sheetData>
  <mergeCells count="4">
    <mergeCell ref="B2:M2"/>
    <mergeCell ref="B3:M3"/>
    <mergeCell ref="B5:C5"/>
    <mergeCell ref="K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6"/>
  <sheetViews>
    <sheetView showGridLines="0" zoomScaleNormal="100" workbookViewId="0">
      <pane ySplit="3" topLeftCell="A150" activePane="bottomLeft" state="frozen"/>
      <selection pane="bottomLeft" activeCell="A157" sqref="A157"/>
    </sheetView>
  </sheetViews>
  <sheetFormatPr defaultColWidth="8.6640625" defaultRowHeight="14.4" x14ac:dyDescent="0.3"/>
  <cols>
    <col min="1" max="1" width="12" customWidth="1"/>
    <col min="2" max="2" width="9" customWidth="1"/>
    <col min="3" max="5" width="15" customWidth="1"/>
    <col min="6" max="6" width="16" customWidth="1"/>
    <col min="7" max="7" width="10" customWidth="1"/>
    <col min="8" max="8" width="12" customWidth="1"/>
    <col min="9" max="10" width="15" customWidth="1"/>
    <col min="11" max="11" width="22" customWidth="1"/>
  </cols>
  <sheetData>
    <row r="1" spans="1:11" ht="24" customHeight="1" x14ac:dyDescent="0.3">
      <c r="A1" s="7" t="s">
        <v>114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 x14ac:dyDescent="0.3">
      <c r="A2" s="6" t="s">
        <v>115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0" customHeight="1" x14ac:dyDescent="0.3">
      <c r="A3" s="15" t="s">
        <v>45</v>
      </c>
      <c r="B3" s="15" t="s">
        <v>100</v>
      </c>
      <c r="C3" s="15" t="s">
        <v>116</v>
      </c>
      <c r="D3" s="15" t="s">
        <v>117</v>
      </c>
      <c r="E3" s="15" t="s">
        <v>118</v>
      </c>
      <c r="F3" s="15" t="s">
        <v>119</v>
      </c>
      <c r="G3" s="15" t="s">
        <v>101</v>
      </c>
      <c r="H3" s="15" t="s">
        <v>106</v>
      </c>
      <c r="I3" s="15" t="s">
        <v>110</v>
      </c>
      <c r="J3" s="15" t="s">
        <v>120</v>
      </c>
      <c r="K3" s="15" t="s">
        <v>51</v>
      </c>
    </row>
    <row r="4" spans="1:11" ht="15" customHeight="1" x14ac:dyDescent="0.3">
      <c r="A4" s="17">
        <v>46220</v>
      </c>
      <c r="B4" s="71">
        <v>1</v>
      </c>
      <c r="C4" s="23">
        <v>599.9</v>
      </c>
      <c r="D4" s="23">
        <v>300</v>
      </c>
      <c r="E4" s="23">
        <v>599.9</v>
      </c>
      <c r="F4" s="40">
        <f t="shared" ref="F4:F67" si="0">IF(AND(C4="",D4="",E4=""),"",N(C4)+N(D4)+N(E4))</f>
        <v>1499.8</v>
      </c>
      <c r="G4" s="64">
        <f>IF(B4="","",IFERROR(INDEX(Currais!$C:$C,MATCH(B4,Currais!$A:$A,0)),""))</f>
        <v>76</v>
      </c>
      <c r="H4" s="42">
        <f t="shared" ref="H4:H67" si="1">IF(OR(F4="",G4="",G4=0),"",F4/G4)</f>
        <v>19.734210526315788</v>
      </c>
      <c r="I4" s="46">
        <f>IF(F4="","",IFERROR(LOOKUP(A4,Ingredientes_Dieta!$C$17:$C$18,Ingredientes_Dieta!$D$17:$D$18),Ingredientes_Dieta!$F$11))</f>
        <v>0.58250000000000002</v>
      </c>
      <c r="J4" s="28">
        <f t="shared" ref="J4:J67" si="2">IF(F4="","",F4*I4)</f>
        <v>873.63350000000003</v>
      </c>
      <c r="K4" s="72" t="s">
        <v>121</v>
      </c>
    </row>
    <row r="5" spans="1:11" ht="15" customHeight="1" x14ac:dyDescent="0.3">
      <c r="A5" s="17">
        <v>46221</v>
      </c>
      <c r="B5" s="71">
        <v>1</v>
      </c>
      <c r="C5" s="23">
        <v>599.9</v>
      </c>
      <c r="D5" s="23">
        <v>300</v>
      </c>
      <c r="E5" s="23">
        <v>599.9</v>
      </c>
      <c r="F5" s="40">
        <f t="shared" si="0"/>
        <v>1499.8</v>
      </c>
      <c r="G5" s="64">
        <f>IF(B5="","",IFERROR(INDEX(Currais!$C:$C,MATCH(B5,Currais!$A:$A,0)),""))</f>
        <v>76</v>
      </c>
      <c r="H5" s="42">
        <f t="shared" si="1"/>
        <v>19.734210526315788</v>
      </c>
      <c r="I5" s="46">
        <f>IF(F5="","",IFERROR(LOOKUP(A5,Ingredientes_Dieta!$C$17:$C$18,Ingredientes_Dieta!$D$17:$D$18),Ingredientes_Dieta!$F$11))</f>
        <v>0.58250000000000002</v>
      </c>
      <c r="J5" s="28">
        <f t="shared" si="2"/>
        <v>873.63350000000003</v>
      </c>
      <c r="K5" s="72" t="s">
        <v>121</v>
      </c>
    </row>
    <row r="6" spans="1:11" ht="15" customHeight="1" x14ac:dyDescent="0.3">
      <c r="A6" s="17">
        <v>46222</v>
      </c>
      <c r="B6" s="71">
        <v>1</v>
      </c>
      <c r="C6" s="23">
        <v>599.9</v>
      </c>
      <c r="D6" s="23">
        <v>300</v>
      </c>
      <c r="E6" s="23">
        <v>599.9</v>
      </c>
      <c r="F6" s="40">
        <f t="shared" si="0"/>
        <v>1499.8</v>
      </c>
      <c r="G6" s="64">
        <f>IF(B6="","",IFERROR(INDEX(Currais!$C:$C,MATCH(B6,Currais!$A:$A,0)),""))</f>
        <v>76</v>
      </c>
      <c r="H6" s="42">
        <f t="shared" si="1"/>
        <v>19.734210526315788</v>
      </c>
      <c r="I6" s="46">
        <f>IF(F6="","",IFERROR(LOOKUP(A6,Ingredientes_Dieta!$C$17:$C$18,Ingredientes_Dieta!$D$17:$D$18),Ingredientes_Dieta!$F$11))</f>
        <v>0.58250000000000002</v>
      </c>
      <c r="J6" s="28">
        <f t="shared" si="2"/>
        <v>873.63350000000003</v>
      </c>
      <c r="K6" s="72" t="s">
        <v>121</v>
      </c>
    </row>
    <row r="7" spans="1:11" ht="15" customHeight="1" x14ac:dyDescent="0.3">
      <c r="A7" s="17">
        <v>46223</v>
      </c>
      <c r="B7" s="71">
        <v>1</v>
      </c>
      <c r="C7" s="23">
        <v>599.9</v>
      </c>
      <c r="D7" s="23">
        <v>300</v>
      </c>
      <c r="E7" s="23">
        <v>599.9</v>
      </c>
      <c r="F7" s="40">
        <f t="shared" si="0"/>
        <v>1499.8</v>
      </c>
      <c r="G7" s="64">
        <f>IF(B7="","",IFERROR(INDEX(Currais!$C:$C,MATCH(B7,Currais!$A:$A,0)),""))</f>
        <v>76</v>
      </c>
      <c r="H7" s="42">
        <f t="shared" si="1"/>
        <v>19.734210526315788</v>
      </c>
      <c r="I7" s="46">
        <f>IF(F7="","",IFERROR(LOOKUP(A7,Ingredientes_Dieta!$C$17:$C$18,Ingredientes_Dieta!$D$17:$D$18),Ingredientes_Dieta!$F$11))</f>
        <v>0.58250000000000002</v>
      </c>
      <c r="J7" s="28">
        <f t="shared" si="2"/>
        <v>873.63350000000003</v>
      </c>
      <c r="K7" s="72" t="s">
        <v>121</v>
      </c>
    </row>
    <row r="8" spans="1:11" ht="15" customHeight="1" x14ac:dyDescent="0.3">
      <c r="A8" s="17">
        <v>46224</v>
      </c>
      <c r="B8" s="71">
        <v>1</v>
      </c>
      <c r="C8" s="23">
        <v>599.9</v>
      </c>
      <c r="D8" s="23">
        <v>300</v>
      </c>
      <c r="E8" s="23">
        <v>599.9</v>
      </c>
      <c r="F8" s="40">
        <f t="shared" si="0"/>
        <v>1499.8</v>
      </c>
      <c r="G8" s="64">
        <f>IF(B8="","",IFERROR(INDEX(Currais!$C:$C,MATCH(B8,Currais!$A:$A,0)),""))</f>
        <v>76</v>
      </c>
      <c r="H8" s="42">
        <f t="shared" si="1"/>
        <v>19.734210526315788</v>
      </c>
      <c r="I8" s="46">
        <f>IF(F8="","",IFERROR(LOOKUP(A8,Ingredientes_Dieta!$C$17:$C$18,Ingredientes_Dieta!$D$17:$D$18),Ingredientes_Dieta!$F$11))</f>
        <v>0.58250000000000002</v>
      </c>
      <c r="J8" s="28">
        <f t="shared" si="2"/>
        <v>873.63350000000003</v>
      </c>
      <c r="K8" s="72" t="s">
        <v>121</v>
      </c>
    </row>
    <row r="9" spans="1:11" ht="15" customHeight="1" x14ac:dyDescent="0.3">
      <c r="A9" s="17">
        <v>46225</v>
      </c>
      <c r="B9" s="71">
        <v>1</v>
      </c>
      <c r="C9" s="23">
        <v>599.9</v>
      </c>
      <c r="D9" s="23">
        <v>300</v>
      </c>
      <c r="E9" s="23">
        <v>599.9</v>
      </c>
      <c r="F9" s="40">
        <f t="shared" si="0"/>
        <v>1499.8</v>
      </c>
      <c r="G9" s="64">
        <f>IF(B9="","",IFERROR(INDEX(Currais!$C:$C,MATCH(B9,Currais!$A:$A,0)),""))</f>
        <v>76</v>
      </c>
      <c r="H9" s="42">
        <f t="shared" si="1"/>
        <v>19.734210526315788</v>
      </c>
      <c r="I9" s="46">
        <f>IF(F9="","",IFERROR(LOOKUP(A9,Ingredientes_Dieta!$C$17:$C$18,Ingredientes_Dieta!$D$17:$D$18),Ingredientes_Dieta!$F$11))</f>
        <v>0.58250000000000002</v>
      </c>
      <c r="J9" s="28">
        <f t="shared" si="2"/>
        <v>873.63350000000003</v>
      </c>
      <c r="K9" s="72" t="s">
        <v>121</v>
      </c>
    </row>
    <row r="10" spans="1:11" ht="15" customHeight="1" x14ac:dyDescent="0.3">
      <c r="A10" s="17">
        <v>46226</v>
      </c>
      <c r="B10" s="71">
        <v>1</v>
      </c>
      <c r="C10" s="23">
        <v>599.9</v>
      </c>
      <c r="D10" s="23">
        <v>300</v>
      </c>
      <c r="E10" s="23">
        <v>599.9</v>
      </c>
      <c r="F10" s="40">
        <f t="shared" si="0"/>
        <v>1499.8</v>
      </c>
      <c r="G10" s="64">
        <f>IF(B10="","",IFERROR(INDEX(Currais!$C:$C,MATCH(B10,Currais!$A:$A,0)),""))</f>
        <v>76</v>
      </c>
      <c r="H10" s="42">
        <f t="shared" si="1"/>
        <v>19.734210526315788</v>
      </c>
      <c r="I10" s="46">
        <f>IF(F10="","",IFERROR(LOOKUP(A10,Ingredientes_Dieta!$C$17:$C$18,Ingredientes_Dieta!$D$17:$D$18),Ingredientes_Dieta!$F$11))</f>
        <v>0.58250000000000002</v>
      </c>
      <c r="J10" s="28">
        <f t="shared" si="2"/>
        <v>873.63350000000003</v>
      </c>
      <c r="K10" s="72" t="s">
        <v>121</v>
      </c>
    </row>
    <row r="11" spans="1:11" ht="15" customHeight="1" x14ac:dyDescent="0.3">
      <c r="A11" s="17">
        <v>46227</v>
      </c>
      <c r="B11" s="71">
        <v>1</v>
      </c>
      <c r="C11" s="23">
        <v>599.9</v>
      </c>
      <c r="D11" s="23">
        <v>300</v>
      </c>
      <c r="E11" s="23">
        <v>599.9</v>
      </c>
      <c r="F11" s="40">
        <f t="shared" si="0"/>
        <v>1499.8</v>
      </c>
      <c r="G11" s="64">
        <f>IF(B11="","",IFERROR(INDEX(Currais!$C:$C,MATCH(B11,Currais!$A:$A,0)),""))</f>
        <v>76</v>
      </c>
      <c r="H11" s="42">
        <f t="shared" si="1"/>
        <v>19.734210526315788</v>
      </c>
      <c r="I11" s="46">
        <f>IF(F11="","",IFERROR(LOOKUP(A11,Ingredientes_Dieta!$C$17:$C$18,Ingredientes_Dieta!$D$17:$D$18),Ingredientes_Dieta!$F$11))</f>
        <v>0.58250000000000002</v>
      </c>
      <c r="J11" s="28">
        <f t="shared" si="2"/>
        <v>873.63350000000003</v>
      </c>
      <c r="K11" s="72" t="s">
        <v>121</v>
      </c>
    </row>
    <row r="12" spans="1:11" ht="15" customHeight="1" x14ac:dyDescent="0.3">
      <c r="A12" s="17">
        <v>46228</v>
      </c>
      <c r="B12" s="71">
        <v>1</v>
      </c>
      <c r="C12" s="23">
        <v>599.9</v>
      </c>
      <c r="D12" s="23">
        <v>300</v>
      </c>
      <c r="E12" s="23">
        <v>599.9</v>
      </c>
      <c r="F12" s="40">
        <f t="shared" si="0"/>
        <v>1499.8</v>
      </c>
      <c r="G12" s="64">
        <f>IF(B12="","",IFERROR(INDEX(Currais!$C:$C,MATCH(B12,Currais!$A:$A,0)),""))</f>
        <v>76</v>
      </c>
      <c r="H12" s="42">
        <f t="shared" si="1"/>
        <v>19.734210526315788</v>
      </c>
      <c r="I12" s="46">
        <f>IF(F12="","",IFERROR(LOOKUP(A12,Ingredientes_Dieta!$C$17:$C$18,Ingredientes_Dieta!$D$17:$D$18),Ingredientes_Dieta!$F$11))</f>
        <v>0.58250000000000002</v>
      </c>
      <c r="J12" s="28">
        <f t="shared" si="2"/>
        <v>873.63350000000003</v>
      </c>
      <c r="K12" s="72" t="s">
        <v>121</v>
      </c>
    </row>
    <row r="13" spans="1:11" ht="15" customHeight="1" x14ac:dyDescent="0.3">
      <c r="A13" s="17">
        <v>46229</v>
      </c>
      <c r="B13" s="71">
        <v>1</v>
      </c>
      <c r="C13" s="23">
        <v>599.9</v>
      </c>
      <c r="D13" s="23">
        <v>300</v>
      </c>
      <c r="E13" s="23">
        <v>599.9</v>
      </c>
      <c r="F13" s="40">
        <f t="shared" si="0"/>
        <v>1499.8</v>
      </c>
      <c r="G13" s="64">
        <f>IF(B13="","",IFERROR(INDEX(Currais!$C:$C,MATCH(B13,Currais!$A:$A,0)),""))</f>
        <v>76</v>
      </c>
      <c r="H13" s="42">
        <f t="shared" si="1"/>
        <v>19.734210526315788</v>
      </c>
      <c r="I13" s="46">
        <f>IF(F13="","",IFERROR(LOOKUP(A13,Ingredientes_Dieta!$C$17:$C$18,Ingredientes_Dieta!$D$17:$D$18),Ingredientes_Dieta!$F$11))</f>
        <v>0.58250000000000002</v>
      </c>
      <c r="J13" s="28">
        <f t="shared" si="2"/>
        <v>873.63350000000003</v>
      </c>
      <c r="K13" s="72" t="s">
        <v>121</v>
      </c>
    </row>
    <row r="14" spans="1:11" ht="15" customHeight="1" x14ac:dyDescent="0.3">
      <c r="A14" s="17">
        <v>46230</v>
      </c>
      <c r="B14" s="71">
        <v>1</v>
      </c>
      <c r="C14" s="23">
        <v>599.9</v>
      </c>
      <c r="D14" s="23">
        <v>300</v>
      </c>
      <c r="E14" s="23">
        <v>599.9</v>
      </c>
      <c r="F14" s="40">
        <f t="shared" si="0"/>
        <v>1499.8</v>
      </c>
      <c r="G14" s="64">
        <f>IF(B14="","",IFERROR(INDEX(Currais!$C:$C,MATCH(B14,Currais!$A:$A,0)),""))</f>
        <v>76</v>
      </c>
      <c r="H14" s="42">
        <f t="shared" si="1"/>
        <v>19.734210526315788</v>
      </c>
      <c r="I14" s="46">
        <f>IF(F14="","",IFERROR(LOOKUP(A14,Ingredientes_Dieta!$C$17:$C$18,Ingredientes_Dieta!$D$17:$D$18),Ingredientes_Dieta!$F$11))</f>
        <v>0.58250000000000002</v>
      </c>
      <c r="J14" s="28">
        <f t="shared" si="2"/>
        <v>873.63350000000003</v>
      </c>
      <c r="K14" s="72" t="s">
        <v>121</v>
      </c>
    </row>
    <row r="15" spans="1:11" ht="15" customHeight="1" x14ac:dyDescent="0.3">
      <c r="A15" s="17">
        <v>46231</v>
      </c>
      <c r="B15" s="71">
        <v>1</v>
      </c>
      <c r="C15" s="23">
        <v>599.9</v>
      </c>
      <c r="D15" s="23">
        <v>300</v>
      </c>
      <c r="E15" s="23">
        <v>599.9</v>
      </c>
      <c r="F15" s="40">
        <f t="shared" si="0"/>
        <v>1499.8</v>
      </c>
      <c r="G15" s="64">
        <f>IF(B15="","",IFERROR(INDEX(Currais!$C:$C,MATCH(B15,Currais!$A:$A,0)),""))</f>
        <v>76</v>
      </c>
      <c r="H15" s="42">
        <f t="shared" si="1"/>
        <v>19.734210526315788</v>
      </c>
      <c r="I15" s="46">
        <f>IF(F15="","",IFERROR(LOOKUP(A15,Ingredientes_Dieta!$C$17:$C$18,Ingredientes_Dieta!$D$17:$D$18),Ingredientes_Dieta!$F$11))</f>
        <v>0.58250000000000002</v>
      </c>
      <c r="J15" s="28">
        <f t="shared" si="2"/>
        <v>873.63350000000003</v>
      </c>
      <c r="K15" s="72" t="s">
        <v>121</v>
      </c>
    </row>
    <row r="16" spans="1:11" ht="15" customHeight="1" x14ac:dyDescent="0.3">
      <c r="A16" s="17">
        <v>46232</v>
      </c>
      <c r="B16" s="71">
        <v>1</v>
      </c>
      <c r="C16" s="23">
        <v>599.9</v>
      </c>
      <c r="D16" s="23">
        <v>300</v>
      </c>
      <c r="E16" s="23">
        <v>599.9</v>
      </c>
      <c r="F16" s="40">
        <f t="shared" si="0"/>
        <v>1499.8</v>
      </c>
      <c r="G16" s="64">
        <f>IF(B16="","",IFERROR(INDEX(Currais!$C:$C,MATCH(B16,Currais!$A:$A,0)),""))</f>
        <v>76</v>
      </c>
      <c r="H16" s="42">
        <f t="shared" si="1"/>
        <v>19.734210526315788</v>
      </c>
      <c r="I16" s="46">
        <f>IF(F16="","",IFERROR(LOOKUP(A16,Ingredientes_Dieta!$C$17:$C$18,Ingredientes_Dieta!$D$17:$D$18),Ingredientes_Dieta!$F$11))</f>
        <v>0.58250000000000002</v>
      </c>
      <c r="J16" s="28">
        <f t="shared" si="2"/>
        <v>873.63350000000003</v>
      </c>
      <c r="K16" s="72" t="s">
        <v>121</v>
      </c>
    </row>
    <row r="17" spans="1:11" ht="15" customHeight="1" x14ac:dyDescent="0.3">
      <c r="A17" s="17">
        <v>46233</v>
      </c>
      <c r="B17" s="71">
        <v>1</v>
      </c>
      <c r="C17" s="23">
        <v>666.6</v>
      </c>
      <c r="D17" s="23">
        <v>333.3</v>
      </c>
      <c r="E17" s="23">
        <v>666.6</v>
      </c>
      <c r="F17" s="40">
        <f t="shared" si="0"/>
        <v>1666.5</v>
      </c>
      <c r="G17" s="64">
        <f>IF(B17="","",IFERROR(INDEX(Currais!$C:$C,MATCH(B17,Currais!$A:$A,0)),""))</f>
        <v>76</v>
      </c>
      <c r="H17" s="42">
        <f t="shared" si="1"/>
        <v>21.92763157894737</v>
      </c>
      <c r="I17" s="46">
        <f>IF(F17="","",IFERROR(LOOKUP(A17,Ingredientes_Dieta!$C$17:$C$18,Ingredientes_Dieta!$D$17:$D$18),Ingredientes_Dieta!$F$11))</f>
        <v>0.58250000000000002</v>
      </c>
      <c r="J17" s="28">
        <f t="shared" si="2"/>
        <v>970.73625000000004</v>
      </c>
      <c r="K17" s="72" t="s">
        <v>122</v>
      </c>
    </row>
    <row r="18" spans="1:11" ht="15" customHeight="1" x14ac:dyDescent="0.3">
      <c r="A18" s="17">
        <v>46234</v>
      </c>
      <c r="B18" s="71">
        <v>1</v>
      </c>
      <c r="C18" s="23">
        <v>666.6</v>
      </c>
      <c r="D18" s="23">
        <v>333.3</v>
      </c>
      <c r="E18" s="23">
        <v>666.6</v>
      </c>
      <c r="F18" s="40">
        <f t="shared" si="0"/>
        <v>1666.5</v>
      </c>
      <c r="G18" s="64">
        <f>IF(B18="","",IFERROR(INDEX(Currais!$C:$C,MATCH(B18,Currais!$A:$A,0)),""))</f>
        <v>76</v>
      </c>
      <c r="H18" s="42">
        <f t="shared" si="1"/>
        <v>21.92763157894737</v>
      </c>
      <c r="I18" s="46">
        <f>IF(F18="","",IFERROR(LOOKUP(A18,Ingredientes_Dieta!$C$17:$C$18,Ingredientes_Dieta!$D$17:$D$18),Ingredientes_Dieta!$F$11))</f>
        <v>0.58250000000000002</v>
      </c>
      <c r="J18" s="28">
        <f t="shared" si="2"/>
        <v>970.73625000000004</v>
      </c>
      <c r="K18" s="72" t="s">
        <v>122</v>
      </c>
    </row>
    <row r="19" spans="1:11" ht="15" customHeight="1" x14ac:dyDescent="0.3">
      <c r="A19" s="17">
        <v>46235</v>
      </c>
      <c r="B19" s="71">
        <v>1</v>
      </c>
      <c r="C19" s="23">
        <v>666.6</v>
      </c>
      <c r="D19" s="23">
        <v>333.3</v>
      </c>
      <c r="E19" s="23">
        <v>666.6</v>
      </c>
      <c r="F19" s="40">
        <f t="shared" si="0"/>
        <v>1666.5</v>
      </c>
      <c r="G19" s="64">
        <f>IF(B19="","",IFERROR(INDEX(Currais!$C:$C,MATCH(B19,Currais!$A:$A,0)),""))</f>
        <v>76</v>
      </c>
      <c r="H19" s="42">
        <f t="shared" si="1"/>
        <v>21.92763157894737</v>
      </c>
      <c r="I19" s="46">
        <f>IF(F19="","",IFERROR(LOOKUP(A19,Ingredientes_Dieta!$C$17:$C$18,Ingredientes_Dieta!$D$17:$D$18),Ingredientes_Dieta!$F$11))</f>
        <v>0.58250000000000002</v>
      </c>
      <c r="J19" s="28">
        <f t="shared" si="2"/>
        <v>970.73625000000004</v>
      </c>
      <c r="K19" s="72" t="s">
        <v>122</v>
      </c>
    </row>
    <row r="20" spans="1:11" ht="15" customHeight="1" x14ac:dyDescent="0.3">
      <c r="A20" s="17">
        <v>46236</v>
      </c>
      <c r="B20" s="71">
        <v>1</v>
      </c>
      <c r="C20" s="23">
        <v>666.6</v>
      </c>
      <c r="D20" s="23">
        <v>333.3</v>
      </c>
      <c r="E20" s="23">
        <v>666.6</v>
      </c>
      <c r="F20" s="40">
        <f t="shared" si="0"/>
        <v>1666.5</v>
      </c>
      <c r="G20" s="64">
        <f>IF(B20="","",IFERROR(INDEX(Currais!$C:$C,MATCH(B20,Currais!$A:$A,0)),""))</f>
        <v>76</v>
      </c>
      <c r="H20" s="42">
        <f t="shared" si="1"/>
        <v>21.92763157894737</v>
      </c>
      <c r="I20" s="46">
        <f>IF(F20="","",IFERROR(LOOKUP(A20,Ingredientes_Dieta!$C$17:$C$18,Ingredientes_Dieta!$D$17:$D$18),Ingredientes_Dieta!$F$11))</f>
        <v>0.58250000000000002</v>
      </c>
      <c r="J20" s="28">
        <f t="shared" si="2"/>
        <v>970.73625000000004</v>
      </c>
      <c r="K20" s="72" t="s">
        <v>122</v>
      </c>
    </row>
    <row r="21" spans="1:11" ht="15" customHeight="1" x14ac:dyDescent="0.3">
      <c r="A21" s="17">
        <v>46237</v>
      </c>
      <c r="B21" s="71">
        <v>1</v>
      </c>
      <c r="C21" s="23">
        <v>666.6</v>
      </c>
      <c r="D21" s="23">
        <v>333.3</v>
      </c>
      <c r="E21" s="23">
        <v>666.6</v>
      </c>
      <c r="F21" s="40">
        <f t="shared" si="0"/>
        <v>1666.5</v>
      </c>
      <c r="G21" s="64">
        <f>IF(B21="","",IFERROR(INDEX(Currais!$C:$C,MATCH(B21,Currais!$A:$A,0)),""))</f>
        <v>76</v>
      </c>
      <c r="H21" s="42">
        <f t="shared" si="1"/>
        <v>21.92763157894737</v>
      </c>
      <c r="I21" s="46">
        <f>IF(F21="","",IFERROR(LOOKUP(A21,Ingredientes_Dieta!$C$17:$C$18,Ingredientes_Dieta!$D$17:$D$18),Ingredientes_Dieta!$F$11))</f>
        <v>0.58250000000000002</v>
      </c>
      <c r="J21" s="28">
        <f t="shared" si="2"/>
        <v>970.73625000000004</v>
      </c>
      <c r="K21" s="72" t="s">
        <v>122</v>
      </c>
    </row>
    <row r="22" spans="1:11" ht="15" customHeight="1" x14ac:dyDescent="0.3">
      <c r="A22" s="17">
        <v>46220</v>
      </c>
      <c r="B22" s="71">
        <v>2</v>
      </c>
      <c r="C22" s="23">
        <v>192.1</v>
      </c>
      <c r="D22" s="23">
        <v>96</v>
      </c>
      <c r="E22" s="23">
        <v>192.1</v>
      </c>
      <c r="F22" s="40">
        <f t="shared" si="0"/>
        <v>480.20000000000005</v>
      </c>
      <c r="G22" s="64">
        <f>IF(B22="","",IFERROR(INDEX(Currais!$C:$C,MATCH(B22,Currais!$A:$A,0)),""))</f>
        <v>22</v>
      </c>
      <c r="H22" s="42">
        <f t="shared" si="1"/>
        <v>21.827272727272728</v>
      </c>
      <c r="I22" s="46">
        <f>IF(F22="","",IFERROR(LOOKUP(A22,Ingredientes_Dieta!$C$17:$C$18,Ingredientes_Dieta!$D$17:$D$18),Ingredientes_Dieta!$F$11))</f>
        <v>0.58250000000000002</v>
      </c>
      <c r="J22" s="28">
        <f t="shared" si="2"/>
        <v>279.71650000000005</v>
      </c>
      <c r="K22" s="72" t="s">
        <v>121</v>
      </c>
    </row>
    <row r="23" spans="1:11" ht="15" customHeight="1" x14ac:dyDescent="0.3">
      <c r="A23" s="17">
        <v>46221</v>
      </c>
      <c r="B23" s="71">
        <v>2</v>
      </c>
      <c r="C23" s="23">
        <v>192.1</v>
      </c>
      <c r="D23" s="23">
        <v>96</v>
      </c>
      <c r="E23" s="23">
        <v>192.1</v>
      </c>
      <c r="F23" s="40">
        <f t="shared" si="0"/>
        <v>480.20000000000005</v>
      </c>
      <c r="G23" s="64">
        <f>IF(B23="","",IFERROR(INDEX(Currais!$C:$C,MATCH(B23,Currais!$A:$A,0)),""))</f>
        <v>22</v>
      </c>
      <c r="H23" s="42">
        <f t="shared" si="1"/>
        <v>21.827272727272728</v>
      </c>
      <c r="I23" s="46">
        <f>IF(F23="","",IFERROR(LOOKUP(A23,Ingredientes_Dieta!$C$17:$C$18,Ingredientes_Dieta!$D$17:$D$18),Ingredientes_Dieta!$F$11))</f>
        <v>0.58250000000000002</v>
      </c>
      <c r="J23" s="28">
        <f t="shared" si="2"/>
        <v>279.71650000000005</v>
      </c>
      <c r="K23" s="72" t="s">
        <v>121</v>
      </c>
    </row>
    <row r="24" spans="1:11" ht="15" customHeight="1" x14ac:dyDescent="0.3">
      <c r="A24" s="17">
        <v>46222</v>
      </c>
      <c r="B24" s="71">
        <v>2</v>
      </c>
      <c r="C24" s="23">
        <v>192.1</v>
      </c>
      <c r="D24" s="23">
        <v>96</v>
      </c>
      <c r="E24" s="23">
        <v>192.1</v>
      </c>
      <c r="F24" s="40">
        <f t="shared" si="0"/>
        <v>480.20000000000005</v>
      </c>
      <c r="G24" s="64">
        <f>IF(B24="","",IFERROR(INDEX(Currais!$C:$C,MATCH(B24,Currais!$A:$A,0)),""))</f>
        <v>22</v>
      </c>
      <c r="H24" s="42">
        <f t="shared" si="1"/>
        <v>21.827272727272728</v>
      </c>
      <c r="I24" s="46">
        <f>IF(F24="","",IFERROR(LOOKUP(A24,Ingredientes_Dieta!$C$17:$C$18,Ingredientes_Dieta!$D$17:$D$18),Ingredientes_Dieta!$F$11))</f>
        <v>0.58250000000000002</v>
      </c>
      <c r="J24" s="28">
        <f t="shared" si="2"/>
        <v>279.71650000000005</v>
      </c>
      <c r="K24" s="72" t="s">
        <v>121</v>
      </c>
    </row>
    <row r="25" spans="1:11" ht="15" customHeight="1" x14ac:dyDescent="0.3">
      <c r="A25" s="17">
        <v>46223</v>
      </c>
      <c r="B25" s="71">
        <v>2</v>
      </c>
      <c r="C25" s="23">
        <v>192.1</v>
      </c>
      <c r="D25" s="23">
        <v>96</v>
      </c>
      <c r="E25" s="23">
        <v>192.1</v>
      </c>
      <c r="F25" s="40">
        <f t="shared" si="0"/>
        <v>480.20000000000005</v>
      </c>
      <c r="G25" s="64">
        <f>IF(B25="","",IFERROR(INDEX(Currais!$C:$C,MATCH(B25,Currais!$A:$A,0)),""))</f>
        <v>22</v>
      </c>
      <c r="H25" s="42">
        <f t="shared" si="1"/>
        <v>21.827272727272728</v>
      </c>
      <c r="I25" s="46">
        <f>IF(F25="","",IFERROR(LOOKUP(A25,Ingredientes_Dieta!$C$17:$C$18,Ingredientes_Dieta!$D$17:$D$18),Ingredientes_Dieta!$F$11))</f>
        <v>0.58250000000000002</v>
      </c>
      <c r="J25" s="28">
        <f t="shared" si="2"/>
        <v>279.71650000000005</v>
      </c>
      <c r="K25" s="72" t="s">
        <v>121</v>
      </c>
    </row>
    <row r="26" spans="1:11" ht="15" customHeight="1" x14ac:dyDescent="0.3">
      <c r="A26" s="17">
        <v>46224</v>
      </c>
      <c r="B26" s="71">
        <v>2</v>
      </c>
      <c r="C26" s="23">
        <v>192.1</v>
      </c>
      <c r="D26" s="23">
        <v>96</v>
      </c>
      <c r="E26" s="23">
        <v>192.1</v>
      </c>
      <c r="F26" s="40">
        <f t="shared" si="0"/>
        <v>480.20000000000005</v>
      </c>
      <c r="G26" s="64">
        <f>IF(B26="","",IFERROR(INDEX(Currais!$C:$C,MATCH(B26,Currais!$A:$A,0)),""))</f>
        <v>22</v>
      </c>
      <c r="H26" s="42">
        <f t="shared" si="1"/>
        <v>21.827272727272728</v>
      </c>
      <c r="I26" s="46">
        <f>IF(F26="","",IFERROR(LOOKUP(A26,Ingredientes_Dieta!$C$17:$C$18,Ingredientes_Dieta!$D$17:$D$18),Ingredientes_Dieta!$F$11))</f>
        <v>0.58250000000000002</v>
      </c>
      <c r="J26" s="28">
        <f t="shared" si="2"/>
        <v>279.71650000000005</v>
      </c>
      <c r="K26" s="72" t="s">
        <v>121</v>
      </c>
    </row>
    <row r="27" spans="1:11" ht="15" customHeight="1" x14ac:dyDescent="0.3">
      <c r="A27" s="17">
        <v>46225</v>
      </c>
      <c r="B27" s="71">
        <v>2</v>
      </c>
      <c r="C27" s="23">
        <v>192.1</v>
      </c>
      <c r="D27" s="23">
        <v>96</v>
      </c>
      <c r="E27" s="23">
        <v>192.1</v>
      </c>
      <c r="F27" s="40">
        <f t="shared" si="0"/>
        <v>480.20000000000005</v>
      </c>
      <c r="G27" s="64">
        <f>IF(B27="","",IFERROR(INDEX(Currais!$C:$C,MATCH(B27,Currais!$A:$A,0)),""))</f>
        <v>22</v>
      </c>
      <c r="H27" s="42">
        <f t="shared" si="1"/>
        <v>21.827272727272728</v>
      </c>
      <c r="I27" s="46">
        <f>IF(F27="","",IFERROR(LOOKUP(A27,Ingredientes_Dieta!$C$17:$C$18,Ingredientes_Dieta!$D$17:$D$18),Ingredientes_Dieta!$F$11))</f>
        <v>0.58250000000000002</v>
      </c>
      <c r="J27" s="28">
        <f t="shared" si="2"/>
        <v>279.71650000000005</v>
      </c>
      <c r="K27" s="72" t="s">
        <v>121</v>
      </c>
    </row>
    <row r="28" spans="1:11" ht="15" customHeight="1" x14ac:dyDescent="0.3">
      <c r="A28" s="17">
        <v>46226</v>
      </c>
      <c r="B28" s="71">
        <v>2</v>
      </c>
      <c r="C28" s="23">
        <v>192.1</v>
      </c>
      <c r="D28" s="23">
        <v>96</v>
      </c>
      <c r="E28" s="23">
        <v>192.1</v>
      </c>
      <c r="F28" s="40">
        <f t="shared" si="0"/>
        <v>480.20000000000005</v>
      </c>
      <c r="G28" s="64">
        <f>IF(B28="","",IFERROR(INDEX(Currais!$C:$C,MATCH(B28,Currais!$A:$A,0)),""))</f>
        <v>22</v>
      </c>
      <c r="H28" s="42">
        <f t="shared" si="1"/>
        <v>21.827272727272728</v>
      </c>
      <c r="I28" s="46">
        <f>IF(F28="","",IFERROR(LOOKUP(A28,Ingredientes_Dieta!$C$17:$C$18,Ingredientes_Dieta!$D$17:$D$18),Ingredientes_Dieta!$F$11))</f>
        <v>0.58250000000000002</v>
      </c>
      <c r="J28" s="28">
        <f t="shared" si="2"/>
        <v>279.71650000000005</v>
      </c>
      <c r="K28" s="72" t="s">
        <v>121</v>
      </c>
    </row>
    <row r="29" spans="1:11" ht="15" customHeight="1" x14ac:dyDescent="0.3">
      <c r="A29" s="17">
        <v>46227</v>
      </c>
      <c r="B29" s="71">
        <v>2</v>
      </c>
      <c r="C29" s="23">
        <v>192.1</v>
      </c>
      <c r="D29" s="23">
        <v>96</v>
      </c>
      <c r="E29" s="23">
        <v>192.1</v>
      </c>
      <c r="F29" s="40">
        <f t="shared" si="0"/>
        <v>480.20000000000005</v>
      </c>
      <c r="G29" s="64">
        <f>IF(B29="","",IFERROR(INDEX(Currais!$C:$C,MATCH(B29,Currais!$A:$A,0)),""))</f>
        <v>22</v>
      </c>
      <c r="H29" s="42">
        <f t="shared" si="1"/>
        <v>21.827272727272728</v>
      </c>
      <c r="I29" s="46">
        <f>IF(F29="","",IFERROR(LOOKUP(A29,Ingredientes_Dieta!$C$17:$C$18,Ingredientes_Dieta!$D$17:$D$18),Ingredientes_Dieta!$F$11))</f>
        <v>0.58250000000000002</v>
      </c>
      <c r="J29" s="28">
        <f t="shared" si="2"/>
        <v>279.71650000000005</v>
      </c>
      <c r="K29" s="72" t="s">
        <v>121</v>
      </c>
    </row>
    <row r="30" spans="1:11" ht="15" customHeight="1" x14ac:dyDescent="0.3">
      <c r="A30" s="17">
        <v>46228</v>
      </c>
      <c r="B30" s="71">
        <v>2</v>
      </c>
      <c r="C30" s="23">
        <v>192.1</v>
      </c>
      <c r="D30" s="23">
        <v>96</v>
      </c>
      <c r="E30" s="23">
        <v>192.1</v>
      </c>
      <c r="F30" s="40">
        <f t="shared" si="0"/>
        <v>480.20000000000005</v>
      </c>
      <c r="G30" s="64">
        <f>IF(B30="","",IFERROR(INDEX(Currais!$C:$C,MATCH(B30,Currais!$A:$A,0)),""))</f>
        <v>22</v>
      </c>
      <c r="H30" s="42">
        <f t="shared" si="1"/>
        <v>21.827272727272728</v>
      </c>
      <c r="I30" s="46">
        <f>IF(F30="","",IFERROR(LOOKUP(A30,Ingredientes_Dieta!$C$17:$C$18,Ingredientes_Dieta!$D$17:$D$18),Ingredientes_Dieta!$F$11))</f>
        <v>0.58250000000000002</v>
      </c>
      <c r="J30" s="28">
        <f t="shared" si="2"/>
        <v>279.71650000000005</v>
      </c>
      <c r="K30" s="72" t="s">
        <v>121</v>
      </c>
    </row>
    <row r="31" spans="1:11" ht="15" customHeight="1" x14ac:dyDescent="0.3">
      <c r="A31" s="17">
        <v>46229</v>
      </c>
      <c r="B31" s="71">
        <v>2</v>
      </c>
      <c r="C31" s="23">
        <v>192.1</v>
      </c>
      <c r="D31" s="23">
        <v>96</v>
      </c>
      <c r="E31" s="23">
        <v>192.1</v>
      </c>
      <c r="F31" s="40">
        <f t="shared" si="0"/>
        <v>480.20000000000005</v>
      </c>
      <c r="G31" s="64">
        <f>IF(B31="","",IFERROR(INDEX(Currais!$C:$C,MATCH(B31,Currais!$A:$A,0)),""))</f>
        <v>22</v>
      </c>
      <c r="H31" s="42">
        <f t="shared" si="1"/>
        <v>21.827272727272728</v>
      </c>
      <c r="I31" s="46">
        <f>IF(F31="","",IFERROR(LOOKUP(A31,Ingredientes_Dieta!$C$17:$C$18,Ingredientes_Dieta!$D$17:$D$18),Ingredientes_Dieta!$F$11))</f>
        <v>0.58250000000000002</v>
      </c>
      <c r="J31" s="28">
        <f t="shared" si="2"/>
        <v>279.71650000000005</v>
      </c>
      <c r="K31" s="72" t="s">
        <v>121</v>
      </c>
    </row>
    <row r="32" spans="1:11" ht="15" customHeight="1" x14ac:dyDescent="0.3">
      <c r="A32" s="17">
        <v>46230</v>
      </c>
      <c r="B32" s="71">
        <v>2</v>
      </c>
      <c r="C32" s="23">
        <v>192.1</v>
      </c>
      <c r="D32" s="23">
        <v>96</v>
      </c>
      <c r="E32" s="23">
        <v>192.1</v>
      </c>
      <c r="F32" s="40">
        <f t="shared" si="0"/>
        <v>480.20000000000005</v>
      </c>
      <c r="G32" s="64">
        <f>IF(B32="","",IFERROR(INDEX(Currais!$C:$C,MATCH(B32,Currais!$A:$A,0)),""))</f>
        <v>22</v>
      </c>
      <c r="H32" s="42">
        <f t="shared" si="1"/>
        <v>21.827272727272728</v>
      </c>
      <c r="I32" s="46">
        <f>IF(F32="","",IFERROR(LOOKUP(A32,Ingredientes_Dieta!$C$17:$C$18,Ingredientes_Dieta!$D$17:$D$18),Ingredientes_Dieta!$F$11))</f>
        <v>0.58250000000000002</v>
      </c>
      <c r="J32" s="28">
        <f t="shared" si="2"/>
        <v>279.71650000000005</v>
      </c>
      <c r="K32" s="72" t="s">
        <v>121</v>
      </c>
    </row>
    <row r="33" spans="1:11" ht="15" customHeight="1" x14ac:dyDescent="0.3">
      <c r="A33" s="17">
        <v>46231</v>
      </c>
      <c r="B33" s="71">
        <v>2</v>
      </c>
      <c r="C33" s="23">
        <v>192.1</v>
      </c>
      <c r="D33" s="23">
        <v>96</v>
      </c>
      <c r="E33" s="23">
        <v>192.1</v>
      </c>
      <c r="F33" s="40">
        <f t="shared" si="0"/>
        <v>480.20000000000005</v>
      </c>
      <c r="G33" s="64">
        <f>IF(B33="","",IFERROR(INDEX(Currais!$C:$C,MATCH(B33,Currais!$A:$A,0)),""))</f>
        <v>22</v>
      </c>
      <c r="H33" s="42">
        <f t="shared" si="1"/>
        <v>21.827272727272728</v>
      </c>
      <c r="I33" s="46">
        <f>IF(F33="","",IFERROR(LOOKUP(A33,Ingredientes_Dieta!$C$17:$C$18,Ingredientes_Dieta!$D$17:$D$18),Ingredientes_Dieta!$F$11))</f>
        <v>0.58250000000000002</v>
      </c>
      <c r="J33" s="28">
        <f t="shared" si="2"/>
        <v>279.71650000000005</v>
      </c>
      <c r="K33" s="72" t="s">
        <v>121</v>
      </c>
    </row>
    <row r="34" spans="1:11" ht="15" customHeight="1" x14ac:dyDescent="0.3">
      <c r="A34" s="17">
        <v>46232</v>
      </c>
      <c r="B34" s="71">
        <v>2</v>
      </c>
      <c r="C34" s="23">
        <v>192.1</v>
      </c>
      <c r="D34" s="23">
        <v>96</v>
      </c>
      <c r="E34" s="23">
        <v>192.1</v>
      </c>
      <c r="F34" s="40">
        <f t="shared" si="0"/>
        <v>480.20000000000005</v>
      </c>
      <c r="G34" s="64">
        <f>IF(B34="","",IFERROR(INDEX(Currais!$C:$C,MATCH(B34,Currais!$A:$A,0)),""))</f>
        <v>22</v>
      </c>
      <c r="H34" s="42">
        <f t="shared" si="1"/>
        <v>21.827272727272728</v>
      </c>
      <c r="I34" s="46">
        <f>IF(F34="","",IFERROR(LOOKUP(A34,Ingredientes_Dieta!$C$17:$C$18,Ingredientes_Dieta!$D$17:$D$18),Ingredientes_Dieta!$F$11))</f>
        <v>0.58250000000000002</v>
      </c>
      <c r="J34" s="28">
        <f t="shared" si="2"/>
        <v>279.71650000000005</v>
      </c>
      <c r="K34" s="72" t="s">
        <v>121</v>
      </c>
    </row>
    <row r="35" spans="1:11" ht="15" customHeight="1" x14ac:dyDescent="0.3">
      <c r="A35" s="17">
        <v>46233</v>
      </c>
      <c r="B35" s="71">
        <v>2</v>
      </c>
      <c r="C35" s="23">
        <v>213.4</v>
      </c>
      <c r="D35" s="23">
        <v>106.7</v>
      </c>
      <c r="E35" s="23">
        <v>213.4</v>
      </c>
      <c r="F35" s="40">
        <f t="shared" si="0"/>
        <v>533.5</v>
      </c>
      <c r="G35" s="64">
        <f>IF(B35="","",IFERROR(INDEX(Currais!$C:$C,MATCH(B35,Currais!$A:$A,0)),""))</f>
        <v>22</v>
      </c>
      <c r="H35" s="42">
        <f t="shared" si="1"/>
        <v>24.25</v>
      </c>
      <c r="I35" s="46">
        <f>IF(F35="","",IFERROR(LOOKUP(A35,Ingredientes_Dieta!$C$17:$C$18,Ingredientes_Dieta!$D$17:$D$18),Ingredientes_Dieta!$F$11))</f>
        <v>0.58250000000000002</v>
      </c>
      <c r="J35" s="28">
        <f t="shared" si="2"/>
        <v>310.76375000000002</v>
      </c>
      <c r="K35" s="72" t="s">
        <v>122</v>
      </c>
    </row>
    <row r="36" spans="1:11" ht="15" customHeight="1" x14ac:dyDescent="0.3">
      <c r="A36" s="17">
        <v>46234</v>
      </c>
      <c r="B36" s="71">
        <v>2</v>
      </c>
      <c r="C36" s="23">
        <v>213.4</v>
      </c>
      <c r="D36" s="23">
        <v>106.7</v>
      </c>
      <c r="E36" s="23">
        <v>213.4</v>
      </c>
      <c r="F36" s="40">
        <f t="shared" si="0"/>
        <v>533.5</v>
      </c>
      <c r="G36" s="64">
        <f>IF(B36="","",IFERROR(INDEX(Currais!$C:$C,MATCH(B36,Currais!$A:$A,0)),""))</f>
        <v>22</v>
      </c>
      <c r="H36" s="42">
        <f t="shared" si="1"/>
        <v>24.25</v>
      </c>
      <c r="I36" s="46">
        <f>IF(F36="","",IFERROR(LOOKUP(A36,Ingredientes_Dieta!$C$17:$C$18,Ingredientes_Dieta!$D$17:$D$18),Ingredientes_Dieta!$F$11))</f>
        <v>0.58250000000000002</v>
      </c>
      <c r="J36" s="28">
        <f t="shared" si="2"/>
        <v>310.76375000000002</v>
      </c>
      <c r="K36" s="72" t="s">
        <v>122</v>
      </c>
    </row>
    <row r="37" spans="1:11" ht="15" customHeight="1" x14ac:dyDescent="0.3">
      <c r="A37" s="17">
        <v>46235</v>
      </c>
      <c r="B37" s="71">
        <v>2</v>
      </c>
      <c r="C37" s="23">
        <v>213.4</v>
      </c>
      <c r="D37" s="23">
        <v>106.7</v>
      </c>
      <c r="E37" s="23">
        <v>213.4</v>
      </c>
      <c r="F37" s="40">
        <f t="shared" si="0"/>
        <v>533.5</v>
      </c>
      <c r="G37" s="64">
        <f>IF(B37="","",IFERROR(INDEX(Currais!$C:$C,MATCH(B37,Currais!$A:$A,0)),""))</f>
        <v>22</v>
      </c>
      <c r="H37" s="42">
        <f t="shared" si="1"/>
        <v>24.25</v>
      </c>
      <c r="I37" s="46">
        <f>IF(F37="","",IFERROR(LOOKUP(A37,Ingredientes_Dieta!$C$17:$C$18,Ingredientes_Dieta!$D$17:$D$18),Ingredientes_Dieta!$F$11))</f>
        <v>0.58250000000000002</v>
      </c>
      <c r="J37" s="28">
        <f t="shared" si="2"/>
        <v>310.76375000000002</v>
      </c>
      <c r="K37" s="72" t="s">
        <v>122</v>
      </c>
    </row>
    <row r="38" spans="1:11" ht="15" customHeight="1" x14ac:dyDescent="0.3">
      <c r="A38" s="17">
        <v>46236</v>
      </c>
      <c r="B38" s="71">
        <v>2</v>
      </c>
      <c r="C38" s="23">
        <v>213.4</v>
      </c>
      <c r="D38" s="23">
        <v>106.7</v>
      </c>
      <c r="E38" s="23">
        <v>213.4</v>
      </c>
      <c r="F38" s="40">
        <f t="shared" si="0"/>
        <v>533.5</v>
      </c>
      <c r="G38" s="64">
        <f>IF(B38="","",IFERROR(INDEX(Currais!$C:$C,MATCH(B38,Currais!$A:$A,0)),""))</f>
        <v>22</v>
      </c>
      <c r="H38" s="42">
        <f t="shared" si="1"/>
        <v>24.25</v>
      </c>
      <c r="I38" s="46">
        <f>IF(F38="","",IFERROR(LOOKUP(A38,Ingredientes_Dieta!$C$17:$C$18,Ingredientes_Dieta!$D$17:$D$18),Ingredientes_Dieta!$F$11))</f>
        <v>0.58250000000000002</v>
      </c>
      <c r="J38" s="28">
        <f t="shared" si="2"/>
        <v>310.76375000000002</v>
      </c>
      <c r="K38" s="72" t="s">
        <v>122</v>
      </c>
    </row>
    <row r="39" spans="1:11" ht="15" customHeight="1" x14ac:dyDescent="0.3">
      <c r="A39" s="17">
        <v>46237</v>
      </c>
      <c r="B39" s="71">
        <v>2</v>
      </c>
      <c r="C39" s="23">
        <v>213.4</v>
      </c>
      <c r="D39" s="23">
        <v>106.7</v>
      </c>
      <c r="E39" s="23">
        <v>213.4</v>
      </c>
      <c r="F39" s="40">
        <f t="shared" si="0"/>
        <v>533.5</v>
      </c>
      <c r="G39" s="64">
        <f>IF(B39="","",IFERROR(INDEX(Currais!$C:$C,MATCH(B39,Currais!$A:$A,0)),""))</f>
        <v>22</v>
      </c>
      <c r="H39" s="42">
        <f t="shared" si="1"/>
        <v>24.25</v>
      </c>
      <c r="I39" s="46">
        <f>IF(F39="","",IFERROR(LOOKUP(A39,Ingredientes_Dieta!$C$17:$C$18,Ingredientes_Dieta!$D$17:$D$18),Ingredientes_Dieta!$F$11))</f>
        <v>0.58250000000000002</v>
      </c>
      <c r="J39" s="28">
        <f t="shared" si="2"/>
        <v>310.76375000000002</v>
      </c>
      <c r="K39" s="72" t="s">
        <v>122</v>
      </c>
    </row>
    <row r="40" spans="1:11" ht="15" customHeight="1" x14ac:dyDescent="0.3">
      <c r="A40" s="17">
        <v>46220</v>
      </c>
      <c r="B40" s="71">
        <v>3</v>
      </c>
      <c r="C40" s="23">
        <v>607.9</v>
      </c>
      <c r="D40" s="23">
        <v>303.89999999999998</v>
      </c>
      <c r="E40" s="23">
        <v>607.9</v>
      </c>
      <c r="F40" s="40">
        <f t="shared" si="0"/>
        <v>1519.6999999999998</v>
      </c>
      <c r="G40" s="64">
        <f>IF(B40="","",IFERROR(INDEX(Currais!$C:$C,MATCH(B40,Currais!$A:$A,0)),""))</f>
        <v>85</v>
      </c>
      <c r="H40" s="42">
        <f t="shared" si="1"/>
        <v>17.878823529411761</v>
      </c>
      <c r="I40" s="46">
        <f>IF(F40="","",IFERROR(LOOKUP(A40,Ingredientes_Dieta!$C$17:$C$18,Ingredientes_Dieta!$D$17:$D$18),Ingredientes_Dieta!$F$11))</f>
        <v>0.58250000000000002</v>
      </c>
      <c r="J40" s="28">
        <f t="shared" si="2"/>
        <v>885.22524999999996</v>
      </c>
      <c r="K40" s="72" t="s">
        <v>121</v>
      </c>
    </row>
    <row r="41" spans="1:11" ht="15" customHeight="1" x14ac:dyDescent="0.3">
      <c r="A41" s="17">
        <v>46221</v>
      </c>
      <c r="B41" s="71">
        <v>3</v>
      </c>
      <c r="C41" s="23">
        <v>607.9</v>
      </c>
      <c r="D41" s="23">
        <v>303.89999999999998</v>
      </c>
      <c r="E41" s="23">
        <v>607.9</v>
      </c>
      <c r="F41" s="40">
        <f t="shared" si="0"/>
        <v>1519.6999999999998</v>
      </c>
      <c r="G41" s="64">
        <f>IF(B41="","",IFERROR(INDEX(Currais!$C:$C,MATCH(B41,Currais!$A:$A,0)),""))</f>
        <v>85</v>
      </c>
      <c r="H41" s="42">
        <f t="shared" si="1"/>
        <v>17.878823529411761</v>
      </c>
      <c r="I41" s="46">
        <f>IF(F41="","",IFERROR(LOOKUP(A41,Ingredientes_Dieta!$C$17:$C$18,Ingredientes_Dieta!$D$17:$D$18),Ingredientes_Dieta!$F$11))</f>
        <v>0.58250000000000002</v>
      </c>
      <c r="J41" s="28">
        <f t="shared" si="2"/>
        <v>885.22524999999996</v>
      </c>
      <c r="K41" s="72" t="s">
        <v>121</v>
      </c>
    </row>
    <row r="42" spans="1:11" ht="15" customHeight="1" x14ac:dyDescent="0.3">
      <c r="A42" s="17">
        <v>46222</v>
      </c>
      <c r="B42" s="71">
        <v>3</v>
      </c>
      <c r="C42" s="23">
        <v>607.9</v>
      </c>
      <c r="D42" s="23">
        <v>303.89999999999998</v>
      </c>
      <c r="E42" s="23">
        <v>607.9</v>
      </c>
      <c r="F42" s="40">
        <f t="shared" si="0"/>
        <v>1519.6999999999998</v>
      </c>
      <c r="G42" s="64">
        <f>IF(B42="","",IFERROR(INDEX(Currais!$C:$C,MATCH(B42,Currais!$A:$A,0)),""))</f>
        <v>85</v>
      </c>
      <c r="H42" s="42">
        <f t="shared" si="1"/>
        <v>17.878823529411761</v>
      </c>
      <c r="I42" s="46">
        <f>IF(F42="","",IFERROR(LOOKUP(A42,Ingredientes_Dieta!$C$17:$C$18,Ingredientes_Dieta!$D$17:$D$18),Ingredientes_Dieta!$F$11))</f>
        <v>0.58250000000000002</v>
      </c>
      <c r="J42" s="28">
        <f t="shared" si="2"/>
        <v>885.22524999999996</v>
      </c>
      <c r="K42" s="72" t="s">
        <v>121</v>
      </c>
    </row>
    <row r="43" spans="1:11" ht="15" customHeight="1" x14ac:dyDescent="0.3">
      <c r="A43" s="17">
        <v>46223</v>
      </c>
      <c r="B43" s="71">
        <v>3</v>
      </c>
      <c r="C43" s="23">
        <v>607.9</v>
      </c>
      <c r="D43" s="23">
        <v>303.89999999999998</v>
      </c>
      <c r="E43" s="23">
        <v>607.9</v>
      </c>
      <c r="F43" s="40">
        <f t="shared" si="0"/>
        <v>1519.6999999999998</v>
      </c>
      <c r="G43" s="64">
        <f>IF(B43="","",IFERROR(INDEX(Currais!$C:$C,MATCH(B43,Currais!$A:$A,0)),""))</f>
        <v>85</v>
      </c>
      <c r="H43" s="42">
        <f t="shared" si="1"/>
        <v>17.878823529411761</v>
      </c>
      <c r="I43" s="46">
        <f>IF(F43="","",IFERROR(LOOKUP(A43,Ingredientes_Dieta!$C$17:$C$18,Ingredientes_Dieta!$D$17:$D$18),Ingredientes_Dieta!$F$11))</f>
        <v>0.58250000000000002</v>
      </c>
      <c r="J43" s="28">
        <f t="shared" si="2"/>
        <v>885.22524999999996</v>
      </c>
      <c r="K43" s="72" t="s">
        <v>121</v>
      </c>
    </row>
    <row r="44" spans="1:11" ht="15" customHeight="1" x14ac:dyDescent="0.3">
      <c r="A44" s="17">
        <v>46224</v>
      </c>
      <c r="B44" s="71">
        <v>3</v>
      </c>
      <c r="C44" s="23">
        <v>607.9</v>
      </c>
      <c r="D44" s="23">
        <v>303.89999999999998</v>
      </c>
      <c r="E44" s="23">
        <v>607.9</v>
      </c>
      <c r="F44" s="40">
        <f t="shared" si="0"/>
        <v>1519.6999999999998</v>
      </c>
      <c r="G44" s="64">
        <f>IF(B44="","",IFERROR(INDEX(Currais!$C:$C,MATCH(B44,Currais!$A:$A,0)),""))</f>
        <v>85</v>
      </c>
      <c r="H44" s="42">
        <f t="shared" si="1"/>
        <v>17.878823529411761</v>
      </c>
      <c r="I44" s="46">
        <f>IF(F44="","",IFERROR(LOOKUP(A44,Ingredientes_Dieta!$C$17:$C$18,Ingredientes_Dieta!$D$17:$D$18),Ingredientes_Dieta!$F$11))</f>
        <v>0.58250000000000002</v>
      </c>
      <c r="J44" s="28">
        <f t="shared" si="2"/>
        <v>885.22524999999996</v>
      </c>
      <c r="K44" s="72" t="s">
        <v>121</v>
      </c>
    </row>
    <row r="45" spans="1:11" ht="15" customHeight="1" x14ac:dyDescent="0.3">
      <c r="A45" s="17">
        <v>46225</v>
      </c>
      <c r="B45" s="71">
        <v>3</v>
      </c>
      <c r="C45" s="23">
        <v>607.9</v>
      </c>
      <c r="D45" s="23">
        <v>303.89999999999998</v>
      </c>
      <c r="E45" s="23">
        <v>607.9</v>
      </c>
      <c r="F45" s="40">
        <f t="shared" si="0"/>
        <v>1519.6999999999998</v>
      </c>
      <c r="G45" s="64">
        <f>IF(B45="","",IFERROR(INDEX(Currais!$C:$C,MATCH(B45,Currais!$A:$A,0)),""))</f>
        <v>85</v>
      </c>
      <c r="H45" s="42">
        <f t="shared" si="1"/>
        <v>17.878823529411761</v>
      </c>
      <c r="I45" s="46">
        <f>IF(F45="","",IFERROR(LOOKUP(A45,Ingredientes_Dieta!$C$17:$C$18,Ingredientes_Dieta!$D$17:$D$18),Ingredientes_Dieta!$F$11))</f>
        <v>0.58250000000000002</v>
      </c>
      <c r="J45" s="28">
        <f t="shared" si="2"/>
        <v>885.22524999999996</v>
      </c>
      <c r="K45" s="72" t="s">
        <v>121</v>
      </c>
    </row>
    <row r="46" spans="1:11" ht="15" customHeight="1" x14ac:dyDescent="0.3">
      <c r="A46" s="17">
        <v>46226</v>
      </c>
      <c r="B46" s="71">
        <v>3</v>
      </c>
      <c r="C46" s="23">
        <v>607.9</v>
      </c>
      <c r="D46" s="23">
        <v>303.89999999999998</v>
      </c>
      <c r="E46" s="23">
        <v>607.9</v>
      </c>
      <c r="F46" s="40">
        <f t="shared" si="0"/>
        <v>1519.6999999999998</v>
      </c>
      <c r="G46" s="64">
        <f>IF(B46="","",IFERROR(INDEX(Currais!$C:$C,MATCH(B46,Currais!$A:$A,0)),""))</f>
        <v>85</v>
      </c>
      <c r="H46" s="42">
        <f t="shared" si="1"/>
        <v>17.878823529411761</v>
      </c>
      <c r="I46" s="46">
        <f>IF(F46="","",IFERROR(LOOKUP(A46,Ingredientes_Dieta!$C$17:$C$18,Ingredientes_Dieta!$D$17:$D$18),Ingredientes_Dieta!$F$11))</f>
        <v>0.58250000000000002</v>
      </c>
      <c r="J46" s="28">
        <f t="shared" si="2"/>
        <v>885.22524999999996</v>
      </c>
      <c r="K46" s="72" t="s">
        <v>121</v>
      </c>
    </row>
    <row r="47" spans="1:11" ht="15" customHeight="1" x14ac:dyDescent="0.3">
      <c r="A47" s="17">
        <v>46227</v>
      </c>
      <c r="B47" s="71">
        <v>3</v>
      </c>
      <c r="C47" s="23">
        <v>607.9</v>
      </c>
      <c r="D47" s="23">
        <v>303.89999999999998</v>
      </c>
      <c r="E47" s="23">
        <v>607.9</v>
      </c>
      <c r="F47" s="40">
        <f t="shared" si="0"/>
        <v>1519.6999999999998</v>
      </c>
      <c r="G47" s="64">
        <f>IF(B47="","",IFERROR(INDEX(Currais!$C:$C,MATCH(B47,Currais!$A:$A,0)),""))</f>
        <v>85</v>
      </c>
      <c r="H47" s="42">
        <f t="shared" si="1"/>
        <v>17.878823529411761</v>
      </c>
      <c r="I47" s="46">
        <f>IF(F47="","",IFERROR(LOOKUP(A47,Ingredientes_Dieta!$C$17:$C$18,Ingredientes_Dieta!$D$17:$D$18),Ingredientes_Dieta!$F$11))</f>
        <v>0.58250000000000002</v>
      </c>
      <c r="J47" s="28">
        <f t="shared" si="2"/>
        <v>885.22524999999996</v>
      </c>
      <c r="K47" s="72" t="s">
        <v>121</v>
      </c>
    </row>
    <row r="48" spans="1:11" ht="15" customHeight="1" x14ac:dyDescent="0.3">
      <c r="A48" s="17">
        <v>46228</v>
      </c>
      <c r="B48" s="71">
        <v>3</v>
      </c>
      <c r="C48" s="23">
        <v>607.9</v>
      </c>
      <c r="D48" s="23">
        <v>303.89999999999998</v>
      </c>
      <c r="E48" s="23">
        <v>607.9</v>
      </c>
      <c r="F48" s="40">
        <f t="shared" si="0"/>
        <v>1519.6999999999998</v>
      </c>
      <c r="G48" s="64">
        <f>IF(B48="","",IFERROR(INDEX(Currais!$C:$C,MATCH(B48,Currais!$A:$A,0)),""))</f>
        <v>85</v>
      </c>
      <c r="H48" s="42">
        <f t="shared" si="1"/>
        <v>17.878823529411761</v>
      </c>
      <c r="I48" s="46">
        <f>IF(F48="","",IFERROR(LOOKUP(A48,Ingredientes_Dieta!$C$17:$C$18,Ingredientes_Dieta!$D$17:$D$18),Ingredientes_Dieta!$F$11))</f>
        <v>0.58250000000000002</v>
      </c>
      <c r="J48" s="28">
        <f t="shared" si="2"/>
        <v>885.22524999999996</v>
      </c>
      <c r="K48" s="72" t="s">
        <v>121</v>
      </c>
    </row>
    <row r="49" spans="1:11" ht="15" customHeight="1" x14ac:dyDescent="0.3">
      <c r="A49" s="17">
        <v>46229</v>
      </c>
      <c r="B49" s="71">
        <v>3</v>
      </c>
      <c r="C49" s="23">
        <v>607.9</v>
      </c>
      <c r="D49" s="23">
        <v>303.89999999999998</v>
      </c>
      <c r="E49" s="23">
        <v>607.9</v>
      </c>
      <c r="F49" s="40">
        <f t="shared" si="0"/>
        <v>1519.6999999999998</v>
      </c>
      <c r="G49" s="64">
        <f>IF(B49="","",IFERROR(INDEX(Currais!$C:$C,MATCH(B49,Currais!$A:$A,0)),""))</f>
        <v>85</v>
      </c>
      <c r="H49" s="42">
        <f t="shared" si="1"/>
        <v>17.878823529411761</v>
      </c>
      <c r="I49" s="46">
        <f>IF(F49="","",IFERROR(LOOKUP(A49,Ingredientes_Dieta!$C$17:$C$18,Ingredientes_Dieta!$D$17:$D$18),Ingredientes_Dieta!$F$11))</f>
        <v>0.58250000000000002</v>
      </c>
      <c r="J49" s="28">
        <f t="shared" si="2"/>
        <v>885.22524999999996</v>
      </c>
      <c r="K49" s="72" t="s">
        <v>121</v>
      </c>
    </row>
    <row r="50" spans="1:11" ht="15" customHeight="1" x14ac:dyDescent="0.3">
      <c r="A50" s="17">
        <v>46230</v>
      </c>
      <c r="B50" s="71">
        <v>3</v>
      </c>
      <c r="C50" s="23">
        <v>607.9</v>
      </c>
      <c r="D50" s="23">
        <v>303.89999999999998</v>
      </c>
      <c r="E50" s="23">
        <v>607.9</v>
      </c>
      <c r="F50" s="40">
        <f t="shared" si="0"/>
        <v>1519.6999999999998</v>
      </c>
      <c r="G50" s="64">
        <f>IF(B50="","",IFERROR(INDEX(Currais!$C:$C,MATCH(B50,Currais!$A:$A,0)),""))</f>
        <v>85</v>
      </c>
      <c r="H50" s="42">
        <f t="shared" si="1"/>
        <v>17.878823529411761</v>
      </c>
      <c r="I50" s="46">
        <f>IF(F50="","",IFERROR(LOOKUP(A50,Ingredientes_Dieta!$C$17:$C$18,Ingredientes_Dieta!$D$17:$D$18),Ingredientes_Dieta!$F$11))</f>
        <v>0.58250000000000002</v>
      </c>
      <c r="J50" s="28">
        <f t="shared" si="2"/>
        <v>885.22524999999996</v>
      </c>
      <c r="K50" s="72" t="s">
        <v>121</v>
      </c>
    </row>
    <row r="51" spans="1:11" ht="15" customHeight="1" x14ac:dyDescent="0.3">
      <c r="A51" s="17">
        <v>46231</v>
      </c>
      <c r="B51" s="71">
        <v>3</v>
      </c>
      <c r="C51" s="23">
        <v>607.9</v>
      </c>
      <c r="D51" s="23">
        <v>303.89999999999998</v>
      </c>
      <c r="E51" s="23">
        <v>607.9</v>
      </c>
      <c r="F51" s="40">
        <f t="shared" si="0"/>
        <v>1519.6999999999998</v>
      </c>
      <c r="G51" s="64">
        <f>IF(B51="","",IFERROR(INDEX(Currais!$C:$C,MATCH(B51,Currais!$A:$A,0)),""))</f>
        <v>85</v>
      </c>
      <c r="H51" s="42">
        <f t="shared" si="1"/>
        <v>17.878823529411761</v>
      </c>
      <c r="I51" s="46">
        <f>IF(F51="","",IFERROR(LOOKUP(A51,Ingredientes_Dieta!$C$17:$C$18,Ingredientes_Dieta!$D$17:$D$18),Ingredientes_Dieta!$F$11))</f>
        <v>0.58250000000000002</v>
      </c>
      <c r="J51" s="28">
        <f t="shared" si="2"/>
        <v>885.22524999999996</v>
      </c>
      <c r="K51" s="72" t="s">
        <v>121</v>
      </c>
    </row>
    <row r="52" spans="1:11" ht="15" customHeight="1" x14ac:dyDescent="0.3">
      <c r="A52" s="17">
        <v>46232</v>
      </c>
      <c r="B52" s="71">
        <v>3</v>
      </c>
      <c r="C52" s="23">
        <v>607.9</v>
      </c>
      <c r="D52" s="23">
        <v>303.89999999999998</v>
      </c>
      <c r="E52" s="23">
        <v>607.9</v>
      </c>
      <c r="F52" s="40">
        <f t="shared" si="0"/>
        <v>1519.6999999999998</v>
      </c>
      <c r="G52" s="64">
        <f>IF(B52="","",IFERROR(INDEX(Currais!$C:$C,MATCH(B52,Currais!$A:$A,0)),""))</f>
        <v>85</v>
      </c>
      <c r="H52" s="42">
        <f t="shared" si="1"/>
        <v>17.878823529411761</v>
      </c>
      <c r="I52" s="46">
        <f>IF(F52="","",IFERROR(LOOKUP(A52,Ingredientes_Dieta!$C$17:$C$18,Ingredientes_Dieta!$D$17:$D$18),Ingredientes_Dieta!$F$11))</f>
        <v>0.58250000000000002</v>
      </c>
      <c r="J52" s="28">
        <f t="shared" si="2"/>
        <v>885.22524999999996</v>
      </c>
      <c r="K52" s="72" t="s">
        <v>121</v>
      </c>
    </row>
    <row r="53" spans="1:11" ht="15" customHeight="1" x14ac:dyDescent="0.3">
      <c r="A53" s="17">
        <v>46233</v>
      </c>
      <c r="B53" s="71">
        <v>3</v>
      </c>
      <c r="C53" s="23">
        <v>675.4</v>
      </c>
      <c r="D53" s="23">
        <v>337.7</v>
      </c>
      <c r="E53" s="23">
        <v>675.4</v>
      </c>
      <c r="F53" s="40">
        <f t="shared" si="0"/>
        <v>1688.5</v>
      </c>
      <c r="G53" s="64">
        <f>IF(B53="","",IFERROR(INDEX(Currais!$C:$C,MATCH(B53,Currais!$A:$A,0)),""))</f>
        <v>85</v>
      </c>
      <c r="H53" s="42">
        <f t="shared" si="1"/>
        <v>19.86470588235294</v>
      </c>
      <c r="I53" s="46">
        <f>IF(F53="","",IFERROR(LOOKUP(A53,Ingredientes_Dieta!$C$17:$C$18,Ingredientes_Dieta!$D$17:$D$18),Ingredientes_Dieta!$F$11))</f>
        <v>0.58250000000000002</v>
      </c>
      <c r="J53" s="28">
        <f t="shared" si="2"/>
        <v>983.55124999999998</v>
      </c>
      <c r="K53" s="72" t="s">
        <v>122</v>
      </c>
    </row>
    <row r="54" spans="1:11" ht="15" customHeight="1" x14ac:dyDescent="0.3">
      <c r="A54" s="17">
        <v>46234</v>
      </c>
      <c r="B54" s="71">
        <v>3</v>
      </c>
      <c r="C54" s="23">
        <v>675.4</v>
      </c>
      <c r="D54" s="23">
        <v>337.7</v>
      </c>
      <c r="E54" s="23">
        <v>675.4</v>
      </c>
      <c r="F54" s="40">
        <f t="shared" si="0"/>
        <v>1688.5</v>
      </c>
      <c r="G54" s="64">
        <f>IF(B54="","",IFERROR(INDEX(Currais!$C:$C,MATCH(B54,Currais!$A:$A,0)),""))</f>
        <v>85</v>
      </c>
      <c r="H54" s="42">
        <f t="shared" si="1"/>
        <v>19.86470588235294</v>
      </c>
      <c r="I54" s="46">
        <f>IF(F54="","",IFERROR(LOOKUP(A54,Ingredientes_Dieta!$C$17:$C$18,Ingredientes_Dieta!$D$17:$D$18),Ingredientes_Dieta!$F$11))</f>
        <v>0.58250000000000002</v>
      </c>
      <c r="J54" s="28">
        <f t="shared" si="2"/>
        <v>983.55124999999998</v>
      </c>
      <c r="K54" s="72" t="s">
        <v>122</v>
      </c>
    </row>
    <row r="55" spans="1:11" ht="15" customHeight="1" x14ac:dyDescent="0.3">
      <c r="A55" s="17">
        <v>46235</v>
      </c>
      <c r="B55" s="71">
        <v>3</v>
      </c>
      <c r="C55" s="23">
        <v>675.4</v>
      </c>
      <c r="D55" s="23">
        <v>337.7</v>
      </c>
      <c r="E55" s="23">
        <v>675.4</v>
      </c>
      <c r="F55" s="40">
        <f t="shared" si="0"/>
        <v>1688.5</v>
      </c>
      <c r="G55" s="64">
        <f>IF(B55="","",IFERROR(INDEX(Currais!$C:$C,MATCH(B55,Currais!$A:$A,0)),""))</f>
        <v>85</v>
      </c>
      <c r="H55" s="42">
        <f t="shared" si="1"/>
        <v>19.86470588235294</v>
      </c>
      <c r="I55" s="46">
        <f>IF(F55="","",IFERROR(LOOKUP(A55,Ingredientes_Dieta!$C$17:$C$18,Ingredientes_Dieta!$D$17:$D$18),Ingredientes_Dieta!$F$11))</f>
        <v>0.58250000000000002</v>
      </c>
      <c r="J55" s="28">
        <f t="shared" si="2"/>
        <v>983.55124999999998</v>
      </c>
      <c r="K55" s="72" t="s">
        <v>122</v>
      </c>
    </row>
    <row r="56" spans="1:11" ht="15" customHeight="1" x14ac:dyDescent="0.3">
      <c r="A56" s="17">
        <v>46236</v>
      </c>
      <c r="B56" s="71">
        <v>3</v>
      </c>
      <c r="C56" s="23">
        <v>675.4</v>
      </c>
      <c r="D56" s="23">
        <v>337.7</v>
      </c>
      <c r="E56" s="23">
        <v>675.4</v>
      </c>
      <c r="F56" s="40">
        <f t="shared" si="0"/>
        <v>1688.5</v>
      </c>
      <c r="G56" s="64">
        <f>IF(B56="","",IFERROR(INDEX(Currais!$C:$C,MATCH(B56,Currais!$A:$A,0)),""))</f>
        <v>85</v>
      </c>
      <c r="H56" s="42">
        <f t="shared" si="1"/>
        <v>19.86470588235294</v>
      </c>
      <c r="I56" s="46">
        <f>IF(F56="","",IFERROR(LOOKUP(A56,Ingredientes_Dieta!$C$17:$C$18,Ingredientes_Dieta!$D$17:$D$18),Ingredientes_Dieta!$F$11))</f>
        <v>0.58250000000000002</v>
      </c>
      <c r="J56" s="28">
        <f t="shared" si="2"/>
        <v>983.55124999999998</v>
      </c>
      <c r="K56" s="72" t="s">
        <v>122</v>
      </c>
    </row>
    <row r="57" spans="1:11" ht="15" customHeight="1" x14ac:dyDescent="0.3">
      <c r="A57" s="17">
        <v>46237</v>
      </c>
      <c r="B57" s="71">
        <v>3</v>
      </c>
      <c r="C57" s="23">
        <v>675.4</v>
      </c>
      <c r="D57" s="23">
        <v>337.7</v>
      </c>
      <c r="E57" s="23">
        <v>675.4</v>
      </c>
      <c r="F57" s="40">
        <f t="shared" si="0"/>
        <v>1688.5</v>
      </c>
      <c r="G57" s="64">
        <f>IF(B57="","",IFERROR(INDEX(Currais!$C:$C,MATCH(B57,Currais!$A:$A,0)),""))</f>
        <v>85</v>
      </c>
      <c r="H57" s="42">
        <f t="shared" si="1"/>
        <v>19.86470588235294</v>
      </c>
      <c r="I57" s="46">
        <f>IF(F57="","",IFERROR(LOOKUP(A57,Ingredientes_Dieta!$C$17:$C$18,Ingredientes_Dieta!$D$17:$D$18),Ingredientes_Dieta!$F$11))</f>
        <v>0.58250000000000002</v>
      </c>
      <c r="J57" s="28">
        <f t="shared" si="2"/>
        <v>983.55124999999998</v>
      </c>
      <c r="K57" s="72" t="s">
        <v>122</v>
      </c>
    </row>
    <row r="58" spans="1:11" ht="15" customHeight="1" x14ac:dyDescent="0.3">
      <c r="A58" s="17">
        <v>46221</v>
      </c>
      <c r="B58" s="71">
        <v>4</v>
      </c>
      <c r="C58" s="23">
        <v>599</v>
      </c>
      <c r="D58" s="23">
        <v>299.5</v>
      </c>
      <c r="E58" s="23">
        <v>599</v>
      </c>
      <c r="F58" s="40">
        <f t="shared" si="0"/>
        <v>1497.5</v>
      </c>
      <c r="G58" s="64">
        <f>IF(B58="","",IFERROR(INDEX(Currais!$C:$C,MATCH(B58,Currais!$A:$A,0)),""))</f>
        <v>90</v>
      </c>
      <c r="H58" s="42">
        <f t="shared" si="1"/>
        <v>16.638888888888889</v>
      </c>
      <c r="I58" s="46">
        <f>IF(F58="","",IFERROR(LOOKUP(A58,Ingredientes_Dieta!$C$17:$C$18,Ingredientes_Dieta!$D$17:$D$18),Ingredientes_Dieta!$F$11))</f>
        <v>0.58250000000000002</v>
      </c>
      <c r="J58" s="28">
        <f t="shared" si="2"/>
        <v>872.29375000000005</v>
      </c>
      <c r="K58" s="72" t="s">
        <v>121</v>
      </c>
    </row>
    <row r="59" spans="1:11" ht="15" customHeight="1" x14ac:dyDescent="0.3">
      <c r="A59" s="17">
        <v>46222</v>
      </c>
      <c r="B59" s="71">
        <v>4</v>
      </c>
      <c r="C59" s="23">
        <v>599</v>
      </c>
      <c r="D59" s="23">
        <v>299.5</v>
      </c>
      <c r="E59" s="23">
        <v>599</v>
      </c>
      <c r="F59" s="40">
        <f t="shared" si="0"/>
        <v>1497.5</v>
      </c>
      <c r="G59" s="64">
        <f>IF(B59="","",IFERROR(INDEX(Currais!$C:$C,MATCH(B59,Currais!$A:$A,0)),""))</f>
        <v>90</v>
      </c>
      <c r="H59" s="42">
        <f t="shared" si="1"/>
        <v>16.638888888888889</v>
      </c>
      <c r="I59" s="46">
        <f>IF(F59="","",IFERROR(LOOKUP(A59,Ingredientes_Dieta!$C$17:$C$18,Ingredientes_Dieta!$D$17:$D$18),Ingredientes_Dieta!$F$11))</f>
        <v>0.58250000000000002</v>
      </c>
      <c r="J59" s="28">
        <f t="shared" si="2"/>
        <v>872.29375000000005</v>
      </c>
      <c r="K59" s="72" t="s">
        <v>121</v>
      </c>
    </row>
    <row r="60" spans="1:11" ht="15" customHeight="1" x14ac:dyDescent="0.3">
      <c r="A60" s="17">
        <v>46223</v>
      </c>
      <c r="B60" s="71">
        <v>4</v>
      </c>
      <c r="C60" s="23">
        <v>599</v>
      </c>
      <c r="D60" s="23">
        <v>299.5</v>
      </c>
      <c r="E60" s="23">
        <v>599</v>
      </c>
      <c r="F60" s="40">
        <f t="shared" si="0"/>
        <v>1497.5</v>
      </c>
      <c r="G60" s="64">
        <f>IF(B60="","",IFERROR(INDEX(Currais!$C:$C,MATCH(B60,Currais!$A:$A,0)),""))</f>
        <v>90</v>
      </c>
      <c r="H60" s="42">
        <f t="shared" si="1"/>
        <v>16.638888888888889</v>
      </c>
      <c r="I60" s="46">
        <f>IF(F60="","",IFERROR(LOOKUP(A60,Ingredientes_Dieta!$C$17:$C$18,Ingredientes_Dieta!$D$17:$D$18),Ingredientes_Dieta!$F$11))</f>
        <v>0.58250000000000002</v>
      </c>
      <c r="J60" s="28">
        <f t="shared" si="2"/>
        <v>872.29375000000005</v>
      </c>
      <c r="K60" s="72" t="s">
        <v>121</v>
      </c>
    </row>
    <row r="61" spans="1:11" ht="15" customHeight="1" x14ac:dyDescent="0.3">
      <c r="A61" s="17">
        <v>46224</v>
      </c>
      <c r="B61" s="71">
        <v>4</v>
      </c>
      <c r="C61" s="23">
        <v>599</v>
      </c>
      <c r="D61" s="23">
        <v>299.5</v>
      </c>
      <c r="E61" s="23">
        <v>599</v>
      </c>
      <c r="F61" s="40">
        <f t="shared" si="0"/>
        <v>1497.5</v>
      </c>
      <c r="G61" s="64">
        <f>IF(B61="","",IFERROR(INDEX(Currais!$C:$C,MATCH(B61,Currais!$A:$A,0)),""))</f>
        <v>90</v>
      </c>
      <c r="H61" s="42">
        <f t="shared" si="1"/>
        <v>16.638888888888889</v>
      </c>
      <c r="I61" s="46">
        <f>IF(F61="","",IFERROR(LOOKUP(A61,Ingredientes_Dieta!$C$17:$C$18,Ingredientes_Dieta!$D$17:$D$18),Ingredientes_Dieta!$F$11))</f>
        <v>0.58250000000000002</v>
      </c>
      <c r="J61" s="28">
        <f t="shared" si="2"/>
        <v>872.29375000000005</v>
      </c>
      <c r="K61" s="72" t="s">
        <v>121</v>
      </c>
    </row>
    <row r="62" spans="1:11" ht="15" customHeight="1" x14ac:dyDescent="0.3">
      <c r="A62" s="17">
        <v>46225</v>
      </c>
      <c r="B62" s="71">
        <v>4</v>
      </c>
      <c r="C62" s="23">
        <v>599</v>
      </c>
      <c r="D62" s="23">
        <v>299.5</v>
      </c>
      <c r="E62" s="23">
        <v>599</v>
      </c>
      <c r="F62" s="40">
        <f t="shared" si="0"/>
        <v>1497.5</v>
      </c>
      <c r="G62" s="64">
        <f>IF(B62="","",IFERROR(INDEX(Currais!$C:$C,MATCH(B62,Currais!$A:$A,0)),""))</f>
        <v>90</v>
      </c>
      <c r="H62" s="42">
        <f t="shared" si="1"/>
        <v>16.638888888888889</v>
      </c>
      <c r="I62" s="46">
        <f>IF(F62="","",IFERROR(LOOKUP(A62,Ingredientes_Dieta!$C$17:$C$18,Ingredientes_Dieta!$D$17:$D$18),Ingredientes_Dieta!$F$11))</f>
        <v>0.58250000000000002</v>
      </c>
      <c r="J62" s="28">
        <f t="shared" si="2"/>
        <v>872.29375000000005</v>
      </c>
      <c r="K62" s="72" t="s">
        <v>121</v>
      </c>
    </row>
    <row r="63" spans="1:11" ht="15" customHeight="1" x14ac:dyDescent="0.3">
      <c r="A63" s="17">
        <v>46226</v>
      </c>
      <c r="B63" s="71">
        <v>4</v>
      </c>
      <c r="C63" s="23">
        <v>599</v>
      </c>
      <c r="D63" s="23">
        <v>299.5</v>
      </c>
      <c r="E63" s="23">
        <v>599</v>
      </c>
      <c r="F63" s="40">
        <f t="shared" si="0"/>
        <v>1497.5</v>
      </c>
      <c r="G63" s="64">
        <f>IF(B63="","",IFERROR(INDEX(Currais!$C:$C,MATCH(B63,Currais!$A:$A,0)),""))</f>
        <v>90</v>
      </c>
      <c r="H63" s="42">
        <f t="shared" si="1"/>
        <v>16.638888888888889</v>
      </c>
      <c r="I63" s="46">
        <f>IF(F63="","",IFERROR(LOOKUP(A63,Ingredientes_Dieta!$C$17:$C$18,Ingredientes_Dieta!$D$17:$D$18),Ingredientes_Dieta!$F$11))</f>
        <v>0.58250000000000002</v>
      </c>
      <c r="J63" s="28">
        <f t="shared" si="2"/>
        <v>872.29375000000005</v>
      </c>
      <c r="K63" s="72" t="s">
        <v>121</v>
      </c>
    </row>
    <row r="64" spans="1:11" ht="15" customHeight="1" x14ac:dyDescent="0.3">
      <c r="A64" s="17">
        <v>46227</v>
      </c>
      <c r="B64" s="71">
        <v>4</v>
      </c>
      <c r="C64" s="23">
        <v>599</v>
      </c>
      <c r="D64" s="23">
        <v>299.5</v>
      </c>
      <c r="E64" s="23">
        <v>599</v>
      </c>
      <c r="F64" s="40">
        <f t="shared" si="0"/>
        <v>1497.5</v>
      </c>
      <c r="G64" s="64">
        <f>IF(B64="","",IFERROR(INDEX(Currais!$C:$C,MATCH(B64,Currais!$A:$A,0)),""))</f>
        <v>90</v>
      </c>
      <c r="H64" s="42">
        <f t="shared" si="1"/>
        <v>16.638888888888889</v>
      </c>
      <c r="I64" s="46">
        <f>IF(F64="","",IFERROR(LOOKUP(A64,Ingredientes_Dieta!$C$17:$C$18,Ingredientes_Dieta!$D$17:$D$18),Ingredientes_Dieta!$F$11))</f>
        <v>0.58250000000000002</v>
      </c>
      <c r="J64" s="28">
        <f t="shared" si="2"/>
        <v>872.29375000000005</v>
      </c>
      <c r="K64" s="72" t="s">
        <v>121</v>
      </c>
    </row>
    <row r="65" spans="1:11" ht="15" customHeight="1" x14ac:dyDescent="0.3">
      <c r="A65" s="17">
        <v>46228</v>
      </c>
      <c r="B65" s="71">
        <v>4</v>
      </c>
      <c r="C65" s="23">
        <v>599</v>
      </c>
      <c r="D65" s="23">
        <v>299.5</v>
      </c>
      <c r="E65" s="23">
        <v>599</v>
      </c>
      <c r="F65" s="40">
        <f t="shared" si="0"/>
        <v>1497.5</v>
      </c>
      <c r="G65" s="64">
        <f>IF(B65="","",IFERROR(INDEX(Currais!$C:$C,MATCH(B65,Currais!$A:$A,0)),""))</f>
        <v>90</v>
      </c>
      <c r="H65" s="42">
        <f t="shared" si="1"/>
        <v>16.638888888888889</v>
      </c>
      <c r="I65" s="46">
        <f>IF(F65="","",IFERROR(LOOKUP(A65,Ingredientes_Dieta!$C$17:$C$18,Ingredientes_Dieta!$D$17:$D$18),Ingredientes_Dieta!$F$11))</f>
        <v>0.58250000000000002</v>
      </c>
      <c r="J65" s="28">
        <f t="shared" si="2"/>
        <v>872.29375000000005</v>
      </c>
      <c r="K65" s="72" t="s">
        <v>121</v>
      </c>
    </row>
    <row r="66" spans="1:11" ht="15" customHeight="1" x14ac:dyDescent="0.3">
      <c r="A66" s="17">
        <v>46229</v>
      </c>
      <c r="B66" s="71">
        <v>4</v>
      </c>
      <c r="C66" s="23">
        <v>599</v>
      </c>
      <c r="D66" s="23">
        <v>299.5</v>
      </c>
      <c r="E66" s="23">
        <v>599</v>
      </c>
      <c r="F66" s="40">
        <f t="shared" si="0"/>
        <v>1497.5</v>
      </c>
      <c r="G66" s="64">
        <f>IF(B66="","",IFERROR(INDEX(Currais!$C:$C,MATCH(B66,Currais!$A:$A,0)),""))</f>
        <v>90</v>
      </c>
      <c r="H66" s="42">
        <f t="shared" si="1"/>
        <v>16.638888888888889</v>
      </c>
      <c r="I66" s="46">
        <f>IF(F66="","",IFERROR(LOOKUP(A66,Ingredientes_Dieta!$C$17:$C$18,Ingredientes_Dieta!$D$17:$D$18),Ingredientes_Dieta!$F$11))</f>
        <v>0.58250000000000002</v>
      </c>
      <c r="J66" s="28">
        <f t="shared" si="2"/>
        <v>872.29375000000005</v>
      </c>
      <c r="K66" s="72" t="s">
        <v>121</v>
      </c>
    </row>
    <row r="67" spans="1:11" ht="15" customHeight="1" x14ac:dyDescent="0.3">
      <c r="A67" s="17">
        <v>46230</v>
      </c>
      <c r="B67" s="71">
        <v>4</v>
      </c>
      <c r="C67" s="23">
        <v>599</v>
      </c>
      <c r="D67" s="23">
        <v>299.5</v>
      </c>
      <c r="E67" s="23">
        <v>599</v>
      </c>
      <c r="F67" s="40">
        <f t="shared" si="0"/>
        <v>1497.5</v>
      </c>
      <c r="G67" s="64">
        <f>IF(B67="","",IFERROR(INDEX(Currais!$C:$C,MATCH(B67,Currais!$A:$A,0)),""))</f>
        <v>90</v>
      </c>
      <c r="H67" s="42">
        <f t="shared" si="1"/>
        <v>16.638888888888889</v>
      </c>
      <c r="I67" s="46">
        <f>IF(F67="","",IFERROR(LOOKUP(A67,Ingredientes_Dieta!$C$17:$C$18,Ingredientes_Dieta!$D$17:$D$18),Ingredientes_Dieta!$F$11))</f>
        <v>0.58250000000000002</v>
      </c>
      <c r="J67" s="28">
        <f t="shared" si="2"/>
        <v>872.29375000000005</v>
      </c>
      <c r="K67" s="72" t="s">
        <v>121</v>
      </c>
    </row>
    <row r="68" spans="1:11" ht="15" customHeight="1" x14ac:dyDescent="0.3">
      <c r="A68" s="17">
        <v>46231</v>
      </c>
      <c r="B68" s="71">
        <v>4</v>
      </c>
      <c r="C68" s="23">
        <v>599</v>
      </c>
      <c r="D68" s="23">
        <v>299.5</v>
      </c>
      <c r="E68" s="23">
        <v>599</v>
      </c>
      <c r="F68" s="40">
        <f t="shared" ref="F68:F131" si="3">IF(AND(C68="",D68="",E68=""),"",N(C68)+N(D68)+N(E68))</f>
        <v>1497.5</v>
      </c>
      <c r="G68" s="64">
        <f>IF(B68="","",IFERROR(INDEX(Currais!$C:$C,MATCH(B68,Currais!$A:$A,0)),""))</f>
        <v>90</v>
      </c>
      <c r="H68" s="42">
        <f t="shared" ref="H68:H131" si="4">IF(OR(F68="",G68="",G68=0),"",F68/G68)</f>
        <v>16.638888888888889</v>
      </c>
      <c r="I68" s="46">
        <f>IF(F68="","",IFERROR(LOOKUP(A68,Ingredientes_Dieta!$C$17:$C$18,Ingredientes_Dieta!$D$17:$D$18),Ingredientes_Dieta!$F$11))</f>
        <v>0.58250000000000002</v>
      </c>
      <c r="J68" s="28">
        <f t="shared" ref="J68:J131" si="5">IF(F68="","",F68*I68)</f>
        <v>872.29375000000005</v>
      </c>
      <c r="K68" s="72" t="s">
        <v>121</v>
      </c>
    </row>
    <row r="69" spans="1:11" ht="15" customHeight="1" x14ac:dyDescent="0.3">
      <c r="A69" s="17">
        <v>46232</v>
      </c>
      <c r="B69" s="71">
        <v>4</v>
      </c>
      <c r="C69" s="23">
        <v>599</v>
      </c>
      <c r="D69" s="23">
        <v>299.5</v>
      </c>
      <c r="E69" s="23">
        <v>599</v>
      </c>
      <c r="F69" s="40">
        <f t="shared" si="3"/>
        <v>1497.5</v>
      </c>
      <c r="G69" s="64">
        <f>IF(B69="","",IFERROR(INDEX(Currais!$C:$C,MATCH(B69,Currais!$A:$A,0)),""))</f>
        <v>90</v>
      </c>
      <c r="H69" s="42">
        <f t="shared" si="4"/>
        <v>16.638888888888889</v>
      </c>
      <c r="I69" s="46">
        <f>IF(F69="","",IFERROR(LOOKUP(A69,Ingredientes_Dieta!$C$17:$C$18,Ingredientes_Dieta!$D$17:$D$18),Ingredientes_Dieta!$F$11))</f>
        <v>0.58250000000000002</v>
      </c>
      <c r="J69" s="28">
        <f t="shared" si="5"/>
        <v>872.29375000000005</v>
      </c>
      <c r="K69" s="72" t="s">
        <v>121</v>
      </c>
    </row>
    <row r="70" spans="1:11" ht="15" customHeight="1" x14ac:dyDescent="0.3">
      <c r="A70" s="17">
        <v>46233</v>
      </c>
      <c r="B70" s="71">
        <v>4</v>
      </c>
      <c r="C70" s="23">
        <v>665.5</v>
      </c>
      <c r="D70" s="23">
        <v>332.8</v>
      </c>
      <c r="E70" s="23">
        <v>665.5</v>
      </c>
      <c r="F70" s="40">
        <f t="shared" si="3"/>
        <v>1663.8</v>
      </c>
      <c r="G70" s="64">
        <f>IF(B70="","",IFERROR(INDEX(Currais!$C:$C,MATCH(B70,Currais!$A:$A,0)),""))</f>
        <v>90</v>
      </c>
      <c r="H70" s="42">
        <f t="shared" si="4"/>
        <v>18.486666666666665</v>
      </c>
      <c r="I70" s="46">
        <f>IF(F70="","",IFERROR(LOOKUP(A70,Ingredientes_Dieta!$C$17:$C$18,Ingredientes_Dieta!$D$17:$D$18),Ingredientes_Dieta!$F$11))</f>
        <v>0.58250000000000002</v>
      </c>
      <c r="J70" s="28">
        <f t="shared" si="5"/>
        <v>969.1635</v>
      </c>
      <c r="K70" s="72" t="s">
        <v>122</v>
      </c>
    </row>
    <row r="71" spans="1:11" ht="15" customHeight="1" x14ac:dyDescent="0.3">
      <c r="A71" s="17">
        <v>46234</v>
      </c>
      <c r="B71" s="71">
        <v>4</v>
      </c>
      <c r="C71" s="23">
        <v>665.5</v>
      </c>
      <c r="D71" s="23">
        <v>332.8</v>
      </c>
      <c r="E71" s="23">
        <v>665.5</v>
      </c>
      <c r="F71" s="40">
        <f t="shared" si="3"/>
        <v>1663.8</v>
      </c>
      <c r="G71" s="64">
        <f>IF(B71="","",IFERROR(INDEX(Currais!$C:$C,MATCH(B71,Currais!$A:$A,0)),""))</f>
        <v>90</v>
      </c>
      <c r="H71" s="42">
        <f t="shared" si="4"/>
        <v>18.486666666666665</v>
      </c>
      <c r="I71" s="46">
        <f>IF(F71="","",IFERROR(LOOKUP(A71,Ingredientes_Dieta!$C$17:$C$18,Ingredientes_Dieta!$D$17:$D$18),Ingredientes_Dieta!$F$11))</f>
        <v>0.58250000000000002</v>
      </c>
      <c r="J71" s="28">
        <f t="shared" si="5"/>
        <v>969.1635</v>
      </c>
      <c r="K71" s="72" t="s">
        <v>122</v>
      </c>
    </row>
    <row r="72" spans="1:11" ht="15" customHeight="1" x14ac:dyDescent="0.3">
      <c r="A72" s="17">
        <v>46235</v>
      </c>
      <c r="B72" s="71">
        <v>4</v>
      </c>
      <c r="C72" s="23">
        <v>665.5</v>
      </c>
      <c r="D72" s="23">
        <v>332.8</v>
      </c>
      <c r="E72" s="23">
        <v>665.5</v>
      </c>
      <c r="F72" s="40">
        <f t="shared" si="3"/>
        <v>1663.8</v>
      </c>
      <c r="G72" s="64">
        <f>IF(B72="","",IFERROR(INDEX(Currais!$C:$C,MATCH(B72,Currais!$A:$A,0)),""))</f>
        <v>90</v>
      </c>
      <c r="H72" s="42">
        <f t="shared" si="4"/>
        <v>18.486666666666665</v>
      </c>
      <c r="I72" s="46">
        <f>IF(F72="","",IFERROR(LOOKUP(A72,Ingredientes_Dieta!$C$17:$C$18,Ingredientes_Dieta!$D$17:$D$18),Ingredientes_Dieta!$F$11))</f>
        <v>0.58250000000000002</v>
      </c>
      <c r="J72" s="28">
        <f t="shared" si="5"/>
        <v>969.1635</v>
      </c>
      <c r="K72" s="72" t="s">
        <v>122</v>
      </c>
    </row>
    <row r="73" spans="1:11" ht="15" customHeight="1" x14ac:dyDescent="0.3">
      <c r="A73" s="17">
        <v>46236</v>
      </c>
      <c r="B73" s="71">
        <v>4</v>
      </c>
      <c r="C73" s="23">
        <v>665.5</v>
      </c>
      <c r="D73" s="23">
        <v>332.8</v>
      </c>
      <c r="E73" s="23">
        <v>665.5</v>
      </c>
      <c r="F73" s="40">
        <f t="shared" si="3"/>
        <v>1663.8</v>
      </c>
      <c r="G73" s="64">
        <f>IF(B73="","",IFERROR(INDEX(Currais!$C:$C,MATCH(B73,Currais!$A:$A,0)),""))</f>
        <v>90</v>
      </c>
      <c r="H73" s="42">
        <f t="shared" si="4"/>
        <v>18.486666666666665</v>
      </c>
      <c r="I73" s="46">
        <f>IF(F73="","",IFERROR(LOOKUP(A73,Ingredientes_Dieta!$C$17:$C$18,Ingredientes_Dieta!$D$17:$D$18),Ingredientes_Dieta!$F$11))</f>
        <v>0.58250000000000002</v>
      </c>
      <c r="J73" s="28">
        <f t="shared" si="5"/>
        <v>969.1635</v>
      </c>
      <c r="K73" s="72" t="s">
        <v>122</v>
      </c>
    </row>
    <row r="74" spans="1:11" ht="15" customHeight="1" x14ac:dyDescent="0.3">
      <c r="A74" s="17">
        <v>46237</v>
      </c>
      <c r="B74" s="71">
        <v>4</v>
      </c>
      <c r="C74" s="23">
        <v>665.5</v>
      </c>
      <c r="D74" s="23">
        <v>332.8</v>
      </c>
      <c r="E74" s="23">
        <v>665.5</v>
      </c>
      <c r="F74" s="40">
        <f t="shared" si="3"/>
        <v>1663.8</v>
      </c>
      <c r="G74" s="64">
        <f>IF(B74="","",IFERROR(INDEX(Currais!$C:$C,MATCH(B74,Currais!$A:$A,0)),""))</f>
        <v>90</v>
      </c>
      <c r="H74" s="42">
        <f t="shared" si="4"/>
        <v>18.486666666666665</v>
      </c>
      <c r="I74" s="46">
        <f>IF(F74="","",IFERROR(LOOKUP(A74,Ingredientes_Dieta!$C$17:$C$18,Ingredientes_Dieta!$D$17:$D$18),Ingredientes_Dieta!$F$11))</f>
        <v>0.58250000000000002</v>
      </c>
      <c r="J74" s="28">
        <f t="shared" si="5"/>
        <v>969.1635</v>
      </c>
      <c r="K74" s="72" t="s">
        <v>122</v>
      </c>
    </row>
    <row r="75" spans="1:11" ht="15" customHeight="1" x14ac:dyDescent="0.3">
      <c r="A75" s="17">
        <v>46221</v>
      </c>
      <c r="B75" s="71">
        <v>5</v>
      </c>
      <c r="C75" s="23">
        <v>552.6</v>
      </c>
      <c r="D75" s="23">
        <v>276.3</v>
      </c>
      <c r="E75" s="23">
        <v>552.6</v>
      </c>
      <c r="F75" s="40">
        <f t="shared" si="3"/>
        <v>1381.5</v>
      </c>
      <c r="G75" s="64">
        <f>IF(B75="","",IFERROR(INDEX(Currais!$C:$C,MATCH(B75,Currais!$A:$A,0)),""))</f>
        <v>88</v>
      </c>
      <c r="H75" s="42">
        <f t="shared" si="4"/>
        <v>15.698863636363637</v>
      </c>
      <c r="I75" s="46">
        <f>IF(F75="","",IFERROR(LOOKUP(A75,Ingredientes_Dieta!$C$17:$C$18,Ingredientes_Dieta!$D$17:$D$18),Ingredientes_Dieta!$F$11))</f>
        <v>0.58250000000000002</v>
      </c>
      <c r="J75" s="28">
        <f t="shared" si="5"/>
        <v>804.72375</v>
      </c>
      <c r="K75" s="72" t="s">
        <v>121</v>
      </c>
    </row>
    <row r="76" spans="1:11" ht="15" customHeight="1" x14ac:dyDescent="0.3">
      <c r="A76" s="17">
        <v>46222</v>
      </c>
      <c r="B76" s="71">
        <v>5</v>
      </c>
      <c r="C76" s="23">
        <v>552.6</v>
      </c>
      <c r="D76" s="23">
        <v>276.3</v>
      </c>
      <c r="E76" s="23">
        <v>552.6</v>
      </c>
      <c r="F76" s="40">
        <f t="shared" si="3"/>
        <v>1381.5</v>
      </c>
      <c r="G76" s="64">
        <f>IF(B76="","",IFERROR(INDEX(Currais!$C:$C,MATCH(B76,Currais!$A:$A,0)),""))</f>
        <v>88</v>
      </c>
      <c r="H76" s="42">
        <f t="shared" si="4"/>
        <v>15.698863636363637</v>
      </c>
      <c r="I76" s="46">
        <f>IF(F76="","",IFERROR(LOOKUP(A76,Ingredientes_Dieta!$C$17:$C$18,Ingredientes_Dieta!$D$17:$D$18),Ingredientes_Dieta!$F$11))</f>
        <v>0.58250000000000002</v>
      </c>
      <c r="J76" s="28">
        <f t="shared" si="5"/>
        <v>804.72375</v>
      </c>
      <c r="K76" s="72" t="s">
        <v>121</v>
      </c>
    </row>
    <row r="77" spans="1:11" ht="15" customHeight="1" x14ac:dyDescent="0.3">
      <c r="A77" s="17">
        <v>46223</v>
      </c>
      <c r="B77" s="71">
        <v>5</v>
      </c>
      <c r="C77" s="23">
        <v>552.6</v>
      </c>
      <c r="D77" s="23">
        <v>276.3</v>
      </c>
      <c r="E77" s="23">
        <v>552.6</v>
      </c>
      <c r="F77" s="40">
        <f t="shared" si="3"/>
        <v>1381.5</v>
      </c>
      <c r="G77" s="64">
        <f>IF(B77="","",IFERROR(INDEX(Currais!$C:$C,MATCH(B77,Currais!$A:$A,0)),""))</f>
        <v>88</v>
      </c>
      <c r="H77" s="42">
        <f t="shared" si="4"/>
        <v>15.698863636363637</v>
      </c>
      <c r="I77" s="46">
        <f>IF(F77="","",IFERROR(LOOKUP(A77,Ingredientes_Dieta!$C$17:$C$18,Ingredientes_Dieta!$D$17:$D$18),Ingredientes_Dieta!$F$11))</f>
        <v>0.58250000000000002</v>
      </c>
      <c r="J77" s="28">
        <f t="shared" si="5"/>
        <v>804.72375</v>
      </c>
      <c r="K77" s="72" t="s">
        <v>121</v>
      </c>
    </row>
    <row r="78" spans="1:11" ht="15" customHeight="1" x14ac:dyDescent="0.3">
      <c r="A78" s="17">
        <v>46224</v>
      </c>
      <c r="B78" s="71">
        <v>5</v>
      </c>
      <c r="C78" s="23">
        <v>552.6</v>
      </c>
      <c r="D78" s="23">
        <v>276.3</v>
      </c>
      <c r="E78" s="23">
        <v>552.6</v>
      </c>
      <c r="F78" s="40">
        <f t="shared" si="3"/>
        <v>1381.5</v>
      </c>
      <c r="G78" s="64">
        <f>IF(B78="","",IFERROR(INDEX(Currais!$C:$C,MATCH(B78,Currais!$A:$A,0)),""))</f>
        <v>88</v>
      </c>
      <c r="H78" s="42">
        <f t="shared" si="4"/>
        <v>15.698863636363637</v>
      </c>
      <c r="I78" s="46">
        <f>IF(F78="","",IFERROR(LOOKUP(A78,Ingredientes_Dieta!$C$17:$C$18,Ingredientes_Dieta!$D$17:$D$18),Ingredientes_Dieta!$F$11))</f>
        <v>0.58250000000000002</v>
      </c>
      <c r="J78" s="28">
        <f t="shared" si="5"/>
        <v>804.72375</v>
      </c>
      <c r="K78" s="72" t="s">
        <v>121</v>
      </c>
    </row>
    <row r="79" spans="1:11" ht="15" customHeight="1" x14ac:dyDescent="0.3">
      <c r="A79" s="17">
        <v>46225</v>
      </c>
      <c r="B79" s="71">
        <v>5</v>
      </c>
      <c r="C79" s="23">
        <v>552.6</v>
      </c>
      <c r="D79" s="23">
        <v>276.3</v>
      </c>
      <c r="E79" s="23">
        <v>552.6</v>
      </c>
      <c r="F79" s="40">
        <f t="shared" si="3"/>
        <v>1381.5</v>
      </c>
      <c r="G79" s="64">
        <f>IF(B79="","",IFERROR(INDEX(Currais!$C:$C,MATCH(B79,Currais!$A:$A,0)),""))</f>
        <v>88</v>
      </c>
      <c r="H79" s="42">
        <f t="shared" si="4"/>
        <v>15.698863636363637</v>
      </c>
      <c r="I79" s="46">
        <f>IF(F79="","",IFERROR(LOOKUP(A79,Ingredientes_Dieta!$C$17:$C$18,Ingredientes_Dieta!$D$17:$D$18),Ingredientes_Dieta!$F$11))</f>
        <v>0.58250000000000002</v>
      </c>
      <c r="J79" s="28">
        <f t="shared" si="5"/>
        <v>804.72375</v>
      </c>
      <c r="K79" s="72" t="s">
        <v>121</v>
      </c>
    </row>
    <row r="80" spans="1:11" ht="15" customHeight="1" x14ac:dyDescent="0.3">
      <c r="A80" s="17">
        <v>46226</v>
      </c>
      <c r="B80" s="71">
        <v>5</v>
      </c>
      <c r="C80" s="23">
        <v>552.6</v>
      </c>
      <c r="D80" s="23">
        <v>276.3</v>
      </c>
      <c r="E80" s="23">
        <v>552.6</v>
      </c>
      <c r="F80" s="40">
        <f t="shared" si="3"/>
        <v>1381.5</v>
      </c>
      <c r="G80" s="64">
        <f>IF(B80="","",IFERROR(INDEX(Currais!$C:$C,MATCH(B80,Currais!$A:$A,0)),""))</f>
        <v>88</v>
      </c>
      <c r="H80" s="42">
        <f t="shared" si="4"/>
        <v>15.698863636363637</v>
      </c>
      <c r="I80" s="46">
        <f>IF(F80="","",IFERROR(LOOKUP(A80,Ingredientes_Dieta!$C$17:$C$18,Ingredientes_Dieta!$D$17:$D$18),Ingredientes_Dieta!$F$11))</f>
        <v>0.58250000000000002</v>
      </c>
      <c r="J80" s="28">
        <f t="shared" si="5"/>
        <v>804.72375</v>
      </c>
      <c r="K80" s="72" t="s">
        <v>121</v>
      </c>
    </row>
    <row r="81" spans="1:11" ht="15" customHeight="1" x14ac:dyDescent="0.3">
      <c r="A81" s="17">
        <v>46227</v>
      </c>
      <c r="B81" s="71">
        <v>5</v>
      </c>
      <c r="C81" s="23">
        <v>552.6</v>
      </c>
      <c r="D81" s="23">
        <v>276.3</v>
      </c>
      <c r="E81" s="23">
        <v>552.6</v>
      </c>
      <c r="F81" s="40">
        <f t="shared" si="3"/>
        <v>1381.5</v>
      </c>
      <c r="G81" s="64">
        <f>IF(B81="","",IFERROR(INDEX(Currais!$C:$C,MATCH(B81,Currais!$A:$A,0)),""))</f>
        <v>88</v>
      </c>
      <c r="H81" s="42">
        <f t="shared" si="4"/>
        <v>15.698863636363637</v>
      </c>
      <c r="I81" s="46">
        <f>IF(F81="","",IFERROR(LOOKUP(A81,Ingredientes_Dieta!$C$17:$C$18,Ingredientes_Dieta!$D$17:$D$18),Ingredientes_Dieta!$F$11))</f>
        <v>0.58250000000000002</v>
      </c>
      <c r="J81" s="28">
        <f t="shared" si="5"/>
        <v>804.72375</v>
      </c>
      <c r="K81" s="72" t="s">
        <v>121</v>
      </c>
    </row>
    <row r="82" spans="1:11" ht="15" customHeight="1" x14ac:dyDescent="0.3">
      <c r="A82" s="17">
        <v>46228</v>
      </c>
      <c r="B82" s="71">
        <v>5</v>
      </c>
      <c r="C82" s="23">
        <v>552.6</v>
      </c>
      <c r="D82" s="23">
        <v>276.3</v>
      </c>
      <c r="E82" s="23">
        <v>552.6</v>
      </c>
      <c r="F82" s="40">
        <f t="shared" si="3"/>
        <v>1381.5</v>
      </c>
      <c r="G82" s="64">
        <f>IF(B82="","",IFERROR(INDEX(Currais!$C:$C,MATCH(B82,Currais!$A:$A,0)),""))</f>
        <v>88</v>
      </c>
      <c r="H82" s="42">
        <f t="shared" si="4"/>
        <v>15.698863636363637</v>
      </c>
      <c r="I82" s="46">
        <f>IF(F82="","",IFERROR(LOOKUP(A82,Ingredientes_Dieta!$C$17:$C$18,Ingredientes_Dieta!$D$17:$D$18),Ingredientes_Dieta!$F$11))</f>
        <v>0.58250000000000002</v>
      </c>
      <c r="J82" s="28">
        <f t="shared" si="5"/>
        <v>804.72375</v>
      </c>
      <c r="K82" s="72" t="s">
        <v>121</v>
      </c>
    </row>
    <row r="83" spans="1:11" ht="15" customHeight="1" x14ac:dyDescent="0.3">
      <c r="A83" s="17">
        <v>46229</v>
      </c>
      <c r="B83" s="71">
        <v>5</v>
      </c>
      <c r="C83" s="23">
        <v>552.6</v>
      </c>
      <c r="D83" s="23">
        <v>276.3</v>
      </c>
      <c r="E83" s="23">
        <v>552.6</v>
      </c>
      <c r="F83" s="40">
        <f t="shared" si="3"/>
        <v>1381.5</v>
      </c>
      <c r="G83" s="64">
        <f>IF(B83="","",IFERROR(INDEX(Currais!$C:$C,MATCH(B83,Currais!$A:$A,0)),""))</f>
        <v>88</v>
      </c>
      <c r="H83" s="42">
        <f t="shared" si="4"/>
        <v>15.698863636363637</v>
      </c>
      <c r="I83" s="46">
        <f>IF(F83="","",IFERROR(LOOKUP(A83,Ingredientes_Dieta!$C$17:$C$18,Ingredientes_Dieta!$D$17:$D$18),Ingredientes_Dieta!$F$11))</f>
        <v>0.58250000000000002</v>
      </c>
      <c r="J83" s="28">
        <f t="shared" si="5"/>
        <v>804.72375</v>
      </c>
      <c r="K83" s="72" t="s">
        <v>121</v>
      </c>
    </row>
    <row r="84" spans="1:11" ht="15" customHeight="1" x14ac:dyDescent="0.3">
      <c r="A84" s="17">
        <v>46230</v>
      </c>
      <c r="B84" s="71">
        <v>5</v>
      </c>
      <c r="C84" s="23">
        <v>552.6</v>
      </c>
      <c r="D84" s="23">
        <v>276.3</v>
      </c>
      <c r="E84" s="23">
        <v>552.6</v>
      </c>
      <c r="F84" s="40">
        <f t="shared" si="3"/>
        <v>1381.5</v>
      </c>
      <c r="G84" s="64">
        <f>IF(B84="","",IFERROR(INDEX(Currais!$C:$C,MATCH(B84,Currais!$A:$A,0)),""))</f>
        <v>88</v>
      </c>
      <c r="H84" s="42">
        <f t="shared" si="4"/>
        <v>15.698863636363637</v>
      </c>
      <c r="I84" s="46">
        <f>IF(F84="","",IFERROR(LOOKUP(A84,Ingredientes_Dieta!$C$17:$C$18,Ingredientes_Dieta!$D$17:$D$18),Ingredientes_Dieta!$F$11))</f>
        <v>0.58250000000000002</v>
      </c>
      <c r="J84" s="28">
        <f t="shared" si="5"/>
        <v>804.72375</v>
      </c>
      <c r="K84" s="72" t="s">
        <v>121</v>
      </c>
    </row>
    <row r="85" spans="1:11" ht="15" customHeight="1" x14ac:dyDescent="0.3">
      <c r="A85" s="17">
        <v>46231</v>
      </c>
      <c r="B85" s="71">
        <v>5</v>
      </c>
      <c r="C85" s="23">
        <v>552.6</v>
      </c>
      <c r="D85" s="23">
        <v>276.3</v>
      </c>
      <c r="E85" s="23">
        <v>552.6</v>
      </c>
      <c r="F85" s="40">
        <f t="shared" si="3"/>
        <v>1381.5</v>
      </c>
      <c r="G85" s="64">
        <f>IF(B85="","",IFERROR(INDEX(Currais!$C:$C,MATCH(B85,Currais!$A:$A,0)),""))</f>
        <v>88</v>
      </c>
      <c r="H85" s="42">
        <f t="shared" si="4"/>
        <v>15.698863636363637</v>
      </c>
      <c r="I85" s="46">
        <f>IF(F85="","",IFERROR(LOOKUP(A85,Ingredientes_Dieta!$C$17:$C$18,Ingredientes_Dieta!$D$17:$D$18),Ingredientes_Dieta!$F$11))</f>
        <v>0.58250000000000002</v>
      </c>
      <c r="J85" s="28">
        <f t="shared" si="5"/>
        <v>804.72375</v>
      </c>
      <c r="K85" s="72" t="s">
        <v>121</v>
      </c>
    </row>
    <row r="86" spans="1:11" ht="15" customHeight="1" x14ac:dyDescent="0.3">
      <c r="A86" s="17">
        <v>46232</v>
      </c>
      <c r="B86" s="71">
        <v>5</v>
      </c>
      <c r="C86" s="23">
        <v>552.6</v>
      </c>
      <c r="D86" s="23">
        <v>276.3</v>
      </c>
      <c r="E86" s="23">
        <v>552.6</v>
      </c>
      <c r="F86" s="40">
        <f t="shared" si="3"/>
        <v>1381.5</v>
      </c>
      <c r="G86" s="64">
        <f>IF(B86="","",IFERROR(INDEX(Currais!$C:$C,MATCH(B86,Currais!$A:$A,0)),""))</f>
        <v>88</v>
      </c>
      <c r="H86" s="42">
        <f t="shared" si="4"/>
        <v>15.698863636363637</v>
      </c>
      <c r="I86" s="46">
        <f>IF(F86="","",IFERROR(LOOKUP(A86,Ingredientes_Dieta!$C$17:$C$18,Ingredientes_Dieta!$D$17:$D$18),Ingredientes_Dieta!$F$11))</f>
        <v>0.58250000000000002</v>
      </c>
      <c r="J86" s="28">
        <f t="shared" si="5"/>
        <v>804.72375</v>
      </c>
      <c r="K86" s="72" t="s">
        <v>121</v>
      </c>
    </row>
    <row r="87" spans="1:11" ht="15" customHeight="1" x14ac:dyDescent="0.3">
      <c r="A87" s="17">
        <v>46233</v>
      </c>
      <c r="B87" s="71">
        <v>5</v>
      </c>
      <c r="C87" s="23">
        <v>614</v>
      </c>
      <c r="D87" s="23">
        <v>307</v>
      </c>
      <c r="E87" s="23">
        <v>614</v>
      </c>
      <c r="F87" s="40">
        <f t="shared" si="3"/>
        <v>1535</v>
      </c>
      <c r="G87" s="64">
        <f>IF(B87="","",IFERROR(INDEX(Currais!$C:$C,MATCH(B87,Currais!$A:$A,0)),""))</f>
        <v>88</v>
      </c>
      <c r="H87" s="42">
        <f t="shared" si="4"/>
        <v>17.443181818181817</v>
      </c>
      <c r="I87" s="46">
        <f>IF(F87="","",IFERROR(LOOKUP(A87,Ingredientes_Dieta!$C$17:$C$18,Ingredientes_Dieta!$D$17:$D$18),Ingredientes_Dieta!$F$11))</f>
        <v>0.58250000000000002</v>
      </c>
      <c r="J87" s="28">
        <f t="shared" si="5"/>
        <v>894.13750000000005</v>
      </c>
      <c r="K87" s="72" t="s">
        <v>122</v>
      </c>
    </row>
    <row r="88" spans="1:11" ht="15" customHeight="1" x14ac:dyDescent="0.3">
      <c r="A88" s="17">
        <v>46234</v>
      </c>
      <c r="B88" s="71">
        <v>5</v>
      </c>
      <c r="C88" s="23">
        <v>614</v>
      </c>
      <c r="D88" s="23">
        <v>307</v>
      </c>
      <c r="E88" s="23">
        <v>614</v>
      </c>
      <c r="F88" s="40">
        <f t="shared" si="3"/>
        <v>1535</v>
      </c>
      <c r="G88" s="64">
        <f>IF(B88="","",IFERROR(INDEX(Currais!$C:$C,MATCH(B88,Currais!$A:$A,0)),""))</f>
        <v>88</v>
      </c>
      <c r="H88" s="42">
        <f t="shared" si="4"/>
        <v>17.443181818181817</v>
      </c>
      <c r="I88" s="46">
        <f>IF(F88="","",IFERROR(LOOKUP(A88,Ingredientes_Dieta!$C$17:$C$18,Ingredientes_Dieta!$D$17:$D$18),Ingredientes_Dieta!$F$11))</f>
        <v>0.58250000000000002</v>
      </c>
      <c r="J88" s="28">
        <f t="shared" si="5"/>
        <v>894.13750000000005</v>
      </c>
      <c r="K88" s="72" t="s">
        <v>122</v>
      </c>
    </row>
    <row r="89" spans="1:11" ht="15" customHeight="1" x14ac:dyDescent="0.3">
      <c r="A89" s="17">
        <v>46235</v>
      </c>
      <c r="B89" s="71">
        <v>5</v>
      </c>
      <c r="C89" s="23">
        <v>614</v>
      </c>
      <c r="D89" s="23">
        <v>307</v>
      </c>
      <c r="E89" s="23">
        <v>614</v>
      </c>
      <c r="F89" s="40">
        <f t="shared" si="3"/>
        <v>1535</v>
      </c>
      <c r="G89" s="64">
        <f>IF(B89="","",IFERROR(INDEX(Currais!$C:$C,MATCH(B89,Currais!$A:$A,0)),""))</f>
        <v>88</v>
      </c>
      <c r="H89" s="42">
        <f t="shared" si="4"/>
        <v>17.443181818181817</v>
      </c>
      <c r="I89" s="46">
        <f>IF(F89="","",IFERROR(LOOKUP(A89,Ingredientes_Dieta!$C$17:$C$18,Ingredientes_Dieta!$D$17:$D$18),Ingredientes_Dieta!$F$11))</f>
        <v>0.58250000000000002</v>
      </c>
      <c r="J89" s="28">
        <f t="shared" si="5"/>
        <v>894.13750000000005</v>
      </c>
      <c r="K89" s="72" t="s">
        <v>122</v>
      </c>
    </row>
    <row r="90" spans="1:11" ht="15" customHeight="1" x14ac:dyDescent="0.3">
      <c r="A90" s="17">
        <v>46236</v>
      </c>
      <c r="B90" s="71">
        <v>5</v>
      </c>
      <c r="C90" s="23">
        <v>614</v>
      </c>
      <c r="D90" s="23">
        <v>307</v>
      </c>
      <c r="E90" s="23">
        <v>614</v>
      </c>
      <c r="F90" s="40">
        <f t="shared" si="3"/>
        <v>1535</v>
      </c>
      <c r="G90" s="64">
        <f>IF(B90="","",IFERROR(INDEX(Currais!$C:$C,MATCH(B90,Currais!$A:$A,0)),""))</f>
        <v>88</v>
      </c>
      <c r="H90" s="42">
        <f t="shared" si="4"/>
        <v>17.443181818181817</v>
      </c>
      <c r="I90" s="46">
        <f>IF(F90="","",IFERROR(LOOKUP(A90,Ingredientes_Dieta!$C$17:$C$18,Ingredientes_Dieta!$D$17:$D$18),Ingredientes_Dieta!$F$11))</f>
        <v>0.58250000000000002</v>
      </c>
      <c r="J90" s="28">
        <f t="shared" si="5"/>
        <v>894.13750000000005</v>
      </c>
      <c r="K90" s="72" t="s">
        <v>122</v>
      </c>
    </row>
    <row r="91" spans="1:11" ht="15" customHeight="1" x14ac:dyDescent="0.3">
      <c r="A91" s="17">
        <v>46237</v>
      </c>
      <c r="B91" s="71">
        <v>5</v>
      </c>
      <c r="C91" s="23">
        <v>614</v>
      </c>
      <c r="D91" s="23">
        <v>307</v>
      </c>
      <c r="E91" s="23">
        <v>614</v>
      </c>
      <c r="F91" s="40">
        <f t="shared" si="3"/>
        <v>1535</v>
      </c>
      <c r="G91" s="64">
        <f>IF(B91="","",IFERROR(INDEX(Currais!$C:$C,MATCH(B91,Currais!$A:$A,0)),""))</f>
        <v>88</v>
      </c>
      <c r="H91" s="42">
        <f t="shared" si="4"/>
        <v>17.443181818181817</v>
      </c>
      <c r="I91" s="46">
        <f>IF(F91="","",IFERROR(LOOKUP(A91,Ingredientes_Dieta!$C$17:$C$18,Ingredientes_Dieta!$D$17:$D$18),Ingredientes_Dieta!$F$11))</f>
        <v>0.58250000000000002</v>
      </c>
      <c r="J91" s="28">
        <f t="shared" si="5"/>
        <v>894.13750000000005</v>
      </c>
      <c r="K91" s="72" t="s">
        <v>122</v>
      </c>
    </row>
    <row r="92" spans="1:11" ht="15" customHeight="1" x14ac:dyDescent="0.3">
      <c r="A92" s="17">
        <v>46224</v>
      </c>
      <c r="B92" s="71">
        <v>6</v>
      </c>
      <c r="C92" s="23">
        <v>571.20000000000005</v>
      </c>
      <c r="D92" s="23">
        <v>285.60000000000002</v>
      </c>
      <c r="E92" s="23">
        <v>571.20000000000005</v>
      </c>
      <c r="F92" s="40">
        <f t="shared" si="3"/>
        <v>1428</v>
      </c>
      <c r="G92" s="64">
        <f>IF(B92="","",IFERROR(INDEX(Currais!$C:$C,MATCH(B92,Currais!$A:$A,0)),""))</f>
        <v>85</v>
      </c>
      <c r="H92" s="42">
        <f t="shared" si="4"/>
        <v>16.8</v>
      </c>
      <c r="I92" s="46">
        <f>IF(F92="","",IFERROR(LOOKUP(A92,Ingredientes_Dieta!$C$17:$C$18,Ingredientes_Dieta!$D$17:$D$18),Ingredientes_Dieta!$F$11))</f>
        <v>0.58250000000000002</v>
      </c>
      <c r="J92" s="28">
        <f t="shared" si="5"/>
        <v>831.81000000000006</v>
      </c>
      <c r="K92" s="72" t="s">
        <v>121</v>
      </c>
    </row>
    <row r="93" spans="1:11" ht="15" customHeight="1" x14ac:dyDescent="0.3">
      <c r="A93" s="17">
        <v>46225</v>
      </c>
      <c r="B93" s="71">
        <v>6</v>
      </c>
      <c r="C93" s="23">
        <v>571.20000000000005</v>
      </c>
      <c r="D93" s="23">
        <v>285.60000000000002</v>
      </c>
      <c r="E93" s="23">
        <v>571.20000000000005</v>
      </c>
      <c r="F93" s="40">
        <f t="shared" si="3"/>
        <v>1428</v>
      </c>
      <c r="G93" s="64">
        <f>IF(B93="","",IFERROR(INDEX(Currais!$C:$C,MATCH(B93,Currais!$A:$A,0)),""))</f>
        <v>85</v>
      </c>
      <c r="H93" s="42">
        <f t="shared" si="4"/>
        <v>16.8</v>
      </c>
      <c r="I93" s="46">
        <f>IF(F93="","",IFERROR(LOOKUP(A93,Ingredientes_Dieta!$C$17:$C$18,Ingredientes_Dieta!$D$17:$D$18),Ingredientes_Dieta!$F$11))</f>
        <v>0.58250000000000002</v>
      </c>
      <c r="J93" s="28">
        <f t="shared" si="5"/>
        <v>831.81000000000006</v>
      </c>
      <c r="K93" s="72" t="s">
        <v>121</v>
      </c>
    </row>
    <row r="94" spans="1:11" ht="15" customHeight="1" x14ac:dyDescent="0.3">
      <c r="A94" s="17">
        <v>46226</v>
      </c>
      <c r="B94" s="71">
        <v>6</v>
      </c>
      <c r="C94" s="23">
        <v>571.20000000000005</v>
      </c>
      <c r="D94" s="23">
        <v>285.60000000000002</v>
      </c>
      <c r="E94" s="23">
        <v>571.20000000000005</v>
      </c>
      <c r="F94" s="40">
        <f t="shared" si="3"/>
        <v>1428</v>
      </c>
      <c r="G94" s="64">
        <f>IF(B94="","",IFERROR(INDEX(Currais!$C:$C,MATCH(B94,Currais!$A:$A,0)),""))</f>
        <v>85</v>
      </c>
      <c r="H94" s="42">
        <f t="shared" si="4"/>
        <v>16.8</v>
      </c>
      <c r="I94" s="46">
        <f>IF(F94="","",IFERROR(LOOKUP(A94,Ingredientes_Dieta!$C$17:$C$18,Ingredientes_Dieta!$D$17:$D$18),Ingredientes_Dieta!$F$11))</f>
        <v>0.58250000000000002</v>
      </c>
      <c r="J94" s="28">
        <f t="shared" si="5"/>
        <v>831.81000000000006</v>
      </c>
      <c r="K94" s="72" t="s">
        <v>121</v>
      </c>
    </row>
    <row r="95" spans="1:11" ht="15" customHeight="1" x14ac:dyDescent="0.3">
      <c r="A95" s="17">
        <v>46227</v>
      </c>
      <c r="B95" s="71">
        <v>6</v>
      </c>
      <c r="C95" s="23">
        <v>571.20000000000005</v>
      </c>
      <c r="D95" s="23">
        <v>285.60000000000002</v>
      </c>
      <c r="E95" s="23">
        <v>571.20000000000005</v>
      </c>
      <c r="F95" s="40">
        <f t="shared" si="3"/>
        <v>1428</v>
      </c>
      <c r="G95" s="64">
        <f>IF(B95="","",IFERROR(INDEX(Currais!$C:$C,MATCH(B95,Currais!$A:$A,0)),""))</f>
        <v>85</v>
      </c>
      <c r="H95" s="42">
        <f t="shared" si="4"/>
        <v>16.8</v>
      </c>
      <c r="I95" s="46">
        <f>IF(F95="","",IFERROR(LOOKUP(A95,Ingredientes_Dieta!$C$17:$C$18,Ingredientes_Dieta!$D$17:$D$18),Ingredientes_Dieta!$F$11))</f>
        <v>0.58250000000000002</v>
      </c>
      <c r="J95" s="28">
        <f t="shared" si="5"/>
        <v>831.81000000000006</v>
      </c>
      <c r="K95" s="72" t="s">
        <v>121</v>
      </c>
    </row>
    <row r="96" spans="1:11" ht="15" customHeight="1" x14ac:dyDescent="0.3">
      <c r="A96" s="17">
        <v>46228</v>
      </c>
      <c r="B96" s="71">
        <v>6</v>
      </c>
      <c r="C96" s="23">
        <v>571.20000000000005</v>
      </c>
      <c r="D96" s="23">
        <v>285.60000000000002</v>
      </c>
      <c r="E96" s="23">
        <v>571.20000000000005</v>
      </c>
      <c r="F96" s="40">
        <f t="shared" si="3"/>
        <v>1428</v>
      </c>
      <c r="G96" s="64">
        <f>IF(B96="","",IFERROR(INDEX(Currais!$C:$C,MATCH(B96,Currais!$A:$A,0)),""))</f>
        <v>85</v>
      </c>
      <c r="H96" s="42">
        <f t="shared" si="4"/>
        <v>16.8</v>
      </c>
      <c r="I96" s="46">
        <f>IF(F96="","",IFERROR(LOOKUP(A96,Ingredientes_Dieta!$C$17:$C$18,Ingredientes_Dieta!$D$17:$D$18),Ingredientes_Dieta!$F$11))</f>
        <v>0.58250000000000002</v>
      </c>
      <c r="J96" s="28">
        <f t="shared" si="5"/>
        <v>831.81000000000006</v>
      </c>
      <c r="K96" s="72" t="s">
        <v>121</v>
      </c>
    </row>
    <row r="97" spans="1:11" ht="15" customHeight="1" x14ac:dyDescent="0.3">
      <c r="A97" s="17">
        <v>46229</v>
      </c>
      <c r="B97" s="71">
        <v>6</v>
      </c>
      <c r="C97" s="23">
        <v>571.20000000000005</v>
      </c>
      <c r="D97" s="23">
        <v>285.60000000000002</v>
      </c>
      <c r="E97" s="23">
        <v>571.20000000000005</v>
      </c>
      <c r="F97" s="40">
        <f t="shared" si="3"/>
        <v>1428</v>
      </c>
      <c r="G97" s="64">
        <f>IF(B97="","",IFERROR(INDEX(Currais!$C:$C,MATCH(B97,Currais!$A:$A,0)),""))</f>
        <v>85</v>
      </c>
      <c r="H97" s="42">
        <f t="shared" si="4"/>
        <v>16.8</v>
      </c>
      <c r="I97" s="46">
        <f>IF(F97="","",IFERROR(LOOKUP(A97,Ingredientes_Dieta!$C$17:$C$18,Ingredientes_Dieta!$D$17:$D$18),Ingredientes_Dieta!$F$11))</f>
        <v>0.58250000000000002</v>
      </c>
      <c r="J97" s="28">
        <f t="shared" si="5"/>
        <v>831.81000000000006</v>
      </c>
      <c r="K97" s="72" t="s">
        <v>121</v>
      </c>
    </row>
    <row r="98" spans="1:11" ht="15" customHeight="1" x14ac:dyDescent="0.3">
      <c r="A98" s="17">
        <v>46230</v>
      </c>
      <c r="B98" s="71">
        <v>6</v>
      </c>
      <c r="C98" s="23">
        <v>571.20000000000005</v>
      </c>
      <c r="D98" s="23">
        <v>285.60000000000002</v>
      </c>
      <c r="E98" s="23">
        <v>571.20000000000005</v>
      </c>
      <c r="F98" s="40">
        <f t="shared" si="3"/>
        <v>1428</v>
      </c>
      <c r="G98" s="64">
        <f>IF(B98="","",IFERROR(INDEX(Currais!$C:$C,MATCH(B98,Currais!$A:$A,0)),""))</f>
        <v>85</v>
      </c>
      <c r="H98" s="42">
        <f t="shared" si="4"/>
        <v>16.8</v>
      </c>
      <c r="I98" s="46">
        <f>IF(F98="","",IFERROR(LOOKUP(A98,Ingredientes_Dieta!$C$17:$C$18,Ingredientes_Dieta!$D$17:$D$18),Ingredientes_Dieta!$F$11))</f>
        <v>0.58250000000000002</v>
      </c>
      <c r="J98" s="28">
        <f t="shared" si="5"/>
        <v>831.81000000000006</v>
      </c>
      <c r="K98" s="72" t="s">
        <v>121</v>
      </c>
    </row>
    <row r="99" spans="1:11" ht="15" customHeight="1" x14ac:dyDescent="0.3">
      <c r="A99" s="17">
        <v>46231</v>
      </c>
      <c r="B99" s="71">
        <v>6</v>
      </c>
      <c r="C99" s="23">
        <v>571.20000000000005</v>
      </c>
      <c r="D99" s="23">
        <v>285.60000000000002</v>
      </c>
      <c r="E99" s="23">
        <v>571.20000000000005</v>
      </c>
      <c r="F99" s="40">
        <f t="shared" si="3"/>
        <v>1428</v>
      </c>
      <c r="G99" s="64">
        <f>IF(B99="","",IFERROR(INDEX(Currais!$C:$C,MATCH(B99,Currais!$A:$A,0)),""))</f>
        <v>85</v>
      </c>
      <c r="H99" s="42">
        <f t="shared" si="4"/>
        <v>16.8</v>
      </c>
      <c r="I99" s="46">
        <f>IF(F99="","",IFERROR(LOOKUP(A99,Ingredientes_Dieta!$C$17:$C$18,Ingredientes_Dieta!$D$17:$D$18),Ingredientes_Dieta!$F$11))</f>
        <v>0.58250000000000002</v>
      </c>
      <c r="J99" s="28">
        <f t="shared" si="5"/>
        <v>831.81000000000006</v>
      </c>
      <c r="K99" s="72" t="s">
        <v>121</v>
      </c>
    </row>
    <row r="100" spans="1:11" ht="15" customHeight="1" x14ac:dyDescent="0.3">
      <c r="A100" s="17">
        <v>46232</v>
      </c>
      <c r="B100" s="71">
        <v>6</v>
      </c>
      <c r="C100" s="23">
        <v>571.20000000000005</v>
      </c>
      <c r="D100" s="23">
        <v>285.60000000000002</v>
      </c>
      <c r="E100" s="23">
        <v>571.20000000000005</v>
      </c>
      <c r="F100" s="40">
        <f t="shared" si="3"/>
        <v>1428</v>
      </c>
      <c r="G100" s="64">
        <f>IF(B100="","",IFERROR(INDEX(Currais!$C:$C,MATCH(B100,Currais!$A:$A,0)),""))</f>
        <v>85</v>
      </c>
      <c r="H100" s="42">
        <f t="shared" si="4"/>
        <v>16.8</v>
      </c>
      <c r="I100" s="46">
        <f>IF(F100="","",IFERROR(LOOKUP(A100,Ingredientes_Dieta!$C$17:$C$18,Ingredientes_Dieta!$D$17:$D$18),Ingredientes_Dieta!$F$11))</f>
        <v>0.58250000000000002</v>
      </c>
      <c r="J100" s="28">
        <f t="shared" si="5"/>
        <v>831.81000000000006</v>
      </c>
      <c r="K100" s="72" t="s">
        <v>121</v>
      </c>
    </row>
    <row r="101" spans="1:11" ht="15" customHeight="1" x14ac:dyDescent="0.3">
      <c r="A101" s="17">
        <v>46233</v>
      </c>
      <c r="B101" s="71">
        <v>6</v>
      </c>
      <c r="C101" s="23">
        <v>634.70000000000005</v>
      </c>
      <c r="D101" s="23">
        <v>317.39999999999998</v>
      </c>
      <c r="E101" s="23">
        <v>634.70000000000005</v>
      </c>
      <c r="F101" s="40">
        <f t="shared" si="3"/>
        <v>1586.8000000000002</v>
      </c>
      <c r="G101" s="64">
        <f>IF(B101="","",IFERROR(INDEX(Currais!$C:$C,MATCH(B101,Currais!$A:$A,0)),""))</f>
        <v>85</v>
      </c>
      <c r="H101" s="42">
        <f t="shared" si="4"/>
        <v>18.66823529411765</v>
      </c>
      <c r="I101" s="46">
        <f>IF(F101="","",IFERROR(LOOKUP(A101,Ingredientes_Dieta!$C$17:$C$18,Ingredientes_Dieta!$D$17:$D$18),Ingredientes_Dieta!$F$11))</f>
        <v>0.58250000000000002</v>
      </c>
      <c r="J101" s="28">
        <f t="shared" si="5"/>
        <v>924.31100000000015</v>
      </c>
      <c r="K101" s="72" t="s">
        <v>122</v>
      </c>
    </row>
    <row r="102" spans="1:11" ht="15" customHeight="1" x14ac:dyDescent="0.3">
      <c r="A102" s="17">
        <v>46234</v>
      </c>
      <c r="B102" s="71">
        <v>6</v>
      </c>
      <c r="C102" s="23">
        <v>634.70000000000005</v>
      </c>
      <c r="D102" s="23">
        <v>317.39999999999998</v>
      </c>
      <c r="E102" s="23">
        <v>634.70000000000005</v>
      </c>
      <c r="F102" s="40">
        <f t="shared" si="3"/>
        <v>1586.8000000000002</v>
      </c>
      <c r="G102" s="64">
        <f>IF(B102="","",IFERROR(INDEX(Currais!$C:$C,MATCH(B102,Currais!$A:$A,0)),""))</f>
        <v>85</v>
      </c>
      <c r="H102" s="42">
        <f t="shared" si="4"/>
        <v>18.66823529411765</v>
      </c>
      <c r="I102" s="46">
        <f>IF(F102="","",IFERROR(LOOKUP(A102,Ingredientes_Dieta!$C$17:$C$18,Ingredientes_Dieta!$D$17:$D$18),Ingredientes_Dieta!$F$11))</f>
        <v>0.58250000000000002</v>
      </c>
      <c r="J102" s="28">
        <f t="shared" si="5"/>
        <v>924.31100000000015</v>
      </c>
      <c r="K102" s="72" t="s">
        <v>122</v>
      </c>
    </row>
    <row r="103" spans="1:11" ht="15" customHeight="1" x14ac:dyDescent="0.3">
      <c r="A103" s="17">
        <v>46235</v>
      </c>
      <c r="B103" s="71">
        <v>6</v>
      </c>
      <c r="C103" s="23">
        <v>634.70000000000005</v>
      </c>
      <c r="D103" s="23">
        <v>317.39999999999998</v>
      </c>
      <c r="E103" s="23">
        <v>634.70000000000005</v>
      </c>
      <c r="F103" s="40">
        <f t="shared" si="3"/>
        <v>1586.8000000000002</v>
      </c>
      <c r="G103" s="64">
        <f>IF(B103="","",IFERROR(INDEX(Currais!$C:$C,MATCH(B103,Currais!$A:$A,0)),""))</f>
        <v>85</v>
      </c>
      <c r="H103" s="42">
        <f t="shared" si="4"/>
        <v>18.66823529411765</v>
      </c>
      <c r="I103" s="46">
        <f>IF(F103="","",IFERROR(LOOKUP(A103,Ingredientes_Dieta!$C$17:$C$18,Ingredientes_Dieta!$D$17:$D$18),Ingredientes_Dieta!$F$11))</f>
        <v>0.58250000000000002</v>
      </c>
      <c r="J103" s="28">
        <f t="shared" si="5"/>
        <v>924.31100000000015</v>
      </c>
      <c r="K103" s="72" t="s">
        <v>122</v>
      </c>
    </row>
    <row r="104" spans="1:11" ht="15" customHeight="1" x14ac:dyDescent="0.3">
      <c r="A104" s="17">
        <v>46236</v>
      </c>
      <c r="B104" s="71">
        <v>6</v>
      </c>
      <c r="C104" s="23">
        <v>634.70000000000005</v>
      </c>
      <c r="D104" s="23">
        <v>317.39999999999998</v>
      </c>
      <c r="E104" s="23">
        <v>634.70000000000005</v>
      </c>
      <c r="F104" s="40">
        <f t="shared" si="3"/>
        <v>1586.8000000000002</v>
      </c>
      <c r="G104" s="64">
        <f>IF(B104="","",IFERROR(INDEX(Currais!$C:$C,MATCH(B104,Currais!$A:$A,0)),""))</f>
        <v>85</v>
      </c>
      <c r="H104" s="42">
        <f t="shared" si="4"/>
        <v>18.66823529411765</v>
      </c>
      <c r="I104" s="46">
        <f>IF(F104="","",IFERROR(LOOKUP(A104,Ingredientes_Dieta!$C$17:$C$18,Ingredientes_Dieta!$D$17:$D$18),Ingredientes_Dieta!$F$11))</f>
        <v>0.58250000000000002</v>
      </c>
      <c r="J104" s="28">
        <f t="shared" si="5"/>
        <v>924.31100000000015</v>
      </c>
      <c r="K104" s="72" t="s">
        <v>122</v>
      </c>
    </row>
    <row r="105" spans="1:11" ht="15" customHeight="1" x14ac:dyDescent="0.3">
      <c r="A105" s="17">
        <v>46237</v>
      </c>
      <c r="B105" s="71">
        <v>6</v>
      </c>
      <c r="C105" s="23">
        <v>634.70000000000005</v>
      </c>
      <c r="D105" s="23">
        <v>317.39999999999998</v>
      </c>
      <c r="E105" s="23">
        <v>634.70000000000005</v>
      </c>
      <c r="F105" s="40">
        <f t="shared" si="3"/>
        <v>1586.8000000000002</v>
      </c>
      <c r="G105" s="64">
        <f>IF(B105="","",IFERROR(INDEX(Currais!$C:$C,MATCH(B105,Currais!$A:$A,0)),""))</f>
        <v>85</v>
      </c>
      <c r="H105" s="42">
        <f t="shared" si="4"/>
        <v>18.66823529411765</v>
      </c>
      <c r="I105" s="46">
        <f>IF(F105="","",IFERROR(LOOKUP(A105,Ingredientes_Dieta!$C$17:$C$18,Ingredientes_Dieta!$D$17:$D$18),Ingredientes_Dieta!$F$11))</f>
        <v>0.58250000000000002</v>
      </c>
      <c r="J105" s="28">
        <f t="shared" si="5"/>
        <v>924.31100000000015</v>
      </c>
      <c r="K105" s="72" t="s">
        <v>122</v>
      </c>
    </row>
    <row r="106" spans="1:11" ht="15" customHeight="1" x14ac:dyDescent="0.3">
      <c r="A106" s="17">
        <v>46224</v>
      </c>
      <c r="B106" s="71">
        <v>7</v>
      </c>
      <c r="C106" s="23">
        <v>614.79999999999995</v>
      </c>
      <c r="D106" s="23">
        <v>307.39999999999998</v>
      </c>
      <c r="E106" s="23">
        <v>614.79999999999995</v>
      </c>
      <c r="F106" s="40">
        <f t="shared" si="3"/>
        <v>1537</v>
      </c>
      <c r="G106" s="64">
        <f>IF(B106="","",IFERROR(INDEX(Currais!$C:$C,MATCH(B106,Currais!$A:$A,0)),""))</f>
        <v>85</v>
      </c>
      <c r="H106" s="42">
        <f t="shared" si="4"/>
        <v>18.08235294117647</v>
      </c>
      <c r="I106" s="46">
        <f>IF(F106="","",IFERROR(LOOKUP(A106,Ingredientes_Dieta!$C$17:$C$18,Ingredientes_Dieta!$D$17:$D$18),Ingredientes_Dieta!$F$11))</f>
        <v>0.58250000000000002</v>
      </c>
      <c r="J106" s="28">
        <f t="shared" si="5"/>
        <v>895.30250000000001</v>
      </c>
      <c r="K106" s="72" t="s">
        <v>121</v>
      </c>
    </row>
    <row r="107" spans="1:11" ht="15" customHeight="1" x14ac:dyDescent="0.3">
      <c r="A107" s="17">
        <v>46225</v>
      </c>
      <c r="B107" s="71">
        <v>7</v>
      </c>
      <c r="C107" s="23">
        <v>614.79999999999995</v>
      </c>
      <c r="D107" s="23">
        <v>307.39999999999998</v>
      </c>
      <c r="E107" s="23">
        <v>614.79999999999995</v>
      </c>
      <c r="F107" s="40">
        <f t="shared" si="3"/>
        <v>1537</v>
      </c>
      <c r="G107" s="64">
        <f>IF(B107="","",IFERROR(INDEX(Currais!$C:$C,MATCH(B107,Currais!$A:$A,0)),""))</f>
        <v>85</v>
      </c>
      <c r="H107" s="42">
        <f t="shared" si="4"/>
        <v>18.08235294117647</v>
      </c>
      <c r="I107" s="46">
        <f>IF(F107="","",IFERROR(LOOKUP(A107,Ingredientes_Dieta!$C$17:$C$18,Ingredientes_Dieta!$D$17:$D$18),Ingredientes_Dieta!$F$11))</f>
        <v>0.58250000000000002</v>
      </c>
      <c r="J107" s="28">
        <f t="shared" si="5"/>
        <v>895.30250000000001</v>
      </c>
      <c r="K107" s="72" t="s">
        <v>121</v>
      </c>
    </row>
    <row r="108" spans="1:11" ht="15" customHeight="1" x14ac:dyDescent="0.3">
      <c r="A108" s="17">
        <v>46226</v>
      </c>
      <c r="B108" s="71">
        <v>7</v>
      </c>
      <c r="C108" s="23">
        <v>614.79999999999995</v>
      </c>
      <c r="D108" s="23">
        <v>307.39999999999998</v>
      </c>
      <c r="E108" s="23">
        <v>614.79999999999995</v>
      </c>
      <c r="F108" s="40">
        <f t="shared" si="3"/>
        <v>1537</v>
      </c>
      <c r="G108" s="64">
        <f>IF(B108="","",IFERROR(INDEX(Currais!$C:$C,MATCH(B108,Currais!$A:$A,0)),""))</f>
        <v>85</v>
      </c>
      <c r="H108" s="42">
        <f t="shared" si="4"/>
        <v>18.08235294117647</v>
      </c>
      <c r="I108" s="46">
        <f>IF(F108="","",IFERROR(LOOKUP(A108,Ingredientes_Dieta!$C$17:$C$18,Ingredientes_Dieta!$D$17:$D$18),Ingredientes_Dieta!$F$11))</f>
        <v>0.58250000000000002</v>
      </c>
      <c r="J108" s="28">
        <f t="shared" si="5"/>
        <v>895.30250000000001</v>
      </c>
      <c r="K108" s="72" t="s">
        <v>121</v>
      </c>
    </row>
    <row r="109" spans="1:11" ht="15" customHeight="1" x14ac:dyDescent="0.3">
      <c r="A109" s="17">
        <v>46227</v>
      </c>
      <c r="B109" s="71">
        <v>7</v>
      </c>
      <c r="C109" s="23">
        <v>614.79999999999995</v>
      </c>
      <c r="D109" s="23">
        <v>307.39999999999998</v>
      </c>
      <c r="E109" s="23">
        <v>614.79999999999995</v>
      </c>
      <c r="F109" s="40">
        <f t="shared" si="3"/>
        <v>1537</v>
      </c>
      <c r="G109" s="64">
        <f>IF(B109="","",IFERROR(INDEX(Currais!$C:$C,MATCH(B109,Currais!$A:$A,0)),""))</f>
        <v>85</v>
      </c>
      <c r="H109" s="42">
        <f t="shared" si="4"/>
        <v>18.08235294117647</v>
      </c>
      <c r="I109" s="46">
        <f>IF(F109="","",IFERROR(LOOKUP(A109,Ingredientes_Dieta!$C$17:$C$18,Ingredientes_Dieta!$D$17:$D$18),Ingredientes_Dieta!$F$11))</f>
        <v>0.58250000000000002</v>
      </c>
      <c r="J109" s="28">
        <f t="shared" si="5"/>
        <v>895.30250000000001</v>
      </c>
      <c r="K109" s="72" t="s">
        <v>121</v>
      </c>
    </row>
    <row r="110" spans="1:11" ht="15" customHeight="1" x14ac:dyDescent="0.3">
      <c r="A110" s="17">
        <v>46228</v>
      </c>
      <c r="B110" s="71">
        <v>7</v>
      </c>
      <c r="C110" s="23">
        <v>614.79999999999995</v>
      </c>
      <c r="D110" s="23">
        <v>307.39999999999998</v>
      </c>
      <c r="E110" s="23">
        <v>614.79999999999995</v>
      </c>
      <c r="F110" s="40">
        <f t="shared" si="3"/>
        <v>1537</v>
      </c>
      <c r="G110" s="64">
        <f>IF(B110="","",IFERROR(INDEX(Currais!$C:$C,MATCH(B110,Currais!$A:$A,0)),""))</f>
        <v>85</v>
      </c>
      <c r="H110" s="42">
        <f t="shared" si="4"/>
        <v>18.08235294117647</v>
      </c>
      <c r="I110" s="46">
        <f>IF(F110="","",IFERROR(LOOKUP(A110,Ingredientes_Dieta!$C$17:$C$18,Ingredientes_Dieta!$D$17:$D$18),Ingredientes_Dieta!$F$11))</f>
        <v>0.58250000000000002</v>
      </c>
      <c r="J110" s="28">
        <f t="shared" si="5"/>
        <v>895.30250000000001</v>
      </c>
      <c r="K110" s="72" t="s">
        <v>121</v>
      </c>
    </row>
    <row r="111" spans="1:11" ht="15" customHeight="1" x14ac:dyDescent="0.3">
      <c r="A111" s="17">
        <v>46229</v>
      </c>
      <c r="B111" s="71">
        <v>7</v>
      </c>
      <c r="C111" s="23">
        <v>614.79999999999995</v>
      </c>
      <c r="D111" s="23">
        <v>307.39999999999998</v>
      </c>
      <c r="E111" s="23">
        <v>614.79999999999995</v>
      </c>
      <c r="F111" s="40">
        <f t="shared" si="3"/>
        <v>1537</v>
      </c>
      <c r="G111" s="64">
        <f>IF(B111="","",IFERROR(INDEX(Currais!$C:$C,MATCH(B111,Currais!$A:$A,0)),""))</f>
        <v>85</v>
      </c>
      <c r="H111" s="42">
        <f t="shared" si="4"/>
        <v>18.08235294117647</v>
      </c>
      <c r="I111" s="46">
        <f>IF(F111="","",IFERROR(LOOKUP(A111,Ingredientes_Dieta!$C$17:$C$18,Ingredientes_Dieta!$D$17:$D$18),Ingredientes_Dieta!$F$11))</f>
        <v>0.58250000000000002</v>
      </c>
      <c r="J111" s="28">
        <f t="shared" si="5"/>
        <v>895.30250000000001</v>
      </c>
      <c r="K111" s="72" t="s">
        <v>121</v>
      </c>
    </row>
    <row r="112" spans="1:11" ht="15" customHeight="1" x14ac:dyDescent="0.3">
      <c r="A112" s="17">
        <v>46230</v>
      </c>
      <c r="B112" s="71">
        <v>7</v>
      </c>
      <c r="C112" s="23">
        <v>614.79999999999995</v>
      </c>
      <c r="D112" s="23">
        <v>307.39999999999998</v>
      </c>
      <c r="E112" s="23">
        <v>614.79999999999995</v>
      </c>
      <c r="F112" s="40">
        <f t="shared" si="3"/>
        <v>1537</v>
      </c>
      <c r="G112" s="64">
        <f>IF(B112="","",IFERROR(INDEX(Currais!$C:$C,MATCH(B112,Currais!$A:$A,0)),""))</f>
        <v>85</v>
      </c>
      <c r="H112" s="42">
        <f t="shared" si="4"/>
        <v>18.08235294117647</v>
      </c>
      <c r="I112" s="46">
        <f>IF(F112="","",IFERROR(LOOKUP(A112,Ingredientes_Dieta!$C$17:$C$18,Ingredientes_Dieta!$D$17:$D$18),Ingredientes_Dieta!$F$11))</f>
        <v>0.58250000000000002</v>
      </c>
      <c r="J112" s="28">
        <f t="shared" si="5"/>
        <v>895.30250000000001</v>
      </c>
      <c r="K112" s="72" t="s">
        <v>121</v>
      </c>
    </row>
    <row r="113" spans="1:11" ht="15" customHeight="1" x14ac:dyDescent="0.3">
      <c r="A113" s="17">
        <v>46231</v>
      </c>
      <c r="B113" s="71">
        <v>7</v>
      </c>
      <c r="C113" s="23">
        <v>614.79999999999995</v>
      </c>
      <c r="D113" s="23">
        <v>307.39999999999998</v>
      </c>
      <c r="E113" s="23">
        <v>614.79999999999995</v>
      </c>
      <c r="F113" s="40">
        <f t="shared" si="3"/>
        <v>1537</v>
      </c>
      <c r="G113" s="64">
        <f>IF(B113="","",IFERROR(INDEX(Currais!$C:$C,MATCH(B113,Currais!$A:$A,0)),""))</f>
        <v>85</v>
      </c>
      <c r="H113" s="42">
        <f t="shared" si="4"/>
        <v>18.08235294117647</v>
      </c>
      <c r="I113" s="46">
        <f>IF(F113="","",IFERROR(LOOKUP(A113,Ingredientes_Dieta!$C$17:$C$18,Ingredientes_Dieta!$D$17:$D$18),Ingredientes_Dieta!$F$11))</f>
        <v>0.58250000000000002</v>
      </c>
      <c r="J113" s="28">
        <f t="shared" si="5"/>
        <v>895.30250000000001</v>
      </c>
      <c r="K113" s="72" t="s">
        <v>121</v>
      </c>
    </row>
    <row r="114" spans="1:11" ht="15" customHeight="1" x14ac:dyDescent="0.3">
      <c r="A114" s="17">
        <v>46232</v>
      </c>
      <c r="B114" s="71">
        <v>7</v>
      </c>
      <c r="C114" s="23">
        <v>614.79999999999995</v>
      </c>
      <c r="D114" s="23">
        <v>307.39999999999998</v>
      </c>
      <c r="E114" s="23">
        <v>614.79999999999995</v>
      </c>
      <c r="F114" s="40">
        <f t="shared" si="3"/>
        <v>1537</v>
      </c>
      <c r="G114" s="64">
        <f>IF(B114="","",IFERROR(INDEX(Currais!$C:$C,MATCH(B114,Currais!$A:$A,0)),""))</f>
        <v>85</v>
      </c>
      <c r="H114" s="42">
        <f t="shared" si="4"/>
        <v>18.08235294117647</v>
      </c>
      <c r="I114" s="46">
        <f>IF(F114="","",IFERROR(LOOKUP(A114,Ingredientes_Dieta!$C$17:$C$18,Ingredientes_Dieta!$D$17:$D$18),Ingredientes_Dieta!$F$11))</f>
        <v>0.58250000000000002</v>
      </c>
      <c r="J114" s="28">
        <f t="shared" si="5"/>
        <v>895.30250000000001</v>
      </c>
      <c r="K114" s="72" t="s">
        <v>121</v>
      </c>
    </row>
    <row r="115" spans="1:11" ht="15" customHeight="1" x14ac:dyDescent="0.3">
      <c r="A115" s="17">
        <v>46233</v>
      </c>
      <c r="B115" s="71">
        <v>7</v>
      </c>
      <c r="C115" s="23">
        <v>683.1</v>
      </c>
      <c r="D115" s="23">
        <v>341.6</v>
      </c>
      <c r="E115" s="23">
        <v>683.1</v>
      </c>
      <c r="F115" s="40">
        <f t="shared" si="3"/>
        <v>1707.8000000000002</v>
      </c>
      <c r="G115" s="64">
        <f>IF(B115="","",IFERROR(INDEX(Currais!$C:$C,MATCH(B115,Currais!$A:$A,0)),""))</f>
        <v>85</v>
      </c>
      <c r="H115" s="42">
        <f t="shared" si="4"/>
        <v>20.091764705882355</v>
      </c>
      <c r="I115" s="46">
        <f>IF(F115="","",IFERROR(LOOKUP(A115,Ingredientes_Dieta!$C$17:$C$18,Ingredientes_Dieta!$D$17:$D$18),Ingredientes_Dieta!$F$11))</f>
        <v>0.58250000000000002</v>
      </c>
      <c r="J115" s="28">
        <f t="shared" si="5"/>
        <v>994.79350000000011</v>
      </c>
      <c r="K115" s="72" t="s">
        <v>122</v>
      </c>
    </row>
    <row r="116" spans="1:11" ht="15" customHeight="1" x14ac:dyDescent="0.3">
      <c r="A116" s="17">
        <v>46234</v>
      </c>
      <c r="B116" s="71">
        <v>7</v>
      </c>
      <c r="C116" s="23">
        <v>683.1</v>
      </c>
      <c r="D116" s="23">
        <v>341.6</v>
      </c>
      <c r="E116" s="23">
        <v>683.1</v>
      </c>
      <c r="F116" s="40">
        <f t="shared" si="3"/>
        <v>1707.8000000000002</v>
      </c>
      <c r="G116" s="64">
        <f>IF(B116="","",IFERROR(INDEX(Currais!$C:$C,MATCH(B116,Currais!$A:$A,0)),""))</f>
        <v>85</v>
      </c>
      <c r="H116" s="42">
        <f t="shared" si="4"/>
        <v>20.091764705882355</v>
      </c>
      <c r="I116" s="46">
        <f>IF(F116="","",IFERROR(LOOKUP(A116,Ingredientes_Dieta!$C$17:$C$18,Ingredientes_Dieta!$D$17:$D$18),Ingredientes_Dieta!$F$11))</f>
        <v>0.58250000000000002</v>
      </c>
      <c r="J116" s="28">
        <f t="shared" si="5"/>
        <v>994.79350000000011</v>
      </c>
      <c r="K116" s="72" t="s">
        <v>122</v>
      </c>
    </row>
    <row r="117" spans="1:11" ht="15" customHeight="1" x14ac:dyDescent="0.3">
      <c r="A117" s="17">
        <v>46235</v>
      </c>
      <c r="B117" s="71">
        <v>7</v>
      </c>
      <c r="C117" s="23">
        <v>683.1</v>
      </c>
      <c r="D117" s="23">
        <v>341.6</v>
      </c>
      <c r="E117" s="23">
        <v>683.1</v>
      </c>
      <c r="F117" s="40">
        <f t="shared" si="3"/>
        <v>1707.8000000000002</v>
      </c>
      <c r="G117" s="64">
        <f>IF(B117="","",IFERROR(INDEX(Currais!$C:$C,MATCH(B117,Currais!$A:$A,0)),""))</f>
        <v>85</v>
      </c>
      <c r="H117" s="42">
        <f t="shared" si="4"/>
        <v>20.091764705882355</v>
      </c>
      <c r="I117" s="46">
        <f>IF(F117="","",IFERROR(LOOKUP(A117,Ingredientes_Dieta!$C$17:$C$18,Ingredientes_Dieta!$D$17:$D$18),Ingredientes_Dieta!$F$11))</f>
        <v>0.58250000000000002</v>
      </c>
      <c r="J117" s="28">
        <f t="shared" si="5"/>
        <v>994.79350000000011</v>
      </c>
      <c r="K117" s="72" t="s">
        <v>122</v>
      </c>
    </row>
    <row r="118" spans="1:11" ht="15" customHeight="1" x14ac:dyDescent="0.3">
      <c r="A118" s="17">
        <v>46236</v>
      </c>
      <c r="B118" s="71">
        <v>7</v>
      </c>
      <c r="C118" s="23">
        <v>683.1</v>
      </c>
      <c r="D118" s="23">
        <v>341.6</v>
      </c>
      <c r="E118" s="23">
        <v>683.1</v>
      </c>
      <c r="F118" s="40">
        <f t="shared" si="3"/>
        <v>1707.8000000000002</v>
      </c>
      <c r="G118" s="64">
        <f>IF(B118="","",IFERROR(INDEX(Currais!$C:$C,MATCH(B118,Currais!$A:$A,0)),""))</f>
        <v>85</v>
      </c>
      <c r="H118" s="42">
        <f t="shared" si="4"/>
        <v>20.091764705882355</v>
      </c>
      <c r="I118" s="46">
        <f>IF(F118="","",IFERROR(LOOKUP(A118,Ingredientes_Dieta!$C$17:$C$18,Ingredientes_Dieta!$D$17:$D$18),Ingredientes_Dieta!$F$11))</f>
        <v>0.58250000000000002</v>
      </c>
      <c r="J118" s="28">
        <f t="shared" si="5"/>
        <v>994.79350000000011</v>
      </c>
      <c r="K118" s="72" t="s">
        <v>122</v>
      </c>
    </row>
    <row r="119" spans="1:11" ht="15" customHeight="1" x14ac:dyDescent="0.3">
      <c r="A119" s="17">
        <v>46237</v>
      </c>
      <c r="B119" s="71">
        <v>7</v>
      </c>
      <c r="C119" s="23">
        <v>683.1</v>
      </c>
      <c r="D119" s="23">
        <v>341.6</v>
      </c>
      <c r="E119" s="23">
        <v>683.1</v>
      </c>
      <c r="F119" s="40">
        <f t="shared" si="3"/>
        <v>1707.8000000000002</v>
      </c>
      <c r="G119" s="64">
        <f>IF(B119="","",IFERROR(INDEX(Currais!$C:$C,MATCH(B119,Currais!$A:$A,0)),""))</f>
        <v>85</v>
      </c>
      <c r="H119" s="42">
        <f t="shared" si="4"/>
        <v>20.091764705882355</v>
      </c>
      <c r="I119" s="46">
        <f>IF(F119="","",IFERROR(LOOKUP(A119,Ingredientes_Dieta!$C$17:$C$18,Ingredientes_Dieta!$D$17:$D$18),Ingredientes_Dieta!$F$11))</f>
        <v>0.58250000000000002</v>
      </c>
      <c r="J119" s="28">
        <f t="shared" si="5"/>
        <v>994.79350000000011</v>
      </c>
      <c r="K119" s="72" t="s">
        <v>122</v>
      </c>
    </row>
    <row r="120" spans="1:11" ht="15" customHeight="1" x14ac:dyDescent="0.3">
      <c r="A120" s="17">
        <v>46225</v>
      </c>
      <c r="B120" s="71">
        <v>8</v>
      </c>
      <c r="C120" s="23">
        <v>468.3</v>
      </c>
      <c r="D120" s="23">
        <v>234.1</v>
      </c>
      <c r="E120" s="23">
        <v>468.3</v>
      </c>
      <c r="F120" s="40">
        <f t="shared" si="3"/>
        <v>1170.7</v>
      </c>
      <c r="G120" s="64">
        <f>IF(B120="","",IFERROR(INDEX(Currais!$C:$C,MATCH(B120,Currais!$A:$A,0)),""))</f>
        <v>68</v>
      </c>
      <c r="H120" s="42">
        <f t="shared" si="4"/>
        <v>17.216176470588238</v>
      </c>
      <c r="I120" s="46">
        <f>IF(F120="","",IFERROR(LOOKUP(A120,Ingredientes_Dieta!$C$17:$C$18,Ingredientes_Dieta!$D$17:$D$18),Ingredientes_Dieta!$F$11))</f>
        <v>0.58250000000000002</v>
      </c>
      <c r="J120" s="28">
        <f t="shared" si="5"/>
        <v>681.93275000000006</v>
      </c>
      <c r="K120" s="72" t="s">
        <v>121</v>
      </c>
    </row>
    <row r="121" spans="1:11" ht="15" customHeight="1" x14ac:dyDescent="0.3">
      <c r="A121" s="17">
        <v>46226</v>
      </c>
      <c r="B121" s="71">
        <v>8</v>
      </c>
      <c r="C121" s="23">
        <v>468.3</v>
      </c>
      <c r="D121" s="23">
        <v>234.1</v>
      </c>
      <c r="E121" s="23">
        <v>468.3</v>
      </c>
      <c r="F121" s="40">
        <f t="shared" si="3"/>
        <v>1170.7</v>
      </c>
      <c r="G121" s="64">
        <f>IF(B121="","",IFERROR(INDEX(Currais!$C:$C,MATCH(B121,Currais!$A:$A,0)),""))</f>
        <v>68</v>
      </c>
      <c r="H121" s="42">
        <f t="shared" si="4"/>
        <v>17.216176470588238</v>
      </c>
      <c r="I121" s="46">
        <f>IF(F121="","",IFERROR(LOOKUP(A121,Ingredientes_Dieta!$C$17:$C$18,Ingredientes_Dieta!$D$17:$D$18),Ingredientes_Dieta!$F$11))</f>
        <v>0.58250000000000002</v>
      </c>
      <c r="J121" s="28">
        <f t="shared" si="5"/>
        <v>681.93275000000006</v>
      </c>
      <c r="K121" s="72" t="s">
        <v>121</v>
      </c>
    </row>
    <row r="122" spans="1:11" ht="15" customHeight="1" x14ac:dyDescent="0.3">
      <c r="A122" s="17">
        <v>46227</v>
      </c>
      <c r="B122" s="71">
        <v>8</v>
      </c>
      <c r="C122" s="23">
        <v>468.3</v>
      </c>
      <c r="D122" s="23">
        <v>234.1</v>
      </c>
      <c r="E122" s="23">
        <v>468.3</v>
      </c>
      <c r="F122" s="40">
        <f t="shared" si="3"/>
        <v>1170.7</v>
      </c>
      <c r="G122" s="64">
        <f>IF(B122="","",IFERROR(INDEX(Currais!$C:$C,MATCH(B122,Currais!$A:$A,0)),""))</f>
        <v>68</v>
      </c>
      <c r="H122" s="42">
        <f t="shared" si="4"/>
        <v>17.216176470588238</v>
      </c>
      <c r="I122" s="46">
        <f>IF(F122="","",IFERROR(LOOKUP(A122,Ingredientes_Dieta!$C$17:$C$18,Ingredientes_Dieta!$D$17:$D$18),Ingredientes_Dieta!$F$11))</f>
        <v>0.58250000000000002</v>
      </c>
      <c r="J122" s="28">
        <f t="shared" si="5"/>
        <v>681.93275000000006</v>
      </c>
      <c r="K122" s="72" t="s">
        <v>121</v>
      </c>
    </row>
    <row r="123" spans="1:11" ht="15" customHeight="1" x14ac:dyDescent="0.3">
      <c r="A123" s="17">
        <v>46228</v>
      </c>
      <c r="B123" s="71">
        <v>8</v>
      </c>
      <c r="C123" s="23">
        <v>468.3</v>
      </c>
      <c r="D123" s="23">
        <v>234.1</v>
      </c>
      <c r="E123" s="23">
        <v>468.3</v>
      </c>
      <c r="F123" s="40">
        <f t="shared" si="3"/>
        <v>1170.7</v>
      </c>
      <c r="G123" s="64">
        <f>IF(B123="","",IFERROR(INDEX(Currais!$C:$C,MATCH(B123,Currais!$A:$A,0)),""))</f>
        <v>68</v>
      </c>
      <c r="H123" s="42">
        <f t="shared" si="4"/>
        <v>17.216176470588238</v>
      </c>
      <c r="I123" s="46">
        <f>IF(F123="","",IFERROR(LOOKUP(A123,Ingredientes_Dieta!$C$17:$C$18,Ingredientes_Dieta!$D$17:$D$18),Ingredientes_Dieta!$F$11))</f>
        <v>0.58250000000000002</v>
      </c>
      <c r="J123" s="28">
        <f t="shared" si="5"/>
        <v>681.93275000000006</v>
      </c>
      <c r="K123" s="72" t="s">
        <v>121</v>
      </c>
    </row>
    <row r="124" spans="1:11" ht="15" customHeight="1" x14ac:dyDescent="0.3">
      <c r="A124" s="17">
        <v>46229</v>
      </c>
      <c r="B124" s="71">
        <v>8</v>
      </c>
      <c r="C124" s="23">
        <v>468.3</v>
      </c>
      <c r="D124" s="23">
        <v>234.1</v>
      </c>
      <c r="E124" s="23">
        <v>468.3</v>
      </c>
      <c r="F124" s="40">
        <f t="shared" si="3"/>
        <v>1170.7</v>
      </c>
      <c r="G124" s="64">
        <f>IF(B124="","",IFERROR(INDEX(Currais!$C:$C,MATCH(B124,Currais!$A:$A,0)),""))</f>
        <v>68</v>
      </c>
      <c r="H124" s="42">
        <f t="shared" si="4"/>
        <v>17.216176470588238</v>
      </c>
      <c r="I124" s="46">
        <f>IF(F124="","",IFERROR(LOOKUP(A124,Ingredientes_Dieta!$C$17:$C$18,Ingredientes_Dieta!$D$17:$D$18),Ingredientes_Dieta!$F$11))</f>
        <v>0.58250000000000002</v>
      </c>
      <c r="J124" s="28">
        <f t="shared" si="5"/>
        <v>681.93275000000006</v>
      </c>
      <c r="K124" s="72" t="s">
        <v>121</v>
      </c>
    </row>
    <row r="125" spans="1:11" ht="15" customHeight="1" x14ac:dyDescent="0.3">
      <c r="A125" s="17">
        <v>46230</v>
      </c>
      <c r="B125" s="71">
        <v>8</v>
      </c>
      <c r="C125" s="23">
        <v>468.3</v>
      </c>
      <c r="D125" s="23">
        <v>234.1</v>
      </c>
      <c r="E125" s="23">
        <v>468.3</v>
      </c>
      <c r="F125" s="40">
        <f t="shared" si="3"/>
        <v>1170.7</v>
      </c>
      <c r="G125" s="64">
        <f>IF(B125="","",IFERROR(INDEX(Currais!$C:$C,MATCH(B125,Currais!$A:$A,0)),""))</f>
        <v>68</v>
      </c>
      <c r="H125" s="42">
        <f t="shared" si="4"/>
        <v>17.216176470588238</v>
      </c>
      <c r="I125" s="46">
        <f>IF(F125="","",IFERROR(LOOKUP(A125,Ingredientes_Dieta!$C$17:$C$18,Ingredientes_Dieta!$D$17:$D$18),Ingredientes_Dieta!$F$11))</f>
        <v>0.58250000000000002</v>
      </c>
      <c r="J125" s="28">
        <f t="shared" si="5"/>
        <v>681.93275000000006</v>
      </c>
      <c r="K125" s="72" t="s">
        <v>121</v>
      </c>
    </row>
    <row r="126" spans="1:11" ht="15" customHeight="1" x14ac:dyDescent="0.3">
      <c r="A126" s="17">
        <v>46231</v>
      </c>
      <c r="B126" s="71">
        <v>8</v>
      </c>
      <c r="C126" s="23">
        <v>468.3</v>
      </c>
      <c r="D126" s="23">
        <v>234.1</v>
      </c>
      <c r="E126" s="23">
        <v>468.3</v>
      </c>
      <c r="F126" s="40">
        <f t="shared" si="3"/>
        <v>1170.7</v>
      </c>
      <c r="G126" s="64">
        <f>IF(B126="","",IFERROR(INDEX(Currais!$C:$C,MATCH(B126,Currais!$A:$A,0)),""))</f>
        <v>68</v>
      </c>
      <c r="H126" s="42">
        <f t="shared" si="4"/>
        <v>17.216176470588238</v>
      </c>
      <c r="I126" s="46">
        <f>IF(F126="","",IFERROR(LOOKUP(A126,Ingredientes_Dieta!$C$17:$C$18,Ingredientes_Dieta!$D$17:$D$18),Ingredientes_Dieta!$F$11))</f>
        <v>0.58250000000000002</v>
      </c>
      <c r="J126" s="28">
        <f t="shared" si="5"/>
        <v>681.93275000000006</v>
      </c>
      <c r="K126" s="72" t="s">
        <v>121</v>
      </c>
    </row>
    <row r="127" spans="1:11" ht="15" customHeight="1" x14ac:dyDescent="0.3">
      <c r="A127" s="17">
        <v>46232</v>
      </c>
      <c r="B127" s="71">
        <v>8</v>
      </c>
      <c r="C127" s="23">
        <v>468.3</v>
      </c>
      <c r="D127" s="23">
        <v>234.1</v>
      </c>
      <c r="E127" s="23">
        <v>468.3</v>
      </c>
      <c r="F127" s="40">
        <f t="shared" si="3"/>
        <v>1170.7</v>
      </c>
      <c r="G127" s="64">
        <f>IF(B127="","",IFERROR(INDEX(Currais!$C:$C,MATCH(B127,Currais!$A:$A,0)),""))</f>
        <v>68</v>
      </c>
      <c r="H127" s="42">
        <f t="shared" si="4"/>
        <v>17.216176470588238</v>
      </c>
      <c r="I127" s="46">
        <f>IF(F127="","",IFERROR(LOOKUP(A127,Ingredientes_Dieta!$C$17:$C$18,Ingredientes_Dieta!$D$17:$D$18),Ingredientes_Dieta!$F$11))</f>
        <v>0.58250000000000002</v>
      </c>
      <c r="J127" s="28">
        <f t="shared" si="5"/>
        <v>681.93275000000006</v>
      </c>
      <c r="K127" s="72" t="s">
        <v>121</v>
      </c>
    </row>
    <row r="128" spans="1:11" ht="15" customHeight="1" x14ac:dyDescent="0.3">
      <c r="A128" s="17">
        <v>46233</v>
      </c>
      <c r="B128" s="71">
        <v>8</v>
      </c>
      <c r="C128" s="23">
        <v>520.29999999999995</v>
      </c>
      <c r="D128" s="23">
        <v>260.2</v>
      </c>
      <c r="E128" s="23">
        <v>520.29999999999995</v>
      </c>
      <c r="F128" s="40">
        <f t="shared" si="3"/>
        <v>1300.8</v>
      </c>
      <c r="G128" s="64">
        <f>IF(B128="","",IFERROR(INDEX(Currais!$C:$C,MATCH(B128,Currais!$A:$A,0)),""))</f>
        <v>68</v>
      </c>
      <c r="H128" s="42">
        <f t="shared" si="4"/>
        <v>19.129411764705882</v>
      </c>
      <c r="I128" s="46">
        <f>IF(F128="","",IFERROR(LOOKUP(A128,Ingredientes_Dieta!$C$17:$C$18,Ingredientes_Dieta!$D$17:$D$18),Ingredientes_Dieta!$F$11))</f>
        <v>0.58250000000000002</v>
      </c>
      <c r="J128" s="28">
        <f t="shared" si="5"/>
        <v>757.71600000000001</v>
      </c>
      <c r="K128" s="72" t="s">
        <v>122</v>
      </c>
    </row>
    <row r="129" spans="1:11" ht="15" customHeight="1" x14ac:dyDescent="0.3">
      <c r="A129" s="17">
        <v>46234</v>
      </c>
      <c r="B129" s="71">
        <v>8</v>
      </c>
      <c r="C129" s="23">
        <v>520.29999999999995</v>
      </c>
      <c r="D129" s="23">
        <v>260.2</v>
      </c>
      <c r="E129" s="23">
        <v>520.29999999999995</v>
      </c>
      <c r="F129" s="40">
        <f t="shared" si="3"/>
        <v>1300.8</v>
      </c>
      <c r="G129" s="64">
        <f>IF(B129="","",IFERROR(INDEX(Currais!$C:$C,MATCH(B129,Currais!$A:$A,0)),""))</f>
        <v>68</v>
      </c>
      <c r="H129" s="42">
        <f t="shared" si="4"/>
        <v>19.129411764705882</v>
      </c>
      <c r="I129" s="46">
        <f>IF(F129="","",IFERROR(LOOKUP(A129,Ingredientes_Dieta!$C$17:$C$18,Ingredientes_Dieta!$D$17:$D$18),Ingredientes_Dieta!$F$11))</f>
        <v>0.58250000000000002</v>
      </c>
      <c r="J129" s="28">
        <f t="shared" si="5"/>
        <v>757.71600000000001</v>
      </c>
      <c r="K129" s="72" t="s">
        <v>122</v>
      </c>
    </row>
    <row r="130" spans="1:11" ht="15" customHeight="1" x14ac:dyDescent="0.3">
      <c r="A130" s="17">
        <v>46235</v>
      </c>
      <c r="B130" s="71">
        <v>8</v>
      </c>
      <c r="C130" s="23">
        <v>520.29999999999995</v>
      </c>
      <c r="D130" s="23">
        <v>260.2</v>
      </c>
      <c r="E130" s="23">
        <v>520.29999999999995</v>
      </c>
      <c r="F130" s="40">
        <f t="shared" si="3"/>
        <v>1300.8</v>
      </c>
      <c r="G130" s="64">
        <f>IF(B130="","",IFERROR(INDEX(Currais!$C:$C,MATCH(B130,Currais!$A:$A,0)),""))</f>
        <v>68</v>
      </c>
      <c r="H130" s="42">
        <f t="shared" si="4"/>
        <v>19.129411764705882</v>
      </c>
      <c r="I130" s="46">
        <f>IF(F130="","",IFERROR(LOOKUP(A130,Ingredientes_Dieta!$C$17:$C$18,Ingredientes_Dieta!$D$17:$D$18),Ingredientes_Dieta!$F$11))</f>
        <v>0.58250000000000002</v>
      </c>
      <c r="J130" s="28">
        <f t="shared" si="5"/>
        <v>757.71600000000001</v>
      </c>
      <c r="K130" s="72" t="s">
        <v>122</v>
      </c>
    </row>
    <row r="131" spans="1:11" ht="15" customHeight="1" x14ac:dyDescent="0.3">
      <c r="A131" s="17">
        <v>46236</v>
      </c>
      <c r="B131" s="71">
        <v>8</v>
      </c>
      <c r="C131" s="23">
        <v>520.29999999999995</v>
      </c>
      <c r="D131" s="23">
        <v>260.2</v>
      </c>
      <c r="E131" s="23">
        <v>520.29999999999995</v>
      </c>
      <c r="F131" s="40">
        <f t="shared" si="3"/>
        <v>1300.8</v>
      </c>
      <c r="G131" s="64">
        <f>IF(B131="","",IFERROR(INDEX(Currais!$C:$C,MATCH(B131,Currais!$A:$A,0)),""))</f>
        <v>68</v>
      </c>
      <c r="H131" s="42">
        <f t="shared" si="4"/>
        <v>19.129411764705882</v>
      </c>
      <c r="I131" s="46">
        <f>IF(F131="","",IFERROR(LOOKUP(A131,Ingredientes_Dieta!$C$17:$C$18,Ingredientes_Dieta!$D$17:$D$18),Ingredientes_Dieta!$F$11))</f>
        <v>0.58250000000000002</v>
      </c>
      <c r="J131" s="28">
        <f t="shared" si="5"/>
        <v>757.71600000000001</v>
      </c>
      <c r="K131" s="72" t="s">
        <v>122</v>
      </c>
    </row>
    <row r="132" spans="1:11" ht="15" customHeight="1" x14ac:dyDescent="0.3">
      <c r="A132" s="17">
        <v>46237</v>
      </c>
      <c r="B132" s="71">
        <v>8</v>
      </c>
      <c r="C132" s="23">
        <v>520.29999999999995</v>
      </c>
      <c r="D132" s="23">
        <v>260.2</v>
      </c>
      <c r="E132" s="23">
        <v>520.29999999999995</v>
      </c>
      <c r="F132" s="40">
        <f t="shared" ref="F132:F195" si="6">IF(AND(C132="",D132="",E132=""),"",N(C132)+N(D132)+N(E132))</f>
        <v>1300.8</v>
      </c>
      <c r="G132" s="64">
        <f>IF(B132="","",IFERROR(INDEX(Currais!$C:$C,MATCH(B132,Currais!$A:$A,0)),""))</f>
        <v>68</v>
      </c>
      <c r="H132" s="42">
        <f t="shared" ref="H132:H195" si="7">IF(OR(F132="",G132="",G132=0),"",F132/G132)</f>
        <v>19.129411764705882</v>
      </c>
      <c r="I132" s="46">
        <f>IF(F132="","",IFERROR(LOOKUP(A132,Ingredientes_Dieta!$C$17:$C$18,Ingredientes_Dieta!$D$17:$D$18),Ingredientes_Dieta!$F$11))</f>
        <v>0.58250000000000002</v>
      </c>
      <c r="J132" s="28">
        <f t="shared" ref="J132:J195" si="8">IF(F132="","",F132*I132)</f>
        <v>757.71600000000001</v>
      </c>
      <c r="K132" s="72" t="s">
        <v>122</v>
      </c>
    </row>
    <row r="133" spans="1:11" ht="15" customHeight="1" x14ac:dyDescent="0.3">
      <c r="A133" s="17">
        <v>46225</v>
      </c>
      <c r="B133" s="71">
        <v>9</v>
      </c>
      <c r="C133" s="23">
        <v>82.2</v>
      </c>
      <c r="D133" s="23">
        <v>41.1</v>
      </c>
      <c r="E133" s="23">
        <v>82.2</v>
      </c>
      <c r="F133" s="40">
        <f t="shared" si="6"/>
        <v>205.5</v>
      </c>
      <c r="G133" s="64">
        <f>IF(B133="","",IFERROR(INDEX(Currais!$C:$C,MATCH(B133,Currais!$A:$A,0)),""))</f>
        <v>14</v>
      </c>
      <c r="H133" s="42">
        <f t="shared" si="7"/>
        <v>14.678571428571429</v>
      </c>
      <c r="I133" s="46">
        <f>IF(F133="","",IFERROR(LOOKUP(A133,Ingredientes_Dieta!$C$17:$C$18,Ingredientes_Dieta!$D$17:$D$18),Ingredientes_Dieta!$F$11))</f>
        <v>0.58250000000000002</v>
      </c>
      <c r="J133" s="28">
        <f t="shared" si="8"/>
        <v>119.70375</v>
      </c>
      <c r="K133" s="72" t="s">
        <v>121</v>
      </c>
    </row>
    <row r="134" spans="1:11" ht="15" customHeight="1" x14ac:dyDescent="0.3">
      <c r="A134" s="17">
        <v>46226</v>
      </c>
      <c r="B134" s="71">
        <v>9</v>
      </c>
      <c r="C134" s="23">
        <v>82.2</v>
      </c>
      <c r="D134" s="23">
        <v>41.1</v>
      </c>
      <c r="E134" s="23">
        <v>82.2</v>
      </c>
      <c r="F134" s="40">
        <f t="shared" si="6"/>
        <v>205.5</v>
      </c>
      <c r="G134" s="64">
        <f>IF(B134="","",IFERROR(INDEX(Currais!$C:$C,MATCH(B134,Currais!$A:$A,0)),""))</f>
        <v>14</v>
      </c>
      <c r="H134" s="42">
        <f t="shared" si="7"/>
        <v>14.678571428571429</v>
      </c>
      <c r="I134" s="46">
        <f>IF(F134="","",IFERROR(LOOKUP(A134,Ingredientes_Dieta!$C$17:$C$18,Ingredientes_Dieta!$D$17:$D$18),Ingredientes_Dieta!$F$11))</f>
        <v>0.58250000000000002</v>
      </c>
      <c r="J134" s="28">
        <f t="shared" si="8"/>
        <v>119.70375</v>
      </c>
      <c r="K134" s="72" t="s">
        <v>121</v>
      </c>
    </row>
    <row r="135" spans="1:11" ht="15" customHeight="1" x14ac:dyDescent="0.3">
      <c r="A135" s="17">
        <v>46227</v>
      </c>
      <c r="B135" s="71">
        <v>9</v>
      </c>
      <c r="C135" s="23">
        <v>82.2</v>
      </c>
      <c r="D135" s="23">
        <v>41.1</v>
      </c>
      <c r="E135" s="23">
        <v>82.2</v>
      </c>
      <c r="F135" s="40">
        <f t="shared" si="6"/>
        <v>205.5</v>
      </c>
      <c r="G135" s="64">
        <f>IF(B135="","",IFERROR(INDEX(Currais!$C:$C,MATCH(B135,Currais!$A:$A,0)),""))</f>
        <v>14</v>
      </c>
      <c r="H135" s="42">
        <f t="shared" si="7"/>
        <v>14.678571428571429</v>
      </c>
      <c r="I135" s="46">
        <f>IF(F135="","",IFERROR(LOOKUP(A135,Ingredientes_Dieta!$C$17:$C$18,Ingredientes_Dieta!$D$17:$D$18),Ingredientes_Dieta!$F$11))</f>
        <v>0.58250000000000002</v>
      </c>
      <c r="J135" s="28">
        <f t="shared" si="8"/>
        <v>119.70375</v>
      </c>
      <c r="K135" s="72" t="s">
        <v>121</v>
      </c>
    </row>
    <row r="136" spans="1:11" ht="15" customHeight="1" x14ac:dyDescent="0.3">
      <c r="A136" s="17">
        <v>46228</v>
      </c>
      <c r="B136" s="71">
        <v>9</v>
      </c>
      <c r="C136" s="23">
        <v>82.2</v>
      </c>
      <c r="D136" s="23">
        <v>41.1</v>
      </c>
      <c r="E136" s="23">
        <v>82.2</v>
      </c>
      <c r="F136" s="40">
        <f t="shared" si="6"/>
        <v>205.5</v>
      </c>
      <c r="G136" s="64">
        <f>IF(B136="","",IFERROR(INDEX(Currais!$C:$C,MATCH(B136,Currais!$A:$A,0)),""))</f>
        <v>14</v>
      </c>
      <c r="H136" s="42">
        <f t="shared" si="7"/>
        <v>14.678571428571429</v>
      </c>
      <c r="I136" s="46">
        <f>IF(F136="","",IFERROR(LOOKUP(A136,Ingredientes_Dieta!$C$17:$C$18,Ingredientes_Dieta!$D$17:$D$18),Ingredientes_Dieta!$F$11))</f>
        <v>0.58250000000000002</v>
      </c>
      <c r="J136" s="28">
        <f t="shared" si="8"/>
        <v>119.70375</v>
      </c>
      <c r="K136" s="72" t="s">
        <v>121</v>
      </c>
    </row>
    <row r="137" spans="1:11" ht="15" customHeight="1" x14ac:dyDescent="0.3">
      <c r="A137" s="17">
        <v>46229</v>
      </c>
      <c r="B137" s="71">
        <v>9</v>
      </c>
      <c r="C137" s="23">
        <v>82.2</v>
      </c>
      <c r="D137" s="23">
        <v>41.1</v>
      </c>
      <c r="E137" s="23">
        <v>82.2</v>
      </c>
      <c r="F137" s="40">
        <f t="shared" si="6"/>
        <v>205.5</v>
      </c>
      <c r="G137" s="64">
        <f>IF(B137="","",IFERROR(INDEX(Currais!$C:$C,MATCH(B137,Currais!$A:$A,0)),""))</f>
        <v>14</v>
      </c>
      <c r="H137" s="42">
        <f t="shared" si="7"/>
        <v>14.678571428571429</v>
      </c>
      <c r="I137" s="46">
        <f>IF(F137="","",IFERROR(LOOKUP(A137,Ingredientes_Dieta!$C$17:$C$18,Ingredientes_Dieta!$D$17:$D$18),Ingredientes_Dieta!$F$11))</f>
        <v>0.58250000000000002</v>
      </c>
      <c r="J137" s="28">
        <f t="shared" si="8"/>
        <v>119.70375</v>
      </c>
      <c r="K137" s="72" t="s">
        <v>121</v>
      </c>
    </row>
    <row r="138" spans="1:11" ht="15" customHeight="1" x14ac:dyDescent="0.3">
      <c r="A138" s="17">
        <v>46230</v>
      </c>
      <c r="B138" s="71">
        <v>9</v>
      </c>
      <c r="C138" s="23">
        <v>82.2</v>
      </c>
      <c r="D138" s="23">
        <v>41.1</v>
      </c>
      <c r="E138" s="23">
        <v>82.2</v>
      </c>
      <c r="F138" s="40">
        <f t="shared" si="6"/>
        <v>205.5</v>
      </c>
      <c r="G138" s="64">
        <f>IF(B138="","",IFERROR(INDEX(Currais!$C:$C,MATCH(B138,Currais!$A:$A,0)),""))</f>
        <v>14</v>
      </c>
      <c r="H138" s="42">
        <f t="shared" si="7"/>
        <v>14.678571428571429</v>
      </c>
      <c r="I138" s="46">
        <f>IF(F138="","",IFERROR(LOOKUP(A138,Ingredientes_Dieta!$C$17:$C$18,Ingredientes_Dieta!$D$17:$D$18),Ingredientes_Dieta!$F$11))</f>
        <v>0.58250000000000002</v>
      </c>
      <c r="J138" s="28">
        <f t="shared" si="8"/>
        <v>119.70375</v>
      </c>
      <c r="K138" s="72" t="s">
        <v>121</v>
      </c>
    </row>
    <row r="139" spans="1:11" ht="15" customHeight="1" x14ac:dyDescent="0.3">
      <c r="A139" s="17">
        <v>46231</v>
      </c>
      <c r="B139" s="71">
        <v>9</v>
      </c>
      <c r="C139" s="23">
        <v>82.2</v>
      </c>
      <c r="D139" s="23">
        <v>41.1</v>
      </c>
      <c r="E139" s="23">
        <v>82.2</v>
      </c>
      <c r="F139" s="40">
        <f t="shared" si="6"/>
        <v>205.5</v>
      </c>
      <c r="G139" s="64">
        <f>IF(B139="","",IFERROR(INDEX(Currais!$C:$C,MATCH(B139,Currais!$A:$A,0)),""))</f>
        <v>14</v>
      </c>
      <c r="H139" s="42">
        <f t="shared" si="7"/>
        <v>14.678571428571429</v>
      </c>
      <c r="I139" s="46">
        <f>IF(F139="","",IFERROR(LOOKUP(A139,Ingredientes_Dieta!$C$17:$C$18,Ingredientes_Dieta!$D$17:$D$18),Ingredientes_Dieta!$F$11))</f>
        <v>0.58250000000000002</v>
      </c>
      <c r="J139" s="28">
        <f t="shared" si="8"/>
        <v>119.70375</v>
      </c>
      <c r="K139" s="72" t="s">
        <v>121</v>
      </c>
    </row>
    <row r="140" spans="1:11" ht="15" customHeight="1" x14ac:dyDescent="0.3">
      <c r="A140" s="17">
        <v>46232</v>
      </c>
      <c r="B140" s="71">
        <v>9</v>
      </c>
      <c r="C140" s="23">
        <v>82.2</v>
      </c>
      <c r="D140" s="23">
        <v>41.1</v>
      </c>
      <c r="E140" s="23">
        <v>82.2</v>
      </c>
      <c r="F140" s="40">
        <f t="shared" si="6"/>
        <v>205.5</v>
      </c>
      <c r="G140" s="64">
        <f>IF(B140="","",IFERROR(INDEX(Currais!$C:$C,MATCH(B140,Currais!$A:$A,0)),""))</f>
        <v>14</v>
      </c>
      <c r="H140" s="42">
        <f t="shared" si="7"/>
        <v>14.678571428571429</v>
      </c>
      <c r="I140" s="46">
        <f>IF(F140="","",IFERROR(LOOKUP(A140,Ingredientes_Dieta!$C$17:$C$18,Ingredientes_Dieta!$D$17:$D$18),Ingredientes_Dieta!$F$11))</f>
        <v>0.58250000000000002</v>
      </c>
      <c r="J140" s="28">
        <f t="shared" si="8"/>
        <v>119.70375</v>
      </c>
      <c r="K140" s="72" t="s">
        <v>121</v>
      </c>
    </row>
    <row r="141" spans="1:11" ht="15" customHeight="1" x14ac:dyDescent="0.3">
      <c r="A141" s="17">
        <v>46233</v>
      </c>
      <c r="B141" s="71">
        <v>9</v>
      </c>
      <c r="C141" s="23">
        <v>91.3</v>
      </c>
      <c r="D141" s="23">
        <v>45.7</v>
      </c>
      <c r="E141" s="23">
        <v>91.3</v>
      </c>
      <c r="F141" s="40">
        <f t="shared" si="6"/>
        <v>228.3</v>
      </c>
      <c r="G141" s="64">
        <f>IF(B141="","",IFERROR(INDEX(Currais!$C:$C,MATCH(B141,Currais!$A:$A,0)),""))</f>
        <v>14</v>
      </c>
      <c r="H141" s="42">
        <f t="shared" si="7"/>
        <v>16.307142857142857</v>
      </c>
      <c r="I141" s="46">
        <f>IF(F141="","",IFERROR(LOOKUP(A141,Ingredientes_Dieta!$C$17:$C$18,Ingredientes_Dieta!$D$17:$D$18),Ingredientes_Dieta!$F$11))</f>
        <v>0.58250000000000002</v>
      </c>
      <c r="J141" s="28">
        <f t="shared" si="8"/>
        <v>132.98475000000002</v>
      </c>
      <c r="K141" s="72" t="s">
        <v>122</v>
      </c>
    </row>
    <row r="142" spans="1:11" ht="15" customHeight="1" x14ac:dyDescent="0.3">
      <c r="A142" s="17">
        <v>46234</v>
      </c>
      <c r="B142" s="71">
        <v>9</v>
      </c>
      <c r="C142" s="23">
        <v>91.3</v>
      </c>
      <c r="D142" s="23">
        <v>45.7</v>
      </c>
      <c r="E142" s="23">
        <v>91.3</v>
      </c>
      <c r="F142" s="40">
        <f t="shared" si="6"/>
        <v>228.3</v>
      </c>
      <c r="G142" s="64">
        <f>IF(B142="","",IFERROR(INDEX(Currais!$C:$C,MATCH(B142,Currais!$A:$A,0)),""))</f>
        <v>14</v>
      </c>
      <c r="H142" s="42">
        <f t="shared" si="7"/>
        <v>16.307142857142857</v>
      </c>
      <c r="I142" s="46">
        <f>IF(F142="","",IFERROR(LOOKUP(A142,Ingredientes_Dieta!$C$17:$C$18,Ingredientes_Dieta!$D$17:$D$18),Ingredientes_Dieta!$F$11))</f>
        <v>0.58250000000000002</v>
      </c>
      <c r="J142" s="28">
        <f t="shared" si="8"/>
        <v>132.98475000000002</v>
      </c>
      <c r="K142" s="72" t="s">
        <v>122</v>
      </c>
    </row>
    <row r="143" spans="1:11" ht="15" customHeight="1" x14ac:dyDescent="0.3">
      <c r="A143" s="17">
        <v>46235</v>
      </c>
      <c r="B143" s="71">
        <v>9</v>
      </c>
      <c r="C143" s="23">
        <v>91.3</v>
      </c>
      <c r="D143" s="23">
        <v>45.7</v>
      </c>
      <c r="E143" s="23">
        <v>91.3</v>
      </c>
      <c r="F143" s="40">
        <f t="shared" si="6"/>
        <v>228.3</v>
      </c>
      <c r="G143" s="64">
        <f>IF(B143="","",IFERROR(INDEX(Currais!$C:$C,MATCH(B143,Currais!$A:$A,0)),""))</f>
        <v>14</v>
      </c>
      <c r="H143" s="42">
        <f t="shared" si="7"/>
        <v>16.307142857142857</v>
      </c>
      <c r="I143" s="46">
        <f>IF(F143="","",IFERROR(LOOKUP(A143,Ingredientes_Dieta!$C$17:$C$18,Ingredientes_Dieta!$D$17:$D$18),Ingredientes_Dieta!$F$11))</f>
        <v>0.58250000000000002</v>
      </c>
      <c r="J143" s="28">
        <f t="shared" si="8"/>
        <v>132.98475000000002</v>
      </c>
      <c r="K143" s="72" t="s">
        <v>122</v>
      </c>
    </row>
    <row r="144" spans="1:11" ht="15" customHeight="1" x14ac:dyDescent="0.3">
      <c r="A144" s="17">
        <v>46236</v>
      </c>
      <c r="B144" s="71">
        <v>9</v>
      </c>
      <c r="C144" s="23">
        <v>91.3</v>
      </c>
      <c r="D144" s="23">
        <v>45.7</v>
      </c>
      <c r="E144" s="23">
        <v>91.3</v>
      </c>
      <c r="F144" s="40">
        <f t="shared" si="6"/>
        <v>228.3</v>
      </c>
      <c r="G144" s="64">
        <f>IF(B144="","",IFERROR(INDEX(Currais!$C:$C,MATCH(B144,Currais!$A:$A,0)),""))</f>
        <v>14</v>
      </c>
      <c r="H144" s="42">
        <f t="shared" si="7"/>
        <v>16.307142857142857</v>
      </c>
      <c r="I144" s="46">
        <f>IF(F144="","",IFERROR(LOOKUP(A144,Ingredientes_Dieta!$C$17:$C$18,Ingredientes_Dieta!$D$17:$D$18),Ingredientes_Dieta!$F$11))</f>
        <v>0.58250000000000002</v>
      </c>
      <c r="J144" s="28">
        <f t="shared" si="8"/>
        <v>132.98475000000002</v>
      </c>
      <c r="K144" s="72" t="s">
        <v>122</v>
      </c>
    </row>
    <row r="145" spans="1:11" ht="15" customHeight="1" x14ac:dyDescent="0.3">
      <c r="A145" s="17">
        <v>46237</v>
      </c>
      <c r="B145" s="71">
        <v>9</v>
      </c>
      <c r="C145" s="23">
        <v>91.3</v>
      </c>
      <c r="D145" s="23">
        <v>45.7</v>
      </c>
      <c r="E145" s="23">
        <v>91.3</v>
      </c>
      <c r="F145" s="40">
        <f t="shared" si="6"/>
        <v>228.3</v>
      </c>
      <c r="G145" s="64">
        <f>IF(B145="","",IFERROR(INDEX(Currais!$C:$C,MATCH(B145,Currais!$A:$A,0)),""))</f>
        <v>14</v>
      </c>
      <c r="H145" s="42">
        <f t="shared" si="7"/>
        <v>16.307142857142857</v>
      </c>
      <c r="I145" s="46">
        <f>IF(F145="","",IFERROR(LOOKUP(A145,Ingredientes_Dieta!$C$17:$C$18,Ingredientes_Dieta!$D$17:$D$18),Ingredientes_Dieta!$F$11))</f>
        <v>0.58250000000000002</v>
      </c>
      <c r="J145" s="28">
        <f t="shared" si="8"/>
        <v>132.98475000000002</v>
      </c>
      <c r="K145" s="72" t="s">
        <v>122</v>
      </c>
    </row>
    <row r="146" spans="1:11" ht="15" customHeight="1" x14ac:dyDescent="0.3">
      <c r="A146" s="17">
        <v>46227</v>
      </c>
      <c r="B146" s="71">
        <v>10</v>
      </c>
      <c r="C146" s="23">
        <v>218.8</v>
      </c>
      <c r="D146" s="23">
        <v>109.4</v>
      </c>
      <c r="E146" s="23">
        <v>218.8</v>
      </c>
      <c r="F146" s="40">
        <f t="shared" si="6"/>
        <v>547</v>
      </c>
      <c r="G146" s="64">
        <f>IF(B146="","",IFERROR(INDEX(Currais!$C:$C,MATCH(B146,Currais!$A:$A,0)),""))</f>
        <v>33</v>
      </c>
      <c r="H146" s="42">
        <f t="shared" si="7"/>
        <v>16.575757575757574</v>
      </c>
      <c r="I146" s="46">
        <f>IF(F146="","",IFERROR(LOOKUP(A146,Ingredientes_Dieta!$C$17:$C$18,Ingredientes_Dieta!$D$17:$D$18),Ingredientes_Dieta!$F$11))</f>
        <v>0.58250000000000002</v>
      </c>
      <c r="J146" s="28">
        <f t="shared" si="8"/>
        <v>318.6275</v>
      </c>
      <c r="K146" s="72" t="s">
        <v>121</v>
      </c>
    </row>
    <row r="147" spans="1:11" ht="15" customHeight="1" x14ac:dyDescent="0.3">
      <c r="A147" s="17">
        <v>46228</v>
      </c>
      <c r="B147" s="71">
        <v>10</v>
      </c>
      <c r="C147" s="23">
        <v>218.8</v>
      </c>
      <c r="D147" s="23">
        <v>109.4</v>
      </c>
      <c r="E147" s="23">
        <v>218.8</v>
      </c>
      <c r="F147" s="40">
        <f t="shared" si="6"/>
        <v>547</v>
      </c>
      <c r="G147" s="64">
        <f>IF(B147="","",IFERROR(INDEX(Currais!$C:$C,MATCH(B147,Currais!$A:$A,0)),""))</f>
        <v>33</v>
      </c>
      <c r="H147" s="42">
        <f t="shared" si="7"/>
        <v>16.575757575757574</v>
      </c>
      <c r="I147" s="46">
        <f>IF(F147="","",IFERROR(LOOKUP(A147,Ingredientes_Dieta!$C$17:$C$18,Ingredientes_Dieta!$D$17:$D$18),Ingredientes_Dieta!$F$11))</f>
        <v>0.58250000000000002</v>
      </c>
      <c r="J147" s="28">
        <f t="shared" si="8"/>
        <v>318.6275</v>
      </c>
      <c r="K147" s="72" t="s">
        <v>121</v>
      </c>
    </row>
    <row r="148" spans="1:11" ht="15" customHeight="1" x14ac:dyDescent="0.3">
      <c r="A148" s="17">
        <v>46229</v>
      </c>
      <c r="B148" s="71">
        <v>10</v>
      </c>
      <c r="C148" s="23">
        <v>218.8</v>
      </c>
      <c r="D148" s="23">
        <v>109.4</v>
      </c>
      <c r="E148" s="23">
        <v>218.8</v>
      </c>
      <c r="F148" s="40">
        <f t="shared" si="6"/>
        <v>547</v>
      </c>
      <c r="G148" s="64">
        <f>IF(B148="","",IFERROR(INDEX(Currais!$C:$C,MATCH(B148,Currais!$A:$A,0)),""))</f>
        <v>33</v>
      </c>
      <c r="H148" s="42">
        <f t="shared" si="7"/>
        <v>16.575757575757574</v>
      </c>
      <c r="I148" s="46">
        <f>IF(F148="","",IFERROR(LOOKUP(A148,Ingredientes_Dieta!$C$17:$C$18,Ingredientes_Dieta!$D$17:$D$18),Ingredientes_Dieta!$F$11))</f>
        <v>0.58250000000000002</v>
      </c>
      <c r="J148" s="28">
        <f t="shared" si="8"/>
        <v>318.6275</v>
      </c>
      <c r="K148" s="72" t="s">
        <v>121</v>
      </c>
    </row>
    <row r="149" spans="1:11" ht="15" customHeight="1" x14ac:dyDescent="0.3">
      <c r="A149" s="17">
        <v>46230</v>
      </c>
      <c r="B149" s="71">
        <v>10</v>
      </c>
      <c r="C149" s="23">
        <v>218.8</v>
      </c>
      <c r="D149" s="23">
        <v>109.4</v>
      </c>
      <c r="E149" s="23">
        <v>218.8</v>
      </c>
      <c r="F149" s="40">
        <f t="shared" si="6"/>
        <v>547</v>
      </c>
      <c r="G149" s="64">
        <f>IF(B149="","",IFERROR(INDEX(Currais!$C:$C,MATCH(B149,Currais!$A:$A,0)),""))</f>
        <v>33</v>
      </c>
      <c r="H149" s="42">
        <f t="shared" si="7"/>
        <v>16.575757575757574</v>
      </c>
      <c r="I149" s="46">
        <f>IF(F149="","",IFERROR(LOOKUP(A149,Ingredientes_Dieta!$C$17:$C$18,Ingredientes_Dieta!$D$17:$D$18),Ingredientes_Dieta!$F$11))</f>
        <v>0.58250000000000002</v>
      </c>
      <c r="J149" s="28">
        <f t="shared" si="8"/>
        <v>318.6275</v>
      </c>
      <c r="K149" s="72" t="s">
        <v>121</v>
      </c>
    </row>
    <row r="150" spans="1:11" ht="15" customHeight="1" x14ac:dyDescent="0.3">
      <c r="A150" s="17">
        <v>46231</v>
      </c>
      <c r="B150" s="71">
        <v>10</v>
      </c>
      <c r="C150" s="23">
        <v>218.8</v>
      </c>
      <c r="D150" s="23">
        <v>109.4</v>
      </c>
      <c r="E150" s="23">
        <v>218.8</v>
      </c>
      <c r="F150" s="40">
        <f t="shared" si="6"/>
        <v>547</v>
      </c>
      <c r="G150" s="64">
        <f>IF(B150="","",IFERROR(INDEX(Currais!$C:$C,MATCH(B150,Currais!$A:$A,0)),""))</f>
        <v>33</v>
      </c>
      <c r="H150" s="42">
        <f t="shared" si="7"/>
        <v>16.575757575757574</v>
      </c>
      <c r="I150" s="46">
        <f>IF(F150="","",IFERROR(LOOKUP(A150,Ingredientes_Dieta!$C$17:$C$18,Ingredientes_Dieta!$D$17:$D$18),Ingredientes_Dieta!$F$11))</f>
        <v>0.58250000000000002</v>
      </c>
      <c r="J150" s="28">
        <f t="shared" si="8"/>
        <v>318.6275</v>
      </c>
      <c r="K150" s="72" t="s">
        <v>121</v>
      </c>
    </row>
    <row r="151" spans="1:11" ht="15" customHeight="1" x14ac:dyDescent="0.3">
      <c r="A151" s="17">
        <v>46232</v>
      </c>
      <c r="B151" s="71">
        <v>10</v>
      </c>
      <c r="C151" s="23">
        <v>218.8</v>
      </c>
      <c r="D151" s="23">
        <v>109.4</v>
      </c>
      <c r="E151" s="23">
        <v>218.8</v>
      </c>
      <c r="F151" s="40">
        <f t="shared" si="6"/>
        <v>547</v>
      </c>
      <c r="G151" s="64">
        <f>IF(B151="","",IFERROR(INDEX(Currais!$C:$C,MATCH(B151,Currais!$A:$A,0)),""))</f>
        <v>33</v>
      </c>
      <c r="H151" s="42">
        <f t="shared" si="7"/>
        <v>16.575757575757574</v>
      </c>
      <c r="I151" s="46">
        <f>IF(F151="","",IFERROR(LOOKUP(A151,Ingredientes_Dieta!$C$17:$C$18,Ingredientes_Dieta!$D$17:$D$18),Ingredientes_Dieta!$F$11))</f>
        <v>0.58250000000000002</v>
      </c>
      <c r="J151" s="28">
        <f t="shared" si="8"/>
        <v>318.6275</v>
      </c>
      <c r="K151" s="72" t="s">
        <v>121</v>
      </c>
    </row>
    <row r="152" spans="1:11" ht="15" customHeight="1" x14ac:dyDescent="0.3">
      <c r="A152" s="17">
        <v>46233</v>
      </c>
      <c r="B152" s="71">
        <v>10</v>
      </c>
      <c r="C152" s="23">
        <v>243.1</v>
      </c>
      <c r="D152" s="23">
        <v>121.6</v>
      </c>
      <c r="E152" s="23">
        <v>243.1</v>
      </c>
      <c r="F152" s="40">
        <f t="shared" si="6"/>
        <v>607.79999999999995</v>
      </c>
      <c r="G152" s="64">
        <f>IF(B152="","",IFERROR(INDEX(Currais!$C:$C,MATCH(B152,Currais!$A:$A,0)),""))</f>
        <v>33</v>
      </c>
      <c r="H152" s="42">
        <f t="shared" si="7"/>
        <v>18.418181818181818</v>
      </c>
      <c r="I152" s="46">
        <f>IF(F152="","",IFERROR(LOOKUP(A152,Ingredientes_Dieta!$C$17:$C$18,Ingredientes_Dieta!$D$17:$D$18),Ingredientes_Dieta!$F$11))</f>
        <v>0.58250000000000002</v>
      </c>
      <c r="J152" s="28">
        <f t="shared" si="8"/>
        <v>354.04349999999999</v>
      </c>
      <c r="K152" s="72" t="s">
        <v>122</v>
      </c>
    </row>
    <row r="153" spans="1:11" ht="15" customHeight="1" x14ac:dyDescent="0.3">
      <c r="A153" s="17">
        <v>46234</v>
      </c>
      <c r="B153" s="71">
        <v>10</v>
      </c>
      <c r="C153" s="23">
        <v>243.1</v>
      </c>
      <c r="D153" s="23">
        <v>121.6</v>
      </c>
      <c r="E153" s="23">
        <v>243.1</v>
      </c>
      <c r="F153" s="40">
        <f t="shared" si="6"/>
        <v>607.79999999999995</v>
      </c>
      <c r="G153" s="64">
        <f>IF(B153="","",IFERROR(INDEX(Currais!$C:$C,MATCH(B153,Currais!$A:$A,0)),""))</f>
        <v>33</v>
      </c>
      <c r="H153" s="42">
        <f t="shared" si="7"/>
        <v>18.418181818181818</v>
      </c>
      <c r="I153" s="46">
        <f>IF(F153="","",IFERROR(LOOKUP(A153,Ingredientes_Dieta!$C$17:$C$18,Ingredientes_Dieta!$D$17:$D$18),Ingredientes_Dieta!$F$11))</f>
        <v>0.58250000000000002</v>
      </c>
      <c r="J153" s="28">
        <f t="shared" si="8"/>
        <v>354.04349999999999</v>
      </c>
      <c r="K153" s="72" t="s">
        <v>122</v>
      </c>
    </row>
    <row r="154" spans="1:11" ht="15" customHeight="1" x14ac:dyDescent="0.3">
      <c r="A154" s="17">
        <v>46235</v>
      </c>
      <c r="B154" s="71">
        <v>10</v>
      </c>
      <c r="C154" s="23">
        <v>243.1</v>
      </c>
      <c r="D154" s="23">
        <v>121.6</v>
      </c>
      <c r="E154" s="23">
        <v>243.1</v>
      </c>
      <c r="F154" s="40">
        <f t="shared" si="6"/>
        <v>607.79999999999995</v>
      </c>
      <c r="G154" s="64">
        <f>IF(B154="","",IFERROR(INDEX(Currais!$C:$C,MATCH(B154,Currais!$A:$A,0)),""))</f>
        <v>33</v>
      </c>
      <c r="H154" s="42">
        <f t="shared" si="7"/>
        <v>18.418181818181818</v>
      </c>
      <c r="I154" s="46">
        <f>IF(F154="","",IFERROR(LOOKUP(A154,Ingredientes_Dieta!$C$17:$C$18,Ingredientes_Dieta!$D$17:$D$18),Ingredientes_Dieta!$F$11))</f>
        <v>0.58250000000000002</v>
      </c>
      <c r="J154" s="28">
        <f t="shared" si="8"/>
        <v>354.04349999999999</v>
      </c>
      <c r="K154" s="72" t="s">
        <v>122</v>
      </c>
    </row>
    <row r="155" spans="1:11" ht="15" customHeight="1" x14ac:dyDescent="0.3">
      <c r="A155" s="17">
        <v>46236</v>
      </c>
      <c r="B155" s="71">
        <v>10</v>
      </c>
      <c r="C155" s="23">
        <v>243.1</v>
      </c>
      <c r="D155" s="23">
        <v>121.6</v>
      </c>
      <c r="E155" s="23">
        <v>243.1</v>
      </c>
      <c r="F155" s="40">
        <f t="shared" si="6"/>
        <v>607.79999999999995</v>
      </c>
      <c r="G155" s="64">
        <f>IF(B155="","",IFERROR(INDEX(Currais!$C:$C,MATCH(B155,Currais!$A:$A,0)),""))</f>
        <v>33</v>
      </c>
      <c r="H155" s="42">
        <f t="shared" si="7"/>
        <v>18.418181818181818</v>
      </c>
      <c r="I155" s="46">
        <f>IF(F155="","",IFERROR(LOOKUP(A155,Ingredientes_Dieta!$C$17:$C$18,Ingredientes_Dieta!$D$17:$D$18),Ingredientes_Dieta!$F$11))</f>
        <v>0.58250000000000002</v>
      </c>
      <c r="J155" s="28">
        <f t="shared" si="8"/>
        <v>354.04349999999999</v>
      </c>
      <c r="K155" s="72" t="s">
        <v>122</v>
      </c>
    </row>
    <row r="156" spans="1:11" ht="15" customHeight="1" x14ac:dyDescent="0.3">
      <c r="A156" s="17">
        <v>46237</v>
      </c>
      <c r="B156" s="71">
        <v>10</v>
      </c>
      <c r="C156" s="23">
        <v>243.1</v>
      </c>
      <c r="D156" s="23">
        <v>121.6</v>
      </c>
      <c r="E156" s="23">
        <v>243.1</v>
      </c>
      <c r="F156" s="40">
        <f t="shared" si="6"/>
        <v>607.79999999999995</v>
      </c>
      <c r="G156" s="64">
        <f>IF(B156="","",IFERROR(INDEX(Currais!$C:$C,MATCH(B156,Currais!$A:$A,0)),""))</f>
        <v>33</v>
      </c>
      <c r="H156" s="42">
        <f t="shared" si="7"/>
        <v>18.418181818181818</v>
      </c>
      <c r="I156" s="46">
        <f>IF(F156="","",IFERROR(LOOKUP(A156,Ingredientes_Dieta!$C$17:$C$18,Ingredientes_Dieta!$D$17:$D$18),Ingredientes_Dieta!$F$11))</f>
        <v>0.58250000000000002</v>
      </c>
      <c r="J156" s="28">
        <f t="shared" si="8"/>
        <v>354.04349999999999</v>
      </c>
      <c r="K156" s="72" t="s">
        <v>122</v>
      </c>
    </row>
    <row r="157" spans="1:11" ht="15" customHeight="1" x14ac:dyDescent="0.3">
      <c r="A157" s="17">
        <v>46238</v>
      </c>
      <c r="B157" s="71">
        <v>1</v>
      </c>
      <c r="C157" s="23">
        <v>666.6</v>
      </c>
      <c r="D157" s="23">
        <v>333.3</v>
      </c>
      <c r="E157" s="23">
        <v>666.6</v>
      </c>
      <c r="F157" s="40">
        <f t="shared" si="6"/>
        <v>1666.5</v>
      </c>
      <c r="G157" s="64">
        <f>IF(B157="","",IFERROR(INDEX(Currais!$C:$C,MATCH(B157,Currais!$A:$A,0)),""))</f>
        <v>76</v>
      </c>
      <c r="H157" s="42">
        <f t="shared" si="7"/>
        <v>21.92763157894737</v>
      </c>
      <c r="I157" s="46">
        <f>IF(F157="","",IFERROR(LOOKUP(A157,Ingredientes_Dieta!$C$17:$C$18,Ingredientes_Dieta!$D$17:$D$18),Ingredientes_Dieta!$F$11))</f>
        <v>0.82269999999999999</v>
      </c>
      <c r="J157" s="28">
        <f t="shared" si="8"/>
        <v>1371.02955</v>
      </c>
      <c r="K157" s="72" t="s">
        <v>123</v>
      </c>
    </row>
    <row r="158" spans="1:11" ht="15" customHeight="1" x14ac:dyDescent="0.3">
      <c r="A158" s="17">
        <v>46238</v>
      </c>
      <c r="B158" s="71">
        <v>2</v>
      </c>
      <c r="C158" s="23">
        <v>213.4</v>
      </c>
      <c r="D158" s="23">
        <v>106.7</v>
      </c>
      <c r="E158" s="23">
        <v>213.4</v>
      </c>
      <c r="F158" s="40">
        <f t="shared" si="6"/>
        <v>533.5</v>
      </c>
      <c r="G158" s="64">
        <f>IF(B158="","",IFERROR(INDEX(Currais!$C:$C,MATCH(B158,Currais!$A:$A,0)),""))</f>
        <v>22</v>
      </c>
      <c r="H158" s="42">
        <f t="shared" si="7"/>
        <v>24.25</v>
      </c>
      <c r="I158" s="46">
        <f>IF(F158="","",IFERROR(LOOKUP(A158,Ingredientes_Dieta!$C$17:$C$18,Ingredientes_Dieta!$D$17:$D$18),Ingredientes_Dieta!$F$11))</f>
        <v>0.82269999999999999</v>
      </c>
      <c r="J158" s="28">
        <f t="shared" si="8"/>
        <v>438.91044999999997</v>
      </c>
      <c r="K158" s="72" t="s">
        <v>123</v>
      </c>
    </row>
    <row r="159" spans="1:11" ht="15" customHeight="1" x14ac:dyDescent="0.3">
      <c r="A159" s="17">
        <v>46238</v>
      </c>
      <c r="B159" s="71">
        <v>3</v>
      </c>
      <c r="C159" s="23">
        <v>675.4</v>
      </c>
      <c r="D159" s="23">
        <v>337.7</v>
      </c>
      <c r="E159" s="23">
        <v>675.4</v>
      </c>
      <c r="F159" s="40">
        <f t="shared" si="6"/>
        <v>1688.5</v>
      </c>
      <c r="G159" s="64">
        <f>IF(B159="","",IFERROR(INDEX(Currais!$C:$C,MATCH(B159,Currais!$A:$A,0)),""))</f>
        <v>85</v>
      </c>
      <c r="H159" s="42">
        <f t="shared" si="7"/>
        <v>19.86470588235294</v>
      </c>
      <c r="I159" s="46">
        <f>IF(F159="","",IFERROR(LOOKUP(A159,Ingredientes_Dieta!$C$17:$C$18,Ingredientes_Dieta!$D$17:$D$18),Ingredientes_Dieta!$F$11))</f>
        <v>0.82269999999999999</v>
      </c>
      <c r="J159" s="28">
        <f t="shared" si="8"/>
        <v>1389.12895</v>
      </c>
      <c r="K159" s="72" t="s">
        <v>123</v>
      </c>
    </row>
    <row r="160" spans="1:11" ht="15" customHeight="1" x14ac:dyDescent="0.3">
      <c r="A160" s="17">
        <v>46238</v>
      </c>
      <c r="B160" s="71">
        <v>4</v>
      </c>
      <c r="C160" s="23">
        <v>665.5</v>
      </c>
      <c r="D160" s="23">
        <v>332.8</v>
      </c>
      <c r="E160" s="23">
        <v>665.5</v>
      </c>
      <c r="F160" s="40">
        <f t="shared" si="6"/>
        <v>1663.8</v>
      </c>
      <c r="G160" s="64">
        <f>IF(B160="","",IFERROR(INDEX(Currais!$C:$C,MATCH(B160,Currais!$A:$A,0)),""))</f>
        <v>90</v>
      </c>
      <c r="H160" s="42">
        <f t="shared" si="7"/>
        <v>18.486666666666665</v>
      </c>
      <c r="I160" s="46">
        <f>IF(F160="","",IFERROR(LOOKUP(A160,Ingredientes_Dieta!$C$17:$C$18,Ingredientes_Dieta!$D$17:$D$18),Ingredientes_Dieta!$F$11))</f>
        <v>0.82269999999999999</v>
      </c>
      <c r="J160" s="28">
        <f t="shared" si="8"/>
        <v>1368.80826</v>
      </c>
      <c r="K160" s="72" t="s">
        <v>123</v>
      </c>
    </row>
    <row r="161" spans="1:11" ht="15" customHeight="1" x14ac:dyDescent="0.3">
      <c r="A161" s="17">
        <v>46238</v>
      </c>
      <c r="B161" s="71">
        <v>5</v>
      </c>
      <c r="C161" s="23">
        <v>614</v>
      </c>
      <c r="D161" s="23">
        <v>307</v>
      </c>
      <c r="E161" s="23">
        <v>614</v>
      </c>
      <c r="F161" s="40">
        <f t="shared" si="6"/>
        <v>1535</v>
      </c>
      <c r="G161" s="64">
        <f>IF(B161="","",IFERROR(INDEX(Currais!$C:$C,MATCH(B161,Currais!$A:$A,0)),""))</f>
        <v>88</v>
      </c>
      <c r="H161" s="42">
        <f t="shared" si="7"/>
        <v>17.443181818181817</v>
      </c>
      <c r="I161" s="46">
        <f>IF(F161="","",IFERROR(LOOKUP(A161,Ingredientes_Dieta!$C$17:$C$18,Ingredientes_Dieta!$D$17:$D$18),Ingredientes_Dieta!$F$11))</f>
        <v>0.82269999999999999</v>
      </c>
      <c r="J161" s="28">
        <f t="shared" si="8"/>
        <v>1262.8444999999999</v>
      </c>
      <c r="K161" s="72" t="s">
        <v>123</v>
      </c>
    </row>
    <row r="162" spans="1:11" ht="15" customHeight="1" x14ac:dyDescent="0.3">
      <c r="A162" s="17">
        <v>46238</v>
      </c>
      <c r="B162" s="71">
        <v>6</v>
      </c>
      <c r="C162" s="23">
        <v>634.70000000000005</v>
      </c>
      <c r="D162" s="23">
        <v>317.39999999999998</v>
      </c>
      <c r="E162" s="23">
        <v>634.70000000000005</v>
      </c>
      <c r="F162" s="40">
        <f t="shared" si="6"/>
        <v>1586.8000000000002</v>
      </c>
      <c r="G162" s="64">
        <f>IF(B162="","",IFERROR(INDEX(Currais!$C:$C,MATCH(B162,Currais!$A:$A,0)),""))</f>
        <v>85</v>
      </c>
      <c r="H162" s="42">
        <f t="shared" si="7"/>
        <v>18.66823529411765</v>
      </c>
      <c r="I162" s="46">
        <f>IF(F162="","",IFERROR(LOOKUP(A162,Ingredientes_Dieta!$C$17:$C$18,Ingredientes_Dieta!$D$17:$D$18),Ingredientes_Dieta!$F$11))</f>
        <v>0.82269999999999999</v>
      </c>
      <c r="J162" s="28">
        <f t="shared" si="8"/>
        <v>1305.46036</v>
      </c>
      <c r="K162" s="72" t="s">
        <v>123</v>
      </c>
    </row>
    <row r="163" spans="1:11" ht="15" customHeight="1" x14ac:dyDescent="0.3">
      <c r="A163" s="17">
        <v>46238</v>
      </c>
      <c r="B163" s="71">
        <v>7</v>
      </c>
      <c r="C163" s="23">
        <v>683.1</v>
      </c>
      <c r="D163" s="23">
        <v>341.6</v>
      </c>
      <c r="E163" s="23">
        <v>683.1</v>
      </c>
      <c r="F163" s="40">
        <f t="shared" si="6"/>
        <v>1707.8000000000002</v>
      </c>
      <c r="G163" s="64">
        <f>IF(B163="","",IFERROR(INDEX(Currais!$C:$C,MATCH(B163,Currais!$A:$A,0)),""))</f>
        <v>85</v>
      </c>
      <c r="H163" s="42">
        <f t="shared" si="7"/>
        <v>20.091764705882355</v>
      </c>
      <c r="I163" s="46">
        <f>IF(F163="","",IFERROR(LOOKUP(A163,Ingredientes_Dieta!$C$17:$C$18,Ingredientes_Dieta!$D$17:$D$18),Ingredientes_Dieta!$F$11))</f>
        <v>0.82269999999999999</v>
      </c>
      <c r="J163" s="28">
        <f t="shared" si="8"/>
        <v>1405.0070600000001</v>
      </c>
      <c r="K163" s="72" t="s">
        <v>123</v>
      </c>
    </row>
    <row r="164" spans="1:11" ht="15" customHeight="1" x14ac:dyDescent="0.3">
      <c r="A164" s="17">
        <v>46238</v>
      </c>
      <c r="B164" s="71">
        <v>8</v>
      </c>
      <c r="C164" s="23">
        <v>520.29999999999995</v>
      </c>
      <c r="D164" s="23">
        <v>260.2</v>
      </c>
      <c r="E164" s="23">
        <v>520.29999999999995</v>
      </c>
      <c r="F164" s="40">
        <f t="shared" si="6"/>
        <v>1300.8</v>
      </c>
      <c r="G164" s="64">
        <f>IF(B164="","",IFERROR(INDEX(Currais!$C:$C,MATCH(B164,Currais!$A:$A,0)),""))</f>
        <v>68</v>
      </c>
      <c r="H164" s="42">
        <f t="shared" si="7"/>
        <v>19.129411764705882</v>
      </c>
      <c r="I164" s="46">
        <f>IF(F164="","",IFERROR(LOOKUP(A164,Ingredientes_Dieta!$C$17:$C$18,Ingredientes_Dieta!$D$17:$D$18),Ingredientes_Dieta!$F$11))</f>
        <v>0.82269999999999999</v>
      </c>
      <c r="J164" s="28">
        <f t="shared" si="8"/>
        <v>1070.1681599999999</v>
      </c>
      <c r="K164" s="72" t="s">
        <v>123</v>
      </c>
    </row>
    <row r="165" spans="1:11" ht="15" customHeight="1" x14ac:dyDescent="0.3">
      <c r="A165" s="17">
        <v>46238</v>
      </c>
      <c r="B165" s="71">
        <v>9</v>
      </c>
      <c r="C165" s="23">
        <v>91.3</v>
      </c>
      <c r="D165" s="23">
        <v>45.7</v>
      </c>
      <c r="E165" s="23">
        <v>91.3</v>
      </c>
      <c r="F165" s="40">
        <f t="shared" si="6"/>
        <v>228.3</v>
      </c>
      <c r="G165" s="64">
        <f>IF(B165="","",IFERROR(INDEX(Currais!$C:$C,MATCH(B165,Currais!$A:$A,0)),""))</f>
        <v>14</v>
      </c>
      <c r="H165" s="42">
        <f t="shared" si="7"/>
        <v>16.307142857142857</v>
      </c>
      <c r="I165" s="46">
        <f>IF(F165="","",IFERROR(LOOKUP(A165,Ingredientes_Dieta!$C$17:$C$18,Ingredientes_Dieta!$D$17:$D$18),Ingredientes_Dieta!$F$11))</f>
        <v>0.82269999999999999</v>
      </c>
      <c r="J165" s="28">
        <f t="shared" si="8"/>
        <v>187.82241000000002</v>
      </c>
      <c r="K165" s="72" t="s">
        <v>123</v>
      </c>
    </row>
    <row r="166" spans="1:11" ht="15" customHeight="1" x14ac:dyDescent="0.3">
      <c r="A166" s="17">
        <v>46238</v>
      </c>
      <c r="B166" s="71">
        <v>10</v>
      </c>
      <c r="C166" s="23">
        <v>243.1</v>
      </c>
      <c r="D166" s="23">
        <v>121.6</v>
      </c>
      <c r="E166" s="23">
        <v>243.1</v>
      </c>
      <c r="F166" s="40">
        <f t="shared" si="6"/>
        <v>607.79999999999995</v>
      </c>
      <c r="G166" s="64">
        <f>IF(B166="","",IFERROR(INDEX(Currais!$C:$C,MATCH(B166,Currais!$A:$A,0)),""))</f>
        <v>33</v>
      </c>
      <c r="H166" s="42">
        <f t="shared" si="7"/>
        <v>18.418181818181818</v>
      </c>
      <c r="I166" s="46">
        <f>IF(F166="","",IFERROR(LOOKUP(A166,Ingredientes_Dieta!$C$17:$C$18,Ingredientes_Dieta!$D$17:$D$18),Ingredientes_Dieta!$F$11))</f>
        <v>0.82269999999999999</v>
      </c>
      <c r="J166" s="28">
        <f t="shared" si="8"/>
        <v>500.03705999999994</v>
      </c>
      <c r="K166" s="72" t="s">
        <v>123</v>
      </c>
    </row>
    <row r="167" spans="1:11" ht="15" customHeight="1" x14ac:dyDescent="0.3">
      <c r="A167" s="17">
        <v>46239</v>
      </c>
      <c r="B167" s="71">
        <v>1</v>
      </c>
      <c r="C167" s="23">
        <v>666.6</v>
      </c>
      <c r="D167" s="23">
        <v>333.3</v>
      </c>
      <c r="E167" s="23">
        <v>666.6</v>
      </c>
      <c r="F167" s="40">
        <f t="shared" si="6"/>
        <v>1666.5</v>
      </c>
      <c r="G167" s="64">
        <f>IF(B167="","",IFERROR(INDEX(Currais!$C:$C,MATCH(B167,Currais!$A:$A,0)),""))</f>
        <v>76</v>
      </c>
      <c r="H167" s="42">
        <f t="shared" si="7"/>
        <v>21.92763157894737</v>
      </c>
      <c r="I167" s="46">
        <f>IF(F167="","",IFERROR(LOOKUP(A167,Ingredientes_Dieta!$C$17:$C$18,Ingredientes_Dieta!$D$17:$D$18),Ingredientes_Dieta!$F$11))</f>
        <v>0.82269999999999999</v>
      </c>
      <c r="J167" s="28">
        <f t="shared" si="8"/>
        <v>1371.02955</v>
      </c>
      <c r="K167" s="72" t="s">
        <v>123</v>
      </c>
    </row>
    <row r="168" spans="1:11" ht="15" customHeight="1" x14ac:dyDescent="0.3">
      <c r="A168" s="17">
        <v>46239</v>
      </c>
      <c r="B168" s="71">
        <v>2</v>
      </c>
      <c r="C168" s="23">
        <v>213.4</v>
      </c>
      <c r="D168" s="23">
        <v>106.7</v>
      </c>
      <c r="E168" s="23">
        <v>213.4</v>
      </c>
      <c r="F168" s="40">
        <f t="shared" si="6"/>
        <v>533.5</v>
      </c>
      <c r="G168" s="64">
        <f>IF(B168="","",IFERROR(INDEX(Currais!$C:$C,MATCH(B168,Currais!$A:$A,0)),""))</f>
        <v>22</v>
      </c>
      <c r="H168" s="42">
        <f t="shared" si="7"/>
        <v>24.25</v>
      </c>
      <c r="I168" s="46">
        <f>IF(F168="","",IFERROR(LOOKUP(A168,Ingredientes_Dieta!$C$17:$C$18,Ingredientes_Dieta!$D$17:$D$18),Ingredientes_Dieta!$F$11))</f>
        <v>0.82269999999999999</v>
      </c>
      <c r="J168" s="28">
        <f t="shared" si="8"/>
        <v>438.91044999999997</v>
      </c>
      <c r="K168" s="72" t="s">
        <v>123</v>
      </c>
    </row>
    <row r="169" spans="1:11" ht="15" customHeight="1" x14ac:dyDescent="0.3">
      <c r="A169" s="17">
        <v>46239</v>
      </c>
      <c r="B169" s="71">
        <v>3</v>
      </c>
      <c r="C169" s="23">
        <v>675.4</v>
      </c>
      <c r="D169" s="23">
        <v>337.7</v>
      </c>
      <c r="E169" s="23">
        <v>675.4</v>
      </c>
      <c r="F169" s="40">
        <f t="shared" si="6"/>
        <v>1688.5</v>
      </c>
      <c r="G169" s="64">
        <f>IF(B169="","",IFERROR(INDEX(Currais!$C:$C,MATCH(B169,Currais!$A:$A,0)),""))</f>
        <v>85</v>
      </c>
      <c r="H169" s="42">
        <f t="shared" si="7"/>
        <v>19.86470588235294</v>
      </c>
      <c r="I169" s="46">
        <f>IF(F169="","",IFERROR(LOOKUP(A169,Ingredientes_Dieta!$C$17:$C$18,Ingredientes_Dieta!$D$17:$D$18),Ingredientes_Dieta!$F$11))</f>
        <v>0.82269999999999999</v>
      </c>
      <c r="J169" s="28">
        <f t="shared" si="8"/>
        <v>1389.12895</v>
      </c>
      <c r="K169" s="72" t="s">
        <v>123</v>
      </c>
    </row>
    <row r="170" spans="1:11" ht="15" customHeight="1" x14ac:dyDescent="0.3">
      <c r="A170" s="17">
        <v>46239</v>
      </c>
      <c r="B170" s="71">
        <v>4</v>
      </c>
      <c r="C170" s="23">
        <v>665.5</v>
      </c>
      <c r="D170" s="23">
        <v>332.8</v>
      </c>
      <c r="E170" s="23">
        <v>665.5</v>
      </c>
      <c r="F170" s="40">
        <f t="shared" si="6"/>
        <v>1663.8</v>
      </c>
      <c r="G170" s="64">
        <f>IF(B170="","",IFERROR(INDEX(Currais!$C:$C,MATCH(B170,Currais!$A:$A,0)),""))</f>
        <v>90</v>
      </c>
      <c r="H170" s="42">
        <f t="shared" si="7"/>
        <v>18.486666666666665</v>
      </c>
      <c r="I170" s="46">
        <f>IF(F170="","",IFERROR(LOOKUP(A170,Ingredientes_Dieta!$C$17:$C$18,Ingredientes_Dieta!$D$17:$D$18),Ingredientes_Dieta!$F$11))</f>
        <v>0.82269999999999999</v>
      </c>
      <c r="J170" s="28">
        <f t="shared" si="8"/>
        <v>1368.80826</v>
      </c>
      <c r="K170" s="72" t="s">
        <v>123</v>
      </c>
    </row>
    <row r="171" spans="1:11" ht="15" customHeight="1" x14ac:dyDescent="0.3">
      <c r="A171" s="17">
        <v>46239</v>
      </c>
      <c r="B171" s="71">
        <v>5</v>
      </c>
      <c r="C171" s="23">
        <v>614</v>
      </c>
      <c r="D171" s="23">
        <v>307</v>
      </c>
      <c r="E171" s="23">
        <v>614</v>
      </c>
      <c r="F171" s="40">
        <f t="shared" si="6"/>
        <v>1535</v>
      </c>
      <c r="G171" s="64">
        <f>IF(B171="","",IFERROR(INDEX(Currais!$C:$C,MATCH(B171,Currais!$A:$A,0)),""))</f>
        <v>88</v>
      </c>
      <c r="H171" s="42">
        <f t="shared" si="7"/>
        <v>17.443181818181817</v>
      </c>
      <c r="I171" s="46">
        <f>IF(F171="","",IFERROR(LOOKUP(A171,Ingredientes_Dieta!$C$17:$C$18,Ingredientes_Dieta!$D$17:$D$18),Ingredientes_Dieta!$F$11))</f>
        <v>0.82269999999999999</v>
      </c>
      <c r="J171" s="28">
        <f t="shared" si="8"/>
        <v>1262.8444999999999</v>
      </c>
      <c r="K171" s="72" t="s">
        <v>123</v>
      </c>
    </row>
    <row r="172" spans="1:11" ht="15" customHeight="1" x14ac:dyDescent="0.3">
      <c r="A172" s="17">
        <v>46239</v>
      </c>
      <c r="B172" s="71">
        <v>6</v>
      </c>
      <c r="C172" s="23">
        <v>634.70000000000005</v>
      </c>
      <c r="D172" s="23">
        <v>317.39999999999998</v>
      </c>
      <c r="E172" s="23">
        <v>634.70000000000005</v>
      </c>
      <c r="F172" s="40">
        <f t="shared" si="6"/>
        <v>1586.8000000000002</v>
      </c>
      <c r="G172" s="64">
        <f>IF(B172="","",IFERROR(INDEX(Currais!$C:$C,MATCH(B172,Currais!$A:$A,0)),""))</f>
        <v>85</v>
      </c>
      <c r="H172" s="42">
        <f t="shared" si="7"/>
        <v>18.66823529411765</v>
      </c>
      <c r="I172" s="46">
        <f>IF(F172="","",IFERROR(LOOKUP(A172,Ingredientes_Dieta!$C$17:$C$18,Ingredientes_Dieta!$D$17:$D$18),Ingredientes_Dieta!$F$11))</f>
        <v>0.82269999999999999</v>
      </c>
      <c r="J172" s="28">
        <f t="shared" si="8"/>
        <v>1305.46036</v>
      </c>
      <c r="K172" s="72" t="s">
        <v>123</v>
      </c>
    </row>
    <row r="173" spans="1:11" ht="15" customHeight="1" x14ac:dyDescent="0.3">
      <c r="A173" s="17">
        <v>46239</v>
      </c>
      <c r="B173" s="71">
        <v>7</v>
      </c>
      <c r="C173" s="23">
        <v>683.1</v>
      </c>
      <c r="D173" s="23">
        <v>341.6</v>
      </c>
      <c r="E173" s="23">
        <v>683.1</v>
      </c>
      <c r="F173" s="40">
        <f t="shared" si="6"/>
        <v>1707.8000000000002</v>
      </c>
      <c r="G173" s="64">
        <f>IF(B173="","",IFERROR(INDEX(Currais!$C:$C,MATCH(B173,Currais!$A:$A,0)),""))</f>
        <v>85</v>
      </c>
      <c r="H173" s="42">
        <f t="shared" si="7"/>
        <v>20.091764705882355</v>
      </c>
      <c r="I173" s="46">
        <f>IF(F173="","",IFERROR(LOOKUP(A173,Ingredientes_Dieta!$C$17:$C$18,Ingredientes_Dieta!$D$17:$D$18),Ingredientes_Dieta!$F$11))</f>
        <v>0.82269999999999999</v>
      </c>
      <c r="J173" s="28">
        <f t="shared" si="8"/>
        <v>1405.0070600000001</v>
      </c>
      <c r="K173" s="72" t="s">
        <v>123</v>
      </c>
    </row>
    <row r="174" spans="1:11" ht="15" customHeight="1" x14ac:dyDescent="0.3">
      <c r="A174" s="17">
        <v>46239</v>
      </c>
      <c r="B174" s="71">
        <v>8</v>
      </c>
      <c r="C174" s="23">
        <v>520.29999999999995</v>
      </c>
      <c r="D174" s="23">
        <v>260.2</v>
      </c>
      <c r="E174" s="23">
        <v>520.29999999999995</v>
      </c>
      <c r="F174" s="40">
        <f t="shared" si="6"/>
        <v>1300.8</v>
      </c>
      <c r="G174" s="64">
        <f>IF(B174="","",IFERROR(INDEX(Currais!$C:$C,MATCH(B174,Currais!$A:$A,0)),""))</f>
        <v>68</v>
      </c>
      <c r="H174" s="42">
        <f t="shared" si="7"/>
        <v>19.129411764705882</v>
      </c>
      <c r="I174" s="46">
        <f>IF(F174="","",IFERROR(LOOKUP(A174,Ingredientes_Dieta!$C$17:$C$18,Ingredientes_Dieta!$D$17:$D$18),Ingredientes_Dieta!$F$11))</f>
        <v>0.82269999999999999</v>
      </c>
      <c r="J174" s="28">
        <f t="shared" si="8"/>
        <v>1070.1681599999999</v>
      </c>
      <c r="K174" s="72" t="s">
        <v>123</v>
      </c>
    </row>
    <row r="175" spans="1:11" ht="15" customHeight="1" x14ac:dyDescent="0.3">
      <c r="A175" s="17">
        <v>46239</v>
      </c>
      <c r="B175" s="71">
        <v>9</v>
      </c>
      <c r="C175" s="23">
        <v>91.3</v>
      </c>
      <c r="D175" s="23">
        <v>45.7</v>
      </c>
      <c r="E175" s="23">
        <v>91.3</v>
      </c>
      <c r="F175" s="40">
        <f t="shared" si="6"/>
        <v>228.3</v>
      </c>
      <c r="G175" s="64">
        <f>IF(B175="","",IFERROR(INDEX(Currais!$C:$C,MATCH(B175,Currais!$A:$A,0)),""))</f>
        <v>14</v>
      </c>
      <c r="H175" s="42">
        <f t="shared" si="7"/>
        <v>16.307142857142857</v>
      </c>
      <c r="I175" s="46">
        <f>IF(F175="","",IFERROR(LOOKUP(A175,Ingredientes_Dieta!$C$17:$C$18,Ingredientes_Dieta!$D$17:$D$18),Ingredientes_Dieta!$F$11))</f>
        <v>0.82269999999999999</v>
      </c>
      <c r="J175" s="28">
        <f t="shared" si="8"/>
        <v>187.82241000000002</v>
      </c>
      <c r="K175" s="72" t="s">
        <v>123</v>
      </c>
    </row>
    <row r="176" spans="1:11" ht="15" customHeight="1" x14ac:dyDescent="0.3">
      <c r="A176" s="17">
        <v>46239</v>
      </c>
      <c r="B176" s="71">
        <v>10</v>
      </c>
      <c r="C176" s="23">
        <v>243.1</v>
      </c>
      <c r="D176" s="23">
        <v>121.6</v>
      </c>
      <c r="E176" s="23">
        <v>243.1</v>
      </c>
      <c r="F176" s="40">
        <f t="shared" si="6"/>
        <v>607.79999999999995</v>
      </c>
      <c r="G176" s="64">
        <f>IF(B176="","",IFERROR(INDEX(Currais!$C:$C,MATCH(B176,Currais!$A:$A,0)),""))</f>
        <v>33</v>
      </c>
      <c r="H176" s="42">
        <f t="shared" si="7"/>
        <v>18.418181818181818</v>
      </c>
      <c r="I176" s="46">
        <f>IF(F176="","",IFERROR(LOOKUP(A176,Ingredientes_Dieta!$C$17:$C$18,Ingredientes_Dieta!$D$17:$D$18),Ingredientes_Dieta!$F$11))</f>
        <v>0.82269999999999999</v>
      </c>
      <c r="J176" s="28">
        <f t="shared" si="8"/>
        <v>500.03705999999994</v>
      </c>
      <c r="K176" s="72" t="s">
        <v>123</v>
      </c>
    </row>
    <row r="177" spans="1:11" ht="15" customHeight="1" x14ac:dyDescent="0.3">
      <c r="A177" s="17">
        <v>46240</v>
      </c>
      <c r="B177" s="71">
        <v>1</v>
      </c>
      <c r="C177" s="23">
        <v>666.6</v>
      </c>
      <c r="D177" s="23">
        <v>333.3</v>
      </c>
      <c r="E177" s="23">
        <v>666.6</v>
      </c>
      <c r="F177" s="40">
        <f t="shared" si="6"/>
        <v>1666.5</v>
      </c>
      <c r="G177" s="64">
        <f>IF(B177="","",IFERROR(INDEX(Currais!$C:$C,MATCH(B177,Currais!$A:$A,0)),""))</f>
        <v>76</v>
      </c>
      <c r="H177" s="42">
        <f t="shared" si="7"/>
        <v>21.92763157894737</v>
      </c>
      <c r="I177" s="46">
        <f>IF(F177="","",IFERROR(LOOKUP(A177,Ingredientes_Dieta!$C$17:$C$18,Ingredientes_Dieta!$D$17:$D$18),Ingredientes_Dieta!$F$11))</f>
        <v>0.82269999999999999</v>
      </c>
      <c r="J177" s="28">
        <f t="shared" si="8"/>
        <v>1371.02955</v>
      </c>
      <c r="K177" s="72" t="s">
        <v>123</v>
      </c>
    </row>
    <row r="178" spans="1:11" ht="15" customHeight="1" x14ac:dyDescent="0.3">
      <c r="A178" s="17">
        <v>46240</v>
      </c>
      <c r="B178" s="71">
        <v>2</v>
      </c>
      <c r="C178" s="23">
        <v>213.4</v>
      </c>
      <c r="D178" s="23">
        <v>106.7</v>
      </c>
      <c r="E178" s="23">
        <v>213.4</v>
      </c>
      <c r="F178" s="40">
        <f t="shared" si="6"/>
        <v>533.5</v>
      </c>
      <c r="G178" s="64">
        <f>IF(B178="","",IFERROR(INDEX(Currais!$C:$C,MATCH(B178,Currais!$A:$A,0)),""))</f>
        <v>22</v>
      </c>
      <c r="H178" s="42">
        <f t="shared" si="7"/>
        <v>24.25</v>
      </c>
      <c r="I178" s="46">
        <f>IF(F178="","",IFERROR(LOOKUP(A178,Ingredientes_Dieta!$C$17:$C$18,Ingredientes_Dieta!$D$17:$D$18),Ingredientes_Dieta!$F$11))</f>
        <v>0.82269999999999999</v>
      </c>
      <c r="J178" s="28">
        <f t="shared" si="8"/>
        <v>438.91044999999997</v>
      </c>
      <c r="K178" s="72" t="s">
        <v>123</v>
      </c>
    </row>
    <row r="179" spans="1:11" ht="15" customHeight="1" x14ac:dyDescent="0.3">
      <c r="A179" s="17">
        <v>46240</v>
      </c>
      <c r="B179" s="71">
        <v>3</v>
      </c>
      <c r="C179" s="23">
        <v>675.4</v>
      </c>
      <c r="D179" s="23">
        <v>337.7</v>
      </c>
      <c r="E179" s="23">
        <v>675.4</v>
      </c>
      <c r="F179" s="40">
        <f t="shared" si="6"/>
        <v>1688.5</v>
      </c>
      <c r="G179" s="64">
        <f>IF(B179="","",IFERROR(INDEX(Currais!$C:$C,MATCH(B179,Currais!$A:$A,0)),""))</f>
        <v>85</v>
      </c>
      <c r="H179" s="42">
        <f t="shared" si="7"/>
        <v>19.86470588235294</v>
      </c>
      <c r="I179" s="46">
        <f>IF(F179="","",IFERROR(LOOKUP(A179,Ingredientes_Dieta!$C$17:$C$18,Ingredientes_Dieta!$D$17:$D$18),Ingredientes_Dieta!$F$11))</f>
        <v>0.82269999999999999</v>
      </c>
      <c r="J179" s="28">
        <f t="shared" si="8"/>
        <v>1389.12895</v>
      </c>
      <c r="K179" s="72" t="s">
        <v>123</v>
      </c>
    </row>
    <row r="180" spans="1:11" ht="15" customHeight="1" x14ac:dyDescent="0.3">
      <c r="A180" s="17">
        <v>46240</v>
      </c>
      <c r="B180" s="71">
        <v>4</v>
      </c>
      <c r="C180" s="23">
        <v>665.5</v>
      </c>
      <c r="D180" s="23">
        <v>332.8</v>
      </c>
      <c r="E180" s="23">
        <v>665.5</v>
      </c>
      <c r="F180" s="40">
        <f t="shared" si="6"/>
        <v>1663.8</v>
      </c>
      <c r="G180" s="64">
        <f>IF(B180="","",IFERROR(INDEX(Currais!$C:$C,MATCH(B180,Currais!$A:$A,0)),""))</f>
        <v>90</v>
      </c>
      <c r="H180" s="42">
        <f t="shared" si="7"/>
        <v>18.486666666666665</v>
      </c>
      <c r="I180" s="46">
        <f>IF(F180="","",IFERROR(LOOKUP(A180,Ingredientes_Dieta!$C$17:$C$18,Ingredientes_Dieta!$D$17:$D$18),Ingredientes_Dieta!$F$11))</f>
        <v>0.82269999999999999</v>
      </c>
      <c r="J180" s="28">
        <f t="shared" si="8"/>
        <v>1368.80826</v>
      </c>
      <c r="K180" s="72" t="s">
        <v>123</v>
      </c>
    </row>
    <row r="181" spans="1:11" ht="15" customHeight="1" x14ac:dyDescent="0.3">
      <c r="A181" s="17">
        <v>46240</v>
      </c>
      <c r="B181" s="71">
        <v>5</v>
      </c>
      <c r="C181" s="23">
        <v>614</v>
      </c>
      <c r="D181" s="23">
        <v>307</v>
      </c>
      <c r="E181" s="23">
        <v>614</v>
      </c>
      <c r="F181" s="40">
        <f t="shared" si="6"/>
        <v>1535</v>
      </c>
      <c r="G181" s="64">
        <f>IF(B181="","",IFERROR(INDEX(Currais!$C:$C,MATCH(B181,Currais!$A:$A,0)),""))</f>
        <v>88</v>
      </c>
      <c r="H181" s="42">
        <f t="shared" si="7"/>
        <v>17.443181818181817</v>
      </c>
      <c r="I181" s="46">
        <f>IF(F181="","",IFERROR(LOOKUP(A181,Ingredientes_Dieta!$C$17:$C$18,Ingredientes_Dieta!$D$17:$D$18),Ingredientes_Dieta!$F$11))</f>
        <v>0.82269999999999999</v>
      </c>
      <c r="J181" s="28">
        <f t="shared" si="8"/>
        <v>1262.8444999999999</v>
      </c>
      <c r="K181" s="72" t="s">
        <v>123</v>
      </c>
    </row>
    <row r="182" spans="1:11" ht="15" customHeight="1" x14ac:dyDescent="0.3">
      <c r="A182" s="17">
        <v>46240</v>
      </c>
      <c r="B182" s="71">
        <v>6</v>
      </c>
      <c r="C182" s="23">
        <v>634.70000000000005</v>
      </c>
      <c r="D182" s="23">
        <v>317.39999999999998</v>
      </c>
      <c r="E182" s="23">
        <v>634.70000000000005</v>
      </c>
      <c r="F182" s="40">
        <f t="shared" si="6"/>
        <v>1586.8000000000002</v>
      </c>
      <c r="G182" s="64">
        <f>IF(B182="","",IFERROR(INDEX(Currais!$C:$C,MATCH(B182,Currais!$A:$A,0)),""))</f>
        <v>85</v>
      </c>
      <c r="H182" s="42">
        <f t="shared" si="7"/>
        <v>18.66823529411765</v>
      </c>
      <c r="I182" s="46">
        <f>IF(F182="","",IFERROR(LOOKUP(A182,Ingredientes_Dieta!$C$17:$C$18,Ingredientes_Dieta!$D$17:$D$18),Ingredientes_Dieta!$F$11))</f>
        <v>0.82269999999999999</v>
      </c>
      <c r="J182" s="28">
        <f t="shared" si="8"/>
        <v>1305.46036</v>
      </c>
      <c r="K182" s="72" t="s">
        <v>123</v>
      </c>
    </row>
    <row r="183" spans="1:11" ht="15" customHeight="1" x14ac:dyDescent="0.3">
      <c r="A183" s="17">
        <v>46240</v>
      </c>
      <c r="B183" s="71">
        <v>7</v>
      </c>
      <c r="C183" s="23">
        <v>683.1</v>
      </c>
      <c r="D183" s="23">
        <v>341.6</v>
      </c>
      <c r="E183" s="23">
        <v>683.1</v>
      </c>
      <c r="F183" s="40">
        <f t="shared" si="6"/>
        <v>1707.8000000000002</v>
      </c>
      <c r="G183" s="64">
        <f>IF(B183="","",IFERROR(INDEX(Currais!$C:$C,MATCH(B183,Currais!$A:$A,0)),""))</f>
        <v>85</v>
      </c>
      <c r="H183" s="42">
        <f t="shared" si="7"/>
        <v>20.091764705882355</v>
      </c>
      <c r="I183" s="46">
        <f>IF(F183="","",IFERROR(LOOKUP(A183,Ingredientes_Dieta!$C$17:$C$18,Ingredientes_Dieta!$D$17:$D$18),Ingredientes_Dieta!$F$11))</f>
        <v>0.82269999999999999</v>
      </c>
      <c r="J183" s="28">
        <f t="shared" si="8"/>
        <v>1405.0070600000001</v>
      </c>
      <c r="K183" s="72" t="s">
        <v>123</v>
      </c>
    </row>
    <row r="184" spans="1:11" ht="15" customHeight="1" x14ac:dyDescent="0.3">
      <c r="A184" s="17">
        <v>46240</v>
      </c>
      <c r="B184" s="71">
        <v>8</v>
      </c>
      <c r="C184" s="23">
        <v>520.29999999999995</v>
      </c>
      <c r="D184" s="23">
        <v>260.2</v>
      </c>
      <c r="E184" s="23">
        <v>520.29999999999995</v>
      </c>
      <c r="F184" s="40">
        <f t="shared" si="6"/>
        <v>1300.8</v>
      </c>
      <c r="G184" s="64">
        <f>IF(B184="","",IFERROR(INDEX(Currais!$C:$C,MATCH(B184,Currais!$A:$A,0)),""))</f>
        <v>68</v>
      </c>
      <c r="H184" s="42">
        <f t="shared" si="7"/>
        <v>19.129411764705882</v>
      </c>
      <c r="I184" s="46">
        <f>IF(F184="","",IFERROR(LOOKUP(A184,Ingredientes_Dieta!$C$17:$C$18,Ingredientes_Dieta!$D$17:$D$18),Ingredientes_Dieta!$F$11))</f>
        <v>0.82269999999999999</v>
      </c>
      <c r="J184" s="28">
        <f t="shared" si="8"/>
        <v>1070.1681599999999</v>
      </c>
      <c r="K184" s="72" t="s">
        <v>123</v>
      </c>
    </row>
    <row r="185" spans="1:11" ht="15" customHeight="1" x14ac:dyDescent="0.3">
      <c r="A185" s="17">
        <v>46240</v>
      </c>
      <c r="B185" s="71">
        <v>9</v>
      </c>
      <c r="C185" s="23">
        <v>91.3</v>
      </c>
      <c r="D185" s="23">
        <v>45.7</v>
      </c>
      <c r="E185" s="23">
        <v>91.3</v>
      </c>
      <c r="F185" s="40">
        <f t="shared" si="6"/>
        <v>228.3</v>
      </c>
      <c r="G185" s="64">
        <f>IF(B185="","",IFERROR(INDEX(Currais!$C:$C,MATCH(B185,Currais!$A:$A,0)),""))</f>
        <v>14</v>
      </c>
      <c r="H185" s="42">
        <f t="shared" si="7"/>
        <v>16.307142857142857</v>
      </c>
      <c r="I185" s="46">
        <f>IF(F185="","",IFERROR(LOOKUP(A185,Ingredientes_Dieta!$C$17:$C$18,Ingredientes_Dieta!$D$17:$D$18),Ingredientes_Dieta!$F$11))</f>
        <v>0.82269999999999999</v>
      </c>
      <c r="J185" s="28">
        <f t="shared" si="8"/>
        <v>187.82241000000002</v>
      </c>
      <c r="K185" s="72" t="s">
        <v>123</v>
      </c>
    </row>
    <row r="186" spans="1:11" ht="15" customHeight="1" x14ac:dyDescent="0.3">
      <c r="A186" s="17">
        <v>46240</v>
      </c>
      <c r="B186" s="71">
        <v>10</v>
      </c>
      <c r="C186" s="23">
        <v>243.1</v>
      </c>
      <c r="D186" s="23">
        <v>121.6</v>
      </c>
      <c r="E186" s="23">
        <v>243.1</v>
      </c>
      <c r="F186" s="40">
        <f t="shared" si="6"/>
        <v>607.79999999999995</v>
      </c>
      <c r="G186" s="64">
        <f>IF(B186="","",IFERROR(INDEX(Currais!$C:$C,MATCH(B186,Currais!$A:$A,0)),""))</f>
        <v>33</v>
      </c>
      <c r="H186" s="42">
        <f t="shared" si="7"/>
        <v>18.418181818181818</v>
      </c>
      <c r="I186" s="46">
        <f>IF(F186="","",IFERROR(LOOKUP(A186,Ingredientes_Dieta!$C$17:$C$18,Ingredientes_Dieta!$D$17:$D$18),Ingredientes_Dieta!$F$11))</f>
        <v>0.82269999999999999</v>
      </c>
      <c r="J186" s="28">
        <f t="shared" si="8"/>
        <v>500.03705999999994</v>
      </c>
      <c r="K186" s="72" t="s">
        <v>123</v>
      </c>
    </row>
    <row r="187" spans="1:11" ht="15" customHeight="1" x14ac:dyDescent="0.3">
      <c r="A187" s="17">
        <v>46241</v>
      </c>
      <c r="B187" s="71">
        <v>1</v>
      </c>
      <c r="C187" s="23">
        <v>639.20000000000005</v>
      </c>
      <c r="D187" s="23">
        <v>319.60000000000002</v>
      </c>
      <c r="E187" s="23">
        <v>639.20000000000005</v>
      </c>
      <c r="F187" s="40">
        <f t="shared" si="6"/>
        <v>1598</v>
      </c>
      <c r="G187" s="64">
        <f>IF(B187="","",IFERROR(INDEX(Currais!$C:$C,MATCH(B187,Currais!$A:$A,0)),""))</f>
        <v>76</v>
      </c>
      <c r="H187" s="42">
        <f t="shared" si="7"/>
        <v>21.026315789473685</v>
      </c>
      <c r="I187" s="46">
        <f>IF(F187="","",IFERROR(LOOKUP(A187,Ingredientes_Dieta!$C$17:$C$18,Ingredientes_Dieta!$D$17:$D$18),Ingredientes_Dieta!$F$11))</f>
        <v>0.82269999999999999</v>
      </c>
      <c r="J187" s="28">
        <f t="shared" si="8"/>
        <v>1314.6746000000001</v>
      </c>
      <c r="K187" s="72" t="s">
        <v>124</v>
      </c>
    </row>
    <row r="188" spans="1:11" ht="15" customHeight="1" x14ac:dyDescent="0.3">
      <c r="A188" s="17">
        <v>46241</v>
      </c>
      <c r="B188" s="71">
        <v>2</v>
      </c>
      <c r="C188" s="23">
        <v>194.8</v>
      </c>
      <c r="D188" s="23">
        <v>97.4</v>
      </c>
      <c r="E188" s="23">
        <v>194.8</v>
      </c>
      <c r="F188" s="40">
        <f t="shared" si="6"/>
        <v>487.00000000000006</v>
      </c>
      <c r="G188" s="64">
        <f>IF(B188="","",IFERROR(INDEX(Currais!$C:$C,MATCH(B188,Currais!$A:$A,0)),""))</f>
        <v>22</v>
      </c>
      <c r="H188" s="42">
        <f t="shared" si="7"/>
        <v>22.13636363636364</v>
      </c>
      <c r="I188" s="46">
        <f>IF(F188="","",IFERROR(LOOKUP(A188,Ingredientes_Dieta!$C$17:$C$18,Ingredientes_Dieta!$D$17:$D$18),Ingredientes_Dieta!$F$11))</f>
        <v>0.82269999999999999</v>
      </c>
      <c r="J188" s="28">
        <f t="shared" si="8"/>
        <v>400.65490000000005</v>
      </c>
      <c r="K188" s="72" t="s">
        <v>124</v>
      </c>
    </row>
    <row r="189" spans="1:11" ht="15" customHeight="1" x14ac:dyDescent="0.3">
      <c r="A189" s="17">
        <v>46241</v>
      </c>
      <c r="B189" s="71">
        <v>3</v>
      </c>
      <c r="C189" s="23">
        <v>647.20000000000005</v>
      </c>
      <c r="D189" s="23">
        <v>323.60000000000002</v>
      </c>
      <c r="E189" s="23">
        <v>647.20000000000005</v>
      </c>
      <c r="F189" s="40">
        <f t="shared" si="6"/>
        <v>1618</v>
      </c>
      <c r="G189" s="64">
        <f>IF(B189="","",IFERROR(INDEX(Currais!$C:$C,MATCH(B189,Currais!$A:$A,0)),""))</f>
        <v>85</v>
      </c>
      <c r="H189" s="42">
        <f t="shared" si="7"/>
        <v>19.035294117647059</v>
      </c>
      <c r="I189" s="46">
        <f>IF(F189="","",IFERROR(LOOKUP(A189,Ingredientes_Dieta!$C$17:$C$18,Ingredientes_Dieta!$D$17:$D$18),Ingredientes_Dieta!$F$11))</f>
        <v>0.82269999999999999</v>
      </c>
      <c r="J189" s="28">
        <f t="shared" si="8"/>
        <v>1331.1286</v>
      </c>
      <c r="K189" s="72" t="s">
        <v>124</v>
      </c>
    </row>
    <row r="190" spans="1:11" ht="15" customHeight="1" x14ac:dyDescent="0.3">
      <c r="A190" s="17">
        <v>46241</v>
      </c>
      <c r="B190" s="71">
        <v>4</v>
      </c>
      <c r="C190" s="23">
        <v>638.4</v>
      </c>
      <c r="D190" s="23">
        <v>319.2</v>
      </c>
      <c r="E190" s="23">
        <v>638.4</v>
      </c>
      <c r="F190" s="40">
        <f t="shared" si="6"/>
        <v>1596</v>
      </c>
      <c r="G190" s="64">
        <f>IF(B190="","",IFERROR(INDEX(Currais!$C:$C,MATCH(B190,Currais!$A:$A,0)),""))</f>
        <v>90</v>
      </c>
      <c r="H190" s="42">
        <f t="shared" si="7"/>
        <v>17.733333333333334</v>
      </c>
      <c r="I190" s="46">
        <f>IF(F190="","",IFERROR(LOOKUP(A190,Ingredientes_Dieta!$C$17:$C$18,Ingredientes_Dieta!$D$17:$D$18),Ingredientes_Dieta!$F$11))</f>
        <v>0.82269999999999999</v>
      </c>
      <c r="J190" s="28">
        <f t="shared" si="8"/>
        <v>1313.0291999999999</v>
      </c>
      <c r="K190" s="72" t="s">
        <v>124</v>
      </c>
    </row>
    <row r="191" spans="1:11" ht="15" customHeight="1" x14ac:dyDescent="0.3">
      <c r="A191" s="17">
        <v>46241</v>
      </c>
      <c r="B191" s="71">
        <v>5</v>
      </c>
      <c r="C191" s="23">
        <v>590.79999999999995</v>
      </c>
      <c r="D191" s="23">
        <v>295.39999999999998</v>
      </c>
      <c r="E191" s="23">
        <v>590.79999999999995</v>
      </c>
      <c r="F191" s="40">
        <f t="shared" si="6"/>
        <v>1477</v>
      </c>
      <c r="G191" s="64">
        <f>IF(B191="","",IFERROR(INDEX(Currais!$C:$C,MATCH(B191,Currais!$A:$A,0)),""))</f>
        <v>88</v>
      </c>
      <c r="H191" s="42">
        <f t="shared" si="7"/>
        <v>16.78409090909091</v>
      </c>
      <c r="I191" s="46">
        <f>IF(F191="","",IFERROR(LOOKUP(A191,Ingredientes_Dieta!$C$17:$C$18,Ingredientes_Dieta!$D$17:$D$18),Ingredientes_Dieta!$F$11))</f>
        <v>0.82269999999999999</v>
      </c>
      <c r="J191" s="28">
        <f t="shared" si="8"/>
        <v>1215.1279</v>
      </c>
      <c r="K191" s="72" t="s">
        <v>124</v>
      </c>
    </row>
    <row r="192" spans="1:11" ht="15" customHeight="1" x14ac:dyDescent="0.3">
      <c r="A192" s="17">
        <v>46241</v>
      </c>
      <c r="B192" s="71">
        <v>6</v>
      </c>
      <c r="C192" s="23">
        <v>580.4</v>
      </c>
      <c r="D192" s="23">
        <v>290.2</v>
      </c>
      <c r="E192" s="23">
        <v>580.4</v>
      </c>
      <c r="F192" s="40">
        <f t="shared" si="6"/>
        <v>1451</v>
      </c>
      <c r="G192" s="64">
        <f>IF(B192="","",IFERROR(INDEX(Currais!$C:$C,MATCH(B192,Currais!$A:$A,0)),""))</f>
        <v>85</v>
      </c>
      <c r="H192" s="42">
        <f t="shared" si="7"/>
        <v>17.070588235294117</v>
      </c>
      <c r="I192" s="46">
        <f>IF(F192="","",IFERROR(LOOKUP(A192,Ingredientes_Dieta!$C$17:$C$18,Ingredientes_Dieta!$D$17:$D$18),Ingredientes_Dieta!$F$11))</f>
        <v>0.82269999999999999</v>
      </c>
      <c r="J192" s="28">
        <f t="shared" si="8"/>
        <v>1193.7376999999999</v>
      </c>
      <c r="K192" s="72" t="s">
        <v>124</v>
      </c>
    </row>
    <row r="193" spans="1:11" ht="15" customHeight="1" x14ac:dyDescent="0.3">
      <c r="A193" s="17">
        <v>46241</v>
      </c>
      <c r="B193" s="71">
        <v>7</v>
      </c>
      <c r="C193" s="23">
        <v>624</v>
      </c>
      <c r="D193" s="23">
        <v>312</v>
      </c>
      <c r="E193" s="23">
        <v>624</v>
      </c>
      <c r="F193" s="40">
        <f t="shared" si="6"/>
        <v>1560</v>
      </c>
      <c r="G193" s="64">
        <f>IF(B193="","",IFERROR(INDEX(Currais!$C:$C,MATCH(B193,Currais!$A:$A,0)),""))</f>
        <v>85</v>
      </c>
      <c r="H193" s="42">
        <f t="shared" si="7"/>
        <v>18.352941176470587</v>
      </c>
      <c r="I193" s="46">
        <f>IF(F193="","",IFERROR(LOOKUP(A193,Ingredientes_Dieta!$C$17:$C$18,Ingredientes_Dieta!$D$17:$D$18),Ingredientes_Dieta!$F$11))</f>
        <v>0.82269999999999999</v>
      </c>
      <c r="J193" s="28">
        <f t="shared" si="8"/>
        <v>1283.412</v>
      </c>
      <c r="K193" s="72" t="s">
        <v>124</v>
      </c>
    </row>
    <row r="194" spans="1:11" ht="15" customHeight="1" x14ac:dyDescent="0.3">
      <c r="A194" s="17">
        <v>46241</v>
      </c>
      <c r="B194" s="71">
        <v>8</v>
      </c>
      <c r="C194" s="23">
        <v>498.8</v>
      </c>
      <c r="D194" s="23">
        <v>249.4</v>
      </c>
      <c r="E194" s="23">
        <v>498.8</v>
      </c>
      <c r="F194" s="40">
        <f t="shared" si="6"/>
        <v>1247</v>
      </c>
      <c r="G194" s="64">
        <f>IF(B194="","",IFERROR(INDEX(Currais!$C:$C,MATCH(B194,Currais!$A:$A,0)),""))</f>
        <v>68</v>
      </c>
      <c r="H194" s="42">
        <f t="shared" si="7"/>
        <v>18.338235294117649</v>
      </c>
      <c r="I194" s="46">
        <f>IF(F194="","",IFERROR(LOOKUP(A194,Ingredientes_Dieta!$C$17:$C$18,Ingredientes_Dieta!$D$17:$D$18),Ingredientes_Dieta!$F$11))</f>
        <v>0.82269999999999999</v>
      </c>
      <c r="J194" s="28">
        <f t="shared" si="8"/>
        <v>1025.9069</v>
      </c>
      <c r="K194" s="72" t="s">
        <v>124</v>
      </c>
    </row>
    <row r="195" spans="1:11" ht="15" customHeight="1" x14ac:dyDescent="0.3">
      <c r="A195" s="17">
        <v>46241</v>
      </c>
      <c r="B195" s="71">
        <v>9</v>
      </c>
      <c r="C195" s="23">
        <v>84.4</v>
      </c>
      <c r="D195" s="23">
        <v>42.2</v>
      </c>
      <c r="E195" s="23">
        <v>84.4</v>
      </c>
      <c r="F195" s="40">
        <f t="shared" si="6"/>
        <v>211</v>
      </c>
      <c r="G195" s="64">
        <f>IF(B195="","",IFERROR(INDEX(Currais!$C:$C,MATCH(B195,Currais!$A:$A,0)),""))</f>
        <v>14</v>
      </c>
      <c r="H195" s="42">
        <f t="shared" si="7"/>
        <v>15.071428571428571</v>
      </c>
      <c r="I195" s="46">
        <f>IF(F195="","",IFERROR(LOOKUP(A195,Ingredientes_Dieta!$C$17:$C$18,Ingredientes_Dieta!$D$17:$D$18),Ingredientes_Dieta!$F$11))</f>
        <v>0.82269999999999999</v>
      </c>
      <c r="J195" s="28">
        <f t="shared" si="8"/>
        <v>173.58969999999999</v>
      </c>
      <c r="K195" s="72" t="s">
        <v>124</v>
      </c>
    </row>
    <row r="196" spans="1:11" ht="15" customHeight="1" x14ac:dyDescent="0.3">
      <c r="A196" s="17">
        <v>46241</v>
      </c>
      <c r="B196" s="71">
        <v>10</v>
      </c>
      <c r="C196" s="23">
        <v>222</v>
      </c>
      <c r="D196" s="23">
        <v>111</v>
      </c>
      <c r="E196" s="23">
        <v>222</v>
      </c>
      <c r="F196" s="40">
        <f t="shared" ref="F196:F259" si="9">IF(AND(C196="",D196="",E196=""),"",N(C196)+N(D196)+N(E196))</f>
        <v>555</v>
      </c>
      <c r="G196" s="64">
        <f>IF(B196="","",IFERROR(INDEX(Currais!$C:$C,MATCH(B196,Currais!$A:$A,0)),""))</f>
        <v>33</v>
      </c>
      <c r="H196" s="42">
        <f t="shared" ref="H196:H259" si="10">IF(OR(F196="",G196="",G196=0),"",F196/G196)</f>
        <v>16.818181818181817</v>
      </c>
      <c r="I196" s="46">
        <f>IF(F196="","",IFERROR(LOOKUP(A196,Ingredientes_Dieta!$C$17:$C$18,Ingredientes_Dieta!$D$17:$D$18),Ingredientes_Dieta!$F$11))</f>
        <v>0.82269999999999999</v>
      </c>
      <c r="J196" s="28">
        <f t="shared" ref="J196:J259" si="11">IF(F196="","",F196*I196)</f>
        <v>456.5985</v>
      </c>
      <c r="K196" s="72" t="s">
        <v>124</v>
      </c>
    </row>
    <row r="197" spans="1:11" ht="15" customHeight="1" x14ac:dyDescent="0.3">
      <c r="A197" s="17">
        <v>46242</v>
      </c>
      <c r="B197" s="71">
        <v>1</v>
      </c>
      <c r="C197" s="23">
        <v>639.20000000000005</v>
      </c>
      <c r="D197" s="23">
        <v>319.60000000000002</v>
      </c>
      <c r="E197" s="23">
        <v>639.20000000000005</v>
      </c>
      <c r="F197" s="40">
        <f t="shared" si="9"/>
        <v>1598</v>
      </c>
      <c r="G197" s="64">
        <f>IF(B197="","",IFERROR(INDEX(Currais!$C:$C,MATCH(B197,Currais!$A:$A,0)),""))</f>
        <v>76</v>
      </c>
      <c r="H197" s="42">
        <f t="shared" si="10"/>
        <v>21.026315789473685</v>
      </c>
      <c r="I197" s="46">
        <f>IF(F197="","",IFERROR(LOOKUP(A197,Ingredientes_Dieta!$C$17:$C$18,Ingredientes_Dieta!$D$17:$D$18),Ingredientes_Dieta!$F$11))</f>
        <v>0.82269999999999999</v>
      </c>
      <c r="J197" s="28">
        <f t="shared" si="11"/>
        <v>1314.6746000000001</v>
      </c>
      <c r="K197" s="72" t="s">
        <v>124</v>
      </c>
    </row>
    <row r="198" spans="1:11" ht="15" customHeight="1" x14ac:dyDescent="0.3">
      <c r="A198" s="17">
        <v>46242</v>
      </c>
      <c r="B198" s="71">
        <v>2</v>
      </c>
      <c r="C198" s="23">
        <v>194.8</v>
      </c>
      <c r="D198" s="23">
        <v>97.4</v>
      </c>
      <c r="E198" s="23">
        <v>194.8</v>
      </c>
      <c r="F198" s="40">
        <f t="shared" si="9"/>
        <v>487.00000000000006</v>
      </c>
      <c r="G198" s="64">
        <f>IF(B198="","",IFERROR(INDEX(Currais!$C:$C,MATCH(B198,Currais!$A:$A,0)),""))</f>
        <v>22</v>
      </c>
      <c r="H198" s="42">
        <f t="shared" si="10"/>
        <v>22.13636363636364</v>
      </c>
      <c r="I198" s="46">
        <f>IF(F198="","",IFERROR(LOOKUP(A198,Ingredientes_Dieta!$C$17:$C$18,Ingredientes_Dieta!$D$17:$D$18),Ingredientes_Dieta!$F$11))</f>
        <v>0.82269999999999999</v>
      </c>
      <c r="J198" s="28">
        <f t="shared" si="11"/>
        <v>400.65490000000005</v>
      </c>
      <c r="K198" s="72" t="s">
        <v>124</v>
      </c>
    </row>
    <row r="199" spans="1:11" ht="15" customHeight="1" x14ac:dyDescent="0.3">
      <c r="A199" s="17">
        <v>46242</v>
      </c>
      <c r="B199" s="71">
        <v>3</v>
      </c>
      <c r="C199" s="23">
        <v>647.20000000000005</v>
      </c>
      <c r="D199" s="23">
        <v>323.60000000000002</v>
      </c>
      <c r="E199" s="23">
        <v>647.20000000000005</v>
      </c>
      <c r="F199" s="40">
        <f t="shared" si="9"/>
        <v>1618</v>
      </c>
      <c r="G199" s="64">
        <f>IF(B199="","",IFERROR(INDEX(Currais!$C:$C,MATCH(B199,Currais!$A:$A,0)),""))</f>
        <v>85</v>
      </c>
      <c r="H199" s="42">
        <f t="shared" si="10"/>
        <v>19.035294117647059</v>
      </c>
      <c r="I199" s="46">
        <f>IF(F199="","",IFERROR(LOOKUP(A199,Ingredientes_Dieta!$C$17:$C$18,Ingredientes_Dieta!$D$17:$D$18),Ingredientes_Dieta!$F$11))</f>
        <v>0.82269999999999999</v>
      </c>
      <c r="J199" s="28">
        <f t="shared" si="11"/>
        <v>1331.1286</v>
      </c>
      <c r="K199" s="72" t="s">
        <v>124</v>
      </c>
    </row>
    <row r="200" spans="1:11" ht="15" customHeight="1" x14ac:dyDescent="0.3">
      <c r="A200" s="17">
        <v>46242</v>
      </c>
      <c r="B200" s="71">
        <v>4</v>
      </c>
      <c r="C200" s="23">
        <v>638.4</v>
      </c>
      <c r="D200" s="23">
        <v>319.2</v>
      </c>
      <c r="E200" s="23">
        <v>638.4</v>
      </c>
      <c r="F200" s="40">
        <f t="shared" si="9"/>
        <v>1596</v>
      </c>
      <c r="G200" s="64">
        <f>IF(B200="","",IFERROR(INDEX(Currais!$C:$C,MATCH(B200,Currais!$A:$A,0)),""))</f>
        <v>90</v>
      </c>
      <c r="H200" s="42">
        <f t="shared" si="10"/>
        <v>17.733333333333334</v>
      </c>
      <c r="I200" s="46">
        <f>IF(F200="","",IFERROR(LOOKUP(A200,Ingredientes_Dieta!$C$17:$C$18,Ingredientes_Dieta!$D$17:$D$18),Ingredientes_Dieta!$F$11))</f>
        <v>0.82269999999999999</v>
      </c>
      <c r="J200" s="28">
        <f t="shared" si="11"/>
        <v>1313.0291999999999</v>
      </c>
      <c r="K200" s="72" t="s">
        <v>124</v>
      </c>
    </row>
    <row r="201" spans="1:11" ht="15" customHeight="1" x14ac:dyDescent="0.3">
      <c r="A201" s="17">
        <v>46242</v>
      </c>
      <c r="B201" s="71">
        <v>5</v>
      </c>
      <c r="C201" s="23">
        <v>590.79999999999995</v>
      </c>
      <c r="D201" s="23">
        <v>295.39999999999998</v>
      </c>
      <c r="E201" s="23">
        <v>590.79999999999995</v>
      </c>
      <c r="F201" s="40">
        <f t="shared" si="9"/>
        <v>1477</v>
      </c>
      <c r="G201" s="64">
        <f>IF(B201="","",IFERROR(INDEX(Currais!$C:$C,MATCH(B201,Currais!$A:$A,0)),""))</f>
        <v>88</v>
      </c>
      <c r="H201" s="42">
        <f t="shared" si="10"/>
        <v>16.78409090909091</v>
      </c>
      <c r="I201" s="46">
        <f>IF(F201="","",IFERROR(LOOKUP(A201,Ingredientes_Dieta!$C$17:$C$18,Ingredientes_Dieta!$D$17:$D$18),Ingredientes_Dieta!$F$11))</f>
        <v>0.82269999999999999</v>
      </c>
      <c r="J201" s="28">
        <f t="shared" si="11"/>
        <v>1215.1279</v>
      </c>
      <c r="K201" s="72" t="s">
        <v>124</v>
      </c>
    </row>
    <row r="202" spans="1:11" ht="15" customHeight="1" x14ac:dyDescent="0.3">
      <c r="A202" s="17">
        <v>46242</v>
      </c>
      <c r="B202" s="71">
        <v>6</v>
      </c>
      <c r="C202" s="23">
        <v>580.4</v>
      </c>
      <c r="D202" s="23">
        <v>290.2</v>
      </c>
      <c r="E202" s="23">
        <v>580.4</v>
      </c>
      <c r="F202" s="40">
        <f t="shared" si="9"/>
        <v>1451</v>
      </c>
      <c r="G202" s="64">
        <f>IF(B202="","",IFERROR(INDEX(Currais!$C:$C,MATCH(B202,Currais!$A:$A,0)),""))</f>
        <v>85</v>
      </c>
      <c r="H202" s="42">
        <f t="shared" si="10"/>
        <v>17.070588235294117</v>
      </c>
      <c r="I202" s="46">
        <f>IF(F202="","",IFERROR(LOOKUP(A202,Ingredientes_Dieta!$C$17:$C$18,Ingredientes_Dieta!$D$17:$D$18),Ingredientes_Dieta!$F$11))</f>
        <v>0.82269999999999999</v>
      </c>
      <c r="J202" s="28">
        <f t="shared" si="11"/>
        <v>1193.7376999999999</v>
      </c>
      <c r="K202" s="72" t="s">
        <v>124</v>
      </c>
    </row>
    <row r="203" spans="1:11" ht="15" customHeight="1" x14ac:dyDescent="0.3">
      <c r="A203" s="17">
        <v>46242</v>
      </c>
      <c r="B203" s="71">
        <v>7</v>
      </c>
      <c r="C203" s="23">
        <v>624</v>
      </c>
      <c r="D203" s="23">
        <v>312</v>
      </c>
      <c r="E203" s="23">
        <v>624</v>
      </c>
      <c r="F203" s="40">
        <f t="shared" si="9"/>
        <v>1560</v>
      </c>
      <c r="G203" s="64">
        <f>IF(B203="","",IFERROR(INDEX(Currais!$C:$C,MATCH(B203,Currais!$A:$A,0)),""))</f>
        <v>85</v>
      </c>
      <c r="H203" s="42">
        <f t="shared" si="10"/>
        <v>18.352941176470587</v>
      </c>
      <c r="I203" s="46">
        <f>IF(F203="","",IFERROR(LOOKUP(A203,Ingredientes_Dieta!$C$17:$C$18,Ingredientes_Dieta!$D$17:$D$18),Ingredientes_Dieta!$F$11))</f>
        <v>0.82269999999999999</v>
      </c>
      <c r="J203" s="28">
        <f t="shared" si="11"/>
        <v>1283.412</v>
      </c>
      <c r="K203" s="72" t="s">
        <v>124</v>
      </c>
    </row>
    <row r="204" spans="1:11" x14ac:dyDescent="0.3">
      <c r="A204" s="17">
        <v>46242</v>
      </c>
      <c r="B204" s="71">
        <v>8</v>
      </c>
      <c r="C204" s="23">
        <v>498.8</v>
      </c>
      <c r="D204" s="23">
        <v>249.4</v>
      </c>
      <c r="E204" s="23">
        <v>498.8</v>
      </c>
      <c r="F204" s="40">
        <f t="shared" si="9"/>
        <v>1247</v>
      </c>
      <c r="G204" s="64">
        <f>IF(B204="","",IFERROR(INDEX(Currais!$C:$C,MATCH(B204,Currais!$A:$A,0)),""))</f>
        <v>68</v>
      </c>
      <c r="H204" s="42">
        <f t="shared" si="10"/>
        <v>18.338235294117649</v>
      </c>
      <c r="I204" s="46">
        <f>IF(F204="","",IFERROR(LOOKUP(A204,Ingredientes_Dieta!$C$17:$C$18,Ingredientes_Dieta!$D$17:$D$18),Ingredientes_Dieta!$F$11))</f>
        <v>0.82269999999999999</v>
      </c>
      <c r="J204" s="28">
        <f t="shared" si="11"/>
        <v>1025.9069</v>
      </c>
      <c r="K204" s="72" t="s">
        <v>124</v>
      </c>
    </row>
    <row r="205" spans="1:11" x14ac:dyDescent="0.3">
      <c r="A205" s="17">
        <v>46242</v>
      </c>
      <c r="B205" s="71">
        <v>9</v>
      </c>
      <c r="C205" s="23">
        <v>84.4</v>
      </c>
      <c r="D205" s="23">
        <v>42.2</v>
      </c>
      <c r="E205" s="23">
        <v>84.4</v>
      </c>
      <c r="F205" s="40">
        <f t="shared" si="9"/>
        <v>211</v>
      </c>
      <c r="G205" s="64">
        <f>IF(B205="","",IFERROR(INDEX(Currais!$C:$C,MATCH(B205,Currais!$A:$A,0)),""))</f>
        <v>14</v>
      </c>
      <c r="H205" s="42">
        <f t="shared" si="10"/>
        <v>15.071428571428571</v>
      </c>
      <c r="I205" s="46">
        <f>IF(F205="","",IFERROR(LOOKUP(A205,Ingredientes_Dieta!$C$17:$C$18,Ingredientes_Dieta!$D$17:$D$18),Ingredientes_Dieta!$F$11))</f>
        <v>0.82269999999999999</v>
      </c>
      <c r="J205" s="28">
        <f t="shared" si="11"/>
        <v>173.58969999999999</v>
      </c>
      <c r="K205" s="72" t="s">
        <v>124</v>
      </c>
    </row>
    <row r="206" spans="1:11" x14ac:dyDescent="0.3">
      <c r="A206" s="17">
        <v>46242</v>
      </c>
      <c r="B206" s="71">
        <v>10</v>
      </c>
      <c r="C206" s="23">
        <v>222</v>
      </c>
      <c r="D206" s="23">
        <v>111</v>
      </c>
      <c r="E206" s="23">
        <v>222</v>
      </c>
      <c r="F206" s="40">
        <f t="shared" si="9"/>
        <v>555</v>
      </c>
      <c r="G206" s="64">
        <f>IF(B206="","",IFERROR(INDEX(Currais!$C:$C,MATCH(B206,Currais!$A:$A,0)),""))</f>
        <v>33</v>
      </c>
      <c r="H206" s="42">
        <f t="shared" si="10"/>
        <v>16.818181818181817</v>
      </c>
      <c r="I206" s="46">
        <f>IF(F206="","",IFERROR(LOOKUP(A206,Ingredientes_Dieta!$C$17:$C$18,Ingredientes_Dieta!$D$17:$D$18),Ingredientes_Dieta!$F$11))</f>
        <v>0.82269999999999999</v>
      </c>
      <c r="J206" s="28">
        <f t="shared" si="11"/>
        <v>456.5985</v>
      </c>
      <c r="K206" s="72" t="s">
        <v>124</v>
      </c>
    </row>
    <row r="207" spans="1:11" x14ac:dyDescent="0.3">
      <c r="A207" s="17">
        <v>46243</v>
      </c>
      <c r="B207" s="71">
        <v>1</v>
      </c>
      <c r="C207" s="23">
        <v>639.20000000000005</v>
      </c>
      <c r="D207" s="23">
        <v>319.60000000000002</v>
      </c>
      <c r="E207" s="23">
        <v>639.20000000000005</v>
      </c>
      <c r="F207" s="40">
        <f t="shared" si="9"/>
        <v>1598</v>
      </c>
      <c r="G207" s="64">
        <f>IF(B207="","",IFERROR(INDEX(Currais!$C:$C,MATCH(B207,Currais!$A:$A,0)),""))</f>
        <v>76</v>
      </c>
      <c r="H207" s="42">
        <f t="shared" si="10"/>
        <v>21.026315789473685</v>
      </c>
      <c r="I207" s="46">
        <f>IF(F207="","",IFERROR(LOOKUP(A207,Ingredientes_Dieta!$C$17:$C$18,Ingredientes_Dieta!$D$17:$D$18),Ingredientes_Dieta!$F$11))</f>
        <v>0.82269999999999999</v>
      </c>
      <c r="J207" s="28">
        <f t="shared" si="11"/>
        <v>1314.6746000000001</v>
      </c>
      <c r="K207" s="72" t="s">
        <v>124</v>
      </c>
    </row>
    <row r="208" spans="1:11" x14ac:dyDescent="0.3">
      <c r="A208" s="17">
        <v>46243</v>
      </c>
      <c r="B208" s="71">
        <v>2</v>
      </c>
      <c r="C208" s="23">
        <v>194.8</v>
      </c>
      <c r="D208" s="23">
        <v>97.4</v>
      </c>
      <c r="E208" s="23">
        <v>194.8</v>
      </c>
      <c r="F208" s="40">
        <f t="shared" si="9"/>
        <v>487.00000000000006</v>
      </c>
      <c r="G208" s="64">
        <f>IF(B208="","",IFERROR(INDEX(Currais!$C:$C,MATCH(B208,Currais!$A:$A,0)),""))</f>
        <v>22</v>
      </c>
      <c r="H208" s="42">
        <f t="shared" si="10"/>
        <v>22.13636363636364</v>
      </c>
      <c r="I208" s="46">
        <f>IF(F208="","",IFERROR(LOOKUP(A208,Ingredientes_Dieta!$C$17:$C$18,Ingredientes_Dieta!$D$17:$D$18),Ingredientes_Dieta!$F$11))</f>
        <v>0.82269999999999999</v>
      </c>
      <c r="J208" s="28">
        <f t="shared" si="11"/>
        <v>400.65490000000005</v>
      </c>
      <c r="K208" s="72" t="s">
        <v>124</v>
      </c>
    </row>
    <row r="209" spans="1:11" x14ac:dyDescent="0.3">
      <c r="A209" s="17">
        <v>46243</v>
      </c>
      <c r="B209" s="71">
        <v>3</v>
      </c>
      <c r="C209" s="23">
        <v>647.20000000000005</v>
      </c>
      <c r="D209" s="23">
        <v>323.60000000000002</v>
      </c>
      <c r="E209" s="23">
        <v>647.20000000000005</v>
      </c>
      <c r="F209" s="40">
        <f t="shared" si="9"/>
        <v>1618</v>
      </c>
      <c r="G209" s="64">
        <f>IF(B209="","",IFERROR(INDEX(Currais!$C:$C,MATCH(B209,Currais!$A:$A,0)),""))</f>
        <v>85</v>
      </c>
      <c r="H209" s="42">
        <f t="shared" si="10"/>
        <v>19.035294117647059</v>
      </c>
      <c r="I209" s="46">
        <f>IF(F209="","",IFERROR(LOOKUP(A209,Ingredientes_Dieta!$C$17:$C$18,Ingredientes_Dieta!$D$17:$D$18),Ingredientes_Dieta!$F$11))</f>
        <v>0.82269999999999999</v>
      </c>
      <c r="J209" s="28">
        <f t="shared" si="11"/>
        <v>1331.1286</v>
      </c>
      <c r="K209" s="72" t="s">
        <v>124</v>
      </c>
    </row>
    <row r="210" spans="1:11" x14ac:dyDescent="0.3">
      <c r="A210" s="17">
        <v>46243</v>
      </c>
      <c r="B210" s="71">
        <v>4</v>
      </c>
      <c r="C210" s="23">
        <v>638.4</v>
      </c>
      <c r="D210" s="23">
        <v>319.2</v>
      </c>
      <c r="E210" s="23">
        <v>638.4</v>
      </c>
      <c r="F210" s="40">
        <f t="shared" si="9"/>
        <v>1596</v>
      </c>
      <c r="G210" s="64">
        <f>IF(B210="","",IFERROR(INDEX(Currais!$C:$C,MATCH(B210,Currais!$A:$A,0)),""))</f>
        <v>90</v>
      </c>
      <c r="H210" s="42">
        <f t="shared" si="10"/>
        <v>17.733333333333334</v>
      </c>
      <c r="I210" s="46">
        <f>IF(F210="","",IFERROR(LOOKUP(A210,Ingredientes_Dieta!$C$17:$C$18,Ingredientes_Dieta!$D$17:$D$18),Ingredientes_Dieta!$F$11))</f>
        <v>0.82269999999999999</v>
      </c>
      <c r="J210" s="28">
        <f t="shared" si="11"/>
        <v>1313.0291999999999</v>
      </c>
      <c r="K210" s="72" t="s">
        <v>124</v>
      </c>
    </row>
    <row r="211" spans="1:11" x14ac:dyDescent="0.3">
      <c r="A211" s="17">
        <v>46243</v>
      </c>
      <c r="B211" s="71">
        <v>5</v>
      </c>
      <c r="C211" s="23">
        <v>590.79999999999995</v>
      </c>
      <c r="D211" s="23">
        <v>295.39999999999998</v>
      </c>
      <c r="E211" s="23">
        <v>590.79999999999995</v>
      </c>
      <c r="F211" s="40">
        <f t="shared" si="9"/>
        <v>1477</v>
      </c>
      <c r="G211" s="64">
        <f>IF(B211="","",IFERROR(INDEX(Currais!$C:$C,MATCH(B211,Currais!$A:$A,0)),""))</f>
        <v>88</v>
      </c>
      <c r="H211" s="42">
        <f t="shared" si="10"/>
        <v>16.78409090909091</v>
      </c>
      <c r="I211" s="46">
        <f>IF(F211="","",IFERROR(LOOKUP(A211,Ingredientes_Dieta!$C$17:$C$18,Ingredientes_Dieta!$D$17:$D$18),Ingredientes_Dieta!$F$11))</f>
        <v>0.82269999999999999</v>
      </c>
      <c r="J211" s="28">
        <f t="shared" si="11"/>
        <v>1215.1279</v>
      </c>
      <c r="K211" s="72" t="s">
        <v>124</v>
      </c>
    </row>
    <row r="212" spans="1:11" x14ac:dyDescent="0.3">
      <c r="A212" s="17">
        <v>46243</v>
      </c>
      <c r="B212" s="71">
        <v>6</v>
      </c>
      <c r="C212" s="23">
        <v>580.4</v>
      </c>
      <c r="D212" s="23">
        <v>290.2</v>
      </c>
      <c r="E212" s="23">
        <v>580.4</v>
      </c>
      <c r="F212" s="40">
        <f t="shared" si="9"/>
        <v>1451</v>
      </c>
      <c r="G212" s="64">
        <f>IF(B212="","",IFERROR(INDEX(Currais!$C:$C,MATCH(B212,Currais!$A:$A,0)),""))</f>
        <v>85</v>
      </c>
      <c r="H212" s="42">
        <f t="shared" si="10"/>
        <v>17.070588235294117</v>
      </c>
      <c r="I212" s="46">
        <f>IF(F212="","",IFERROR(LOOKUP(A212,Ingredientes_Dieta!$C$17:$C$18,Ingredientes_Dieta!$D$17:$D$18),Ingredientes_Dieta!$F$11))</f>
        <v>0.82269999999999999</v>
      </c>
      <c r="J212" s="28">
        <f t="shared" si="11"/>
        <v>1193.7376999999999</v>
      </c>
      <c r="K212" s="72" t="s">
        <v>124</v>
      </c>
    </row>
    <row r="213" spans="1:11" x14ac:dyDescent="0.3">
      <c r="A213" s="17">
        <v>46243</v>
      </c>
      <c r="B213" s="71">
        <v>7</v>
      </c>
      <c r="C213" s="23">
        <v>624</v>
      </c>
      <c r="D213" s="23">
        <v>312</v>
      </c>
      <c r="E213" s="23">
        <v>624</v>
      </c>
      <c r="F213" s="40">
        <f t="shared" si="9"/>
        <v>1560</v>
      </c>
      <c r="G213" s="64">
        <f>IF(B213="","",IFERROR(INDEX(Currais!$C:$C,MATCH(B213,Currais!$A:$A,0)),""))</f>
        <v>85</v>
      </c>
      <c r="H213" s="42">
        <f t="shared" si="10"/>
        <v>18.352941176470587</v>
      </c>
      <c r="I213" s="46">
        <f>IF(F213="","",IFERROR(LOOKUP(A213,Ingredientes_Dieta!$C$17:$C$18,Ingredientes_Dieta!$D$17:$D$18),Ingredientes_Dieta!$F$11))</f>
        <v>0.82269999999999999</v>
      </c>
      <c r="J213" s="28">
        <f t="shared" si="11"/>
        <v>1283.412</v>
      </c>
      <c r="K213" s="72" t="s">
        <v>124</v>
      </c>
    </row>
    <row r="214" spans="1:11" x14ac:dyDescent="0.3">
      <c r="A214" s="17">
        <v>46243</v>
      </c>
      <c r="B214" s="71">
        <v>8</v>
      </c>
      <c r="C214" s="23">
        <v>498.8</v>
      </c>
      <c r="D214" s="23">
        <v>249.4</v>
      </c>
      <c r="E214" s="23">
        <v>498.8</v>
      </c>
      <c r="F214" s="40">
        <f t="shared" si="9"/>
        <v>1247</v>
      </c>
      <c r="G214" s="64">
        <f>IF(B214="","",IFERROR(INDEX(Currais!$C:$C,MATCH(B214,Currais!$A:$A,0)),""))</f>
        <v>68</v>
      </c>
      <c r="H214" s="42">
        <f t="shared" si="10"/>
        <v>18.338235294117649</v>
      </c>
      <c r="I214" s="46">
        <f>IF(F214="","",IFERROR(LOOKUP(A214,Ingredientes_Dieta!$C$17:$C$18,Ingredientes_Dieta!$D$17:$D$18),Ingredientes_Dieta!$F$11))</f>
        <v>0.82269999999999999</v>
      </c>
      <c r="J214" s="28">
        <f t="shared" si="11"/>
        <v>1025.9069</v>
      </c>
      <c r="K214" s="72" t="s">
        <v>124</v>
      </c>
    </row>
    <row r="215" spans="1:11" x14ac:dyDescent="0.3">
      <c r="A215" s="17">
        <v>46243</v>
      </c>
      <c r="B215" s="71">
        <v>9</v>
      </c>
      <c r="C215" s="23">
        <v>84.4</v>
      </c>
      <c r="D215" s="23">
        <v>42.2</v>
      </c>
      <c r="E215" s="23">
        <v>84.4</v>
      </c>
      <c r="F215" s="40">
        <f t="shared" si="9"/>
        <v>211</v>
      </c>
      <c r="G215" s="64">
        <f>IF(B215="","",IFERROR(INDEX(Currais!$C:$C,MATCH(B215,Currais!$A:$A,0)),""))</f>
        <v>14</v>
      </c>
      <c r="H215" s="42">
        <f t="shared" si="10"/>
        <v>15.071428571428571</v>
      </c>
      <c r="I215" s="46">
        <f>IF(F215="","",IFERROR(LOOKUP(A215,Ingredientes_Dieta!$C$17:$C$18,Ingredientes_Dieta!$D$17:$D$18),Ingredientes_Dieta!$F$11))</f>
        <v>0.82269999999999999</v>
      </c>
      <c r="J215" s="28">
        <f t="shared" si="11"/>
        <v>173.58969999999999</v>
      </c>
      <c r="K215" s="72" t="s">
        <v>124</v>
      </c>
    </row>
    <row r="216" spans="1:11" x14ac:dyDescent="0.3">
      <c r="A216" s="17">
        <v>46243</v>
      </c>
      <c r="B216" s="71">
        <v>10</v>
      </c>
      <c r="C216" s="23">
        <v>222</v>
      </c>
      <c r="D216" s="23">
        <v>111</v>
      </c>
      <c r="E216" s="23">
        <v>222</v>
      </c>
      <c r="F216" s="40">
        <f t="shared" si="9"/>
        <v>555</v>
      </c>
      <c r="G216" s="64">
        <f>IF(B216="","",IFERROR(INDEX(Currais!$C:$C,MATCH(B216,Currais!$A:$A,0)),""))</f>
        <v>33</v>
      </c>
      <c r="H216" s="42">
        <f t="shared" si="10"/>
        <v>16.818181818181817</v>
      </c>
      <c r="I216" s="46">
        <f>IF(F216="","",IFERROR(LOOKUP(A216,Ingredientes_Dieta!$C$17:$C$18,Ingredientes_Dieta!$D$17:$D$18),Ingredientes_Dieta!$F$11))</f>
        <v>0.82269999999999999</v>
      </c>
      <c r="J216" s="28">
        <f t="shared" si="11"/>
        <v>456.5985</v>
      </c>
      <c r="K216" s="72" t="s">
        <v>124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M16"/>
  <sheetViews>
    <sheetView showGridLines="0" zoomScaleNormal="100" workbookViewId="0">
      <selection activeCell="H7" sqref="H7"/>
    </sheetView>
  </sheetViews>
  <sheetFormatPr defaultColWidth="8.6640625" defaultRowHeight="14.4" x14ac:dyDescent="0.3"/>
  <cols>
    <col min="1" max="1" width="2" customWidth="1"/>
    <col min="2" max="3" width="10" customWidth="1"/>
    <col min="4" max="4" width="11" customWidth="1"/>
    <col min="5" max="5" width="16" customWidth="1"/>
    <col min="6" max="6" width="14" customWidth="1"/>
    <col min="7" max="9" width="15" customWidth="1"/>
    <col min="10" max="10" width="16" customWidth="1"/>
    <col min="11" max="11" width="14" customWidth="1"/>
    <col min="12" max="12" width="12" customWidth="1"/>
    <col min="13" max="13" width="16" customWidth="1"/>
  </cols>
  <sheetData>
    <row r="2" spans="2:13" ht="24" customHeight="1" x14ac:dyDescent="0.3">
      <c r="B2" s="7" t="s">
        <v>125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3" ht="39.75" customHeight="1" x14ac:dyDescent="0.3">
      <c r="B3" s="6" t="s">
        <v>126</v>
      </c>
      <c r="C3" s="6"/>
      <c r="D3" s="6"/>
      <c r="E3" s="6"/>
      <c r="F3" s="6"/>
      <c r="G3" s="6"/>
      <c r="H3" s="6"/>
      <c r="I3" s="6"/>
      <c r="J3" s="6"/>
      <c r="K3" s="6"/>
      <c r="L3" s="6"/>
    </row>
    <row r="5" spans="2:13" ht="43.5" customHeight="1" x14ac:dyDescent="0.3">
      <c r="B5" s="15" t="s">
        <v>127</v>
      </c>
      <c r="C5" s="15" t="s">
        <v>101</v>
      </c>
      <c r="D5" s="15" t="s">
        <v>128</v>
      </c>
      <c r="E5" s="15" t="s">
        <v>129</v>
      </c>
      <c r="F5" s="15" t="s">
        <v>110</v>
      </c>
      <c r="G5" s="15" t="s">
        <v>130</v>
      </c>
      <c r="H5" s="15" t="s">
        <v>112</v>
      </c>
      <c r="I5" s="15" t="s">
        <v>131</v>
      </c>
      <c r="J5" s="15" t="s">
        <v>132</v>
      </c>
      <c r="K5" s="15" t="s">
        <v>133</v>
      </c>
      <c r="L5" s="15" t="s">
        <v>134</v>
      </c>
      <c r="M5" s="15" t="s">
        <v>135</v>
      </c>
    </row>
    <row r="6" spans="2:13" ht="15" customHeight="1" x14ac:dyDescent="0.3">
      <c r="B6" s="60">
        <v>1</v>
      </c>
      <c r="C6" s="60">
        <f>IFERROR(INDEX(Currais!$C:$C,MATCH(B6,Currais!$A:$A,0)),0)</f>
        <v>76</v>
      </c>
      <c r="D6" s="73">
        <f>IFERROR(Parâmetros!$C$4-_xlfn.MINIFS(Cadastro_Animais!$F$3:$F$5001,Cadastro_Animais!$E$3:$E$5001,B6),"")</f>
        <v>18</v>
      </c>
      <c r="E6" s="35">
        <f>IFERROR(INDEX(Calculadora_Trato!$G$8:$G$17,MATCH(B6,Calculadora_Trato!$B$8:$B$17,0)),0)</f>
        <v>1598</v>
      </c>
      <c r="F6" s="63">
        <f>Parâmetros!$C$6</f>
        <v>0.82269999999999999</v>
      </c>
      <c r="G6" s="26">
        <f t="shared" ref="G6:G15" si="0">E6*F6</f>
        <v>1314.6746000000001</v>
      </c>
      <c r="H6" s="74">
        <f t="shared" ref="H6:H16" si="1">IF(C6=0,"",G6/C6)</f>
        <v>17.298349999999999</v>
      </c>
      <c r="I6" s="26">
        <f t="shared" ref="I6:I15" si="2">IF(D6="","",G6*D6)</f>
        <v>23664.142800000001</v>
      </c>
      <c r="J6" s="26">
        <f>SUMIFS(Trato_Diario!$J$4:$J$300,Trato_Diario!$B$4:$B$300,B6)</f>
        <v>24268.029199999994</v>
      </c>
      <c r="K6" s="26">
        <f t="shared" ref="K6:K16" si="3">IF(C6=0,"",I6/C6)</f>
        <v>311.37030000000004</v>
      </c>
      <c r="L6" s="37">
        <f>SUMIFS(Cadastro_Animais!$N$3:$N$5001,Cadastro_Animais!$E$3:$E$5001,B6)</f>
        <v>0</v>
      </c>
      <c r="M6" s="26" t="str">
        <f t="shared" ref="M6:M16" si="4">IF(L6&lt;=0,"",I6/L6)</f>
        <v/>
      </c>
    </row>
    <row r="7" spans="2:13" ht="15" customHeight="1" x14ac:dyDescent="0.3">
      <c r="B7" s="64">
        <v>2</v>
      </c>
      <c r="C7" s="64">
        <f>IFERROR(INDEX(Currais!$C:$C,MATCH(B7,Currais!$A:$A,0)),0)</f>
        <v>22</v>
      </c>
      <c r="D7" s="75">
        <f>IFERROR(Parâmetros!$C$4-_xlfn.MINIFS(Cadastro_Animais!$F$3:$F$5001,Cadastro_Animais!$E$3:$E$5001,B7),"")</f>
        <v>18</v>
      </c>
      <c r="E7" s="40">
        <f>IFERROR(INDEX(Calculadora_Trato!$G$8:$G$17,MATCH(B7,Calculadora_Trato!$B$8:$B$17,0)),0)</f>
        <v>487</v>
      </c>
      <c r="F7" s="46">
        <f>Parâmetros!$C$6</f>
        <v>0.82269999999999999</v>
      </c>
      <c r="G7" s="28">
        <f t="shared" si="0"/>
        <v>400.6549</v>
      </c>
      <c r="H7" s="76">
        <f t="shared" si="1"/>
        <v>18.211586363636364</v>
      </c>
      <c r="I7" s="28">
        <f t="shared" si="2"/>
        <v>7211.7882</v>
      </c>
      <c r="J7" s="28">
        <f>SUMIFS(Trato_Diario!$J$4:$J$300,Trato_Diario!$B$4:$B$300,B7)</f>
        <v>7708.8293000000031</v>
      </c>
      <c r="K7" s="28">
        <f t="shared" si="3"/>
        <v>327.80855454545457</v>
      </c>
      <c r="L7" s="42">
        <f>SUMIFS(Cadastro_Animais!$N$3:$N$5001,Cadastro_Animais!$E$3:$E$5001,B7)</f>
        <v>0</v>
      </c>
      <c r="M7" s="28" t="str">
        <f t="shared" si="4"/>
        <v/>
      </c>
    </row>
    <row r="8" spans="2:13" ht="15" customHeight="1" x14ac:dyDescent="0.3">
      <c r="B8" s="60">
        <v>3</v>
      </c>
      <c r="C8" s="60">
        <f>IFERROR(INDEX(Currais!$C:$C,MATCH(B8,Currais!$A:$A,0)),0)</f>
        <v>85</v>
      </c>
      <c r="D8" s="73">
        <f>IFERROR(Parâmetros!$C$4-_xlfn.MINIFS(Cadastro_Animais!$F$3:$F$5001,Cadastro_Animais!$E$3:$E$5001,B8),"")</f>
        <v>18</v>
      </c>
      <c r="E8" s="35">
        <f>IFERROR(INDEX(Calculadora_Trato!$G$8:$G$17,MATCH(B8,Calculadora_Trato!$B$8:$B$17,0)),0)</f>
        <v>1618</v>
      </c>
      <c r="F8" s="63">
        <f>Parâmetros!$C$6</f>
        <v>0.82269999999999999</v>
      </c>
      <c r="G8" s="26">
        <f t="shared" si="0"/>
        <v>1331.1286</v>
      </c>
      <c r="H8" s="74">
        <f t="shared" si="1"/>
        <v>15.660336470588236</v>
      </c>
      <c r="I8" s="26">
        <f t="shared" si="2"/>
        <v>23960.3148</v>
      </c>
      <c r="J8" s="26">
        <f>SUMIFS(Trato_Diario!$J$4:$J$300,Trato_Diario!$B$4:$B$300,B8)</f>
        <v>24586.457149999991</v>
      </c>
      <c r="K8" s="26">
        <f t="shared" si="3"/>
        <v>281.88605647058824</v>
      </c>
      <c r="L8" s="37">
        <f>SUMIFS(Cadastro_Animais!$N$3:$N$5001,Cadastro_Animais!$E$3:$E$5001,B8)</f>
        <v>0</v>
      </c>
      <c r="M8" s="26" t="str">
        <f t="shared" si="4"/>
        <v/>
      </c>
    </row>
    <row r="9" spans="2:13" ht="15" customHeight="1" x14ac:dyDescent="0.3">
      <c r="B9" s="64">
        <v>4</v>
      </c>
      <c r="C9" s="64">
        <f>IFERROR(INDEX(Currais!$C:$C,MATCH(B9,Currais!$A:$A,0)),0)</f>
        <v>90</v>
      </c>
      <c r="D9" s="75">
        <f>IFERROR(Parâmetros!$C$4-_xlfn.MINIFS(Cadastro_Animais!$F$3:$F$5001,Cadastro_Animais!$E$3:$E$5001,B9),"")</f>
        <v>17</v>
      </c>
      <c r="E9" s="40">
        <f>IFERROR(INDEX(Calculadora_Trato!$G$8:$G$17,MATCH(B9,Calculadora_Trato!$B$8:$B$17,0)),0)</f>
        <v>1596</v>
      </c>
      <c r="F9" s="46">
        <f>Parâmetros!$C$6</f>
        <v>0.82269999999999999</v>
      </c>
      <c r="G9" s="28">
        <f t="shared" si="0"/>
        <v>1313.0291999999999</v>
      </c>
      <c r="H9" s="76">
        <f t="shared" si="1"/>
        <v>14.589213333333333</v>
      </c>
      <c r="I9" s="28">
        <f t="shared" si="2"/>
        <v>22321.4964</v>
      </c>
      <c r="J9" s="28">
        <f>SUMIFS(Trato_Diario!$J$4:$J$300,Trato_Diario!$B$4:$B$300,B9)</f>
        <v>23358.85488000001</v>
      </c>
      <c r="K9" s="28">
        <f t="shared" si="3"/>
        <v>248.01662666666667</v>
      </c>
      <c r="L9" s="42">
        <f>SUMIFS(Cadastro_Animais!$N$3:$N$5001,Cadastro_Animais!$E$3:$E$5001,B9)</f>
        <v>0</v>
      </c>
      <c r="M9" s="28" t="str">
        <f t="shared" si="4"/>
        <v/>
      </c>
    </row>
    <row r="10" spans="2:13" ht="15" customHeight="1" x14ac:dyDescent="0.3">
      <c r="B10" s="60">
        <v>5</v>
      </c>
      <c r="C10" s="60">
        <f>IFERROR(INDEX(Currais!$C:$C,MATCH(B10,Currais!$A:$A,0)),0)</f>
        <v>88</v>
      </c>
      <c r="D10" s="73">
        <f>IFERROR(Parâmetros!$C$4-_xlfn.MINIFS(Cadastro_Animais!$F$3:$F$5001,Cadastro_Animais!$E$3:$E$5001,B10),"")</f>
        <v>17</v>
      </c>
      <c r="E10" s="35">
        <f>IFERROR(INDEX(Calculadora_Trato!$G$8:$G$17,MATCH(B10,Calculadora_Trato!$B$8:$B$17,0)),0)</f>
        <v>1477</v>
      </c>
      <c r="F10" s="63">
        <f>Parâmetros!$C$6</f>
        <v>0.82269999999999999</v>
      </c>
      <c r="G10" s="26">
        <f t="shared" si="0"/>
        <v>1215.1279</v>
      </c>
      <c r="H10" s="74">
        <f t="shared" si="1"/>
        <v>13.80827159090909</v>
      </c>
      <c r="I10" s="26">
        <f t="shared" si="2"/>
        <v>20657.174299999999</v>
      </c>
      <c r="J10" s="26">
        <f>SUMIFS(Trato_Diario!$J$4:$J$300,Trato_Diario!$B$4:$B$300,B10)</f>
        <v>21561.289700000001</v>
      </c>
      <c r="K10" s="26">
        <f t="shared" si="3"/>
        <v>234.74061704545454</v>
      </c>
      <c r="L10" s="37">
        <f>SUMIFS(Cadastro_Animais!$N$3:$N$5001,Cadastro_Animais!$E$3:$E$5001,B10)</f>
        <v>0</v>
      </c>
      <c r="M10" s="26" t="str">
        <f t="shared" si="4"/>
        <v/>
      </c>
    </row>
    <row r="11" spans="2:13" ht="15" customHeight="1" x14ac:dyDescent="0.3">
      <c r="B11" s="64">
        <v>6</v>
      </c>
      <c r="C11" s="64">
        <f>IFERROR(INDEX(Currais!$C:$C,MATCH(B11,Currais!$A:$A,0)),0)</f>
        <v>85</v>
      </c>
      <c r="D11" s="75">
        <f>IFERROR(Parâmetros!$C$4-_xlfn.MINIFS(Cadastro_Animais!$F$3:$F$5001,Cadastro_Animais!$E$3:$E$5001,B11),"")</f>
        <v>14</v>
      </c>
      <c r="E11" s="40">
        <f>IFERROR(INDEX(Calculadora_Trato!$G$8:$G$17,MATCH(B11,Calculadora_Trato!$B$8:$B$17,0)),0)</f>
        <v>1451</v>
      </c>
      <c r="F11" s="46">
        <f>Parâmetros!$C$6</f>
        <v>0.82269999999999999</v>
      </c>
      <c r="G11" s="28">
        <f t="shared" si="0"/>
        <v>1193.7376999999999</v>
      </c>
      <c r="H11" s="76">
        <f t="shared" si="1"/>
        <v>14.04397294117647</v>
      </c>
      <c r="I11" s="28">
        <f t="shared" si="2"/>
        <v>16712.327799999999</v>
      </c>
      <c r="J11" s="28">
        <f>SUMIFS(Trato_Diario!$J$4:$J$300,Trato_Diario!$B$4:$B$300,B11)</f>
        <v>19605.439180000008</v>
      </c>
      <c r="K11" s="28">
        <f t="shared" si="3"/>
        <v>196.61562117647057</v>
      </c>
      <c r="L11" s="42">
        <f>SUMIFS(Cadastro_Animais!$N$3:$N$5001,Cadastro_Animais!$E$3:$E$5001,B11)</f>
        <v>0</v>
      </c>
      <c r="M11" s="28" t="str">
        <f t="shared" si="4"/>
        <v/>
      </c>
    </row>
    <row r="12" spans="2:13" ht="15" customHeight="1" x14ac:dyDescent="0.3">
      <c r="B12" s="60">
        <v>7</v>
      </c>
      <c r="C12" s="60">
        <f>IFERROR(INDEX(Currais!$C:$C,MATCH(B12,Currais!$A:$A,0)),0)</f>
        <v>85</v>
      </c>
      <c r="D12" s="73">
        <f>IFERROR(Parâmetros!$C$4-_xlfn.MINIFS(Cadastro_Animais!$F$3:$F$5001,Cadastro_Animais!$E$3:$E$5001,B12),"")</f>
        <v>14</v>
      </c>
      <c r="E12" s="35">
        <f>IFERROR(INDEX(Calculadora_Trato!$G$8:$G$17,MATCH(B12,Calculadora_Trato!$B$8:$B$17,0)),0)</f>
        <v>1560</v>
      </c>
      <c r="F12" s="63">
        <f>Parâmetros!$C$6</f>
        <v>0.82269999999999999</v>
      </c>
      <c r="G12" s="26">
        <f t="shared" si="0"/>
        <v>1283.412</v>
      </c>
      <c r="H12" s="74">
        <f t="shared" si="1"/>
        <v>15.098964705882354</v>
      </c>
      <c r="I12" s="26">
        <f t="shared" si="2"/>
        <v>17967.768</v>
      </c>
      <c r="J12" s="26">
        <f>SUMIFS(Trato_Diario!$J$4:$J$300,Trato_Diario!$B$4:$B$300,B12)</f>
        <v>21096.947179999999</v>
      </c>
      <c r="K12" s="26">
        <f t="shared" si="3"/>
        <v>211.38550588235293</v>
      </c>
      <c r="L12" s="37">
        <f>SUMIFS(Cadastro_Animais!$N$3:$N$5001,Cadastro_Animais!$E$3:$E$5001,B12)</f>
        <v>0</v>
      </c>
      <c r="M12" s="26" t="str">
        <f t="shared" si="4"/>
        <v/>
      </c>
    </row>
    <row r="13" spans="2:13" ht="15" customHeight="1" x14ac:dyDescent="0.3">
      <c r="B13" s="64">
        <v>8</v>
      </c>
      <c r="C13" s="64">
        <f>IFERROR(INDEX(Currais!$C:$C,MATCH(B13,Currais!$A:$A,0)),0)</f>
        <v>68</v>
      </c>
      <c r="D13" s="75">
        <f>IFERROR(Parâmetros!$C$4-_xlfn.MINIFS(Cadastro_Animais!$F$3:$F$5001,Cadastro_Animais!$E$3:$E$5001,B13),"")</f>
        <v>13</v>
      </c>
      <c r="E13" s="40">
        <f>IFERROR(INDEX(Calculadora_Trato!$G$8:$G$17,MATCH(B13,Calculadora_Trato!$B$8:$B$17,0)),0)</f>
        <v>1247</v>
      </c>
      <c r="F13" s="46">
        <f>Parâmetros!$C$6</f>
        <v>0.82269999999999999</v>
      </c>
      <c r="G13" s="28">
        <f t="shared" si="0"/>
        <v>1025.9069</v>
      </c>
      <c r="H13" s="76">
        <f t="shared" si="1"/>
        <v>15.086866176470588</v>
      </c>
      <c r="I13" s="28">
        <f t="shared" si="2"/>
        <v>13336.789699999999</v>
      </c>
      <c r="J13" s="28">
        <f>SUMIFS(Trato_Diario!$J$4:$J$300,Trato_Diario!$B$4:$B$300,B13)</f>
        <v>15532.267179999999</v>
      </c>
      <c r="K13" s="28">
        <f t="shared" si="3"/>
        <v>196.12926029411764</v>
      </c>
      <c r="L13" s="42">
        <f>SUMIFS(Cadastro_Animais!$N$3:$N$5001,Cadastro_Animais!$E$3:$E$5001,B13)</f>
        <v>0</v>
      </c>
      <c r="M13" s="28" t="str">
        <f t="shared" si="4"/>
        <v/>
      </c>
    </row>
    <row r="14" spans="2:13" ht="15" customHeight="1" x14ac:dyDescent="0.3">
      <c r="B14" s="60">
        <v>9</v>
      </c>
      <c r="C14" s="60">
        <f>IFERROR(INDEX(Currais!$C:$C,MATCH(B14,Currais!$A:$A,0)),0)</f>
        <v>14</v>
      </c>
      <c r="D14" s="73">
        <f>IFERROR(Parâmetros!$C$4-_xlfn.MINIFS(Cadastro_Animais!$F$3:$F$5001,Cadastro_Animais!$E$3:$E$5001,B14),"")</f>
        <v>13</v>
      </c>
      <c r="E14" s="35">
        <f>IFERROR(INDEX(Calculadora_Trato!$G$8:$G$17,MATCH(B14,Calculadora_Trato!$B$8:$B$17,0)),0)</f>
        <v>211</v>
      </c>
      <c r="F14" s="63">
        <f>Parâmetros!$C$6</f>
        <v>0.82269999999999999</v>
      </c>
      <c r="G14" s="26">
        <f t="shared" si="0"/>
        <v>173.58969999999999</v>
      </c>
      <c r="H14" s="74">
        <f t="shared" si="1"/>
        <v>12.399264285714285</v>
      </c>
      <c r="I14" s="26">
        <f t="shared" si="2"/>
        <v>2256.6660999999999</v>
      </c>
      <c r="J14" s="26">
        <f>SUMIFS(Trato_Diario!$J$4:$J$300,Trato_Diario!$B$4:$B$300,B14)</f>
        <v>2706.7900800000002</v>
      </c>
      <c r="K14" s="26">
        <f t="shared" si="3"/>
        <v>161.19043571428571</v>
      </c>
      <c r="L14" s="37">
        <f>SUMIFS(Cadastro_Animais!$N$3:$N$5001,Cadastro_Animais!$E$3:$E$5001,B14)</f>
        <v>0</v>
      </c>
      <c r="M14" s="26" t="str">
        <f t="shared" si="4"/>
        <v/>
      </c>
    </row>
    <row r="15" spans="2:13" ht="15" customHeight="1" x14ac:dyDescent="0.3">
      <c r="B15" s="64">
        <v>10</v>
      </c>
      <c r="C15" s="64">
        <f>IFERROR(INDEX(Currais!$C:$C,MATCH(B15,Currais!$A:$A,0)),0)</f>
        <v>33</v>
      </c>
      <c r="D15" s="75">
        <f>IFERROR(Parâmetros!$C$4-_xlfn.MINIFS(Cadastro_Animais!$F$3:$F$5001,Cadastro_Animais!$E$3:$E$5001,B15),"")</f>
        <v>11</v>
      </c>
      <c r="E15" s="40">
        <f>IFERROR(INDEX(Calculadora_Trato!$G$8:$G$17,MATCH(B15,Calculadora_Trato!$B$8:$B$17,0)),0)</f>
        <v>555</v>
      </c>
      <c r="F15" s="46">
        <f>Parâmetros!$C$6</f>
        <v>0.82269999999999999</v>
      </c>
      <c r="G15" s="28">
        <f t="shared" si="0"/>
        <v>456.5985</v>
      </c>
      <c r="H15" s="76">
        <f t="shared" si="1"/>
        <v>13.836318181818182</v>
      </c>
      <c r="I15" s="28">
        <f t="shared" si="2"/>
        <v>5022.5834999999997</v>
      </c>
      <c r="J15" s="28">
        <f>SUMIFS(Trato_Diario!$J$4:$J$300,Trato_Diario!$B$4:$B$300,B15)</f>
        <v>6551.8891799999983</v>
      </c>
      <c r="K15" s="28">
        <f t="shared" si="3"/>
        <v>152.1995</v>
      </c>
      <c r="L15" s="42">
        <f>SUMIFS(Cadastro_Animais!$N$3:$N$5001,Cadastro_Animais!$E$3:$E$5001,B15)</f>
        <v>0</v>
      </c>
      <c r="M15" s="28" t="str">
        <f t="shared" si="4"/>
        <v/>
      </c>
    </row>
    <row r="16" spans="2:13" ht="15" customHeight="1" x14ac:dyDescent="0.3">
      <c r="B16" s="66" t="s">
        <v>113</v>
      </c>
      <c r="C16" s="67">
        <f>SUM(C6:C15)</f>
        <v>646</v>
      </c>
      <c r="D16" s="77"/>
      <c r="E16" s="77"/>
      <c r="F16" s="48"/>
      <c r="G16" s="70">
        <f>SUM(G6:G15)</f>
        <v>9707.86</v>
      </c>
      <c r="H16" s="70">
        <f t="shared" si="1"/>
        <v>15.027647058823531</v>
      </c>
      <c r="I16" s="70">
        <f>SUM(I6:I15)</f>
        <v>153111.05160000001</v>
      </c>
      <c r="J16" s="70">
        <f>SUM(J6:J15)</f>
        <v>166976.79303</v>
      </c>
      <c r="K16" s="70">
        <f t="shared" si="3"/>
        <v>237.01401176470588</v>
      </c>
      <c r="L16" s="78">
        <f>SUM(L6:L15)</f>
        <v>0</v>
      </c>
      <c r="M16" s="70" t="str">
        <f t="shared" si="4"/>
        <v/>
      </c>
    </row>
  </sheetData>
  <mergeCells count="2">
    <mergeCell ref="B2:L2"/>
    <mergeCell ref="B3:L3"/>
  </mergeCells>
  <pageMargins left="0.75" right="0.75" top="1" bottom="1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90"/>
  <sheetViews>
    <sheetView showGridLines="0"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ColWidth="8.6640625" defaultRowHeight="14.4" x14ac:dyDescent="0.3"/>
  <cols>
    <col min="1" max="1" width="33.88671875" customWidth="1"/>
    <col min="2" max="11" width="11" customWidth="1"/>
    <col min="12" max="12" width="15" customWidth="1"/>
  </cols>
  <sheetData>
    <row r="1" spans="1:12" ht="24" customHeight="1" x14ac:dyDescent="0.3">
      <c r="A1" s="7" t="s">
        <v>136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3.75" customHeight="1" x14ac:dyDescent="0.3">
      <c r="A2" s="6" t="s">
        <v>137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ht="21.75" customHeight="1" x14ac:dyDescent="0.3">
      <c r="A4" s="48"/>
      <c r="B4" s="55" t="s">
        <v>138</v>
      </c>
      <c r="C4" s="55" t="s">
        <v>139</v>
      </c>
      <c r="D4" s="55" t="s">
        <v>140</v>
      </c>
      <c r="E4" s="55" t="s">
        <v>141</v>
      </c>
      <c r="F4" s="55" t="s">
        <v>142</v>
      </c>
      <c r="G4" s="55" t="s">
        <v>143</v>
      </c>
      <c r="H4" s="55" t="s">
        <v>144</v>
      </c>
      <c r="I4" s="55" t="s">
        <v>145</v>
      </c>
      <c r="J4" s="55" t="s">
        <v>146</v>
      </c>
      <c r="K4" s="55" t="s">
        <v>147</v>
      </c>
      <c r="L4" s="55" t="s">
        <v>148</v>
      </c>
    </row>
    <row r="5" spans="1:12" ht="14.25" customHeight="1" x14ac:dyDescent="0.3">
      <c r="A5" s="79" t="s">
        <v>149</v>
      </c>
      <c r="B5" s="80">
        <f>IFERROR(INDEX(Currais!$C$3:$C$12,MATCH(1,Currais!$A$3:$A$12,0)),0)</f>
        <v>76</v>
      </c>
      <c r="C5" s="80">
        <f>IFERROR(INDEX(Currais!$C$3:$C$12,MATCH(2,Currais!$A$3:$A$12,0)),0)</f>
        <v>22</v>
      </c>
      <c r="D5" s="80">
        <f>IFERROR(INDEX(Currais!$C$3:$C$12,MATCH(3,Currais!$A$3:$A$12,0)),0)</f>
        <v>85</v>
      </c>
      <c r="E5" s="80">
        <f>IFERROR(INDEX(Currais!$C$3:$C$12,MATCH(4,Currais!$A$3:$A$12,0)),0)</f>
        <v>90</v>
      </c>
      <c r="F5" s="80">
        <f>IFERROR(INDEX(Currais!$C$3:$C$12,MATCH(5,Currais!$A$3:$A$12,0)),0)</f>
        <v>88</v>
      </c>
      <c r="G5" s="80">
        <f>IFERROR(INDEX(Currais!$C$3:$C$12,MATCH(6,Currais!$A$3:$A$12,0)),0)</f>
        <v>85</v>
      </c>
      <c r="H5" s="80">
        <f>IFERROR(INDEX(Currais!$C$3:$C$12,MATCH(7,Currais!$A$3:$A$12,0)),0)</f>
        <v>85</v>
      </c>
      <c r="I5" s="80">
        <f>IFERROR(INDEX(Currais!$C$3:$C$12,MATCH(8,Currais!$A$3:$A$12,0)),0)</f>
        <v>68</v>
      </c>
      <c r="J5" s="80">
        <f>IFERROR(INDEX(Currais!$C$3:$C$12,MATCH(9,Currais!$A$3:$A$12,0)),0)</f>
        <v>14</v>
      </c>
      <c r="K5" s="80">
        <f>IFERROR(INDEX(Currais!$C$3:$C$12,MATCH(10,Currais!$A$3:$A$12,0)),0)</f>
        <v>33</v>
      </c>
      <c r="L5" s="81">
        <f>SUM(B5:K5)</f>
        <v>646</v>
      </c>
    </row>
    <row r="6" spans="1:12" ht="14.25" customHeight="1" x14ac:dyDescent="0.3">
      <c r="A6" s="79" t="s">
        <v>150</v>
      </c>
      <c r="B6" s="80">
        <f>COUNTIFS(Trato_Diario!$B$4:$B$300,1,Trato_Diario!$F$4:$F$300,"&lt;&gt;")</f>
        <v>24</v>
      </c>
      <c r="C6" s="80">
        <f>COUNTIFS(Trato_Diario!$B$4:$B$300,2,Trato_Diario!$F$4:$F$300,"&lt;&gt;")</f>
        <v>24</v>
      </c>
      <c r="D6" s="80">
        <f>COUNTIFS(Trato_Diario!$B$4:$B$300,3,Trato_Diario!$F$4:$F$300,"&lt;&gt;")</f>
        <v>24</v>
      </c>
      <c r="E6" s="80">
        <f>COUNTIFS(Trato_Diario!$B$4:$B$300,4,Trato_Diario!$F$4:$F$300,"&lt;&gt;")</f>
        <v>23</v>
      </c>
      <c r="F6" s="80">
        <f>COUNTIFS(Trato_Diario!$B$4:$B$300,5,Trato_Diario!$F$4:$F$300,"&lt;&gt;")</f>
        <v>23</v>
      </c>
      <c r="G6" s="80">
        <f>COUNTIFS(Trato_Diario!$B$4:$B$300,6,Trato_Diario!$F$4:$F$300,"&lt;&gt;")</f>
        <v>20</v>
      </c>
      <c r="H6" s="80">
        <f>COUNTIFS(Trato_Diario!$B$4:$B$300,7,Trato_Diario!$F$4:$F$300,"&lt;&gt;")</f>
        <v>20</v>
      </c>
      <c r="I6" s="80">
        <f>COUNTIFS(Trato_Diario!$B$4:$B$300,8,Trato_Diario!$F$4:$F$300,"&lt;&gt;")</f>
        <v>19</v>
      </c>
      <c r="J6" s="80">
        <f>COUNTIFS(Trato_Diario!$B$4:$B$300,9,Trato_Diario!$F$4:$F$300,"&lt;&gt;")</f>
        <v>19</v>
      </c>
      <c r="K6" s="80">
        <f>COUNTIFS(Trato_Diario!$B$4:$B$300,10,Trato_Diario!$F$4:$F$300,"&lt;&gt;")</f>
        <v>17</v>
      </c>
      <c r="L6" s="82"/>
    </row>
    <row r="7" spans="1:12" ht="14.25" customHeight="1" x14ac:dyDescent="0.3">
      <c r="A7" s="83" t="s">
        <v>151</v>
      </c>
      <c r="B7" s="84">
        <f>IFERROR(SUMIFS(Trato_Diario!$J$4:$J$300,Trato_Diario!$B$4:$B$300,1)/SUMIFS(Trato_Diario!$G$4:$G$300,Trato_Diario!$B$4:$B$300,1),"")</f>
        <v>13.304840570175434</v>
      </c>
      <c r="C7" s="84">
        <f>IFERROR(SUMIFS(Trato_Diario!$J$4:$J$300,Trato_Diario!$B$4:$B$300,2)/SUMIFS(Trato_Diario!$G$4:$G$300,Trato_Diario!$B$4:$B$300,2),"")</f>
        <v>14.600055492424248</v>
      </c>
      <c r="D7" s="84">
        <f>IFERROR(SUMIFS(Trato_Diario!$J$4:$J$300,Trato_Diario!$B$4:$B$300,3)/SUMIFS(Trato_Diario!$G$4:$G$300,Trato_Diario!$B$4:$B$300,3),"")</f>
        <v>12.052184877450976</v>
      </c>
      <c r="E7" s="84">
        <f>IFERROR(SUMIFS(Trato_Diario!$J$4:$J$300,Trato_Diario!$B$4:$B$300,4)/SUMIFS(Trato_Diario!$G$4:$G$300,Trato_Diario!$B$4:$B$300,4),"")</f>
        <v>11.284470956521744</v>
      </c>
      <c r="F7" s="84">
        <f>IFERROR(SUMIFS(Trato_Diario!$J$4:$J$300,Trato_Diario!$B$4:$B$300,5)/SUMIFS(Trato_Diario!$G$4:$G$300,Trato_Diario!$B$4:$B$300,5),"")</f>
        <v>10.652811116600791</v>
      </c>
      <c r="G7" s="84">
        <f>IFERROR(SUMIFS(Trato_Diario!$J$4:$J$300,Trato_Diario!$B$4:$B$300,6)/SUMIFS(Trato_Diario!$G$4:$G$300,Trato_Diario!$B$4:$B$300,6),"")</f>
        <v>11.532611282352946</v>
      </c>
      <c r="H7" s="84">
        <f>IFERROR(SUMIFS(Trato_Diario!$J$4:$J$300,Trato_Diario!$B$4:$B$300,7)/SUMIFS(Trato_Diario!$G$4:$G$300,Trato_Diario!$B$4:$B$300,7),"")</f>
        <v>12.409968929411765</v>
      </c>
      <c r="I7" s="84">
        <f>IFERROR(SUMIFS(Trato_Diario!$J$4:$J$300,Trato_Diario!$B$4:$B$300,8)/SUMIFS(Trato_Diario!$G$4:$G$300,Trato_Diario!$B$4:$B$300,8),"")</f>
        <v>12.021878622291021</v>
      </c>
      <c r="J7" s="84">
        <f>IFERROR(SUMIFS(Trato_Diario!$J$4:$J$300,Trato_Diario!$B$4:$B$300,9)/SUMIFS(Trato_Diario!$G$4:$G$300,Trato_Diario!$B$4:$B$300,9),"")</f>
        <v>10.175902556390978</v>
      </c>
      <c r="K7" s="84">
        <f>IFERROR(SUMIFS(Trato_Diario!$J$4:$J$300,Trato_Diario!$B$4:$B$300,10)/SUMIFS(Trato_Diario!$G$4:$G$300,Trato_Diario!$B$4:$B$300,10),"")</f>
        <v>11.678946844919784</v>
      </c>
      <c r="L7" s="84">
        <f>IFERROR(SUM(Trato_Diario!$J$4:$J$300)/SUM(Trato_Diario!$G$4:$G$300),"")</f>
        <v>11.922655696536951</v>
      </c>
    </row>
    <row r="9" spans="1:12" ht="14.25" customHeight="1" x14ac:dyDescent="0.3">
      <c r="A9" s="5" t="s">
        <v>152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4.25" customHeight="1" x14ac:dyDescent="0.3">
      <c r="A10" s="55" t="s">
        <v>45</v>
      </c>
      <c r="B10" s="55" t="s">
        <v>138</v>
      </c>
      <c r="C10" s="55" t="s">
        <v>139</v>
      </c>
      <c r="D10" s="55" t="s">
        <v>140</v>
      </c>
      <c r="E10" s="55" t="s">
        <v>141</v>
      </c>
      <c r="F10" s="55" t="s">
        <v>142</v>
      </c>
      <c r="G10" s="55" t="s">
        <v>143</v>
      </c>
      <c r="H10" s="55" t="s">
        <v>144</v>
      </c>
      <c r="I10" s="55" t="s">
        <v>145</v>
      </c>
      <c r="J10" s="55" t="s">
        <v>146</v>
      </c>
      <c r="K10" s="55" t="s">
        <v>147</v>
      </c>
      <c r="L10" s="55" t="s">
        <v>148</v>
      </c>
    </row>
    <row r="11" spans="1:12" ht="14.25" customHeight="1" x14ac:dyDescent="0.3">
      <c r="A11" s="85">
        <v>46220</v>
      </c>
      <c r="B11" s="26">
        <f>IF(OR($A11&gt;MAX(Trato_Diario!$A$4:$A$300),SUMIFS(Trato_Diario!$G$4:$G$300,Trato_Diario!$B$4:$B$300,1,Trato_Diario!$A$4:$A$300,$A11)=0),"",SUMIFS(Trato_Diario!$J$4:$J$300,Trato_Diario!$B$4:$B$300,1,Trato_Diario!$A$4:$A$300,$A11)/SUMIFS(Trato_Diario!$G$4:$G$300,Trato_Diario!$B$4:$B$300,1,Trato_Diario!$A$4:$A$300,$A11))</f>
        <v>11.495177631578947</v>
      </c>
      <c r="C11" s="26">
        <f>IF(OR($A11&gt;MAX(Trato_Diario!$A$4:$A$300),SUMIFS(Trato_Diario!$G$4:$G$300,Trato_Diario!$B$4:$B$300,2,Trato_Diario!$A$4:$A$300,$A11)=0),"",SUMIFS(Trato_Diario!$J$4:$J$300,Trato_Diario!$B$4:$B$300,2,Trato_Diario!$A$4:$A$300,$A11)/SUMIFS(Trato_Diario!$G$4:$G$300,Trato_Diario!$B$4:$B$300,2,Trato_Diario!$A$4:$A$300,$A11))</f>
        <v>12.714386363636367</v>
      </c>
      <c r="D11" s="26">
        <f>IF(OR($A11&gt;MAX(Trato_Diario!$A$4:$A$300),SUMIFS(Trato_Diario!$G$4:$G$300,Trato_Diario!$B$4:$B$300,3,Trato_Diario!$A$4:$A$300,$A11)=0),"",SUMIFS(Trato_Diario!$J$4:$J$300,Trato_Diario!$B$4:$B$300,3,Trato_Diario!$A$4:$A$300,$A11)/SUMIFS(Trato_Diario!$G$4:$G$300,Trato_Diario!$B$4:$B$300,3,Trato_Diario!$A$4:$A$300,$A11))</f>
        <v>10.414414705882352</v>
      </c>
      <c r="E11" s="26" t="str">
        <f>IF(OR($A11&gt;MAX(Trato_Diario!$A$4:$A$300),SUMIFS(Trato_Diario!$G$4:$G$300,Trato_Diario!$B$4:$B$300,4,Trato_Diario!$A$4:$A$300,$A11)=0),"",SUMIFS(Trato_Diario!$J$4:$J$300,Trato_Diario!$B$4:$B$300,4,Trato_Diario!$A$4:$A$300,$A11)/SUMIFS(Trato_Diario!$G$4:$G$300,Trato_Diario!$B$4:$B$300,4,Trato_Diario!$A$4:$A$300,$A11))</f>
        <v/>
      </c>
      <c r="F11" s="26" t="str">
        <f>IF(OR($A11&gt;MAX(Trato_Diario!$A$4:$A$300),SUMIFS(Trato_Diario!$G$4:$G$300,Trato_Diario!$B$4:$B$300,5,Trato_Diario!$A$4:$A$300,$A11)=0),"",SUMIFS(Trato_Diario!$J$4:$J$300,Trato_Diario!$B$4:$B$300,5,Trato_Diario!$A$4:$A$300,$A11)/SUMIFS(Trato_Diario!$G$4:$G$300,Trato_Diario!$B$4:$B$300,5,Trato_Diario!$A$4:$A$300,$A11))</f>
        <v/>
      </c>
      <c r="G11" s="26" t="str">
        <f>IF(OR($A11&gt;MAX(Trato_Diario!$A$4:$A$300),SUMIFS(Trato_Diario!$G$4:$G$300,Trato_Diario!$B$4:$B$300,6,Trato_Diario!$A$4:$A$300,$A11)=0),"",SUMIFS(Trato_Diario!$J$4:$J$300,Trato_Diario!$B$4:$B$300,6,Trato_Diario!$A$4:$A$300,$A11)/SUMIFS(Trato_Diario!$G$4:$G$300,Trato_Diario!$B$4:$B$300,6,Trato_Diario!$A$4:$A$300,$A11))</f>
        <v/>
      </c>
      <c r="H11" s="26" t="str">
        <f>IF(OR($A11&gt;MAX(Trato_Diario!$A$4:$A$300),SUMIFS(Trato_Diario!$G$4:$G$300,Trato_Diario!$B$4:$B$300,7,Trato_Diario!$A$4:$A$300,$A11)=0),"",SUMIFS(Trato_Diario!$J$4:$J$300,Trato_Diario!$B$4:$B$300,7,Trato_Diario!$A$4:$A$300,$A11)/SUMIFS(Trato_Diario!$G$4:$G$300,Trato_Diario!$B$4:$B$300,7,Trato_Diario!$A$4:$A$300,$A11))</f>
        <v/>
      </c>
      <c r="I11" s="26" t="str">
        <f>IF(OR($A11&gt;MAX(Trato_Diario!$A$4:$A$300),SUMIFS(Trato_Diario!$G$4:$G$300,Trato_Diario!$B$4:$B$300,8,Trato_Diario!$A$4:$A$300,$A11)=0),"",SUMIFS(Trato_Diario!$J$4:$J$300,Trato_Diario!$B$4:$B$300,8,Trato_Diario!$A$4:$A$300,$A11)/SUMIFS(Trato_Diario!$G$4:$G$300,Trato_Diario!$B$4:$B$300,8,Trato_Diario!$A$4:$A$300,$A11))</f>
        <v/>
      </c>
      <c r="J11" s="26" t="str">
        <f>IF(OR($A11&gt;MAX(Trato_Diario!$A$4:$A$300),SUMIFS(Trato_Diario!$G$4:$G$300,Trato_Diario!$B$4:$B$300,9,Trato_Diario!$A$4:$A$300,$A11)=0),"",SUMIFS(Trato_Diario!$J$4:$J$300,Trato_Diario!$B$4:$B$300,9,Trato_Diario!$A$4:$A$300,$A11)/SUMIFS(Trato_Diario!$G$4:$G$300,Trato_Diario!$B$4:$B$300,9,Trato_Diario!$A$4:$A$300,$A11))</f>
        <v/>
      </c>
      <c r="K11" s="26" t="str">
        <f>IF(OR($A11&gt;MAX(Trato_Diario!$A$4:$A$300),SUMIFS(Trato_Diario!$G$4:$G$300,Trato_Diario!$B$4:$B$300,10,Trato_Diario!$A$4:$A$300,$A11)=0),"",SUMIFS(Trato_Diario!$J$4:$J$300,Trato_Diario!$B$4:$B$300,10,Trato_Diario!$A$4:$A$300,$A11)/SUMIFS(Trato_Diario!$G$4:$G$300,Trato_Diario!$B$4:$B$300,10,Trato_Diario!$A$4:$A$300,$A11))</f>
        <v/>
      </c>
      <c r="L11" s="74">
        <f>IF(OR($A11&gt;MAX(Trato_Diario!$A$4:$A$300),SUMIFS(Trato_Diario!$G$4:$G$300,Trato_Diario!$A$4:$A$300,$A11)=0),"",SUMIFS(Trato_Diario!$J$4:$J$300,Trato_Diario!$A$4:$A$300,$A11)/SUMIFS(Trato_Diario!$G$4:$G$300,Trato_Diario!$A$4:$A$300,$A11))</f>
        <v>11.139755464480874</v>
      </c>
    </row>
    <row r="12" spans="1:12" ht="14.25" customHeight="1" x14ac:dyDescent="0.3">
      <c r="A12" s="86">
        <v>46221</v>
      </c>
      <c r="B12" s="28">
        <f>IF(OR($A12&gt;MAX(Trato_Diario!$A$4:$A$300),SUMIFS(Trato_Diario!$G$4:$G$300,Trato_Diario!$B$4:$B$300,1,Trato_Diario!$A$4:$A$300,$A12)=0),"",SUMIFS(Trato_Diario!$J$4:$J$300,Trato_Diario!$B$4:$B$300,1,Trato_Diario!$A$4:$A$300,$A12)/SUMIFS(Trato_Diario!$G$4:$G$300,Trato_Diario!$B$4:$B$300,1,Trato_Diario!$A$4:$A$300,$A12))</f>
        <v>11.495177631578947</v>
      </c>
      <c r="C12" s="28">
        <f>IF(OR($A12&gt;MAX(Trato_Diario!$A$4:$A$300),SUMIFS(Trato_Diario!$G$4:$G$300,Trato_Diario!$B$4:$B$300,2,Trato_Diario!$A$4:$A$300,$A12)=0),"",SUMIFS(Trato_Diario!$J$4:$J$300,Trato_Diario!$B$4:$B$300,2,Trato_Diario!$A$4:$A$300,$A12)/SUMIFS(Trato_Diario!$G$4:$G$300,Trato_Diario!$B$4:$B$300,2,Trato_Diario!$A$4:$A$300,$A12))</f>
        <v>12.714386363636367</v>
      </c>
      <c r="D12" s="28">
        <f>IF(OR($A12&gt;MAX(Trato_Diario!$A$4:$A$300),SUMIFS(Trato_Diario!$G$4:$G$300,Trato_Diario!$B$4:$B$300,3,Trato_Diario!$A$4:$A$300,$A12)=0),"",SUMIFS(Trato_Diario!$J$4:$J$300,Trato_Diario!$B$4:$B$300,3,Trato_Diario!$A$4:$A$300,$A12)/SUMIFS(Trato_Diario!$G$4:$G$300,Trato_Diario!$B$4:$B$300,3,Trato_Diario!$A$4:$A$300,$A12))</f>
        <v>10.414414705882352</v>
      </c>
      <c r="E12" s="28">
        <f>IF(OR($A12&gt;MAX(Trato_Diario!$A$4:$A$300),SUMIFS(Trato_Diario!$G$4:$G$300,Trato_Diario!$B$4:$B$300,4,Trato_Diario!$A$4:$A$300,$A12)=0),"",SUMIFS(Trato_Diario!$J$4:$J$300,Trato_Diario!$B$4:$B$300,4,Trato_Diario!$A$4:$A$300,$A12)/SUMIFS(Trato_Diario!$G$4:$G$300,Trato_Diario!$B$4:$B$300,4,Trato_Diario!$A$4:$A$300,$A12))</f>
        <v>9.6921527777777783</v>
      </c>
      <c r="F12" s="28">
        <f>IF(OR($A12&gt;MAX(Trato_Diario!$A$4:$A$300),SUMIFS(Trato_Diario!$G$4:$G$300,Trato_Diario!$B$4:$B$300,5,Trato_Diario!$A$4:$A$300,$A12)=0),"",SUMIFS(Trato_Diario!$J$4:$J$300,Trato_Diario!$B$4:$B$300,5,Trato_Diario!$A$4:$A$300,$A12)/SUMIFS(Trato_Diario!$G$4:$G$300,Trato_Diario!$B$4:$B$300,5,Trato_Diario!$A$4:$A$300,$A12))</f>
        <v>9.1445880681818181</v>
      </c>
      <c r="G12" s="28" t="str">
        <f>IF(OR($A12&gt;MAX(Trato_Diario!$A$4:$A$300),SUMIFS(Trato_Diario!$G$4:$G$300,Trato_Diario!$B$4:$B$300,6,Trato_Diario!$A$4:$A$300,$A12)=0),"",SUMIFS(Trato_Diario!$J$4:$J$300,Trato_Diario!$B$4:$B$300,6,Trato_Diario!$A$4:$A$300,$A12)/SUMIFS(Trato_Diario!$G$4:$G$300,Trato_Diario!$B$4:$B$300,6,Trato_Diario!$A$4:$A$300,$A12))</f>
        <v/>
      </c>
      <c r="H12" s="28" t="str">
        <f>IF(OR($A12&gt;MAX(Trato_Diario!$A$4:$A$300),SUMIFS(Trato_Diario!$G$4:$G$300,Trato_Diario!$B$4:$B$300,7,Trato_Diario!$A$4:$A$300,$A12)=0),"",SUMIFS(Trato_Diario!$J$4:$J$300,Trato_Diario!$B$4:$B$300,7,Trato_Diario!$A$4:$A$300,$A12)/SUMIFS(Trato_Diario!$G$4:$G$300,Trato_Diario!$B$4:$B$300,7,Trato_Diario!$A$4:$A$300,$A12))</f>
        <v/>
      </c>
      <c r="I12" s="28" t="str">
        <f>IF(OR($A12&gt;MAX(Trato_Diario!$A$4:$A$300),SUMIFS(Trato_Diario!$G$4:$G$300,Trato_Diario!$B$4:$B$300,8,Trato_Diario!$A$4:$A$300,$A12)=0),"",SUMIFS(Trato_Diario!$J$4:$J$300,Trato_Diario!$B$4:$B$300,8,Trato_Diario!$A$4:$A$300,$A12)/SUMIFS(Trato_Diario!$G$4:$G$300,Trato_Diario!$B$4:$B$300,8,Trato_Diario!$A$4:$A$300,$A12))</f>
        <v/>
      </c>
      <c r="J12" s="28" t="str">
        <f>IF(OR($A12&gt;MAX(Trato_Diario!$A$4:$A$300),SUMIFS(Trato_Diario!$G$4:$G$300,Trato_Diario!$B$4:$B$300,9,Trato_Diario!$A$4:$A$300,$A12)=0),"",SUMIFS(Trato_Diario!$J$4:$J$300,Trato_Diario!$B$4:$B$300,9,Trato_Diario!$A$4:$A$300,$A12)/SUMIFS(Trato_Diario!$G$4:$G$300,Trato_Diario!$B$4:$B$300,9,Trato_Diario!$A$4:$A$300,$A12))</f>
        <v/>
      </c>
      <c r="K12" s="28" t="str">
        <f>IF(OR($A12&gt;MAX(Trato_Diario!$A$4:$A$300),SUMIFS(Trato_Diario!$G$4:$G$300,Trato_Diario!$B$4:$B$300,10,Trato_Diario!$A$4:$A$300,$A12)=0),"",SUMIFS(Trato_Diario!$J$4:$J$300,Trato_Diario!$B$4:$B$300,10,Trato_Diario!$A$4:$A$300,$A12)/SUMIFS(Trato_Diario!$G$4:$G$300,Trato_Diario!$B$4:$B$300,10,Trato_Diario!$A$4:$A$300,$A12))</f>
        <v/>
      </c>
      <c r="L12" s="76">
        <f>IF(OR($A12&gt;MAX(Trato_Diario!$A$4:$A$300),SUMIFS(Trato_Diario!$G$4:$G$300,Trato_Diario!$A$4:$A$300,$A12)=0),"",SUMIFS(Trato_Diario!$J$4:$J$300,Trato_Diario!$A$4:$A$300,$A12)/SUMIFS(Trato_Diario!$G$4:$G$300,Trato_Diario!$A$4:$A$300,$A12))</f>
        <v>10.292500692520777</v>
      </c>
    </row>
    <row r="13" spans="1:12" ht="14.25" customHeight="1" x14ac:dyDescent="0.3">
      <c r="A13" s="85">
        <v>46222</v>
      </c>
      <c r="B13" s="26">
        <f>IF(OR($A13&gt;MAX(Trato_Diario!$A$4:$A$300),SUMIFS(Trato_Diario!$G$4:$G$300,Trato_Diario!$B$4:$B$300,1,Trato_Diario!$A$4:$A$300,$A13)=0),"",SUMIFS(Trato_Diario!$J$4:$J$300,Trato_Diario!$B$4:$B$300,1,Trato_Diario!$A$4:$A$300,$A13)/SUMIFS(Trato_Diario!$G$4:$G$300,Trato_Diario!$B$4:$B$300,1,Trato_Diario!$A$4:$A$300,$A13))</f>
        <v>11.495177631578947</v>
      </c>
      <c r="C13" s="26">
        <f>IF(OR($A13&gt;MAX(Trato_Diario!$A$4:$A$300),SUMIFS(Trato_Diario!$G$4:$G$300,Trato_Diario!$B$4:$B$300,2,Trato_Diario!$A$4:$A$300,$A13)=0),"",SUMIFS(Trato_Diario!$J$4:$J$300,Trato_Diario!$B$4:$B$300,2,Trato_Diario!$A$4:$A$300,$A13)/SUMIFS(Trato_Diario!$G$4:$G$300,Trato_Diario!$B$4:$B$300,2,Trato_Diario!$A$4:$A$300,$A13))</f>
        <v>12.714386363636367</v>
      </c>
      <c r="D13" s="26">
        <f>IF(OR($A13&gt;MAX(Trato_Diario!$A$4:$A$300),SUMIFS(Trato_Diario!$G$4:$G$300,Trato_Diario!$B$4:$B$300,3,Trato_Diario!$A$4:$A$300,$A13)=0),"",SUMIFS(Trato_Diario!$J$4:$J$300,Trato_Diario!$B$4:$B$300,3,Trato_Diario!$A$4:$A$300,$A13)/SUMIFS(Trato_Diario!$G$4:$G$300,Trato_Diario!$B$4:$B$300,3,Trato_Diario!$A$4:$A$300,$A13))</f>
        <v>10.414414705882352</v>
      </c>
      <c r="E13" s="26">
        <f>IF(OR($A13&gt;MAX(Trato_Diario!$A$4:$A$300),SUMIFS(Trato_Diario!$G$4:$G$300,Trato_Diario!$B$4:$B$300,4,Trato_Diario!$A$4:$A$300,$A13)=0),"",SUMIFS(Trato_Diario!$J$4:$J$300,Trato_Diario!$B$4:$B$300,4,Trato_Diario!$A$4:$A$300,$A13)/SUMIFS(Trato_Diario!$G$4:$G$300,Trato_Diario!$B$4:$B$300,4,Trato_Diario!$A$4:$A$300,$A13))</f>
        <v>9.6921527777777783</v>
      </c>
      <c r="F13" s="26">
        <f>IF(OR($A13&gt;MAX(Trato_Diario!$A$4:$A$300),SUMIFS(Trato_Diario!$G$4:$G$300,Trato_Diario!$B$4:$B$300,5,Trato_Diario!$A$4:$A$300,$A13)=0),"",SUMIFS(Trato_Diario!$J$4:$J$300,Trato_Diario!$B$4:$B$300,5,Trato_Diario!$A$4:$A$300,$A13)/SUMIFS(Trato_Diario!$G$4:$G$300,Trato_Diario!$B$4:$B$300,5,Trato_Diario!$A$4:$A$300,$A13))</f>
        <v>9.1445880681818181</v>
      </c>
      <c r="G13" s="26" t="str">
        <f>IF(OR($A13&gt;MAX(Trato_Diario!$A$4:$A$300),SUMIFS(Trato_Diario!$G$4:$G$300,Trato_Diario!$B$4:$B$300,6,Trato_Diario!$A$4:$A$300,$A13)=0),"",SUMIFS(Trato_Diario!$J$4:$J$300,Trato_Diario!$B$4:$B$300,6,Trato_Diario!$A$4:$A$300,$A13)/SUMIFS(Trato_Diario!$G$4:$G$300,Trato_Diario!$B$4:$B$300,6,Trato_Diario!$A$4:$A$300,$A13))</f>
        <v/>
      </c>
      <c r="H13" s="26" t="str">
        <f>IF(OR($A13&gt;MAX(Trato_Diario!$A$4:$A$300),SUMIFS(Trato_Diario!$G$4:$G$300,Trato_Diario!$B$4:$B$300,7,Trato_Diario!$A$4:$A$300,$A13)=0),"",SUMIFS(Trato_Diario!$J$4:$J$300,Trato_Diario!$B$4:$B$300,7,Trato_Diario!$A$4:$A$300,$A13)/SUMIFS(Trato_Diario!$G$4:$G$300,Trato_Diario!$B$4:$B$300,7,Trato_Diario!$A$4:$A$300,$A13))</f>
        <v/>
      </c>
      <c r="I13" s="26" t="str">
        <f>IF(OR($A13&gt;MAX(Trato_Diario!$A$4:$A$300),SUMIFS(Trato_Diario!$G$4:$G$300,Trato_Diario!$B$4:$B$300,8,Trato_Diario!$A$4:$A$300,$A13)=0),"",SUMIFS(Trato_Diario!$J$4:$J$300,Trato_Diario!$B$4:$B$300,8,Trato_Diario!$A$4:$A$300,$A13)/SUMIFS(Trato_Diario!$G$4:$G$300,Trato_Diario!$B$4:$B$300,8,Trato_Diario!$A$4:$A$300,$A13))</f>
        <v/>
      </c>
      <c r="J13" s="26" t="str">
        <f>IF(OR($A13&gt;MAX(Trato_Diario!$A$4:$A$300),SUMIFS(Trato_Diario!$G$4:$G$300,Trato_Diario!$B$4:$B$300,9,Trato_Diario!$A$4:$A$300,$A13)=0),"",SUMIFS(Trato_Diario!$J$4:$J$300,Trato_Diario!$B$4:$B$300,9,Trato_Diario!$A$4:$A$300,$A13)/SUMIFS(Trato_Diario!$G$4:$G$300,Trato_Diario!$B$4:$B$300,9,Trato_Diario!$A$4:$A$300,$A13))</f>
        <v/>
      </c>
      <c r="K13" s="26" t="str">
        <f>IF(OR($A13&gt;MAX(Trato_Diario!$A$4:$A$300),SUMIFS(Trato_Diario!$G$4:$G$300,Trato_Diario!$B$4:$B$300,10,Trato_Diario!$A$4:$A$300,$A13)=0),"",SUMIFS(Trato_Diario!$J$4:$J$300,Trato_Diario!$B$4:$B$300,10,Trato_Diario!$A$4:$A$300,$A13)/SUMIFS(Trato_Diario!$G$4:$G$300,Trato_Diario!$B$4:$B$300,10,Trato_Diario!$A$4:$A$300,$A13))</f>
        <v/>
      </c>
      <c r="L13" s="74">
        <f>IF(OR($A13&gt;MAX(Trato_Diario!$A$4:$A$300),SUMIFS(Trato_Diario!$G$4:$G$300,Trato_Diario!$A$4:$A$300,$A13)=0),"",SUMIFS(Trato_Diario!$J$4:$J$300,Trato_Diario!$A$4:$A$300,$A13)/SUMIFS(Trato_Diario!$G$4:$G$300,Trato_Diario!$A$4:$A$300,$A13))</f>
        <v>10.292500692520777</v>
      </c>
    </row>
    <row r="14" spans="1:12" ht="14.25" customHeight="1" x14ac:dyDescent="0.3">
      <c r="A14" s="86">
        <v>46223</v>
      </c>
      <c r="B14" s="28">
        <f>IF(OR($A14&gt;MAX(Trato_Diario!$A$4:$A$300),SUMIFS(Trato_Diario!$G$4:$G$300,Trato_Diario!$B$4:$B$300,1,Trato_Diario!$A$4:$A$300,$A14)=0),"",SUMIFS(Trato_Diario!$J$4:$J$300,Trato_Diario!$B$4:$B$300,1,Trato_Diario!$A$4:$A$300,$A14)/SUMIFS(Trato_Diario!$G$4:$G$300,Trato_Diario!$B$4:$B$300,1,Trato_Diario!$A$4:$A$300,$A14))</f>
        <v>11.495177631578947</v>
      </c>
      <c r="C14" s="28">
        <f>IF(OR($A14&gt;MAX(Trato_Diario!$A$4:$A$300),SUMIFS(Trato_Diario!$G$4:$G$300,Trato_Diario!$B$4:$B$300,2,Trato_Diario!$A$4:$A$300,$A14)=0),"",SUMIFS(Trato_Diario!$J$4:$J$300,Trato_Diario!$B$4:$B$300,2,Trato_Diario!$A$4:$A$300,$A14)/SUMIFS(Trato_Diario!$G$4:$G$300,Trato_Diario!$B$4:$B$300,2,Trato_Diario!$A$4:$A$300,$A14))</f>
        <v>12.714386363636367</v>
      </c>
      <c r="D14" s="28">
        <f>IF(OR($A14&gt;MAX(Trato_Diario!$A$4:$A$300),SUMIFS(Trato_Diario!$G$4:$G$300,Trato_Diario!$B$4:$B$300,3,Trato_Diario!$A$4:$A$300,$A14)=0),"",SUMIFS(Trato_Diario!$J$4:$J$300,Trato_Diario!$B$4:$B$300,3,Trato_Diario!$A$4:$A$300,$A14)/SUMIFS(Trato_Diario!$G$4:$G$300,Trato_Diario!$B$4:$B$300,3,Trato_Diario!$A$4:$A$300,$A14))</f>
        <v>10.414414705882352</v>
      </c>
      <c r="E14" s="28">
        <f>IF(OR($A14&gt;MAX(Trato_Diario!$A$4:$A$300),SUMIFS(Trato_Diario!$G$4:$G$300,Trato_Diario!$B$4:$B$300,4,Trato_Diario!$A$4:$A$300,$A14)=0),"",SUMIFS(Trato_Diario!$J$4:$J$300,Trato_Diario!$B$4:$B$300,4,Trato_Diario!$A$4:$A$300,$A14)/SUMIFS(Trato_Diario!$G$4:$G$300,Trato_Diario!$B$4:$B$300,4,Trato_Diario!$A$4:$A$300,$A14))</f>
        <v>9.6921527777777783</v>
      </c>
      <c r="F14" s="28">
        <f>IF(OR($A14&gt;MAX(Trato_Diario!$A$4:$A$300),SUMIFS(Trato_Diario!$G$4:$G$300,Trato_Diario!$B$4:$B$300,5,Trato_Diario!$A$4:$A$300,$A14)=0),"",SUMIFS(Trato_Diario!$J$4:$J$300,Trato_Diario!$B$4:$B$300,5,Trato_Diario!$A$4:$A$300,$A14)/SUMIFS(Trato_Diario!$G$4:$G$300,Trato_Diario!$B$4:$B$300,5,Trato_Diario!$A$4:$A$300,$A14))</f>
        <v>9.1445880681818181</v>
      </c>
      <c r="G14" s="28" t="str">
        <f>IF(OR($A14&gt;MAX(Trato_Diario!$A$4:$A$300),SUMIFS(Trato_Diario!$G$4:$G$300,Trato_Diario!$B$4:$B$300,6,Trato_Diario!$A$4:$A$300,$A14)=0),"",SUMIFS(Trato_Diario!$J$4:$J$300,Trato_Diario!$B$4:$B$300,6,Trato_Diario!$A$4:$A$300,$A14)/SUMIFS(Trato_Diario!$G$4:$G$300,Trato_Diario!$B$4:$B$300,6,Trato_Diario!$A$4:$A$300,$A14))</f>
        <v/>
      </c>
      <c r="H14" s="28" t="str">
        <f>IF(OR($A14&gt;MAX(Trato_Diario!$A$4:$A$300),SUMIFS(Trato_Diario!$G$4:$G$300,Trato_Diario!$B$4:$B$300,7,Trato_Diario!$A$4:$A$300,$A14)=0),"",SUMIFS(Trato_Diario!$J$4:$J$300,Trato_Diario!$B$4:$B$300,7,Trato_Diario!$A$4:$A$300,$A14)/SUMIFS(Trato_Diario!$G$4:$G$300,Trato_Diario!$B$4:$B$300,7,Trato_Diario!$A$4:$A$300,$A14))</f>
        <v/>
      </c>
      <c r="I14" s="28" t="str">
        <f>IF(OR($A14&gt;MAX(Trato_Diario!$A$4:$A$300),SUMIFS(Trato_Diario!$G$4:$G$300,Trato_Diario!$B$4:$B$300,8,Trato_Diario!$A$4:$A$300,$A14)=0),"",SUMIFS(Trato_Diario!$J$4:$J$300,Trato_Diario!$B$4:$B$300,8,Trato_Diario!$A$4:$A$300,$A14)/SUMIFS(Trato_Diario!$G$4:$G$300,Trato_Diario!$B$4:$B$300,8,Trato_Diario!$A$4:$A$300,$A14))</f>
        <v/>
      </c>
      <c r="J14" s="28" t="str">
        <f>IF(OR($A14&gt;MAX(Trato_Diario!$A$4:$A$300),SUMIFS(Trato_Diario!$G$4:$G$300,Trato_Diario!$B$4:$B$300,9,Trato_Diario!$A$4:$A$300,$A14)=0),"",SUMIFS(Trato_Diario!$J$4:$J$300,Trato_Diario!$B$4:$B$300,9,Trato_Diario!$A$4:$A$300,$A14)/SUMIFS(Trato_Diario!$G$4:$G$300,Trato_Diario!$B$4:$B$300,9,Trato_Diario!$A$4:$A$300,$A14))</f>
        <v/>
      </c>
      <c r="K14" s="28" t="str">
        <f>IF(OR($A14&gt;MAX(Trato_Diario!$A$4:$A$300),SUMIFS(Trato_Diario!$G$4:$G$300,Trato_Diario!$B$4:$B$300,10,Trato_Diario!$A$4:$A$300,$A14)=0),"",SUMIFS(Trato_Diario!$J$4:$J$300,Trato_Diario!$B$4:$B$300,10,Trato_Diario!$A$4:$A$300,$A14)/SUMIFS(Trato_Diario!$G$4:$G$300,Trato_Diario!$B$4:$B$300,10,Trato_Diario!$A$4:$A$300,$A14))</f>
        <v/>
      </c>
      <c r="L14" s="76">
        <f>IF(OR($A14&gt;MAX(Trato_Diario!$A$4:$A$300),SUMIFS(Trato_Diario!$G$4:$G$300,Trato_Diario!$A$4:$A$300,$A14)=0),"",SUMIFS(Trato_Diario!$J$4:$J$300,Trato_Diario!$A$4:$A$300,$A14)/SUMIFS(Trato_Diario!$G$4:$G$300,Trato_Diario!$A$4:$A$300,$A14))</f>
        <v>10.292500692520777</v>
      </c>
    </row>
    <row r="15" spans="1:12" ht="14.25" customHeight="1" x14ac:dyDescent="0.3">
      <c r="A15" s="85">
        <v>46224</v>
      </c>
      <c r="B15" s="26">
        <f>IF(OR($A15&gt;MAX(Trato_Diario!$A$4:$A$300),SUMIFS(Trato_Diario!$G$4:$G$300,Trato_Diario!$B$4:$B$300,1,Trato_Diario!$A$4:$A$300,$A15)=0),"",SUMIFS(Trato_Diario!$J$4:$J$300,Trato_Diario!$B$4:$B$300,1,Trato_Diario!$A$4:$A$300,$A15)/SUMIFS(Trato_Diario!$G$4:$G$300,Trato_Diario!$B$4:$B$300,1,Trato_Diario!$A$4:$A$300,$A15))</f>
        <v>11.495177631578947</v>
      </c>
      <c r="C15" s="26">
        <f>IF(OR($A15&gt;MAX(Trato_Diario!$A$4:$A$300),SUMIFS(Trato_Diario!$G$4:$G$300,Trato_Diario!$B$4:$B$300,2,Trato_Diario!$A$4:$A$300,$A15)=0),"",SUMIFS(Trato_Diario!$J$4:$J$300,Trato_Diario!$B$4:$B$300,2,Trato_Diario!$A$4:$A$300,$A15)/SUMIFS(Trato_Diario!$G$4:$G$300,Trato_Diario!$B$4:$B$300,2,Trato_Diario!$A$4:$A$300,$A15))</f>
        <v>12.714386363636367</v>
      </c>
      <c r="D15" s="26">
        <f>IF(OR($A15&gt;MAX(Trato_Diario!$A$4:$A$300),SUMIFS(Trato_Diario!$G$4:$G$300,Trato_Diario!$B$4:$B$300,3,Trato_Diario!$A$4:$A$300,$A15)=0),"",SUMIFS(Trato_Diario!$J$4:$J$300,Trato_Diario!$B$4:$B$300,3,Trato_Diario!$A$4:$A$300,$A15)/SUMIFS(Trato_Diario!$G$4:$G$300,Trato_Diario!$B$4:$B$300,3,Trato_Diario!$A$4:$A$300,$A15))</f>
        <v>10.414414705882352</v>
      </c>
      <c r="E15" s="26">
        <f>IF(OR($A15&gt;MAX(Trato_Diario!$A$4:$A$300),SUMIFS(Trato_Diario!$G$4:$G$300,Trato_Diario!$B$4:$B$300,4,Trato_Diario!$A$4:$A$300,$A15)=0),"",SUMIFS(Trato_Diario!$J$4:$J$300,Trato_Diario!$B$4:$B$300,4,Trato_Diario!$A$4:$A$300,$A15)/SUMIFS(Trato_Diario!$G$4:$G$300,Trato_Diario!$B$4:$B$300,4,Trato_Diario!$A$4:$A$300,$A15))</f>
        <v>9.6921527777777783</v>
      </c>
      <c r="F15" s="26">
        <f>IF(OR($A15&gt;MAX(Trato_Diario!$A$4:$A$300),SUMIFS(Trato_Diario!$G$4:$G$300,Trato_Diario!$B$4:$B$300,5,Trato_Diario!$A$4:$A$300,$A15)=0),"",SUMIFS(Trato_Diario!$J$4:$J$300,Trato_Diario!$B$4:$B$300,5,Trato_Diario!$A$4:$A$300,$A15)/SUMIFS(Trato_Diario!$G$4:$G$300,Trato_Diario!$B$4:$B$300,5,Trato_Diario!$A$4:$A$300,$A15))</f>
        <v>9.1445880681818181</v>
      </c>
      <c r="G15" s="26">
        <f>IF(OR($A15&gt;MAX(Trato_Diario!$A$4:$A$300),SUMIFS(Trato_Diario!$G$4:$G$300,Trato_Diario!$B$4:$B$300,6,Trato_Diario!$A$4:$A$300,$A15)=0),"",SUMIFS(Trato_Diario!$J$4:$J$300,Trato_Diario!$B$4:$B$300,6,Trato_Diario!$A$4:$A$300,$A15)/SUMIFS(Trato_Diario!$G$4:$G$300,Trato_Diario!$B$4:$B$300,6,Trato_Diario!$A$4:$A$300,$A15))</f>
        <v>9.7860000000000014</v>
      </c>
      <c r="H15" s="26">
        <f>IF(OR($A15&gt;MAX(Trato_Diario!$A$4:$A$300),SUMIFS(Trato_Diario!$G$4:$G$300,Trato_Diario!$B$4:$B$300,7,Trato_Diario!$A$4:$A$300,$A15)=0),"",SUMIFS(Trato_Diario!$J$4:$J$300,Trato_Diario!$B$4:$B$300,7,Trato_Diario!$A$4:$A$300,$A15)/SUMIFS(Trato_Diario!$G$4:$G$300,Trato_Diario!$B$4:$B$300,7,Trato_Diario!$A$4:$A$300,$A15))</f>
        <v>10.532970588235294</v>
      </c>
      <c r="I15" s="26" t="str">
        <f>IF(OR($A15&gt;MAX(Trato_Diario!$A$4:$A$300),SUMIFS(Trato_Diario!$G$4:$G$300,Trato_Diario!$B$4:$B$300,8,Trato_Diario!$A$4:$A$300,$A15)=0),"",SUMIFS(Trato_Diario!$J$4:$J$300,Trato_Diario!$B$4:$B$300,8,Trato_Diario!$A$4:$A$300,$A15)/SUMIFS(Trato_Diario!$G$4:$G$300,Trato_Diario!$B$4:$B$300,8,Trato_Diario!$A$4:$A$300,$A15))</f>
        <v/>
      </c>
      <c r="J15" s="26" t="str">
        <f>IF(OR($A15&gt;MAX(Trato_Diario!$A$4:$A$300),SUMIFS(Trato_Diario!$G$4:$G$300,Trato_Diario!$B$4:$B$300,9,Trato_Diario!$A$4:$A$300,$A15)=0),"",SUMIFS(Trato_Diario!$J$4:$J$300,Trato_Diario!$B$4:$B$300,9,Trato_Diario!$A$4:$A$300,$A15)/SUMIFS(Trato_Diario!$G$4:$G$300,Trato_Diario!$B$4:$B$300,9,Trato_Diario!$A$4:$A$300,$A15))</f>
        <v/>
      </c>
      <c r="K15" s="26" t="str">
        <f>IF(OR($A15&gt;MAX(Trato_Diario!$A$4:$A$300),SUMIFS(Trato_Diario!$G$4:$G$300,Trato_Diario!$B$4:$B$300,10,Trato_Diario!$A$4:$A$300,$A15)=0),"",SUMIFS(Trato_Diario!$J$4:$J$300,Trato_Diario!$B$4:$B$300,10,Trato_Diario!$A$4:$A$300,$A15)/SUMIFS(Trato_Diario!$G$4:$G$300,Trato_Diario!$B$4:$B$300,10,Trato_Diario!$A$4:$A$300,$A15))</f>
        <v/>
      </c>
      <c r="L15" s="74">
        <f>IF(OR($A15&gt;MAX(Trato_Diario!$A$4:$A$300),SUMIFS(Trato_Diario!$G$4:$G$300,Trato_Diario!$A$4:$A$300,$A15)=0),"",SUMIFS(Trato_Diario!$J$4:$J$300,Trato_Diario!$A$4:$A$300,$A15)/SUMIFS(Trato_Diario!$G$4:$G$300,Trato_Diario!$A$4:$A$300,$A15))</f>
        <v>10.249915725047082</v>
      </c>
    </row>
    <row r="16" spans="1:12" ht="14.25" customHeight="1" x14ac:dyDescent="0.3">
      <c r="A16" s="86">
        <v>46225</v>
      </c>
      <c r="B16" s="28">
        <f>IF(OR($A16&gt;MAX(Trato_Diario!$A$4:$A$300),SUMIFS(Trato_Diario!$G$4:$G$300,Trato_Diario!$B$4:$B$300,1,Trato_Diario!$A$4:$A$300,$A16)=0),"",SUMIFS(Trato_Diario!$J$4:$J$300,Trato_Diario!$B$4:$B$300,1,Trato_Diario!$A$4:$A$300,$A16)/SUMIFS(Trato_Diario!$G$4:$G$300,Trato_Diario!$B$4:$B$300,1,Trato_Diario!$A$4:$A$300,$A16))</f>
        <v>11.495177631578947</v>
      </c>
      <c r="C16" s="28">
        <f>IF(OR($A16&gt;MAX(Trato_Diario!$A$4:$A$300),SUMIFS(Trato_Diario!$G$4:$G$300,Trato_Diario!$B$4:$B$300,2,Trato_Diario!$A$4:$A$300,$A16)=0),"",SUMIFS(Trato_Diario!$J$4:$J$300,Trato_Diario!$B$4:$B$300,2,Trato_Diario!$A$4:$A$300,$A16)/SUMIFS(Trato_Diario!$G$4:$G$300,Trato_Diario!$B$4:$B$300,2,Trato_Diario!$A$4:$A$300,$A16))</f>
        <v>12.714386363636367</v>
      </c>
      <c r="D16" s="28">
        <f>IF(OR($A16&gt;MAX(Trato_Diario!$A$4:$A$300),SUMIFS(Trato_Diario!$G$4:$G$300,Trato_Diario!$B$4:$B$300,3,Trato_Diario!$A$4:$A$300,$A16)=0),"",SUMIFS(Trato_Diario!$J$4:$J$300,Trato_Diario!$B$4:$B$300,3,Trato_Diario!$A$4:$A$300,$A16)/SUMIFS(Trato_Diario!$G$4:$G$300,Trato_Diario!$B$4:$B$300,3,Trato_Diario!$A$4:$A$300,$A16))</f>
        <v>10.414414705882352</v>
      </c>
      <c r="E16" s="28">
        <f>IF(OR($A16&gt;MAX(Trato_Diario!$A$4:$A$300),SUMIFS(Trato_Diario!$G$4:$G$300,Trato_Diario!$B$4:$B$300,4,Trato_Diario!$A$4:$A$300,$A16)=0),"",SUMIFS(Trato_Diario!$J$4:$J$300,Trato_Diario!$B$4:$B$300,4,Trato_Diario!$A$4:$A$300,$A16)/SUMIFS(Trato_Diario!$G$4:$G$300,Trato_Diario!$B$4:$B$300,4,Trato_Diario!$A$4:$A$300,$A16))</f>
        <v>9.6921527777777783</v>
      </c>
      <c r="F16" s="28">
        <f>IF(OR($A16&gt;MAX(Trato_Diario!$A$4:$A$300),SUMIFS(Trato_Diario!$G$4:$G$300,Trato_Diario!$B$4:$B$300,5,Trato_Diario!$A$4:$A$300,$A16)=0),"",SUMIFS(Trato_Diario!$J$4:$J$300,Trato_Diario!$B$4:$B$300,5,Trato_Diario!$A$4:$A$300,$A16)/SUMIFS(Trato_Diario!$G$4:$G$300,Trato_Diario!$B$4:$B$300,5,Trato_Diario!$A$4:$A$300,$A16))</f>
        <v>9.1445880681818181</v>
      </c>
      <c r="G16" s="28">
        <f>IF(OR($A16&gt;MAX(Trato_Diario!$A$4:$A$300),SUMIFS(Trato_Diario!$G$4:$G$300,Trato_Diario!$B$4:$B$300,6,Trato_Diario!$A$4:$A$300,$A16)=0),"",SUMIFS(Trato_Diario!$J$4:$J$300,Trato_Diario!$B$4:$B$300,6,Trato_Diario!$A$4:$A$300,$A16)/SUMIFS(Trato_Diario!$G$4:$G$300,Trato_Diario!$B$4:$B$300,6,Trato_Diario!$A$4:$A$300,$A16))</f>
        <v>9.7860000000000014</v>
      </c>
      <c r="H16" s="28">
        <f>IF(OR($A16&gt;MAX(Trato_Diario!$A$4:$A$300),SUMIFS(Trato_Diario!$G$4:$G$300,Trato_Diario!$B$4:$B$300,7,Trato_Diario!$A$4:$A$300,$A16)=0),"",SUMIFS(Trato_Diario!$J$4:$J$300,Trato_Diario!$B$4:$B$300,7,Trato_Diario!$A$4:$A$300,$A16)/SUMIFS(Trato_Diario!$G$4:$G$300,Trato_Diario!$B$4:$B$300,7,Trato_Diario!$A$4:$A$300,$A16))</f>
        <v>10.532970588235294</v>
      </c>
      <c r="I16" s="28">
        <f>IF(OR($A16&gt;MAX(Trato_Diario!$A$4:$A$300),SUMIFS(Trato_Diario!$G$4:$G$300,Trato_Diario!$B$4:$B$300,8,Trato_Diario!$A$4:$A$300,$A16)=0),"",SUMIFS(Trato_Diario!$J$4:$J$300,Trato_Diario!$B$4:$B$300,8,Trato_Diario!$A$4:$A$300,$A16)/SUMIFS(Trato_Diario!$G$4:$G$300,Trato_Diario!$B$4:$B$300,8,Trato_Diario!$A$4:$A$300,$A16))</f>
        <v>10.028422794117647</v>
      </c>
      <c r="J16" s="28">
        <f>IF(OR($A16&gt;MAX(Trato_Diario!$A$4:$A$300),SUMIFS(Trato_Diario!$G$4:$G$300,Trato_Diario!$B$4:$B$300,9,Trato_Diario!$A$4:$A$300,$A16)=0),"",SUMIFS(Trato_Diario!$J$4:$J$300,Trato_Diario!$B$4:$B$300,9,Trato_Diario!$A$4:$A$300,$A16)/SUMIFS(Trato_Diario!$G$4:$G$300,Trato_Diario!$B$4:$B$300,9,Trato_Diario!$A$4:$A$300,$A16))</f>
        <v>8.5502678571428579</v>
      </c>
      <c r="K16" s="28" t="str">
        <f>IF(OR($A16&gt;MAX(Trato_Diario!$A$4:$A$300),SUMIFS(Trato_Diario!$G$4:$G$300,Trato_Diario!$B$4:$B$300,10,Trato_Diario!$A$4:$A$300,$A16)=0),"",SUMIFS(Trato_Diario!$J$4:$J$300,Trato_Diario!$B$4:$B$300,10,Trato_Diario!$A$4:$A$300,$A16)/SUMIFS(Trato_Diario!$G$4:$G$300,Trato_Diario!$B$4:$B$300,10,Trato_Diario!$A$4:$A$300,$A16))</f>
        <v/>
      </c>
      <c r="L16" s="76">
        <f>IF(OR($A16&gt;MAX(Trato_Diario!$A$4:$A$300),SUMIFS(Trato_Diario!$G$4:$G$300,Trato_Diario!$A$4:$A$300,$A16)=0),"",SUMIFS(Trato_Diario!$J$4:$J$300,Trato_Diario!$A$4:$A$300,$A16)/SUMIFS(Trato_Diario!$G$4:$G$300,Trato_Diario!$A$4:$A$300,$A16))</f>
        <v>10.186528140293637</v>
      </c>
    </row>
    <row r="17" spans="1:12" ht="14.25" customHeight="1" x14ac:dyDescent="0.3">
      <c r="A17" s="85">
        <v>46226</v>
      </c>
      <c r="B17" s="26">
        <f>IF(OR($A17&gt;MAX(Trato_Diario!$A$4:$A$300),SUMIFS(Trato_Diario!$G$4:$G$300,Trato_Diario!$B$4:$B$300,1,Trato_Diario!$A$4:$A$300,$A17)=0),"",SUMIFS(Trato_Diario!$J$4:$J$300,Trato_Diario!$B$4:$B$300,1,Trato_Diario!$A$4:$A$300,$A17)/SUMIFS(Trato_Diario!$G$4:$G$300,Trato_Diario!$B$4:$B$300,1,Trato_Diario!$A$4:$A$300,$A17))</f>
        <v>11.495177631578947</v>
      </c>
      <c r="C17" s="26">
        <f>IF(OR($A17&gt;MAX(Trato_Diario!$A$4:$A$300),SUMIFS(Trato_Diario!$G$4:$G$300,Trato_Diario!$B$4:$B$300,2,Trato_Diario!$A$4:$A$300,$A17)=0),"",SUMIFS(Trato_Diario!$J$4:$J$300,Trato_Diario!$B$4:$B$300,2,Trato_Diario!$A$4:$A$300,$A17)/SUMIFS(Trato_Diario!$G$4:$G$300,Trato_Diario!$B$4:$B$300,2,Trato_Diario!$A$4:$A$300,$A17))</f>
        <v>12.714386363636367</v>
      </c>
      <c r="D17" s="26">
        <f>IF(OR($A17&gt;MAX(Trato_Diario!$A$4:$A$300),SUMIFS(Trato_Diario!$G$4:$G$300,Trato_Diario!$B$4:$B$300,3,Trato_Diario!$A$4:$A$300,$A17)=0),"",SUMIFS(Trato_Diario!$J$4:$J$300,Trato_Diario!$B$4:$B$300,3,Trato_Diario!$A$4:$A$300,$A17)/SUMIFS(Trato_Diario!$G$4:$G$300,Trato_Diario!$B$4:$B$300,3,Trato_Diario!$A$4:$A$300,$A17))</f>
        <v>10.414414705882352</v>
      </c>
      <c r="E17" s="26">
        <f>IF(OR($A17&gt;MAX(Trato_Diario!$A$4:$A$300),SUMIFS(Trato_Diario!$G$4:$G$300,Trato_Diario!$B$4:$B$300,4,Trato_Diario!$A$4:$A$300,$A17)=0),"",SUMIFS(Trato_Diario!$J$4:$J$300,Trato_Diario!$B$4:$B$300,4,Trato_Diario!$A$4:$A$300,$A17)/SUMIFS(Trato_Diario!$G$4:$G$300,Trato_Diario!$B$4:$B$300,4,Trato_Diario!$A$4:$A$300,$A17))</f>
        <v>9.6921527777777783</v>
      </c>
      <c r="F17" s="26">
        <f>IF(OR($A17&gt;MAX(Trato_Diario!$A$4:$A$300),SUMIFS(Trato_Diario!$G$4:$G$300,Trato_Diario!$B$4:$B$300,5,Trato_Diario!$A$4:$A$300,$A17)=0),"",SUMIFS(Trato_Diario!$J$4:$J$300,Trato_Diario!$B$4:$B$300,5,Trato_Diario!$A$4:$A$300,$A17)/SUMIFS(Trato_Diario!$G$4:$G$300,Trato_Diario!$B$4:$B$300,5,Trato_Diario!$A$4:$A$300,$A17))</f>
        <v>9.1445880681818181</v>
      </c>
      <c r="G17" s="26">
        <f>IF(OR($A17&gt;MAX(Trato_Diario!$A$4:$A$300),SUMIFS(Trato_Diario!$G$4:$G$300,Trato_Diario!$B$4:$B$300,6,Trato_Diario!$A$4:$A$300,$A17)=0),"",SUMIFS(Trato_Diario!$J$4:$J$300,Trato_Diario!$B$4:$B$300,6,Trato_Diario!$A$4:$A$300,$A17)/SUMIFS(Trato_Diario!$G$4:$G$300,Trato_Diario!$B$4:$B$300,6,Trato_Diario!$A$4:$A$300,$A17))</f>
        <v>9.7860000000000014</v>
      </c>
      <c r="H17" s="26">
        <f>IF(OR($A17&gt;MAX(Trato_Diario!$A$4:$A$300),SUMIFS(Trato_Diario!$G$4:$G$300,Trato_Diario!$B$4:$B$300,7,Trato_Diario!$A$4:$A$300,$A17)=0),"",SUMIFS(Trato_Diario!$J$4:$J$300,Trato_Diario!$B$4:$B$300,7,Trato_Diario!$A$4:$A$300,$A17)/SUMIFS(Trato_Diario!$G$4:$G$300,Trato_Diario!$B$4:$B$300,7,Trato_Diario!$A$4:$A$300,$A17))</f>
        <v>10.532970588235294</v>
      </c>
      <c r="I17" s="26">
        <f>IF(OR($A17&gt;MAX(Trato_Diario!$A$4:$A$300),SUMIFS(Trato_Diario!$G$4:$G$300,Trato_Diario!$B$4:$B$300,8,Trato_Diario!$A$4:$A$300,$A17)=0),"",SUMIFS(Trato_Diario!$J$4:$J$300,Trato_Diario!$B$4:$B$300,8,Trato_Diario!$A$4:$A$300,$A17)/SUMIFS(Trato_Diario!$G$4:$G$300,Trato_Diario!$B$4:$B$300,8,Trato_Diario!$A$4:$A$300,$A17))</f>
        <v>10.028422794117647</v>
      </c>
      <c r="J17" s="26">
        <f>IF(OR($A17&gt;MAX(Trato_Diario!$A$4:$A$300),SUMIFS(Trato_Diario!$G$4:$G$300,Trato_Diario!$B$4:$B$300,9,Trato_Diario!$A$4:$A$300,$A17)=0),"",SUMIFS(Trato_Diario!$J$4:$J$300,Trato_Diario!$B$4:$B$300,9,Trato_Diario!$A$4:$A$300,$A17)/SUMIFS(Trato_Diario!$G$4:$G$300,Trato_Diario!$B$4:$B$300,9,Trato_Diario!$A$4:$A$300,$A17))</f>
        <v>8.5502678571428579</v>
      </c>
      <c r="K17" s="26" t="str">
        <f>IF(OR($A17&gt;MAX(Trato_Diario!$A$4:$A$300),SUMIFS(Trato_Diario!$G$4:$G$300,Trato_Diario!$B$4:$B$300,10,Trato_Diario!$A$4:$A$300,$A17)=0),"",SUMIFS(Trato_Diario!$J$4:$J$300,Trato_Diario!$B$4:$B$300,10,Trato_Diario!$A$4:$A$300,$A17)/SUMIFS(Trato_Diario!$G$4:$G$300,Trato_Diario!$B$4:$B$300,10,Trato_Diario!$A$4:$A$300,$A17))</f>
        <v/>
      </c>
      <c r="L17" s="74">
        <f>IF(OR($A17&gt;MAX(Trato_Diario!$A$4:$A$300),SUMIFS(Trato_Diario!$G$4:$G$300,Trato_Diario!$A$4:$A$300,$A17)=0),"",SUMIFS(Trato_Diario!$J$4:$J$300,Trato_Diario!$A$4:$A$300,$A17)/SUMIFS(Trato_Diario!$G$4:$G$300,Trato_Diario!$A$4:$A$300,$A17))</f>
        <v>10.186528140293637</v>
      </c>
    </row>
    <row r="18" spans="1:12" ht="14.25" customHeight="1" x14ac:dyDescent="0.3">
      <c r="A18" s="86">
        <v>46227</v>
      </c>
      <c r="B18" s="28">
        <f>IF(OR($A18&gt;MAX(Trato_Diario!$A$4:$A$300),SUMIFS(Trato_Diario!$G$4:$G$300,Trato_Diario!$B$4:$B$300,1,Trato_Diario!$A$4:$A$300,$A18)=0),"",SUMIFS(Trato_Diario!$J$4:$J$300,Trato_Diario!$B$4:$B$300,1,Trato_Diario!$A$4:$A$300,$A18)/SUMIFS(Trato_Diario!$G$4:$G$300,Trato_Diario!$B$4:$B$300,1,Trato_Diario!$A$4:$A$300,$A18))</f>
        <v>11.495177631578947</v>
      </c>
      <c r="C18" s="28">
        <f>IF(OR($A18&gt;MAX(Trato_Diario!$A$4:$A$300),SUMIFS(Trato_Diario!$G$4:$G$300,Trato_Diario!$B$4:$B$300,2,Trato_Diario!$A$4:$A$300,$A18)=0),"",SUMIFS(Trato_Diario!$J$4:$J$300,Trato_Diario!$B$4:$B$300,2,Trato_Diario!$A$4:$A$300,$A18)/SUMIFS(Trato_Diario!$G$4:$G$300,Trato_Diario!$B$4:$B$300,2,Trato_Diario!$A$4:$A$300,$A18))</f>
        <v>12.714386363636367</v>
      </c>
      <c r="D18" s="28">
        <f>IF(OR($A18&gt;MAX(Trato_Diario!$A$4:$A$300),SUMIFS(Trato_Diario!$G$4:$G$300,Trato_Diario!$B$4:$B$300,3,Trato_Diario!$A$4:$A$300,$A18)=0),"",SUMIFS(Trato_Diario!$J$4:$J$300,Trato_Diario!$B$4:$B$300,3,Trato_Diario!$A$4:$A$300,$A18)/SUMIFS(Trato_Diario!$G$4:$G$300,Trato_Diario!$B$4:$B$300,3,Trato_Diario!$A$4:$A$300,$A18))</f>
        <v>10.414414705882352</v>
      </c>
      <c r="E18" s="28">
        <f>IF(OR($A18&gt;MAX(Trato_Diario!$A$4:$A$300),SUMIFS(Trato_Diario!$G$4:$G$300,Trato_Diario!$B$4:$B$300,4,Trato_Diario!$A$4:$A$300,$A18)=0),"",SUMIFS(Trato_Diario!$J$4:$J$300,Trato_Diario!$B$4:$B$300,4,Trato_Diario!$A$4:$A$300,$A18)/SUMIFS(Trato_Diario!$G$4:$G$300,Trato_Diario!$B$4:$B$300,4,Trato_Diario!$A$4:$A$300,$A18))</f>
        <v>9.6921527777777783</v>
      </c>
      <c r="F18" s="28">
        <f>IF(OR($A18&gt;MAX(Trato_Diario!$A$4:$A$300),SUMIFS(Trato_Diario!$G$4:$G$300,Trato_Diario!$B$4:$B$300,5,Trato_Diario!$A$4:$A$300,$A18)=0),"",SUMIFS(Trato_Diario!$J$4:$J$300,Trato_Diario!$B$4:$B$300,5,Trato_Diario!$A$4:$A$300,$A18)/SUMIFS(Trato_Diario!$G$4:$G$300,Trato_Diario!$B$4:$B$300,5,Trato_Diario!$A$4:$A$300,$A18))</f>
        <v>9.1445880681818181</v>
      </c>
      <c r="G18" s="28">
        <f>IF(OR($A18&gt;MAX(Trato_Diario!$A$4:$A$300),SUMIFS(Trato_Diario!$G$4:$G$300,Trato_Diario!$B$4:$B$300,6,Trato_Diario!$A$4:$A$300,$A18)=0),"",SUMIFS(Trato_Diario!$J$4:$J$300,Trato_Diario!$B$4:$B$300,6,Trato_Diario!$A$4:$A$300,$A18)/SUMIFS(Trato_Diario!$G$4:$G$300,Trato_Diario!$B$4:$B$300,6,Trato_Diario!$A$4:$A$300,$A18))</f>
        <v>9.7860000000000014</v>
      </c>
      <c r="H18" s="28">
        <f>IF(OR($A18&gt;MAX(Trato_Diario!$A$4:$A$300),SUMIFS(Trato_Diario!$G$4:$G$300,Trato_Diario!$B$4:$B$300,7,Trato_Diario!$A$4:$A$300,$A18)=0),"",SUMIFS(Trato_Diario!$J$4:$J$300,Trato_Diario!$B$4:$B$300,7,Trato_Diario!$A$4:$A$300,$A18)/SUMIFS(Trato_Diario!$G$4:$G$300,Trato_Diario!$B$4:$B$300,7,Trato_Diario!$A$4:$A$300,$A18))</f>
        <v>10.532970588235294</v>
      </c>
      <c r="I18" s="28">
        <f>IF(OR($A18&gt;MAX(Trato_Diario!$A$4:$A$300),SUMIFS(Trato_Diario!$G$4:$G$300,Trato_Diario!$B$4:$B$300,8,Trato_Diario!$A$4:$A$300,$A18)=0),"",SUMIFS(Trato_Diario!$J$4:$J$300,Trato_Diario!$B$4:$B$300,8,Trato_Diario!$A$4:$A$300,$A18)/SUMIFS(Trato_Diario!$G$4:$G$300,Trato_Diario!$B$4:$B$300,8,Trato_Diario!$A$4:$A$300,$A18))</f>
        <v>10.028422794117647</v>
      </c>
      <c r="J18" s="28">
        <f>IF(OR($A18&gt;MAX(Trato_Diario!$A$4:$A$300),SUMIFS(Trato_Diario!$G$4:$G$300,Trato_Diario!$B$4:$B$300,9,Trato_Diario!$A$4:$A$300,$A18)=0),"",SUMIFS(Trato_Diario!$J$4:$J$300,Trato_Diario!$B$4:$B$300,9,Trato_Diario!$A$4:$A$300,$A18)/SUMIFS(Trato_Diario!$G$4:$G$300,Trato_Diario!$B$4:$B$300,9,Trato_Diario!$A$4:$A$300,$A18))</f>
        <v>8.5502678571428579</v>
      </c>
      <c r="K18" s="28">
        <f>IF(OR($A18&gt;MAX(Trato_Diario!$A$4:$A$300),SUMIFS(Trato_Diario!$G$4:$G$300,Trato_Diario!$B$4:$B$300,10,Trato_Diario!$A$4:$A$300,$A18)=0),"",SUMIFS(Trato_Diario!$J$4:$J$300,Trato_Diario!$B$4:$B$300,10,Trato_Diario!$A$4:$A$300,$A18)/SUMIFS(Trato_Diario!$G$4:$G$300,Trato_Diario!$B$4:$B$300,10,Trato_Diario!$A$4:$A$300,$A18))</f>
        <v>9.6553787878787887</v>
      </c>
      <c r="L18" s="76">
        <f>IF(OR($A18&gt;MAX(Trato_Diario!$A$4:$A$300),SUMIFS(Trato_Diario!$G$4:$G$300,Trato_Diario!$A$4:$A$300,$A18)=0),"",SUMIFS(Trato_Diario!$J$4:$J$300,Trato_Diario!$A$4:$A$300,$A18)/SUMIFS(Trato_Diario!$G$4:$G$300,Trato_Diario!$A$4:$A$300,$A18))</f>
        <v>10.159395123839008</v>
      </c>
    </row>
    <row r="19" spans="1:12" ht="14.25" customHeight="1" x14ac:dyDescent="0.3">
      <c r="A19" s="85">
        <v>46228</v>
      </c>
      <c r="B19" s="26">
        <f>IF(OR($A19&gt;MAX(Trato_Diario!$A$4:$A$300),SUMIFS(Trato_Diario!$G$4:$G$300,Trato_Diario!$B$4:$B$300,1,Trato_Diario!$A$4:$A$300,$A19)=0),"",SUMIFS(Trato_Diario!$J$4:$J$300,Trato_Diario!$B$4:$B$300,1,Trato_Diario!$A$4:$A$300,$A19)/SUMIFS(Trato_Diario!$G$4:$G$300,Trato_Diario!$B$4:$B$300,1,Trato_Diario!$A$4:$A$300,$A19))</f>
        <v>11.495177631578947</v>
      </c>
      <c r="C19" s="26">
        <f>IF(OR($A19&gt;MAX(Trato_Diario!$A$4:$A$300),SUMIFS(Trato_Diario!$G$4:$G$300,Trato_Diario!$B$4:$B$300,2,Trato_Diario!$A$4:$A$300,$A19)=0),"",SUMIFS(Trato_Diario!$J$4:$J$300,Trato_Diario!$B$4:$B$300,2,Trato_Diario!$A$4:$A$300,$A19)/SUMIFS(Trato_Diario!$G$4:$G$300,Trato_Diario!$B$4:$B$300,2,Trato_Diario!$A$4:$A$300,$A19))</f>
        <v>12.714386363636367</v>
      </c>
      <c r="D19" s="26">
        <f>IF(OR($A19&gt;MAX(Trato_Diario!$A$4:$A$300),SUMIFS(Trato_Diario!$G$4:$G$300,Trato_Diario!$B$4:$B$300,3,Trato_Diario!$A$4:$A$300,$A19)=0),"",SUMIFS(Trato_Diario!$J$4:$J$300,Trato_Diario!$B$4:$B$300,3,Trato_Diario!$A$4:$A$300,$A19)/SUMIFS(Trato_Diario!$G$4:$G$300,Trato_Diario!$B$4:$B$300,3,Trato_Diario!$A$4:$A$300,$A19))</f>
        <v>10.414414705882352</v>
      </c>
      <c r="E19" s="26">
        <f>IF(OR($A19&gt;MAX(Trato_Diario!$A$4:$A$300),SUMIFS(Trato_Diario!$G$4:$G$300,Trato_Diario!$B$4:$B$300,4,Trato_Diario!$A$4:$A$300,$A19)=0),"",SUMIFS(Trato_Diario!$J$4:$J$300,Trato_Diario!$B$4:$B$300,4,Trato_Diario!$A$4:$A$300,$A19)/SUMIFS(Trato_Diario!$G$4:$G$300,Trato_Diario!$B$4:$B$300,4,Trato_Diario!$A$4:$A$300,$A19))</f>
        <v>9.6921527777777783</v>
      </c>
      <c r="F19" s="26">
        <f>IF(OR($A19&gt;MAX(Trato_Diario!$A$4:$A$300),SUMIFS(Trato_Diario!$G$4:$G$300,Trato_Diario!$B$4:$B$300,5,Trato_Diario!$A$4:$A$300,$A19)=0),"",SUMIFS(Trato_Diario!$J$4:$J$300,Trato_Diario!$B$4:$B$300,5,Trato_Diario!$A$4:$A$300,$A19)/SUMIFS(Trato_Diario!$G$4:$G$300,Trato_Diario!$B$4:$B$300,5,Trato_Diario!$A$4:$A$300,$A19))</f>
        <v>9.1445880681818181</v>
      </c>
      <c r="G19" s="26">
        <f>IF(OR($A19&gt;MAX(Trato_Diario!$A$4:$A$300),SUMIFS(Trato_Diario!$G$4:$G$300,Trato_Diario!$B$4:$B$300,6,Trato_Diario!$A$4:$A$300,$A19)=0),"",SUMIFS(Trato_Diario!$J$4:$J$300,Trato_Diario!$B$4:$B$300,6,Trato_Diario!$A$4:$A$300,$A19)/SUMIFS(Trato_Diario!$G$4:$G$300,Trato_Diario!$B$4:$B$300,6,Trato_Diario!$A$4:$A$300,$A19))</f>
        <v>9.7860000000000014</v>
      </c>
      <c r="H19" s="26">
        <f>IF(OR($A19&gt;MAX(Trato_Diario!$A$4:$A$300),SUMIFS(Trato_Diario!$G$4:$G$300,Trato_Diario!$B$4:$B$300,7,Trato_Diario!$A$4:$A$300,$A19)=0),"",SUMIFS(Trato_Diario!$J$4:$J$300,Trato_Diario!$B$4:$B$300,7,Trato_Diario!$A$4:$A$300,$A19)/SUMIFS(Trato_Diario!$G$4:$G$300,Trato_Diario!$B$4:$B$300,7,Trato_Diario!$A$4:$A$300,$A19))</f>
        <v>10.532970588235294</v>
      </c>
      <c r="I19" s="26">
        <f>IF(OR($A19&gt;MAX(Trato_Diario!$A$4:$A$300),SUMIFS(Trato_Diario!$G$4:$G$300,Trato_Diario!$B$4:$B$300,8,Trato_Diario!$A$4:$A$300,$A19)=0),"",SUMIFS(Trato_Diario!$J$4:$J$300,Trato_Diario!$B$4:$B$300,8,Trato_Diario!$A$4:$A$300,$A19)/SUMIFS(Trato_Diario!$G$4:$G$300,Trato_Diario!$B$4:$B$300,8,Trato_Diario!$A$4:$A$300,$A19))</f>
        <v>10.028422794117647</v>
      </c>
      <c r="J19" s="26">
        <f>IF(OR($A19&gt;MAX(Trato_Diario!$A$4:$A$300),SUMIFS(Trato_Diario!$G$4:$G$300,Trato_Diario!$B$4:$B$300,9,Trato_Diario!$A$4:$A$300,$A19)=0),"",SUMIFS(Trato_Diario!$J$4:$J$300,Trato_Diario!$B$4:$B$300,9,Trato_Diario!$A$4:$A$300,$A19)/SUMIFS(Trato_Diario!$G$4:$G$300,Trato_Diario!$B$4:$B$300,9,Trato_Diario!$A$4:$A$300,$A19))</f>
        <v>8.5502678571428579</v>
      </c>
      <c r="K19" s="26">
        <f>IF(OR($A19&gt;MAX(Trato_Diario!$A$4:$A$300),SUMIFS(Trato_Diario!$G$4:$G$300,Trato_Diario!$B$4:$B$300,10,Trato_Diario!$A$4:$A$300,$A19)=0),"",SUMIFS(Trato_Diario!$J$4:$J$300,Trato_Diario!$B$4:$B$300,10,Trato_Diario!$A$4:$A$300,$A19)/SUMIFS(Trato_Diario!$G$4:$G$300,Trato_Diario!$B$4:$B$300,10,Trato_Diario!$A$4:$A$300,$A19))</f>
        <v>9.6553787878787887</v>
      </c>
      <c r="L19" s="74">
        <f>IF(OR($A19&gt;MAX(Trato_Diario!$A$4:$A$300),SUMIFS(Trato_Diario!$G$4:$G$300,Trato_Diario!$A$4:$A$300,$A19)=0),"",SUMIFS(Trato_Diario!$J$4:$J$300,Trato_Diario!$A$4:$A$300,$A19)/SUMIFS(Trato_Diario!$G$4:$G$300,Trato_Diario!$A$4:$A$300,$A19))</f>
        <v>10.159395123839008</v>
      </c>
    </row>
    <row r="20" spans="1:12" ht="14.25" customHeight="1" x14ac:dyDescent="0.3">
      <c r="A20" s="86">
        <v>46229</v>
      </c>
      <c r="B20" s="28">
        <f>IF(OR($A20&gt;MAX(Trato_Diario!$A$4:$A$300),SUMIFS(Trato_Diario!$G$4:$G$300,Trato_Diario!$B$4:$B$300,1,Trato_Diario!$A$4:$A$300,$A20)=0),"",SUMIFS(Trato_Diario!$J$4:$J$300,Trato_Diario!$B$4:$B$300,1,Trato_Diario!$A$4:$A$300,$A20)/SUMIFS(Trato_Diario!$G$4:$G$300,Trato_Diario!$B$4:$B$300,1,Trato_Diario!$A$4:$A$300,$A20))</f>
        <v>11.495177631578947</v>
      </c>
      <c r="C20" s="28">
        <f>IF(OR($A20&gt;MAX(Trato_Diario!$A$4:$A$300),SUMIFS(Trato_Diario!$G$4:$G$300,Trato_Diario!$B$4:$B$300,2,Trato_Diario!$A$4:$A$300,$A20)=0),"",SUMIFS(Trato_Diario!$J$4:$J$300,Trato_Diario!$B$4:$B$300,2,Trato_Diario!$A$4:$A$300,$A20)/SUMIFS(Trato_Diario!$G$4:$G$300,Trato_Diario!$B$4:$B$300,2,Trato_Diario!$A$4:$A$300,$A20))</f>
        <v>12.714386363636367</v>
      </c>
      <c r="D20" s="28">
        <f>IF(OR($A20&gt;MAX(Trato_Diario!$A$4:$A$300),SUMIFS(Trato_Diario!$G$4:$G$300,Trato_Diario!$B$4:$B$300,3,Trato_Diario!$A$4:$A$300,$A20)=0),"",SUMIFS(Trato_Diario!$J$4:$J$300,Trato_Diario!$B$4:$B$300,3,Trato_Diario!$A$4:$A$300,$A20)/SUMIFS(Trato_Diario!$G$4:$G$300,Trato_Diario!$B$4:$B$300,3,Trato_Diario!$A$4:$A$300,$A20))</f>
        <v>10.414414705882352</v>
      </c>
      <c r="E20" s="28">
        <f>IF(OR($A20&gt;MAX(Trato_Diario!$A$4:$A$300),SUMIFS(Trato_Diario!$G$4:$G$300,Trato_Diario!$B$4:$B$300,4,Trato_Diario!$A$4:$A$300,$A20)=0),"",SUMIFS(Trato_Diario!$J$4:$J$300,Trato_Diario!$B$4:$B$300,4,Trato_Diario!$A$4:$A$300,$A20)/SUMIFS(Trato_Diario!$G$4:$G$300,Trato_Diario!$B$4:$B$300,4,Trato_Diario!$A$4:$A$300,$A20))</f>
        <v>9.6921527777777783</v>
      </c>
      <c r="F20" s="28">
        <f>IF(OR($A20&gt;MAX(Trato_Diario!$A$4:$A$300),SUMIFS(Trato_Diario!$G$4:$G$300,Trato_Diario!$B$4:$B$300,5,Trato_Diario!$A$4:$A$300,$A20)=0),"",SUMIFS(Trato_Diario!$J$4:$J$300,Trato_Diario!$B$4:$B$300,5,Trato_Diario!$A$4:$A$300,$A20)/SUMIFS(Trato_Diario!$G$4:$G$300,Trato_Diario!$B$4:$B$300,5,Trato_Diario!$A$4:$A$300,$A20))</f>
        <v>9.1445880681818181</v>
      </c>
      <c r="G20" s="28">
        <f>IF(OR($A20&gt;MAX(Trato_Diario!$A$4:$A$300),SUMIFS(Trato_Diario!$G$4:$G$300,Trato_Diario!$B$4:$B$300,6,Trato_Diario!$A$4:$A$300,$A20)=0),"",SUMIFS(Trato_Diario!$J$4:$J$300,Trato_Diario!$B$4:$B$300,6,Trato_Diario!$A$4:$A$300,$A20)/SUMIFS(Trato_Diario!$G$4:$G$300,Trato_Diario!$B$4:$B$300,6,Trato_Diario!$A$4:$A$300,$A20))</f>
        <v>9.7860000000000014</v>
      </c>
      <c r="H20" s="28">
        <f>IF(OR($A20&gt;MAX(Trato_Diario!$A$4:$A$300),SUMIFS(Trato_Diario!$G$4:$G$300,Trato_Diario!$B$4:$B$300,7,Trato_Diario!$A$4:$A$300,$A20)=0),"",SUMIFS(Trato_Diario!$J$4:$J$300,Trato_Diario!$B$4:$B$300,7,Trato_Diario!$A$4:$A$300,$A20)/SUMIFS(Trato_Diario!$G$4:$G$300,Trato_Diario!$B$4:$B$300,7,Trato_Diario!$A$4:$A$300,$A20))</f>
        <v>10.532970588235294</v>
      </c>
      <c r="I20" s="28">
        <f>IF(OR($A20&gt;MAX(Trato_Diario!$A$4:$A$300),SUMIFS(Trato_Diario!$G$4:$G$300,Trato_Diario!$B$4:$B$300,8,Trato_Diario!$A$4:$A$300,$A20)=0),"",SUMIFS(Trato_Diario!$J$4:$J$300,Trato_Diario!$B$4:$B$300,8,Trato_Diario!$A$4:$A$300,$A20)/SUMIFS(Trato_Diario!$G$4:$G$300,Trato_Diario!$B$4:$B$300,8,Trato_Diario!$A$4:$A$300,$A20))</f>
        <v>10.028422794117647</v>
      </c>
      <c r="J20" s="28">
        <f>IF(OR($A20&gt;MAX(Trato_Diario!$A$4:$A$300),SUMIFS(Trato_Diario!$G$4:$G$300,Trato_Diario!$B$4:$B$300,9,Trato_Diario!$A$4:$A$300,$A20)=0),"",SUMIFS(Trato_Diario!$J$4:$J$300,Trato_Diario!$B$4:$B$300,9,Trato_Diario!$A$4:$A$300,$A20)/SUMIFS(Trato_Diario!$G$4:$G$300,Trato_Diario!$B$4:$B$300,9,Trato_Diario!$A$4:$A$300,$A20))</f>
        <v>8.5502678571428579</v>
      </c>
      <c r="K20" s="28">
        <f>IF(OR($A20&gt;MAX(Trato_Diario!$A$4:$A$300),SUMIFS(Trato_Diario!$G$4:$G$300,Trato_Diario!$B$4:$B$300,10,Trato_Diario!$A$4:$A$300,$A20)=0),"",SUMIFS(Trato_Diario!$J$4:$J$300,Trato_Diario!$B$4:$B$300,10,Trato_Diario!$A$4:$A$300,$A20)/SUMIFS(Trato_Diario!$G$4:$G$300,Trato_Diario!$B$4:$B$300,10,Trato_Diario!$A$4:$A$300,$A20))</f>
        <v>9.6553787878787887</v>
      </c>
      <c r="L20" s="76">
        <f>IF(OR($A20&gt;MAX(Trato_Diario!$A$4:$A$300),SUMIFS(Trato_Diario!$G$4:$G$300,Trato_Diario!$A$4:$A$300,$A20)=0),"",SUMIFS(Trato_Diario!$J$4:$J$300,Trato_Diario!$A$4:$A$300,$A20)/SUMIFS(Trato_Diario!$G$4:$G$300,Trato_Diario!$A$4:$A$300,$A20))</f>
        <v>10.159395123839008</v>
      </c>
    </row>
    <row r="21" spans="1:12" ht="14.25" customHeight="1" x14ac:dyDescent="0.3">
      <c r="A21" s="85">
        <v>46230</v>
      </c>
      <c r="B21" s="26">
        <f>IF(OR($A21&gt;MAX(Trato_Diario!$A$4:$A$300),SUMIFS(Trato_Diario!$G$4:$G$300,Trato_Diario!$B$4:$B$300,1,Trato_Diario!$A$4:$A$300,$A21)=0),"",SUMIFS(Trato_Diario!$J$4:$J$300,Trato_Diario!$B$4:$B$300,1,Trato_Diario!$A$4:$A$300,$A21)/SUMIFS(Trato_Diario!$G$4:$G$300,Trato_Diario!$B$4:$B$300,1,Trato_Diario!$A$4:$A$300,$A21))</f>
        <v>11.495177631578947</v>
      </c>
      <c r="C21" s="26">
        <f>IF(OR($A21&gt;MAX(Trato_Diario!$A$4:$A$300),SUMIFS(Trato_Diario!$G$4:$G$300,Trato_Diario!$B$4:$B$300,2,Trato_Diario!$A$4:$A$300,$A21)=0),"",SUMIFS(Trato_Diario!$J$4:$J$300,Trato_Diario!$B$4:$B$300,2,Trato_Diario!$A$4:$A$300,$A21)/SUMIFS(Trato_Diario!$G$4:$G$300,Trato_Diario!$B$4:$B$300,2,Trato_Diario!$A$4:$A$300,$A21))</f>
        <v>12.714386363636367</v>
      </c>
      <c r="D21" s="26">
        <f>IF(OR($A21&gt;MAX(Trato_Diario!$A$4:$A$300),SUMIFS(Trato_Diario!$G$4:$G$300,Trato_Diario!$B$4:$B$300,3,Trato_Diario!$A$4:$A$300,$A21)=0),"",SUMIFS(Trato_Diario!$J$4:$J$300,Trato_Diario!$B$4:$B$300,3,Trato_Diario!$A$4:$A$300,$A21)/SUMIFS(Trato_Diario!$G$4:$G$300,Trato_Diario!$B$4:$B$300,3,Trato_Diario!$A$4:$A$300,$A21))</f>
        <v>10.414414705882352</v>
      </c>
      <c r="E21" s="26">
        <f>IF(OR($A21&gt;MAX(Trato_Diario!$A$4:$A$300),SUMIFS(Trato_Diario!$G$4:$G$300,Trato_Diario!$B$4:$B$300,4,Trato_Diario!$A$4:$A$300,$A21)=0),"",SUMIFS(Trato_Diario!$J$4:$J$300,Trato_Diario!$B$4:$B$300,4,Trato_Diario!$A$4:$A$300,$A21)/SUMIFS(Trato_Diario!$G$4:$G$300,Trato_Diario!$B$4:$B$300,4,Trato_Diario!$A$4:$A$300,$A21))</f>
        <v>9.6921527777777783</v>
      </c>
      <c r="F21" s="26">
        <f>IF(OR($A21&gt;MAX(Trato_Diario!$A$4:$A$300),SUMIFS(Trato_Diario!$G$4:$G$300,Trato_Diario!$B$4:$B$300,5,Trato_Diario!$A$4:$A$300,$A21)=0),"",SUMIFS(Trato_Diario!$J$4:$J$300,Trato_Diario!$B$4:$B$300,5,Trato_Diario!$A$4:$A$300,$A21)/SUMIFS(Trato_Diario!$G$4:$G$300,Trato_Diario!$B$4:$B$300,5,Trato_Diario!$A$4:$A$300,$A21))</f>
        <v>9.1445880681818181</v>
      </c>
      <c r="G21" s="26">
        <f>IF(OR($A21&gt;MAX(Trato_Diario!$A$4:$A$300),SUMIFS(Trato_Diario!$G$4:$G$300,Trato_Diario!$B$4:$B$300,6,Trato_Diario!$A$4:$A$300,$A21)=0),"",SUMIFS(Trato_Diario!$J$4:$J$300,Trato_Diario!$B$4:$B$300,6,Trato_Diario!$A$4:$A$300,$A21)/SUMIFS(Trato_Diario!$G$4:$G$300,Trato_Diario!$B$4:$B$300,6,Trato_Diario!$A$4:$A$300,$A21))</f>
        <v>9.7860000000000014</v>
      </c>
      <c r="H21" s="26">
        <f>IF(OR($A21&gt;MAX(Trato_Diario!$A$4:$A$300),SUMIFS(Trato_Diario!$G$4:$G$300,Trato_Diario!$B$4:$B$300,7,Trato_Diario!$A$4:$A$300,$A21)=0),"",SUMIFS(Trato_Diario!$J$4:$J$300,Trato_Diario!$B$4:$B$300,7,Trato_Diario!$A$4:$A$300,$A21)/SUMIFS(Trato_Diario!$G$4:$G$300,Trato_Diario!$B$4:$B$300,7,Trato_Diario!$A$4:$A$300,$A21))</f>
        <v>10.532970588235294</v>
      </c>
      <c r="I21" s="26">
        <f>IF(OR($A21&gt;MAX(Trato_Diario!$A$4:$A$300),SUMIFS(Trato_Diario!$G$4:$G$300,Trato_Diario!$B$4:$B$300,8,Trato_Diario!$A$4:$A$300,$A21)=0),"",SUMIFS(Trato_Diario!$J$4:$J$300,Trato_Diario!$B$4:$B$300,8,Trato_Diario!$A$4:$A$300,$A21)/SUMIFS(Trato_Diario!$G$4:$G$300,Trato_Diario!$B$4:$B$300,8,Trato_Diario!$A$4:$A$300,$A21))</f>
        <v>10.028422794117647</v>
      </c>
      <c r="J21" s="26">
        <f>IF(OR($A21&gt;MAX(Trato_Diario!$A$4:$A$300),SUMIFS(Trato_Diario!$G$4:$G$300,Trato_Diario!$B$4:$B$300,9,Trato_Diario!$A$4:$A$300,$A21)=0),"",SUMIFS(Trato_Diario!$J$4:$J$300,Trato_Diario!$B$4:$B$300,9,Trato_Diario!$A$4:$A$300,$A21)/SUMIFS(Trato_Diario!$G$4:$G$300,Trato_Diario!$B$4:$B$300,9,Trato_Diario!$A$4:$A$300,$A21))</f>
        <v>8.5502678571428579</v>
      </c>
      <c r="K21" s="26">
        <f>IF(OR($A21&gt;MAX(Trato_Diario!$A$4:$A$300),SUMIFS(Trato_Diario!$G$4:$G$300,Trato_Diario!$B$4:$B$300,10,Trato_Diario!$A$4:$A$300,$A21)=0),"",SUMIFS(Trato_Diario!$J$4:$J$300,Trato_Diario!$B$4:$B$300,10,Trato_Diario!$A$4:$A$300,$A21)/SUMIFS(Trato_Diario!$G$4:$G$300,Trato_Diario!$B$4:$B$300,10,Trato_Diario!$A$4:$A$300,$A21))</f>
        <v>9.6553787878787887</v>
      </c>
      <c r="L21" s="74">
        <f>IF(OR($A21&gt;MAX(Trato_Diario!$A$4:$A$300),SUMIFS(Trato_Diario!$G$4:$G$300,Trato_Diario!$A$4:$A$300,$A21)=0),"",SUMIFS(Trato_Diario!$J$4:$J$300,Trato_Diario!$A$4:$A$300,$A21)/SUMIFS(Trato_Diario!$G$4:$G$300,Trato_Diario!$A$4:$A$300,$A21))</f>
        <v>10.159395123839008</v>
      </c>
    </row>
    <row r="22" spans="1:12" ht="14.25" customHeight="1" x14ac:dyDescent="0.3">
      <c r="A22" s="86">
        <v>46231</v>
      </c>
      <c r="B22" s="28">
        <f>IF(OR($A22&gt;MAX(Trato_Diario!$A$4:$A$300),SUMIFS(Trato_Diario!$G$4:$G$300,Trato_Diario!$B$4:$B$300,1,Trato_Diario!$A$4:$A$300,$A22)=0),"",SUMIFS(Trato_Diario!$J$4:$J$300,Trato_Diario!$B$4:$B$300,1,Trato_Diario!$A$4:$A$300,$A22)/SUMIFS(Trato_Diario!$G$4:$G$300,Trato_Diario!$B$4:$B$300,1,Trato_Diario!$A$4:$A$300,$A22))</f>
        <v>11.495177631578947</v>
      </c>
      <c r="C22" s="28">
        <f>IF(OR($A22&gt;MAX(Trato_Diario!$A$4:$A$300),SUMIFS(Trato_Diario!$G$4:$G$300,Trato_Diario!$B$4:$B$300,2,Trato_Diario!$A$4:$A$300,$A22)=0),"",SUMIFS(Trato_Diario!$J$4:$J$300,Trato_Diario!$B$4:$B$300,2,Trato_Diario!$A$4:$A$300,$A22)/SUMIFS(Trato_Diario!$G$4:$G$300,Trato_Diario!$B$4:$B$300,2,Trato_Diario!$A$4:$A$300,$A22))</f>
        <v>12.714386363636367</v>
      </c>
      <c r="D22" s="28">
        <f>IF(OR($A22&gt;MAX(Trato_Diario!$A$4:$A$300),SUMIFS(Trato_Diario!$G$4:$G$300,Trato_Diario!$B$4:$B$300,3,Trato_Diario!$A$4:$A$300,$A22)=0),"",SUMIFS(Trato_Diario!$J$4:$J$300,Trato_Diario!$B$4:$B$300,3,Trato_Diario!$A$4:$A$300,$A22)/SUMIFS(Trato_Diario!$G$4:$G$300,Trato_Diario!$B$4:$B$300,3,Trato_Diario!$A$4:$A$300,$A22))</f>
        <v>10.414414705882352</v>
      </c>
      <c r="E22" s="28">
        <f>IF(OR($A22&gt;MAX(Trato_Diario!$A$4:$A$300),SUMIFS(Trato_Diario!$G$4:$G$300,Trato_Diario!$B$4:$B$300,4,Trato_Diario!$A$4:$A$300,$A22)=0),"",SUMIFS(Trato_Diario!$J$4:$J$300,Trato_Diario!$B$4:$B$300,4,Trato_Diario!$A$4:$A$300,$A22)/SUMIFS(Trato_Diario!$G$4:$G$300,Trato_Diario!$B$4:$B$300,4,Trato_Diario!$A$4:$A$300,$A22))</f>
        <v>9.6921527777777783</v>
      </c>
      <c r="F22" s="28">
        <f>IF(OR($A22&gt;MAX(Trato_Diario!$A$4:$A$300),SUMIFS(Trato_Diario!$G$4:$G$300,Trato_Diario!$B$4:$B$300,5,Trato_Diario!$A$4:$A$300,$A22)=0),"",SUMIFS(Trato_Diario!$J$4:$J$300,Trato_Diario!$B$4:$B$300,5,Trato_Diario!$A$4:$A$300,$A22)/SUMIFS(Trato_Diario!$G$4:$G$300,Trato_Diario!$B$4:$B$300,5,Trato_Diario!$A$4:$A$300,$A22))</f>
        <v>9.1445880681818181</v>
      </c>
      <c r="G22" s="28">
        <f>IF(OR($A22&gt;MAX(Trato_Diario!$A$4:$A$300),SUMIFS(Trato_Diario!$G$4:$G$300,Trato_Diario!$B$4:$B$300,6,Trato_Diario!$A$4:$A$300,$A22)=0),"",SUMIFS(Trato_Diario!$J$4:$J$300,Trato_Diario!$B$4:$B$300,6,Trato_Diario!$A$4:$A$300,$A22)/SUMIFS(Trato_Diario!$G$4:$G$300,Trato_Diario!$B$4:$B$300,6,Trato_Diario!$A$4:$A$300,$A22))</f>
        <v>9.7860000000000014</v>
      </c>
      <c r="H22" s="28">
        <f>IF(OR($A22&gt;MAX(Trato_Diario!$A$4:$A$300),SUMIFS(Trato_Diario!$G$4:$G$300,Trato_Diario!$B$4:$B$300,7,Trato_Diario!$A$4:$A$300,$A22)=0),"",SUMIFS(Trato_Diario!$J$4:$J$300,Trato_Diario!$B$4:$B$300,7,Trato_Diario!$A$4:$A$300,$A22)/SUMIFS(Trato_Diario!$G$4:$G$300,Trato_Diario!$B$4:$B$300,7,Trato_Diario!$A$4:$A$300,$A22))</f>
        <v>10.532970588235294</v>
      </c>
      <c r="I22" s="28">
        <f>IF(OR($A22&gt;MAX(Trato_Diario!$A$4:$A$300),SUMIFS(Trato_Diario!$G$4:$G$300,Trato_Diario!$B$4:$B$300,8,Trato_Diario!$A$4:$A$300,$A22)=0),"",SUMIFS(Trato_Diario!$J$4:$J$300,Trato_Diario!$B$4:$B$300,8,Trato_Diario!$A$4:$A$300,$A22)/SUMIFS(Trato_Diario!$G$4:$G$300,Trato_Diario!$B$4:$B$300,8,Trato_Diario!$A$4:$A$300,$A22))</f>
        <v>10.028422794117647</v>
      </c>
      <c r="J22" s="28">
        <f>IF(OR($A22&gt;MAX(Trato_Diario!$A$4:$A$300),SUMIFS(Trato_Diario!$G$4:$G$300,Trato_Diario!$B$4:$B$300,9,Trato_Diario!$A$4:$A$300,$A22)=0),"",SUMIFS(Trato_Diario!$J$4:$J$300,Trato_Diario!$B$4:$B$300,9,Trato_Diario!$A$4:$A$300,$A22)/SUMIFS(Trato_Diario!$G$4:$G$300,Trato_Diario!$B$4:$B$300,9,Trato_Diario!$A$4:$A$300,$A22))</f>
        <v>8.5502678571428579</v>
      </c>
      <c r="K22" s="28">
        <f>IF(OR($A22&gt;MAX(Trato_Diario!$A$4:$A$300),SUMIFS(Trato_Diario!$G$4:$G$300,Trato_Diario!$B$4:$B$300,10,Trato_Diario!$A$4:$A$300,$A22)=0),"",SUMIFS(Trato_Diario!$J$4:$J$300,Trato_Diario!$B$4:$B$300,10,Trato_Diario!$A$4:$A$300,$A22)/SUMIFS(Trato_Diario!$G$4:$G$300,Trato_Diario!$B$4:$B$300,10,Trato_Diario!$A$4:$A$300,$A22))</f>
        <v>9.6553787878787887</v>
      </c>
      <c r="L22" s="76">
        <f>IF(OR($A22&gt;MAX(Trato_Diario!$A$4:$A$300),SUMIFS(Trato_Diario!$G$4:$G$300,Trato_Diario!$A$4:$A$300,$A22)=0),"",SUMIFS(Trato_Diario!$J$4:$J$300,Trato_Diario!$A$4:$A$300,$A22)/SUMIFS(Trato_Diario!$G$4:$G$300,Trato_Diario!$A$4:$A$300,$A22))</f>
        <v>10.159395123839008</v>
      </c>
    </row>
    <row r="23" spans="1:12" ht="14.25" customHeight="1" x14ac:dyDescent="0.3">
      <c r="A23" s="85">
        <v>46232</v>
      </c>
      <c r="B23" s="26">
        <f>IF(OR($A23&gt;MAX(Trato_Diario!$A$4:$A$300),SUMIFS(Trato_Diario!$G$4:$G$300,Trato_Diario!$B$4:$B$300,1,Trato_Diario!$A$4:$A$300,$A23)=0),"",SUMIFS(Trato_Diario!$J$4:$J$300,Trato_Diario!$B$4:$B$300,1,Trato_Diario!$A$4:$A$300,$A23)/SUMIFS(Trato_Diario!$G$4:$G$300,Trato_Diario!$B$4:$B$300,1,Trato_Diario!$A$4:$A$300,$A23))</f>
        <v>11.495177631578947</v>
      </c>
      <c r="C23" s="26">
        <f>IF(OR($A23&gt;MAX(Trato_Diario!$A$4:$A$300),SUMIFS(Trato_Diario!$G$4:$G$300,Trato_Diario!$B$4:$B$300,2,Trato_Diario!$A$4:$A$300,$A23)=0),"",SUMIFS(Trato_Diario!$J$4:$J$300,Trato_Diario!$B$4:$B$300,2,Trato_Diario!$A$4:$A$300,$A23)/SUMIFS(Trato_Diario!$G$4:$G$300,Trato_Diario!$B$4:$B$300,2,Trato_Diario!$A$4:$A$300,$A23))</f>
        <v>12.714386363636367</v>
      </c>
      <c r="D23" s="26">
        <f>IF(OR($A23&gt;MAX(Trato_Diario!$A$4:$A$300),SUMIFS(Trato_Diario!$G$4:$G$300,Trato_Diario!$B$4:$B$300,3,Trato_Diario!$A$4:$A$300,$A23)=0),"",SUMIFS(Trato_Diario!$J$4:$J$300,Trato_Diario!$B$4:$B$300,3,Trato_Diario!$A$4:$A$300,$A23)/SUMIFS(Trato_Diario!$G$4:$G$300,Trato_Diario!$B$4:$B$300,3,Trato_Diario!$A$4:$A$300,$A23))</f>
        <v>10.414414705882352</v>
      </c>
      <c r="E23" s="26">
        <f>IF(OR($A23&gt;MAX(Trato_Diario!$A$4:$A$300),SUMIFS(Trato_Diario!$G$4:$G$300,Trato_Diario!$B$4:$B$300,4,Trato_Diario!$A$4:$A$300,$A23)=0),"",SUMIFS(Trato_Diario!$J$4:$J$300,Trato_Diario!$B$4:$B$300,4,Trato_Diario!$A$4:$A$300,$A23)/SUMIFS(Trato_Diario!$G$4:$G$300,Trato_Diario!$B$4:$B$300,4,Trato_Diario!$A$4:$A$300,$A23))</f>
        <v>9.6921527777777783</v>
      </c>
      <c r="F23" s="26">
        <f>IF(OR($A23&gt;MAX(Trato_Diario!$A$4:$A$300),SUMIFS(Trato_Diario!$G$4:$G$300,Trato_Diario!$B$4:$B$300,5,Trato_Diario!$A$4:$A$300,$A23)=0),"",SUMIFS(Trato_Diario!$J$4:$J$300,Trato_Diario!$B$4:$B$300,5,Trato_Diario!$A$4:$A$300,$A23)/SUMIFS(Trato_Diario!$G$4:$G$300,Trato_Diario!$B$4:$B$300,5,Trato_Diario!$A$4:$A$300,$A23))</f>
        <v>9.1445880681818181</v>
      </c>
      <c r="G23" s="26">
        <f>IF(OR($A23&gt;MAX(Trato_Diario!$A$4:$A$300),SUMIFS(Trato_Diario!$G$4:$G$300,Trato_Diario!$B$4:$B$300,6,Trato_Diario!$A$4:$A$300,$A23)=0),"",SUMIFS(Trato_Diario!$J$4:$J$300,Trato_Diario!$B$4:$B$300,6,Trato_Diario!$A$4:$A$300,$A23)/SUMIFS(Trato_Diario!$G$4:$G$300,Trato_Diario!$B$4:$B$300,6,Trato_Diario!$A$4:$A$300,$A23))</f>
        <v>9.7860000000000014</v>
      </c>
      <c r="H23" s="26">
        <f>IF(OR($A23&gt;MAX(Trato_Diario!$A$4:$A$300),SUMIFS(Trato_Diario!$G$4:$G$300,Trato_Diario!$B$4:$B$300,7,Trato_Diario!$A$4:$A$300,$A23)=0),"",SUMIFS(Trato_Diario!$J$4:$J$300,Trato_Diario!$B$4:$B$300,7,Trato_Diario!$A$4:$A$300,$A23)/SUMIFS(Trato_Diario!$G$4:$G$300,Trato_Diario!$B$4:$B$300,7,Trato_Diario!$A$4:$A$300,$A23))</f>
        <v>10.532970588235294</v>
      </c>
      <c r="I23" s="26">
        <f>IF(OR($A23&gt;MAX(Trato_Diario!$A$4:$A$300),SUMIFS(Trato_Diario!$G$4:$G$300,Trato_Diario!$B$4:$B$300,8,Trato_Diario!$A$4:$A$300,$A23)=0),"",SUMIFS(Trato_Diario!$J$4:$J$300,Trato_Diario!$B$4:$B$300,8,Trato_Diario!$A$4:$A$300,$A23)/SUMIFS(Trato_Diario!$G$4:$G$300,Trato_Diario!$B$4:$B$300,8,Trato_Diario!$A$4:$A$300,$A23))</f>
        <v>10.028422794117647</v>
      </c>
      <c r="J23" s="26">
        <f>IF(OR($A23&gt;MAX(Trato_Diario!$A$4:$A$300),SUMIFS(Trato_Diario!$G$4:$G$300,Trato_Diario!$B$4:$B$300,9,Trato_Diario!$A$4:$A$300,$A23)=0),"",SUMIFS(Trato_Diario!$J$4:$J$300,Trato_Diario!$B$4:$B$300,9,Trato_Diario!$A$4:$A$300,$A23)/SUMIFS(Trato_Diario!$G$4:$G$300,Trato_Diario!$B$4:$B$300,9,Trato_Diario!$A$4:$A$300,$A23))</f>
        <v>8.5502678571428579</v>
      </c>
      <c r="K23" s="26">
        <f>IF(OR($A23&gt;MAX(Trato_Diario!$A$4:$A$300),SUMIFS(Trato_Diario!$G$4:$G$300,Trato_Diario!$B$4:$B$300,10,Trato_Diario!$A$4:$A$300,$A23)=0),"",SUMIFS(Trato_Diario!$J$4:$J$300,Trato_Diario!$B$4:$B$300,10,Trato_Diario!$A$4:$A$300,$A23)/SUMIFS(Trato_Diario!$G$4:$G$300,Trato_Diario!$B$4:$B$300,10,Trato_Diario!$A$4:$A$300,$A23))</f>
        <v>9.6553787878787887</v>
      </c>
      <c r="L23" s="74">
        <f>IF(OR($A23&gt;MAX(Trato_Diario!$A$4:$A$300),SUMIFS(Trato_Diario!$G$4:$G$300,Trato_Diario!$A$4:$A$300,$A23)=0),"",SUMIFS(Trato_Diario!$J$4:$J$300,Trato_Diario!$A$4:$A$300,$A23)/SUMIFS(Trato_Diario!$G$4:$G$300,Trato_Diario!$A$4:$A$300,$A23))</f>
        <v>10.159395123839008</v>
      </c>
    </row>
    <row r="24" spans="1:12" ht="14.25" customHeight="1" x14ac:dyDescent="0.3">
      <c r="A24" s="86">
        <v>46233</v>
      </c>
      <c r="B24" s="28">
        <f>IF(OR($A24&gt;MAX(Trato_Diario!$A$4:$A$300),SUMIFS(Trato_Diario!$G$4:$G$300,Trato_Diario!$B$4:$B$300,1,Trato_Diario!$A$4:$A$300,$A24)=0),"",SUMIFS(Trato_Diario!$J$4:$J$300,Trato_Diario!$B$4:$B$300,1,Trato_Diario!$A$4:$A$300,$A24)/SUMIFS(Trato_Diario!$G$4:$G$300,Trato_Diario!$B$4:$B$300,1,Trato_Diario!$A$4:$A$300,$A24))</f>
        <v>12.772845394736843</v>
      </c>
      <c r="C24" s="28">
        <f>IF(OR($A24&gt;MAX(Trato_Diario!$A$4:$A$300),SUMIFS(Trato_Diario!$G$4:$G$300,Trato_Diario!$B$4:$B$300,2,Trato_Diario!$A$4:$A$300,$A24)=0),"",SUMIFS(Trato_Diario!$J$4:$J$300,Trato_Diario!$B$4:$B$300,2,Trato_Diario!$A$4:$A$300,$A24)/SUMIFS(Trato_Diario!$G$4:$G$300,Trato_Diario!$B$4:$B$300,2,Trato_Diario!$A$4:$A$300,$A24))</f>
        <v>14.125625000000001</v>
      </c>
      <c r="D24" s="28">
        <f>IF(OR($A24&gt;MAX(Trato_Diario!$A$4:$A$300),SUMIFS(Trato_Diario!$G$4:$G$300,Trato_Diario!$B$4:$B$300,3,Trato_Diario!$A$4:$A$300,$A24)=0),"",SUMIFS(Trato_Diario!$J$4:$J$300,Trato_Diario!$B$4:$B$300,3,Trato_Diario!$A$4:$A$300,$A24)/SUMIFS(Trato_Diario!$G$4:$G$300,Trato_Diario!$B$4:$B$300,3,Trato_Diario!$A$4:$A$300,$A24))</f>
        <v>11.571191176470588</v>
      </c>
      <c r="E24" s="28">
        <f>IF(OR($A24&gt;MAX(Trato_Diario!$A$4:$A$300),SUMIFS(Trato_Diario!$G$4:$G$300,Trato_Diario!$B$4:$B$300,4,Trato_Diario!$A$4:$A$300,$A24)=0),"",SUMIFS(Trato_Diario!$J$4:$J$300,Trato_Diario!$B$4:$B$300,4,Trato_Diario!$A$4:$A$300,$A24)/SUMIFS(Trato_Diario!$G$4:$G$300,Trato_Diario!$B$4:$B$300,4,Trato_Diario!$A$4:$A$300,$A24))</f>
        <v>10.768483333333334</v>
      </c>
      <c r="F24" s="28">
        <f>IF(OR($A24&gt;MAX(Trato_Diario!$A$4:$A$300),SUMIFS(Trato_Diario!$G$4:$G$300,Trato_Diario!$B$4:$B$300,5,Trato_Diario!$A$4:$A$300,$A24)=0),"",SUMIFS(Trato_Diario!$J$4:$J$300,Trato_Diario!$B$4:$B$300,5,Trato_Diario!$A$4:$A$300,$A24)/SUMIFS(Trato_Diario!$G$4:$G$300,Trato_Diario!$B$4:$B$300,5,Trato_Diario!$A$4:$A$300,$A24))</f>
        <v>10.16065340909091</v>
      </c>
      <c r="G24" s="28">
        <f>IF(OR($A24&gt;MAX(Trato_Diario!$A$4:$A$300),SUMIFS(Trato_Diario!$G$4:$G$300,Trato_Diario!$B$4:$B$300,6,Trato_Diario!$A$4:$A$300,$A24)=0),"",SUMIFS(Trato_Diario!$J$4:$J$300,Trato_Diario!$B$4:$B$300,6,Trato_Diario!$A$4:$A$300,$A24)/SUMIFS(Trato_Diario!$G$4:$G$300,Trato_Diario!$B$4:$B$300,6,Trato_Diario!$A$4:$A$300,$A24))</f>
        <v>10.874247058823531</v>
      </c>
      <c r="H24" s="28">
        <f>IF(OR($A24&gt;MAX(Trato_Diario!$A$4:$A$300),SUMIFS(Trato_Diario!$G$4:$G$300,Trato_Diario!$B$4:$B$300,7,Trato_Diario!$A$4:$A$300,$A24)=0),"",SUMIFS(Trato_Diario!$J$4:$J$300,Trato_Diario!$B$4:$B$300,7,Trato_Diario!$A$4:$A$300,$A24)/SUMIFS(Trato_Diario!$G$4:$G$300,Trato_Diario!$B$4:$B$300,7,Trato_Diario!$A$4:$A$300,$A24))</f>
        <v>11.703452941176472</v>
      </c>
      <c r="I24" s="28">
        <f>IF(OR($A24&gt;MAX(Trato_Diario!$A$4:$A$300),SUMIFS(Trato_Diario!$G$4:$G$300,Trato_Diario!$B$4:$B$300,8,Trato_Diario!$A$4:$A$300,$A24)=0),"",SUMIFS(Trato_Diario!$J$4:$J$300,Trato_Diario!$B$4:$B$300,8,Trato_Diario!$A$4:$A$300,$A24)/SUMIFS(Trato_Diario!$G$4:$G$300,Trato_Diario!$B$4:$B$300,8,Trato_Diario!$A$4:$A$300,$A24))</f>
        <v>11.142882352941177</v>
      </c>
      <c r="J24" s="28">
        <f>IF(OR($A24&gt;MAX(Trato_Diario!$A$4:$A$300),SUMIFS(Trato_Diario!$G$4:$G$300,Trato_Diario!$B$4:$B$300,9,Trato_Diario!$A$4:$A$300,$A24)=0),"",SUMIFS(Trato_Diario!$J$4:$J$300,Trato_Diario!$B$4:$B$300,9,Trato_Diario!$A$4:$A$300,$A24)/SUMIFS(Trato_Diario!$G$4:$G$300,Trato_Diario!$B$4:$B$300,9,Trato_Diario!$A$4:$A$300,$A24))</f>
        <v>9.4989107142857154</v>
      </c>
      <c r="K24" s="28">
        <f>IF(OR($A24&gt;MAX(Trato_Diario!$A$4:$A$300),SUMIFS(Trato_Diario!$G$4:$G$300,Trato_Diario!$B$4:$B$300,10,Trato_Diario!$A$4:$A$300,$A24)=0),"",SUMIFS(Trato_Diario!$J$4:$J$300,Trato_Diario!$B$4:$B$300,10,Trato_Diario!$A$4:$A$300,$A24)/SUMIFS(Trato_Diario!$G$4:$G$300,Trato_Diario!$B$4:$B$300,10,Trato_Diario!$A$4:$A$300,$A24))</f>
        <v>10.72859090909091</v>
      </c>
      <c r="L24" s="76">
        <f>IF(OR($A24&gt;MAX(Trato_Diario!$A$4:$A$300),SUMIFS(Trato_Diario!$G$4:$G$300,Trato_Diario!$A$4:$A$300,$A24)=0),"",SUMIFS(Trato_Diario!$J$4:$J$300,Trato_Diario!$A$4:$A$300,$A24)/SUMIFS(Trato_Diario!$G$4:$G$300,Trato_Diario!$A$4:$A$300,$A24))</f>
        <v>11.288236842105261</v>
      </c>
    </row>
    <row r="25" spans="1:12" ht="14.25" customHeight="1" x14ac:dyDescent="0.3">
      <c r="A25" s="85">
        <v>46234</v>
      </c>
      <c r="B25" s="26">
        <f>IF(OR($A25&gt;MAX(Trato_Diario!$A$4:$A$300),SUMIFS(Trato_Diario!$G$4:$G$300,Trato_Diario!$B$4:$B$300,1,Trato_Diario!$A$4:$A$300,$A25)=0),"",SUMIFS(Trato_Diario!$J$4:$J$300,Trato_Diario!$B$4:$B$300,1,Trato_Diario!$A$4:$A$300,$A25)/SUMIFS(Trato_Diario!$G$4:$G$300,Trato_Diario!$B$4:$B$300,1,Trato_Diario!$A$4:$A$300,$A25))</f>
        <v>12.772845394736843</v>
      </c>
      <c r="C25" s="26">
        <f>IF(OR($A25&gt;MAX(Trato_Diario!$A$4:$A$300),SUMIFS(Trato_Diario!$G$4:$G$300,Trato_Diario!$B$4:$B$300,2,Trato_Diario!$A$4:$A$300,$A25)=0),"",SUMIFS(Trato_Diario!$J$4:$J$300,Trato_Diario!$B$4:$B$300,2,Trato_Diario!$A$4:$A$300,$A25)/SUMIFS(Trato_Diario!$G$4:$G$300,Trato_Diario!$B$4:$B$300,2,Trato_Diario!$A$4:$A$300,$A25))</f>
        <v>14.125625000000001</v>
      </c>
      <c r="D25" s="26">
        <f>IF(OR($A25&gt;MAX(Trato_Diario!$A$4:$A$300),SUMIFS(Trato_Diario!$G$4:$G$300,Trato_Diario!$B$4:$B$300,3,Trato_Diario!$A$4:$A$300,$A25)=0),"",SUMIFS(Trato_Diario!$J$4:$J$300,Trato_Diario!$B$4:$B$300,3,Trato_Diario!$A$4:$A$300,$A25)/SUMIFS(Trato_Diario!$G$4:$G$300,Trato_Diario!$B$4:$B$300,3,Trato_Diario!$A$4:$A$300,$A25))</f>
        <v>11.571191176470588</v>
      </c>
      <c r="E25" s="26">
        <f>IF(OR($A25&gt;MAX(Trato_Diario!$A$4:$A$300),SUMIFS(Trato_Diario!$G$4:$G$300,Trato_Diario!$B$4:$B$300,4,Trato_Diario!$A$4:$A$300,$A25)=0),"",SUMIFS(Trato_Diario!$J$4:$J$300,Trato_Diario!$B$4:$B$300,4,Trato_Diario!$A$4:$A$300,$A25)/SUMIFS(Trato_Diario!$G$4:$G$300,Trato_Diario!$B$4:$B$300,4,Trato_Diario!$A$4:$A$300,$A25))</f>
        <v>10.768483333333334</v>
      </c>
      <c r="F25" s="26">
        <f>IF(OR($A25&gt;MAX(Trato_Diario!$A$4:$A$300),SUMIFS(Trato_Diario!$G$4:$G$300,Trato_Diario!$B$4:$B$300,5,Trato_Diario!$A$4:$A$300,$A25)=0),"",SUMIFS(Trato_Diario!$J$4:$J$300,Trato_Diario!$B$4:$B$300,5,Trato_Diario!$A$4:$A$300,$A25)/SUMIFS(Trato_Diario!$G$4:$G$300,Trato_Diario!$B$4:$B$300,5,Trato_Diario!$A$4:$A$300,$A25))</f>
        <v>10.16065340909091</v>
      </c>
      <c r="G25" s="26">
        <f>IF(OR($A25&gt;MAX(Trato_Diario!$A$4:$A$300),SUMIFS(Trato_Diario!$G$4:$G$300,Trato_Diario!$B$4:$B$300,6,Trato_Diario!$A$4:$A$300,$A25)=0),"",SUMIFS(Trato_Diario!$J$4:$J$300,Trato_Diario!$B$4:$B$300,6,Trato_Diario!$A$4:$A$300,$A25)/SUMIFS(Trato_Diario!$G$4:$G$300,Trato_Diario!$B$4:$B$300,6,Trato_Diario!$A$4:$A$300,$A25))</f>
        <v>10.874247058823531</v>
      </c>
      <c r="H25" s="26">
        <f>IF(OR($A25&gt;MAX(Trato_Diario!$A$4:$A$300),SUMIFS(Trato_Diario!$G$4:$G$300,Trato_Diario!$B$4:$B$300,7,Trato_Diario!$A$4:$A$300,$A25)=0),"",SUMIFS(Trato_Diario!$J$4:$J$300,Trato_Diario!$B$4:$B$300,7,Trato_Diario!$A$4:$A$300,$A25)/SUMIFS(Trato_Diario!$G$4:$G$300,Trato_Diario!$B$4:$B$300,7,Trato_Diario!$A$4:$A$300,$A25))</f>
        <v>11.703452941176472</v>
      </c>
      <c r="I25" s="26">
        <f>IF(OR($A25&gt;MAX(Trato_Diario!$A$4:$A$300),SUMIFS(Trato_Diario!$G$4:$G$300,Trato_Diario!$B$4:$B$300,8,Trato_Diario!$A$4:$A$300,$A25)=0),"",SUMIFS(Trato_Diario!$J$4:$J$300,Trato_Diario!$B$4:$B$300,8,Trato_Diario!$A$4:$A$300,$A25)/SUMIFS(Trato_Diario!$G$4:$G$300,Trato_Diario!$B$4:$B$300,8,Trato_Diario!$A$4:$A$300,$A25))</f>
        <v>11.142882352941177</v>
      </c>
      <c r="J25" s="26">
        <f>IF(OR($A25&gt;MAX(Trato_Diario!$A$4:$A$300),SUMIFS(Trato_Diario!$G$4:$G$300,Trato_Diario!$B$4:$B$300,9,Trato_Diario!$A$4:$A$300,$A25)=0),"",SUMIFS(Trato_Diario!$J$4:$J$300,Trato_Diario!$B$4:$B$300,9,Trato_Diario!$A$4:$A$300,$A25)/SUMIFS(Trato_Diario!$G$4:$G$300,Trato_Diario!$B$4:$B$300,9,Trato_Diario!$A$4:$A$300,$A25))</f>
        <v>9.4989107142857154</v>
      </c>
      <c r="K25" s="26">
        <f>IF(OR($A25&gt;MAX(Trato_Diario!$A$4:$A$300),SUMIFS(Trato_Diario!$G$4:$G$300,Trato_Diario!$B$4:$B$300,10,Trato_Diario!$A$4:$A$300,$A25)=0),"",SUMIFS(Trato_Diario!$J$4:$J$300,Trato_Diario!$B$4:$B$300,10,Trato_Diario!$A$4:$A$300,$A25)/SUMIFS(Trato_Diario!$G$4:$G$300,Trato_Diario!$B$4:$B$300,10,Trato_Diario!$A$4:$A$300,$A25))</f>
        <v>10.72859090909091</v>
      </c>
      <c r="L25" s="74">
        <f>IF(OR($A25&gt;MAX(Trato_Diario!$A$4:$A$300),SUMIFS(Trato_Diario!$G$4:$G$300,Trato_Diario!$A$4:$A$300,$A25)=0),"",SUMIFS(Trato_Diario!$J$4:$J$300,Trato_Diario!$A$4:$A$300,$A25)/SUMIFS(Trato_Diario!$G$4:$G$300,Trato_Diario!$A$4:$A$300,$A25))</f>
        <v>11.288236842105261</v>
      </c>
    </row>
    <row r="26" spans="1:12" ht="14.25" customHeight="1" x14ac:dyDescent="0.3">
      <c r="A26" s="86">
        <v>46235</v>
      </c>
      <c r="B26" s="28">
        <f>IF(OR($A26&gt;MAX(Trato_Diario!$A$4:$A$300),SUMIFS(Trato_Diario!$G$4:$G$300,Trato_Diario!$B$4:$B$300,1,Trato_Diario!$A$4:$A$300,$A26)=0),"",SUMIFS(Trato_Diario!$J$4:$J$300,Trato_Diario!$B$4:$B$300,1,Trato_Diario!$A$4:$A$300,$A26)/SUMIFS(Trato_Diario!$G$4:$G$300,Trato_Diario!$B$4:$B$300,1,Trato_Diario!$A$4:$A$300,$A26))</f>
        <v>12.772845394736843</v>
      </c>
      <c r="C26" s="28">
        <f>IF(OR($A26&gt;MAX(Trato_Diario!$A$4:$A$300),SUMIFS(Trato_Diario!$G$4:$G$300,Trato_Diario!$B$4:$B$300,2,Trato_Diario!$A$4:$A$300,$A26)=0),"",SUMIFS(Trato_Diario!$J$4:$J$300,Trato_Diario!$B$4:$B$300,2,Trato_Diario!$A$4:$A$300,$A26)/SUMIFS(Trato_Diario!$G$4:$G$300,Trato_Diario!$B$4:$B$300,2,Trato_Diario!$A$4:$A$300,$A26))</f>
        <v>14.125625000000001</v>
      </c>
      <c r="D26" s="28">
        <f>IF(OR($A26&gt;MAX(Trato_Diario!$A$4:$A$300),SUMIFS(Trato_Diario!$G$4:$G$300,Trato_Diario!$B$4:$B$300,3,Trato_Diario!$A$4:$A$300,$A26)=0),"",SUMIFS(Trato_Diario!$J$4:$J$300,Trato_Diario!$B$4:$B$300,3,Trato_Diario!$A$4:$A$300,$A26)/SUMIFS(Trato_Diario!$G$4:$G$300,Trato_Diario!$B$4:$B$300,3,Trato_Diario!$A$4:$A$300,$A26))</f>
        <v>11.571191176470588</v>
      </c>
      <c r="E26" s="28">
        <f>IF(OR($A26&gt;MAX(Trato_Diario!$A$4:$A$300),SUMIFS(Trato_Diario!$G$4:$G$300,Trato_Diario!$B$4:$B$300,4,Trato_Diario!$A$4:$A$300,$A26)=0),"",SUMIFS(Trato_Diario!$J$4:$J$300,Trato_Diario!$B$4:$B$300,4,Trato_Diario!$A$4:$A$300,$A26)/SUMIFS(Trato_Diario!$G$4:$G$300,Trato_Diario!$B$4:$B$300,4,Trato_Diario!$A$4:$A$300,$A26))</f>
        <v>10.768483333333334</v>
      </c>
      <c r="F26" s="28">
        <f>IF(OR($A26&gt;MAX(Trato_Diario!$A$4:$A$300),SUMIFS(Trato_Diario!$G$4:$G$300,Trato_Diario!$B$4:$B$300,5,Trato_Diario!$A$4:$A$300,$A26)=0),"",SUMIFS(Trato_Diario!$J$4:$J$300,Trato_Diario!$B$4:$B$300,5,Trato_Diario!$A$4:$A$300,$A26)/SUMIFS(Trato_Diario!$G$4:$G$300,Trato_Diario!$B$4:$B$300,5,Trato_Diario!$A$4:$A$300,$A26))</f>
        <v>10.16065340909091</v>
      </c>
      <c r="G26" s="28">
        <f>IF(OR($A26&gt;MAX(Trato_Diario!$A$4:$A$300),SUMIFS(Trato_Diario!$G$4:$G$300,Trato_Diario!$B$4:$B$300,6,Trato_Diario!$A$4:$A$300,$A26)=0),"",SUMIFS(Trato_Diario!$J$4:$J$300,Trato_Diario!$B$4:$B$300,6,Trato_Diario!$A$4:$A$300,$A26)/SUMIFS(Trato_Diario!$G$4:$G$300,Trato_Diario!$B$4:$B$300,6,Trato_Diario!$A$4:$A$300,$A26))</f>
        <v>10.874247058823531</v>
      </c>
      <c r="H26" s="28">
        <f>IF(OR($A26&gt;MAX(Trato_Diario!$A$4:$A$300),SUMIFS(Trato_Diario!$G$4:$G$300,Trato_Diario!$B$4:$B$300,7,Trato_Diario!$A$4:$A$300,$A26)=0),"",SUMIFS(Trato_Diario!$J$4:$J$300,Trato_Diario!$B$4:$B$300,7,Trato_Diario!$A$4:$A$300,$A26)/SUMIFS(Trato_Diario!$G$4:$G$300,Trato_Diario!$B$4:$B$300,7,Trato_Diario!$A$4:$A$300,$A26))</f>
        <v>11.703452941176472</v>
      </c>
      <c r="I26" s="28">
        <f>IF(OR($A26&gt;MAX(Trato_Diario!$A$4:$A$300),SUMIFS(Trato_Diario!$G$4:$G$300,Trato_Diario!$B$4:$B$300,8,Trato_Diario!$A$4:$A$300,$A26)=0),"",SUMIFS(Trato_Diario!$J$4:$J$300,Trato_Diario!$B$4:$B$300,8,Trato_Diario!$A$4:$A$300,$A26)/SUMIFS(Trato_Diario!$G$4:$G$300,Trato_Diario!$B$4:$B$300,8,Trato_Diario!$A$4:$A$300,$A26))</f>
        <v>11.142882352941177</v>
      </c>
      <c r="J26" s="28">
        <f>IF(OR($A26&gt;MAX(Trato_Diario!$A$4:$A$300),SUMIFS(Trato_Diario!$G$4:$G$300,Trato_Diario!$B$4:$B$300,9,Trato_Diario!$A$4:$A$300,$A26)=0),"",SUMIFS(Trato_Diario!$J$4:$J$300,Trato_Diario!$B$4:$B$300,9,Trato_Diario!$A$4:$A$300,$A26)/SUMIFS(Trato_Diario!$G$4:$G$300,Trato_Diario!$B$4:$B$300,9,Trato_Diario!$A$4:$A$300,$A26))</f>
        <v>9.4989107142857154</v>
      </c>
      <c r="K26" s="28">
        <f>IF(OR($A26&gt;MAX(Trato_Diario!$A$4:$A$300),SUMIFS(Trato_Diario!$G$4:$G$300,Trato_Diario!$B$4:$B$300,10,Trato_Diario!$A$4:$A$300,$A26)=0),"",SUMIFS(Trato_Diario!$J$4:$J$300,Trato_Diario!$B$4:$B$300,10,Trato_Diario!$A$4:$A$300,$A26)/SUMIFS(Trato_Diario!$G$4:$G$300,Trato_Diario!$B$4:$B$300,10,Trato_Diario!$A$4:$A$300,$A26))</f>
        <v>10.72859090909091</v>
      </c>
      <c r="L26" s="76">
        <f>IF(OR($A26&gt;MAX(Trato_Diario!$A$4:$A$300),SUMIFS(Trato_Diario!$G$4:$G$300,Trato_Diario!$A$4:$A$300,$A26)=0),"",SUMIFS(Trato_Diario!$J$4:$J$300,Trato_Diario!$A$4:$A$300,$A26)/SUMIFS(Trato_Diario!$G$4:$G$300,Trato_Diario!$A$4:$A$300,$A26))</f>
        <v>11.288236842105261</v>
      </c>
    </row>
    <row r="27" spans="1:12" ht="14.25" customHeight="1" x14ac:dyDescent="0.3">
      <c r="A27" s="85">
        <v>46236</v>
      </c>
      <c r="B27" s="26">
        <f>IF(OR($A27&gt;MAX(Trato_Diario!$A$4:$A$300),SUMIFS(Trato_Diario!$G$4:$G$300,Trato_Diario!$B$4:$B$300,1,Trato_Diario!$A$4:$A$300,$A27)=0),"",SUMIFS(Trato_Diario!$J$4:$J$300,Trato_Diario!$B$4:$B$300,1,Trato_Diario!$A$4:$A$300,$A27)/SUMIFS(Trato_Diario!$G$4:$G$300,Trato_Diario!$B$4:$B$300,1,Trato_Diario!$A$4:$A$300,$A27))</f>
        <v>12.772845394736843</v>
      </c>
      <c r="C27" s="26">
        <f>IF(OR($A27&gt;MAX(Trato_Diario!$A$4:$A$300),SUMIFS(Trato_Diario!$G$4:$G$300,Trato_Diario!$B$4:$B$300,2,Trato_Diario!$A$4:$A$300,$A27)=0),"",SUMIFS(Trato_Diario!$J$4:$J$300,Trato_Diario!$B$4:$B$300,2,Trato_Diario!$A$4:$A$300,$A27)/SUMIFS(Trato_Diario!$G$4:$G$300,Trato_Diario!$B$4:$B$300,2,Trato_Diario!$A$4:$A$300,$A27))</f>
        <v>14.125625000000001</v>
      </c>
      <c r="D27" s="26">
        <f>IF(OR($A27&gt;MAX(Trato_Diario!$A$4:$A$300),SUMIFS(Trato_Diario!$G$4:$G$300,Trato_Diario!$B$4:$B$300,3,Trato_Diario!$A$4:$A$300,$A27)=0),"",SUMIFS(Trato_Diario!$J$4:$J$300,Trato_Diario!$B$4:$B$300,3,Trato_Diario!$A$4:$A$300,$A27)/SUMIFS(Trato_Diario!$G$4:$G$300,Trato_Diario!$B$4:$B$300,3,Trato_Diario!$A$4:$A$300,$A27))</f>
        <v>11.571191176470588</v>
      </c>
      <c r="E27" s="26">
        <f>IF(OR($A27&gt;MAX(Trato_Diario!$A$4:$A$300),SUMIFS(Trato_Diario!$G$4:$G$300,Trato_Diario!$B$4:$B$300,4,Trato_Diario!$A$4:$A$300,$A27)=0),"",SUMIFS(Trato_Diario!$J$4:$J$300,Trato_Diario!$B$4:$B$300,4,Trato_Diario!$A$4:$A$300,$A27)/SUMIFS(Trato_Diario!$G$4:$G$300,Trato_Diario!$B$4:$B$300,4,Trato_Diario!$A$4:$A$300,$A27))</f>
        <v>10.768483333333334</v>
      </c>
      <c r="F27" s="26">
        <f>IF(OR($A27&gt;MAX(Trato_Diario!$A$4:$A$300),SUMIFS(Trato_Diario!$G$4:$G$300,Trato_Diario!$B$4:$B$300,5,Trato_Diario!$A$4:$A$300,$A27)=0),"",SUMIFS(Trato_Diario!$J$4:$J$300,Trato_Diario!$B$4:$B$300,5,Trato_Diario!$A$4:$A$300,$A27)/SUMIFS(Trato_Diario!$G$4:$G$300,Trato_Diario!$B$4:$B$300,5,Trato_Diario!$A$4:$A$300,$A27))</f>
        <v>10.16065340909091</v>
      </c>
      <c r="G27" s="26">
        <f>IF(OR($A27&gt;MAX(Trato_Diario!$A$4:$A$300),SUMIFS(Trato_Diario!$G$4:$G$300,Trato_Diario!$B$4:$B$300,6,Trato_Diario!$A$4:$A$300,$A27)=0),"",SUMIFS(Trato_Diario!$J$4:$J$300,Trato_Diario!$B$4:$B$300,6,Trato_Diario!$A$4:$A$300,$A27)/SUMIFS(Trato_Diario!$G$4:$G$300,Trato_Diario!$B$4:$B$300,6,Trato_Diario!$A$4:$A$300,$A27))</f>
        <v>10.874247058823531</v>
      </c>
      <c r="H27" s="26">
        <f>IF(OR($A27&gt;MAX(Trato_Diario!$A$4:$A$300),SUMIFS(Trato_Diario!$G$4:$G$300,Trato_Diario!$B$4:$B$300,7,Trato_Diario!$A$4:$A$300,$A27)=0),"",SUMIFS(Trato_Diario!$J$4:$J$300,Trato_Diario!$B$4:$B$300,7,Trato_Diario!$A$4:$A$300,$A27)/SUMIFS(Trato_Diario!$G$4:$G$300,Trato_Diario!$B$4:$B$300,7,Trato_Diario!$A$4:$A$300,$A27))</f>
        <v>11.703452941176472</v>
      </c>
      <c r="I27" s="26">
        <f>IF(OR($A27&gt;MAX(Trato_Diario!$A$4:$A$300),SUMIFS(Trato_Diario!$G$4:$G$300,Trato_Diario!$B$4:$B$300,8,Trato_Diario!$A$4:$A$300,$A27)=0),"",SUMIFS(Trato_Diario!$J$4:$J$300,Trato_Diario!$B$4:$B$300,8,Trato_Diario!$A$4:$A$300,$A27)/SUMIFS(Trato_Diario!$G$4:$G$300,Trato_Diario!$B$4:$B$300,8,Trato_Diario!$A$4:$A$300,$A27))</f>
        <v>11.142882352941177</v>
      </c>
      <c r="J27" s="26">
        <f>IF(OR($A27&gt;MAX(Trato_Diario!$A$4:$A$300),SUMIFS(Trato_Diario!$G$4:$G$300,Trato_Diario!$B$4:$B$300,9,Trato_Diario!$A$4:$A$300,$A27)=0),"",SUMIFS(Trato_Diario!$J$4:$J$300,Trato_Diario!$B$4:$B$300,9,Trato_Diario!$A$4:$A$300,$A27)/SUMIFS(Trato_Diario!$G$4:$G$300,Trato_Diario!$B$4:$B$300,9,Trato_Diario!$A$4:$A$300,$A27))</f>
        <v>9.4989107142857154</v>
      </c>
      <c r="K27" s="26">
        <f>IF(OR($A27&gt;MAX(Trato_Diario!$A$4:$A$300),SUMIFS(Trato_Diario!$G$4:$G$300,Trato_Diario!$B$4:$B$300,10,Trato_Diario!$A$4:$A$300,$A27)=0),"",SUMIFS(Trato_Diario!$J$4:$J$300,Trato_Diario!$B$4:$B$300,10,Trato_Diario!$A$4:$A$300,$A27)/SUMIFS(Trato_Diario!$G$4:$G$300,Trato_Diario!$B$4:$B$300,10,Trato_Diario!$A$4:$A$300,$A27))</f>
        <v>10.72859090909091</v>
      </c>
      <c r="L27" s="74">
        <f>IF(OR($A27&gt;MAX(Trato_Diario!$A$4:$A$300),SUMIFS(Trato_Diario!$G$4:$G$300,Trato_Diario!$A$4:$A$300,$A27)=0),"",SUMIFS(Trato_Diario!$J$4:$J$300,Trato_Diario!$A$4:$A$300,$A27)/SUMIFS(Trato_Diario!$G$4:$G$300,Trato_Diario!$A$4:$A$300,$A27))</f>
        <v>11.288236842105261</v>
      </c>
    </row>
    <row r="28" spans="1:12" ht="14.25" customHeight="1" x14ac:dyDescent="0.3">
      <c r="A28" s="86">
        <v>46237</v>
      </c>
      <c r="B28" s="28">
        <f>IF(OR($A28&gt;MAX(Trato_Diario!$A$4:$A$300),SUMIFS(Trato_Diario!$G$4:$G$300,Trato_Diario!$B$4:$B$300,1,Trato_Diario!$A$4:$A$300,$A28)=0),"",SUMIFS(Trato_Diario!$J$4:$J$300,Trato_Diario!$B$4:$B$300,1,Trato_Diario!$A$4:$A$300,$A28)/SUMIFS(Trato_Diario!$G$4:$G$300,Trato_Diario!$B$4:$B$300,1,Trato_Diario!$A$4:$A$300,$A28))</f>
        <v>12.772845394736843</v>
      </c>
      <c r="C28" s="28">
        <f>IF(OR($A28&gt;MAX(Trato_Diario!$A$4:$A$300),SUMIFS(Trato_Diario!$G$4:$G$300,Trato_Diario!$B$4:$B$300,2,Trato_Diario!$A$4:$A$300,$A28)=0),"",SUMIFS(Trato_Diario!$J$4:$J$300,Trato_Diario!$B$4:$B$300,2,Trato_Diario!$A$4:$A$300,$A28)/SUMIFS(Trato_Diario!$G$4:$G$300,Trato_Diario!$B$4:$B$300,2,Trato_Diario!$A$4:$A$300,$A28))</f>
        <v>14.125625000000001</v>
      </c>
      <c r="D28" s="28">
        <f>IF(OR($A28&gt;MAX(Trato_Diario!$A$4:$A$300),SUMIFS(Trato_Diario!$G$4:$G$300,Trato_Diario!$B$4:$B$300,3,Trato_Diario!$A$4:$A$300,$A28)=0),"",SUMIFS(Trato_Diario!$J$4:$J$300,Trato_Diario!$B$4:$B$300,3,Trato_Diario!$A$4:$A$300,$A28)/SUMIFS(Trato_Diario!$G$4:$G$300,Trato_Diario!$B$4:$B$300,3,Trato_Diario!$A$4:$A$300,$A28))</f>
        <v>11.571191176470588</v>
      </c>
      <c r="E28" s="28">
        <f>IF(OR($A28&gt;MAX(Trato_Diario!$A$4:$A$300),SUMIFS(Trato_Diario!$G$4:$G$300,Trato_Diario!$B$4:$B$300,4,Trato_Diario!$A$4:$A$300,$A28)=0),"",SUMIFS(Trato_Diario!$J$4:$J$300,Trato_Diario!$B$4:$B$300,4,Trato_Diario!$A$4:$A$300,$A28)/SUMIFS(Trato_Diario!$G$4:$G$300,Trato_Diario!$B$4:$B$300,4,Trato_Diario!$A$4:$A$300,$A28))</f>
        <v>10.768483333333334</v>
      </c>
      <c r="F28" s="28">
        <f>IF(OR($A28&gt;MAX(Trato_Diario!$A$4:$A$300),SUMIFS(Trato_Diario!$G$4:$G$300,Trato_Diario!$B$4:$B$300,5,Trato_Diario!$A$4:$A$300,$A28)=0),"",SUMIFS(Trato_Diario!$J$4:$J$300,Trato_Diario!$B$4:$B$300,5,Trato_Diario!$A$4:$A$300,$A28)/SUMIFS(Trato_Diario!$G$4:$G$300,Trato_Diario!$B$4:$B$300,5,Trato_Diario!$A$4:$A$300,$A28))</f>
        <v>10.16065340909091</v>
      </c>
      <c r="G28" s="28">
        <f>IF(OR($A28&gt;MAX(Trato_Diario!$A$4:$A$300),SUMIFS(Trato_Diario!$G$4:$G$300,Trato_Diario!$B$4:$B$300,6,Trato_Diario!$A$4:$A$300,$A28)=0),"",SUMIFS(Trato_Diario!$J$4:$J$300,Trato_Diario!$B$4:$B$300,6,Trato_Diario!$A$4:$A$300,$A28)/SUMIFS(Trato_Diario!$G$4:$G$300,Trato_Diario!$B$4:$B$300,6,Trato_Diario!$A$4:$A$300,$A28))</f>
        <v>10.874247058823531</v>
      </c>
      <c r="H28" s="28">
        <f>IF(OR($A28&gt;MAX(Trato_Diario!$A$4:$A$300),SUMIFS(Trato_Diario!$G$4:$G$300,Trato_Diario!$B$4:$B$300,7,Trato_Diario!$A$4:$A$300,$A28)=0),"",SUMIFS(Trato_Diario!$J$4:$J$300,Trato_Diario!$B$4:$B$300,7,Trato_Diario!$A$4:$A$300,$A28)/SUMIFS(Trato_Diario!$G$4:$G$300,Trato_Diario!$B$4:$B$300,7,Trato_Diario!$A$4:$A$300,$A28))</f>
        <v>11.703452941176472</v>
      </c>
      <c r="I28" s="28">
        <f>IF(OR($A28&gt;MAX(Trato_Diario!$A$4:$A$300),SUMIFS(Trato_Diario!$G$4:$G$300,Trato_Diario!$B$4:$B$300,8,Trato_Diario!$A$4:$A$300,$A28)=0),"",SUMIFS(Trato_Diario!$J$4:$J$300,Trato_Diario!$B$4:$B$300,8,Trato_Diario!$A$4:$A$300,$A28)/SUMIFS(Trato_Diario!$G$4:$G$300,Trato_Diario!$B$4:$B$300,8,Trato_Diario!$A$4:$A$300,$A28))</f>
        <v>11.142882352941177</v>
      </c>
      <c r="J28" s="28">
        <f>IF(OR($A28&gt;MAX(Trato_Diario!$A$4:$A$300),SUMIFS(Trato_Diario!$G$4:$G$300,Trato_Diario!$B$4:$B$300,9,Trato_Diario!$A$4:$A$300,$A28)=0),"",SUMIFS(Trato_Diario!$J$4:$J$300,Trato_Diario!$B$4:$B$300,9,Trato_Diario!$A$4:$A$300,$A28)/SUMIFS(Trato_Diario!$G$4:$G$300,Trato_Diario!$B$4:$B$300,9,Trato_Diario!$A$4:$A$300,$A28))</f>
        <v>9.4989107142857154</v>
      </c>
      <c r="K28" s="28">
        <f>IF(OR($A28&gt;MAX(Trato_Diario!$A$4:$A$300),SUMIFS(Trato_Diario!$G$4:$G$300,Trato_Diario!$B$4:$B$300,10,Trato_Diario!$A$4:$A$300,$A28)=0),"",SUMIFS(Trato_Diario!$J$4:$J$300,Trato_Diario!$B$4:$B$300,10,Trato_Diario!$A$4:$A$300,$A28)/SUMIFS(Trato_Diario!$G$4:$G$300,Trato_Diario!$B$4:$B$300,10,Trato_Diario!$A$4:$A$300,$A28))</f>
        <v>10.72859090909091</v>
      </c>
      <c r="L28" s="76">
        <f>IF(OR($A28&gt;MAX(Trato_Diario!$A$4:$A$300),SUMIFS(Trato_Diario!$G$4:$G$300,Trato_Diario!$A$4:$A$300,$A28)=0),"",SUMIFS(Trato_Diario!$J$4:$J$300,Trato_Diario!$A$4:$A$300,$A28)/SUMIFS(Trato_Diario!$G$4:$G$300,Trato_Diario!$A$4:$A$300,$A28))</f>
        <v>11.288236842105261</v>
      </c>
    </row>
    <row r="29" spans="1:12" ht="14.25" customHeight="1" x14ac:dyDescent="0.3">
      <c r="A29" s="85">
        <v>46238</v>
      </c>
      <c r="B29" s="26">
        <f>IF(OR($A29&gt;MAX(Trato_Diario!$A$4:$A$300),SUMIFS(Trato_Diario!$G$4:$G$300,Trato_Diario!$B$4:$B$300,1,Trato_Diario!$A$4:$A$300,$A29)=0),"",SUMIFS(Trato_Diario!$J$4:$J$300,Trato_Diario!$B$4:$B$300,1,Trato_Diario!$A$4:$A$300,$A29)/SUMIFS(Trato_Diario!$G$4:$G$300,Trato_Diario!$B$4:$B$300,1,Trato_Diario!$A$4:$A$300,$A29))</f>
        <v>18.039862499999998</v>
      </c>
      <c r="C29" s="26">
        <f>IF(OR($A29&gt;MAX(Trato_Diario!$A$4:$A$300),SUMIFS(Trato_Diario!$G$4:$G$300,Trato_Diario!$B$4:$B$300,2,Trato_Diario!$A$4:$A$300,$A29)=0),"",SUMIFS(Trato_Diario!$J$4:$J$300,Trato_Diario!$B$4:$B$300,2,Trato_Diario!$A$4:$A$300,$A29)/SUMIFS(Trato_Diario!$G$4:$G$300,Trato_Diario!$B$4:$B$300,2,Trato_Diario!$A$4:$A$300,$A29))</f>
        <v>19.950474999999997</v>
      </c>
      <c r="D29" s="26">
        <f>IF(OR($A29&gt;MAX(Trato_Diario!$A$4:$A$300),SUMIFS(Trato_Diario!$G$4:$G$300,Trato_Diario!$B$4:$B$300,3,Trato_Diario!$A$4:$A$300,$A29)=0),"",SUMIFS(Trato_Diario!$J$4:$J$300,Trato_Diario!$B$4:$B$300,3,Trato_Diario!$A$4:$A$300,$A29)/SUMIFS(Trato_Diario!$G$4:$G$300,Trato_Diario!$B$4:$B$300,3,Trato_Diario!$A$4:$A$300,$A29))</f>
        <v>16.342693529411765</v>
      </c>
      <c r="E29" s="26">
        <f>IF(OR($A29&gt;MAX(Trato_Diario!$A$4:$A$300),SUMIFS(Trato_Diario!$G$4:$G$300,Trato_Diario!$B$4:$B$300,4,Trato_Diario!$A$4:$A$300,$A29)=0),"",SUMIFS(Trato_Diario!$J$4:$J$300,Trato_Diario!$B$4:$B$300,4,Trato_Diario!$A$4:$A$300,$A29)/SUMIFS(Trato_Diario!$G$4:$G$300,Trato_Diario!$B$4:$B$300,4,Trato_Diario!$A$4:$A$300,$A29))</f>
        <v>15.208980666666667</v>
      </c>
      <c r="F29" s="26">
        <f>IF(OR($A29&gt;MAX(Trato_Diario!$A$4:$A$300),SUMIFS(Trato_Diario!$G$4:$G$300,Trato_Diario!$B$4:$B$300,5,Trato_Diario!$A$4:$A$300,$A29)=0),"",SUMIFS(Trato_Diario!$J$4:$J$300,Trato_Diario!$B$4:$B$300,5,Trato_Diario!$A$4:$A$300,$A29)/SUMIFS(Trato_Diario!$G$4:$G$300,Trato_Diario!$B$4:$B$300,5,Trato_Diario!$A$4:$A$300,$A29))</f>
        <v>14.350505681818181</v>
      </c>
      <c r="G29" s="26">
        <f>IF(OR($A29&gt;MAX(Trato_Diario!$A$4:$A$300),SUMIFS(Trato_Diario!$G$4:$G$300,Trato_Diario!$B$4:$B$300,6,Trato_Diario!$A$4:$A$300,$A29)=0),"",SUMIFS(Trato_Diario!$J$4:$J$300,Trato_Diario!$B$4:$B$300,6,Trato_Diario!$A$4:$A$300,$A29)/SUMIFS(Trato_Diario!$G$4:$G$300,Trato_Diario!$B$4:$B$300,6,Trato_Diario!$A$4:$A$300,$A29))</f>
        <v>15.358357176470589</v>
      </c>
      <c r="H29" s="26">
        <f>IF(OR($A29&gt;MAX(Trato_Diario!$A$4:$A$300),SUMIFS(Trato_Diario!$G$4:$G$300,Trato_Diario!$B$4:$B$300,7,Trato_Diario!$A$4:$A$300,$A29)=0),"",SUMIFS(Trato_Diario!$J$4:$J$300,Trato_Diario!$B$4:$B$300,7,Trato_Diario!$A$4:$A$300,$A29)/SUMIFS(Trato_Diario!$G$4:$G$300,Trato_Diario!$B$4:$B$300,7,Trato_Diario!$A$4:$A$300,$A29))</f>
        <v>16.529494823529415</v>
      </c>
      <c r="I29" s="26">
        <f>IF(OR($A29&gt;MAX(Trato_Diario!$A$4:$A$300),SUMIFS(Trato_Diario!$G$4:$G$300,Trato_Diario!$B$4:$B$300,8,Trato_Diario!$A$4:$A$300,$A29)=0),"",SUMIFS(Trato_Diario!$J$4:$J$300,Trato_Diario!$B$4:$B$300,8,Trato_Diario!$A$4:$A$300,$A29)/SUMIFS(Trato_Diario!$G$4:$G$300,Trato_Diario!$B$4:$B$300,8,Trato_Diario!$A$4:$A$300,$A29))</f>
        <v>15.737767058823529</v>
      </c>
      <c r="J29" s="26">
        <f>IF(OR($A29&gt;MAX(Trato_Diario!$A$4:$A$300),SUMIFS(Trato_Diario!$G$4:$G$300,Trato_Diario!$B$4:$B$300,9,Trato_Diario!$A$4:$A$300,$A29)=0),"",SUMIFS(Trato_Diario!$J$4:$J$300,Trato_Diario!$B$4:$B$300,9,Trato_Diario!$A$4:$A$300,$A29)/SUMIFS(Trato_Diario!$G$4:$G$300,Trato_Diario!$B$4:$B$300,9,Trato_Diario!$A$4:$A$300,$A29))</f>
        <v>13.415886428571429</v>
      </c>
      <c r="K29" s="26">
        <f>IF(OR($A29&gt;MAX(Trato_Diario!$A$4:$A$300),SUMIFS(Trato_Diario!$G$4:$G$300,Trato_Diario!$B$4:$B$300,10,Trato_Diario!$A$4:$A$300,$A29)=0),"",SUMIFS(Trato_Diario!$J$4:$J$300,Trato_Diario!$B$4:$B$300,10,Trato_Diario!$A$4:$A$300,$A29)/SUMIFS(Trato_Diario!$G$4:$G$300,Trato_Diario!$B$4:$B$300,10,Trato_Diario!$A$4:$A$300,$A29))</f>
        <v>15.15263818181818</v>
      </c>
      <c r="L29" s="74">
        <f>IF(OR($A29&gt;MAX(Trato_Diario!$A$4:$A$300),SUMIFS(Trato_Diario!$G$4:$G$300,Trato_Diario!$A$4:$A$300,$A29)=0),"",SUMIFS(Trato_Diario!$J$4:$J$300,Trato_Diario!$A$4:$A$300,$A29)/SUMIFS(Trato_Diario!$G$4:$G$300,Trato_Diario!$A$4:$A$300,$A29))</f>
        <v>15.943060000000003</v>
      </c>
    </row>
    <row r="30" spans="1:12" ht="14.25" customHeight="1" x14ac:dyDescent="0.3">
      <c r="A30" s="86">
        <v>46239</v>
      </c>
      <c r="B30" s="28">
        <f>IF(OR($A30&gt;MAX(Trato_Diario!$A$4:$A$300),SUMIFS(Trato_Diario!$G$4:$G$300,Trato_Diario!$B$4:$B$300,1,Trato_Diario!$A$4:$A$300,$A30)=0),"",SUMIFS(Trato_Diario!$J$4:$J$300,Trato_Diario!$B$4:$B$300,1,Trato_Diario!$A$4:$A$300,$A30)/SUMIFS(Trato_Diario!$G$4:$G$300,Trato_Diario!$B$4:$B$300,1,Trato_Diario!$A$4:$A$300,$A30))</f>
        <v>18.039862499999998</v>
      </c>
      <c r="C30" s="28">
        <f>IF(OR($A30&gt;MAX(Trato_Diario!$A$4:$A$300),SUMIFS(Trato_Diario!$G$4:$G$300,Trato_Diario!$B$4:$B$300,2,Trato_Diario!$A$4:$A$300,$A30)=0),"",SUMIFS(Trato_Diario!$J$4:$J$300,Trato_Diario!$B$4:$B$300,2,Trato_Diario!$A$4:$A$300,$A30)/SUMIFS(Trato_Diario!$G$4:$G$300,Trato_Diario!$B$4:$B$300,2,Trato_Diario!$A$4:$A$300,$A30))</f>
        <v>19.950474999999997</v>
      </c>
      <c r="D30" s="28">
        <f>IF(OR($A30&gt;MAX(Trato_Diario!$A$4:$A$300),SUMIFS(Trato_Diario!$G$4:$G$300,Trato_Diario!$B$4:$B$300,3,Trato_Diario!$A$4:$A$300,$A30)=0),"",SUMIFS(Trato_Diario!$J$4:$J$300,Trato_Diario!$B$4:$B$300,3,Trato_Diario!$A$4:$A$300,$A30)/SUMIFS(Trato_Diario!$G$4:$G$300,Trato_Diario!$B$4:$B$300,3,Trato_Diario!$A$4:$A$300,$A30))</f>
        <v>16.342693529411765</v>
      </c>
      <c r="E30" s="28">
        <f>IF(OR($A30&gt;MAX(Trato_Diario!$A$4:$A$300),SUMIFS(Trato_Diario!$G$4:$G$300,Trato_Diario!$B$4:$B$300,4,Trato_Diario!$A$4:$A$300,$A30)=0),"",SUMIFS(Trato_Diario!$J$4:$J$300,Trato_Diario!$B$4:$B$300,4,Trato_Diario!$A$4:$A$300,$A30)/SUMIFS(Trato_Diario!$G$4:$G$300,Trato_Diario!$B$4:$B$300,4,Trato_Diario!$A$4:$A$300,$A30))</f>
        <v>15.208980666666667</v>
      </c>
      <c r="F30" s="28">
        <f>IF(OR($A30&gt;MAX(Trato_Diario!$A$4:$A$300),SUMIFS(Trato_Diario!$G$4:$G$300,Trato_Diario!$B$4:$B$300,5,Trato_Diario!$A$4:$A$300,$A30)=0),"",SUMIFS(Trato_Diario!$J$4:$J$300,Trato_Diario!$B$4:$B$300,5,Trato_Diario!$A$4:$A$300,$A30)/SUMIFS(Trato_Diario!$G$4:$G$300,Trato_Diario!$B$4:$B$300,5,Trato_Diario!$A$4:$A$300,$A30))</f>
        <v>14.350505681818181</v>
      </c>
      <c r="G30" s="28">
        <f>IF(OR($A30&gt;MAX(Trato_Diario!$A$4:$A$300),SUMIFS(Trato_Diario!$G$4:$G$300,Trato_Diario!$B$4:$B$300,6,Trato_Diario!$A$4:$A$300,$A30)=0),"",SUMIFS(Trato_Diario!$J$4:$J$300,Trato_Diario!$B$4:$B$300,6,Trato_Diario!$A$4:$A$300,$A30)/SUMIFS(Trato_Diario!$G$4:$G$300,Trato_Diario!$B$4:$B$300,6,Trato_Diario!$A$4:$A$300,$A30))</f>
        <v>15.358357176470589</v>
      </c>
      <c r="H30" s="28">
        <f>IF(OR($A30&gt;MAX(Trato_Diario!$A$4:$A$300),SUMIFS(Trato_Diario!$G$4:$G$300,Trato_Diario!$B$4:$B$300,7,Trato_Diario!$A$4:$A$300,$A30)=0),"",SUMIFS(Trato_Diario!$J$4:$J$300,Trato_Diario!$B$4:$B$300,7,Trato_Diario!$A$4:$A$300,$A30)/SUMIFS(Trato_Diario!$G$4:$G$300,Trato_Diario!$B$4:$B$300,7,Trato_Diario!$A$4:$A$300,$A30))</f>
        <v>16.529494823529415</v>
      </c>
      <c r="I30" s="28">
        <f>IF(OR($A30&gt;MAX(Trato_Diario!$A$4:$A$300),SUMIFS(Trato_Diario!$G$4:$G$300,Trato_Diario!$B$4:$B$300,8,Trato_Diario!$A$4:$A$300,$A30)=0),"",SUMIFS(Trato_Diario!$J$4:$J$300,Trato_Diario!$B$4:$B$300,8,Trato_Diario!$A$4:$A$300,$A30)/SUMIFS(Trato_Diario!$G$4:$G$300,Trato_Diario!$B$4:$B$300,8,Trato_Diario!$A$4:$A$300,$A30))</f>
        <v>15.737767058823529</v>
      </c>
      <c r="J30" s="28">
        <f>IF(OR($A30&gt;MAX(Trato_Diario!$A$4:$A$300),SUMIFS(Trato_Diario!$G$4:$G$300,Trato_Diario!$B$4:$B$300,9,Trato_Diario!$A$4:$A$300,$A30)=0),"",SUMIFS(Trato_Diario!$J$4:$J$300,Trato_Diario!$B$4:$B$300,9,Trato_Diario!$A$4:$A$300,$A30)/SUMIFS(Trato_Diario!$G$4:$G$300,Trato_Diario!$B$4:$B$300,9,Trato_Diario!$A$4:$A$300,$A30))</f>
        <v>13.415886428571429</v>
      </c>
      <c r="K30" s="28">
        <f>IF(OR($A30&gt;MAX(Trato_Diario!$A$4:$A$300),SUMIFS(Trato_Diario!$G$4:$G$300,Trato_Diario!$B$4:$B$300,10,Trato_Diario!$A$4:$A$300,$A30)=0),"",SUMIFS(Trato_Diario!$J$4:$J$300,Trato_Diario!$B$4:$B$300,10,Trato_Diario!$A$4:$A$300,$A30)/SUMIFS(Trato_Diario!$G$4:$G$300,Trato_Diario!$B$4:$B$300,10,Trato_Diario!$A$4:$A$300,$A30))</f>
        <v>15.15263818181818</v>
      </c>
      <c r="L30" s="76">
        <f>IF(OR($A30&gt;MAX(Trato_Diario!$A$4:$A$300),SUMIFS(Trato_Diario!$G$4:$G$300,Trato_Diario!$A$4:$A$300,$A30)=0),"",SUMIFS(Trato_Diario!$J$4:$J$300,Trato_Diario!$A$4:$A$300,$A30)/SUMIFS(Trato_Diario!$G$4:$G$300,Trato_Diario!$A$4:$A$300,$A30))</f>
        <v>15.943060000000003</v>
      </c>
    </row>
    <row r="31" spans="1:12" ht="14.25" customHeight="1" x14ac:dyDescent="0.3">
      <c r="A31" s="85">
        <v>46240</v>
      </c>
      <c r="B31" s="26">
        <f>IF(OR($A31&gt;MAX(Trato_Diario!$A$4:$A$300),SUMIFS(Trato_Diario!$G$4:$G$300,Trato_Diario!$B$4:$B$300,1,Trato_Diario!$A$4:$A$300,$A31)=0),"",SUMIFS(Trato_Diario!$J$4:$J$300,Trato_Diario!$B$4:$B$300,1,Trato_Diario!$A$4:$A$300,$A31)/SUMIFS(Trato_Diario!$G$4:$G$300,Trato_Diario!$B$4:$B$300,1,Trato_Diario!$A$4:$A$300,$A31))</f>
        <v>18.039862499999998</v>
      </c>
      <c r="C31" s="26">
        <f>IF(OR($A31&gt;MAX(Trato_Diario!$A$4:$A$300),SUMIFS(Trato_Diario!$G$4:$G$300,Trato_Diario!$B$4:$B$300,2,Trato_Diario!$A$4:$A$300,$A31)=0),"",SUMIFS(Trato_Diario!$J$4:$J$300,Trato_Diario!$B$4:$B$300,2,Trato_Diario!$A$4:$A$300,$A31)/SUMIFS(Trato_Diario!$G$4:$G$300,Trato_Diario!$B$4:$B$300,2,Trato_Diario!$A$4:$A$300,$A31))</f>
        <v>19.950474999999997</v>
      </c>
      <c r="D31" s="26">
        <f>IF(OR($A31&gt;MAX(Trato_Diario!$A$4:$A$300),SUMIFS(Trato_Diario!$G$4:$G$300,Trato_Diario!$B$4:$B$300,3,Trato_Diario!$A$4:$A$300,$A31)=0),"",SUMIFS(Trato_Diario!$J$4:$J$300,Trato_Diario!$B$4:$B$300,3,Trato_Diario!$A$4:$A$300,$A31)/SUMIFS(Trato_Diario!$G$4:$G$300,Trato_Diario!$B$4:$B$300,3,Trato_Diario!$A$4:$A$300,$A31))</f>
        <v>16.342693529411765</v>
      </c>
      <c r="E31" s="26">
        <f>IF(OR($A31&gt;MAX(Trato_Diario!$A$4:$A$300),SUMIFS(Trato_Diario!$G$4:$G$300,Trato_Diario!$B$4:$B$300,4,Trato_Diario!$A$4:$A$300,$A31)=0),"",SUMIFS(Trato_Diario!$J$4:$J$300,Trato_Diario!$B$4:$B$300,4,Trato_Diario!$A$4:$A$300,$A31)/SUMIFS(Trato_Diario!$G$4:$G$300,Trato_Diario!$B$4:$B$300,4,Trato_Diario!$A$4:$A$300,$A31))</f>
        <v>15.208980666666667</v>
      </c>
      <c r="F31" s="26">
        <f>IF(OR($A31&gt;MAX(Trato_Diario!$A$4:$A$300),SUMIFS(Trato_Diario!$G$4:$G$300,Trato_Diario!$B$4:$B$300,5,Trato_Diario!$A$4:$A$300,$A31)=0),"",SUMIFS(Trato_Diario!$J$4:$J$300,Trato_Diario!$B$4:$B$300,5,Trato_Diario!$A$4:$A$300,$A31)/SUMIFS(Trato_Diario!$G$4:$G$300,Trato_Diario!$B$4:$B$300,5,Trato_Diario!$A$4:$A$300,$A31))</f>
        <v>14.350505681818181</v>
      </c>
      <c r="G31" s="26">
        <f>IF(OR($A31&gt;MAX(Trato_Diario!$A$4:$A$300),SUMIFS(Trato_Diario!$G$4:$G$300,Trato_Diario!$B$4:$B$300,6,Trato_Diario!$A$4:$A$300,$A31)=0),"",SUMIFS(Trato_Diario!$J$4:$J$300,Trato_Diario!$B$4:$B$300,6,Trato_Diario!$A$4:$A$300,$A31)/SUMIFS(Trato_Diario!$G$4:$G$300,Trato_Diario!$B$4:$B$300,6,Trato_Diario!$A$4:$A$300,$A31))</f>
        <v>15.358357176470589</v>
      </c>
      <c r="H31" s="26">
        <f>IF(OR($A31&gt;MAX(Trato_Diario!$A$4:$A$300),SUMIFS(Trato_Diario!$G$4:$G$300,Trato_Diario!$B$4:$B$300,7,Trato_Diario!$A$4:$A$300,$A31)=0),"",SUMIFS(Trato_Diario!$J$4:$J$300,Trato_Diario!$B$4:$B$300,7,Trato_Diario!$A$4:$A$300,$A31)/SUMIFS(Trato_Diario!$G$4:$G$300,Trato_Diario!$B$4:$B$300,7,Trato_Diario!$A$4:$A$300,$A31))</f>
        <v>16.529494823529415</v>
      </c>
      <c r="I31" s="26">
        <f>IF(OR($A31&gt;MAX(Trato_Diario!$A$4:$A$300),SUMIFS(Trato_Diario!$G$4:$G$300,Trato_Diario!$B$4:$B$300,8,Trato_Diario!$A$4:$A$300,$A31)=0),"",SUMIFS(Trato_Diario!$J$4:$J$300,Trato_Diario!$B$4:$B$300,8,Trato_Diario!$A$4:$A$300,$A31)/SUMIFS(Trato_Diario!$G$4:$G$300,Trato_Diario!$B$4:$B$300,8,Trato_Diario!$A$4:$A$300,$A31))</f>
        <v>15.737767058823529</v>
      </c>
      <c r="J31" s="26">
        <f>IF(OR($A31&gt;MAX(Trato_Diario!$A$4:$A$300),SUMIFS(Trato_Diario!$G$4:$G$300,Trato_Diario!$B$4:$B$300,9,Trato_Diario!$A$4:$A$300,$A31)=0),"",SUMIFS(Trato_Diario!$J$4:$J$300,Trato_Diario!$B$4:$B$300,9,Trato_Diario!$A$4:$A$300,$A31)/SUMIFS(Trato_Diario!$G$4:$G$300,Trato_Diario!$B$4:$B$300,9,Trato_Diario!$A$4:$A$300,$A31))</f>
        <v>13.415886428571429</v>
      </c>
      <c r="K31" s="26">
        <f>IF(OR($A31&gt;MAX(Trato_Diario!$A$4:$A$300),SUMIFS(Trato_Diario!$G$4:$G$300,Trato_Diario!$B$4:$B$300,10,Trato_Diario!$A$4:$A$300,$A31)=0),"",SUMIFS(Trato_Diario!$J$4:$J$300,Trato_Diario!$B$4:$B$300,10,Trato_Diario!$A$4:$A$300,$A31)/SUMIFS(Trato_Diario!$G$4:$G$300,Trato_Diario!$B$4:$B$300,10,Trato_Diario!$A$4:$A$300,$A31))</f>
        <v>15.15263818181818</v>
      </c>
      <c r="L31" s="74">
        <f>IF(OR($A31&gt;MAX(Trato_Diario!$A$4:$A$300),SUMIFS(Trato_Diario!$G$4:$G$300,Trato_Diario!$A$4:$A$300,$A31)=0),"",SUMIFS(Trato_Diario!$J$4:$J$300,Trato_Diario!$A$4:$A$300,$A31)/SUMIFS(Trato_Diario!$G$4:$G$300,Trato_Diario!$A$4:$A$300,$A31))</f>
        <v>15.943060000000003</v>
      </c>
    </row>
    <row r="32" spans="1:12" ht="14.25" customHeight="1" x14ac:dyDescent="0.3">
      <c r="A32" s="86">
        <v>46241</v>
      </c>
      <c r="B32" s="28">
        <f>IF(OR($A32&gt;MAX(Trato_Diario!$A$4:$A$300),SUMIFS(Trato_Diario!$G$4:$G$300,Trato_Diario!$B$4:$B$300,1,Trato_Diario!$A$4:$A$300,$A32)=0),"",SUMIFS(Trato_Diario!$J$4:$J$300,Trato_Diario!$B$4:$B$300,1,Trato_Diario!$A$4:$A$300,$A32)/SUMIFS(Trato_Diario!$G$4:$G$300,Trato_Diario!$B$4:$B$300,1,Trato_Diario!$A$4:$A$300,$A32))</f>
        <v>17.298349999999999</v>
      </c>
      <c r="C32" s="28">
        <f>IF(OR($A32&gt;MAX(Trato_Diario!$A$4:$A$300),SUMIFS(Trato_Diario!$G$4:$G$300,Trato_Diario!$B$4:$B$300,2,Trato_Diario!$A$4:$A$300,$A32)=0),"",SUMIFS(Trato_Diario!$J$4:$J$300,Trato_Diario!$B$4:$B$300,2,Trato_Diario!$A$4:$A$300,$A32)/SUMIFS(Trato_Diario!$G$4:$G$300,Trato_Diario!$B$4:$B$300,2,Trato_Diario!$A$4:$A$300,$A32))</f>
        <v>18.211586363636368</v>
      </c>
      <c r="D32" s="28">
        <f>IF(OR($A32&gt;MAX(Trato_Diario!$A$4:$A$300),SUMIFS(Trato_Diario!$G$4:$G$300,Trato_Diario!$B$4:$B$300,3,Trato_Diario!$A$4:$A$300,$A32)=0),"",SUMIFS(Trato_Diario!$J$4:$J$300,Trato_Diario!$B$4:$B$300,3,Trato_Diario!$A$4:$A$300,$A32)/SUMIFS(Trato_Diario!$G$4:$G$300,Trato_Diario!$B$4:$B$300,3,Trato_Diario!$A$4:$A$300,$A32))</f>
        <v>15.660336470588236</v>
      </c>
      <c r="E32" s="28">
        <f>IF(OR($A32&gt;MAX(Trato_Diario!$A$4:$A$300),SUMIFS(Trato_Diario!$G$4:$G$300,Trato_Diario!$B$4:$B$300,4,Trato_Diario!$A$4:$A$300,$A32)=0),"",SUMIFS(Trato_Diario!$J$4:$J$300,Trato_Diario!$B$4:$B$300,4,Trato_Diario!$A$4:$A$300,$A32)/SUMIFS(Trato_Diario!$G$4:$G$300,Trato_Diario!$B$4:$B$300,4,Trato_Diario!$A$4:$A$300,$A32))</f>
        <v>14.589213333333333</v>
      </c>
      <c r="F32" s="28">
        <f>IF(OR($A32&gt;MAX(Trato_Diario!$A$4:$A$300),SUMIFS(Trato_Diario!$G$4:$G$300,Trato_Diario!$B$4:$B$300,5,Trato_Diario!$A$4:$A$300,$A32)=0),"",SUMIFS(Trato_Diario!$J$4:$J$300,Trato_Diario!$B$4:$B$300,5,Trato_Diario!$A$4:$A$300,$A32)/SUMIFS(Trato_Diario!$G$4:$G$300,Trato_Diario!$B$4:$B$300,5,Trato_Diario!$A$4:$A$300,$A32))</f>
        <v>13.80827159090909</v>
      </c>
      <c r="G32" s="28">
        <f>IF(OR($A32&gt;MAX(Trato_Diario!$A$4:$A$300),SUMIFS(Trato_Diario!$G$4:$G$300,Trato_Diario!$B$4:$B$300,6,Trato_Diario!$A$4:$A$300,$A32)=0),"",SUMIFS(Trato_Diario!$J$4:$J$300,Trato_Diario!$B$4:$B$300,6,Trato_Diario!$A$4:$A$300,$A32)/SUMIFS(Trato_Diario!$G$4:$G$300,Trato_Diario!$B$4:$B$300,6,Trato_Diario!$A$4:$A$300,$A32))</f>
        <v>14.04397294117647</v>
      </c>
      <c r="H32" s="28">
        <f>IF(OR($A32&gt;MAX(Trato_Diario!$A$4:$A$300),SUMIFS(Trato_Diario!$G$4:$G$300,Trato_Diario!$B$4:$B$300,7,Trato_Diario!$A$4:$A$300,$A32)=0),"",SUMIFS(Trato_Diario!$J$4:$J$300,Trato_Diario!$B$4:$B$300,7,Trato_Diario!$A$4:$A$300,$A32)/SUMIFS(Trato_Diario!$G$4:$G$300,Trato_Diario!$B$4:$B$300,7,Trato_Diario!$A$4:$A$300,$A32))</f>
        <v>15.098964705882354</v>
      </c>
      <c r="I32" s="28">
        <f>IF(OR($A32&gt;MAX(Trato_Diario!$A$4:$A$300),SUMIFS(Trato_Diario!$G$4:$G$300,Trato_Diario!$B$4:$B$300,8,Trato_Diario!$A$4:$A$300,$A32)=0),"",SUMIFS(Trato_Diario!$J$4:$J$300,Trato_Diario!$B$4:$B$300,8,Trato_Diario!$A$4:$A$300,$A32)/SUMIFS(Trato_Diario!$G$4:$G$300,Trato_Diario!$B$4:$B$300,8,Trato_Diario!$A$4:$A$300,$A32))</f>
        <v>15.086866176470588</v>
      </c>
      <c r="J32" s="28">
        <f>IF(OR($A32&gt;MAX(Trato_Diario!$A$4:$A$300),SUMIFS(Trato_Diario!$G$4:$G$300,Trato_Diario!$B$4:$B$300,9,Trato_Diario!$A$4:$A$300,$A32)=0),"",SUMIFS(Trato_Diario!$J$4:$J$300,Trato_Diario!$B$4:$B$300,9,Trato_Diario!$A$4:$A$300,$A32)/SUMIFS(Trato_Diario!$G$4:$G$300,Trato_Diario!$B$4:$B$300,9,Trato_Diario!$A$4:$A$300,$A32))</f>
        <v>12.399264285714285</v>
      </c>
      <c r="K32" s="28">
        <f>IF(OR($A32&gt;MAX(Trato_Diario!$A$4:$A$300),SUMIFS(Trato_Diario!$G$4:$G$300,Trato_Diario!$B$4:$B$300,10,Trato_Diario!$A$4:$A$300,$A32)=0),"",SUMIFS(Trato_Diario!$J$4:$J$300,Trato_Diario!$B$4:$B$300,10,Trato_Diario!$A$4:$A$300,$A32)/SUMIFS(Trato_Diario!$G$4:$G$300,Trato_Diario!$B$4:$B$300,10,Trato_Diario!$A$4:$A$300,$A32))</f>
        <v>13.836318181818182</v>
      </c>
      <c r="L32" s="76">
        <f>IF(OR($A32&gt;MAX(Trato_Diario!$A$4:$A$300),SUMIFS(Trato_Diario!$G$4:$G$300,Trato_Diario!$A$4:$A$300,$A32)=0),"",SUMIFS(Trato_Diario!$J$4:$J$300,Trato_Diario!$A$4:$A$300,$A32)/SUMIFS(Trato_Diario!$G$4:$G$300,Trato_Diario!$A$4:$A$300,$A32))</f>
        <v>15.027647058823531</v>
      </c>
    </row>
    <row r="33" spans="1:12" ht="14.25" customHeight="1" x14ac:dyDescent="0.3">
      <c r="A33" s="85">
        <v>46242</v>
      </c>
      <c r="B33" s="26">
        <f>IF(OR($A33&gt;MAX(Trato_Diario!$A$4:$A$300),SUMIFS(Trato_Diario!$G$4:$G$300,Trato_Diario!$B$4:$B$300,1,Trato_Diario!$A$4:$A$300,$A33)=0),"",SUMIFS(Trato_Diario!$J$4:$J$300,Trato_Diario!$B$4:$B$300,1,Trato_Diario!$A$4:$A$300,$A33)/SUMIFS(Trato_Diario!$G$4:$G$300,Trato_Diario!$B$4:$B$300,1,Trato_Diario!$A$4:$A$300,$A33))</f>
        <v>17.298349999999999</v>
      </c>
      <c r="C33" s="26">
        <f>IF(OR($A33&gt;MAX(Trato_Diario!$A$4:$A$300),SUMIFS(Trato_Diario!$G$4:$G$300,Trato_Diario!$B$4:$B$300,2,Trato_Diario!$A$4:$A$300,$A33)=0),"",SUMIFS(Trato_Diario!$J$4:$J$300,Trato_Diario!$B$4:$B$300,2,Trato_Diario!$A$4:$A$300,$A33)/SUMIFS(Trato_Diario!$G$4:$G$300,Trato_Diario!$B$4:$B$300,2,Trato_Diario!$A$4:$A$300,$A33))</f>
        <v>18.211586363636368</v>
      </c>
      <c r="D33" s="26">
        <f>IF(OR($A33&gt;MAX(Trato_Diario!$A$4:$A$300),SUMIFS(Trato_Diario!$G$4:$G$300,Trato_Diario!$B$4:$B$300,3,Trato_Diario!$A$4:$A$300,$A33)=0),"",SUMIFS(Trato_Diario!$J$4:$J$300,Trato_Diario!$B$4:$B$300,3,Trato_Diario!$A$4:$A$300,$A33)/SUMIFS(Trato_Diario!$G$4:$G$300,Trato_Diario!$B$4:$B$300,3,Trato_Diario!$A$4:$A$300,$A33))</f>
        <v>15.660336470588236</v>
      </c>
      <c r="E33" s="26">
        <f>IF(OR($A33&gt;MAX(Trato_Diario!$A$4:$A$300),SUMIFS(Trato_Diario!$G$4:$G$300,Trato_Diario!$B$4:$B$300,4,Trato_Diario!$A$4:$A$300,$A33)=0),"",SUMIFS(Trato_Diario!$J$4:$J$300,Trato_Diario!$B$4:$B$300,4,Trato_Diario!$A$4:$A$300,$A33)/SUMIFS(Trato_Diario!$G$4:$G$300,Trato_Diario!$B$4:$B$300,4,Trato_Diario!$A$4:$A$300,$A33))</f>
        <v>14.589213333333333</v>
      </c>
      <c r="F33" s="26">
        <f>IF(OR($A33&gt;MAX(Trato_Diario!$A$4:$A$300),SUMIFS(Trato_Diario!$G$4:$G$300,Trato_Diario!$B$4:$B$300,5,Trato_Diario!$A$4:$A$300,$A33)=0),"",SUMIFS(Trato_Diario!$J$4:$J$300,Trato_Diario!$B$4:$B$300,5,Trato_Diario!$A$4:$A$300,$A33)/SUMIFS(Trato_Diario!$G$4:$G$300,Trato_Diario!$B$4:$B$300,5,Trato_Diario!$A$4:$A$300,$A33))</f>
        <v>13.80827159090909</v>
      </c>
      <c r="G33" s="26">
        <f>IF(OR($A33&gt;MAX(Trato_Diario!$A$4:$A$300),SUMIFS(Trato_Diario!$G$4:$G$300,Trato_Diario!$B$4:$B$300,6,Trato_Diario!$A$4:$A$300,$A33)=0),"",SUMIFS(Trato_Diario!$J$4:$J$300,Trato_Diario!$B$4:$B$300,6,Trato_Diario!$A$4:$A$300,$A33)/SUMIFS(Trato_Diario!$G$4:$G$300,Trato_Diario!$B$4:$B$300,6,Trato_Diario!$A$4:$A$300,$A33))</f>
        <v>14.04397294117647</v>
      </c>
      <c r="H33" s="26">
        <f>IF(OR($A33&gt;MAX(Trato_Diario!$A$4:$A$300),SUMIFS(Trato_Diario!$G$4:$G$300,Trato_Diario!$B$4:$B$300,7,Trato_Diario!$A$4:$A$300,$A33)=0),"",SUMIFS(Trato_Diario!$J$4:$J$300,Trato_Diario!$B$4:$B$300,7,Trato_Diario!$A$4:$A$300,$A33)/SUMIFS(Trato_Diario!$G$4:$G$300,Trato_Diario!$B$4:$B$300,7,Trato_Diario!$A$4:$A$300,$A33))</f>
        <v>15.098964705882354</v>
      </c>
      <c r="I33" s="26">
        <f>IF(OR($A33&gt;MAX(Trato_Diario!$A$4:$A$300),SUMIFS(Trato_Diario!$G$4:$G$300,Trato_Diario!$B$4:$B$300,8,Trato_Diario!$A$4:$A$300,$A33)=0),"",SUMIFS(Trato_Diario!$J$4:$J$300,Trato_Diario!$B$4:$B$300,8,Trato_Diario!$A$4:$A$300,$A33)/SUMIFS(Trato_Diario!$G$4:$G$300,Trato_Diario!$B$4:$B$300,8,Trato_Diario!$A$4:$A$300,$A33))</f>
        <v>15.086866176470588</v>
      </c>
      <c r="J33" s="26">
        <f>IF(OR($A33&gt;MAX(Trato_Diario!$A$4:$A$300),SUMIFS(Trato_Diario!$G$4:$G$300,Trato_Diario!$B$4:$B$300,9,Trato_Diario!$A$4:$A$300,$A33)=0),"",SUMIFS(Trato_Diario!$J$4:$J$300,Trato_Diario!$B$4:$B$300,9,Trato_Diario!$A$4:$A$300,$A33)/SUMIFS(Trato_Diario!$G$4:$G$300,Trato_Diario!$B$4:$B$300,9,Trato_Diario!$A$4:$A$300,$A33))</f>
        <v>12.399264285714285</v>
      </c>
      <c r="K33" s="26">
        <f>IF(OR($A33&gt;MAX(Trato_Diario!$A$4:$A$300),SUMIFS(Trato_Diario!$G$4:$G$300,Trato_Diario!$B$4:$B$300,10,Trato_Diario!$A$4:$A$300,$A33)=0),"",SUMIFS(Trato_Diario!$J$4:$J$300,Trato_Diario!$B$4:$B$300,10,Trato_Diario!$A$4:$A$300,$A33)/SUMIFS(Trato_Diario!$G$4:$G$300,Trato_Diario!$B$4:$B$300,10,Trato_Diario!$A$4:$A$300,$A33))</f>
        <v>13.836318181818182</v>
      </c>
      <c r="L33" s="74">
        <f>IF(OR($A33&gt;MAX(Trato_Diario!$A$4:$A$300),SUMIFS(Trato_Diario!$G$4:$G$300,Trato_Diario!$A$4:$A$300,$A33)=0),"",SUMIFS(Trato_Diario!$J$4:$J$300,Trato_Diario!$A$4:$A$300,$A33)/SUMIFS(Trato_Diario!$G$4:$G$300,Trato_Diario!$A$4:$A$300,$A33))</f>
        <v>15.027647058823531</v>
      </c>
    </row>
    <row r="34" spans="1:12" ht="14.25" customHeight="1" x14ac:dyDescent="0.3">
      <c r="A34" s="86">
        <v>46243</v>
      </c>
      <c r="B34" s="28">
        <f>IF(OR($A34&gt;MAX(Trato_Diario!$A$4:$A$300),SUMIFS(Trato_Diario!$G$4:$G$300,Trato_Diario!$B$4:$B$300,1,Trato_Diario!$A$4:$A$300,$A34)=0),"",SUMIFS(Trato_Diario!$J$4:$J$300,Trato_Diario!$B$4:$B$300,1,Trato_Diario!$A$4:$A$300,$A34)/SUMIFS(Trato_Diario!$G$4:$G$300,Trato_Diario!$B$4:$B$300,1,Trato_Diario!$A$4:$A$300,$A34))</f>
        <v>17.298349999999999</v>
      </c>
      <c r="C34" s="28">
        <f>IF(OR($A34&gt;MAX(Trato_Diario!$A$4:$A$300),SUMIFS(Trato_Diario!$G$4:$G$300,Trato_Diario!$B$4:$B$300,2,Trato_Diario!$A$4:$A$300,$A34)=0),"",SUMIFS(Trato_Diario!$J$4:$J$300,Trato_Diario!$B$4:$B$300,2,Trato_Diario!$A$4:$A$300,$A34)/SUMIFS(Trato_Diario!$G$4:$G$300,Trato_Diario!$B$4:$B$300,2,Trato_Diario!$A$4:$A$300,$A34))</f>
        <v>18.211586363636368</v>
      </c>
      <c r="D34" s="28">
        <f>IF(OR($A34&gt;MAX(Trato_Diario!$A$4:$A$300),SUMIFS(Trato_Diario!$G$4:$G$300,Trato_Diario!$B$4:$B$300,3,Trato_Diario!$A$4:$A$300,$A34)=0),"",SUMIFS(Trato_Diario!$J$4:$J$300,Trato_Diario!$B$4:$B$300,3,Trato_Diario!$A$4:$A$300,$A34)/SUMIFS(Trato_Diario!$G$4:$G$300,Trato_Diario!$B$4:$B$300,3,Trato_Diario!$A$4:$A$300,$A34))</f>
        <v>15.660336470588236</v>
      </c>
      <c r="E34" s="28">
        <f>IF(OR($A34&gt;MAX(Trato_Diario!$A$4:$A$300),SUMIFS(Trato_Diario!$G$4:$G$300,Trato_Diario!$B$4:$B$300,4,Trato_Diario!$A$4:$A$300,$A34)=0),"",SUMIFS(Trato_Diario!$J$4:$J$300,Trato_Diario!$B$4:$B$300,4,Trato_Diario!$A$4:$A$300,$A34)/SUMIFS(Trato_Diario!$G$4:$G$300,Trato_Diario!$B$4:$B$300,4,Trato_Diario!$A$4:$A$300,$A34))</f>
        <v>14.589213333333333</v>
      </c>
      <c r="F34" s="28">
        <f>IF(OR($A34&gt;MAX(Trato_Diario!$A$4:$A$300),SUMIFS(Trato_Diario!$G$4:$G$300,Trato_Diario!$B$4:$B$300,5,Trato_Diario!$A$4:$A$300,$A34)=0),"",SUMIFS(Trato_Diario!$J$4:$J$300,Trato_Diario!$B$4:$B$300,5,Trato_Diario!$A$4:$A$300,$A34)/SUMIFS(Trato_Diario!$G$4:$G$300,Trato_Diario!$B$4:$B$300,5,Trato_Diario!$A$4:$A$300,$A34))</f>
        <v>13.80827159090909</v>
      </c>
      <c r="G34" s="28">
        <f>IF(OR($A34&gt;MAX(Trato_Diario!$A$4:$A$300),SUMIFS(Trato_Diario!$G$4:$G$300,Trato_Diario!$B$4:$B$300,6,Trato_Diario!$A$4:$A$300,$A34)=0),"",SUMIFS(Trato_Diario!$J$4:$J$300,Trato_Diario!$B$4:$B$300,6,Trato_Diario!$A$4:$A$300,$A34)/SUMIFS(Trato_Diario!$G$4:$G$300,Trato_Diario!$B$4:$B$300,6,Trato_Diario!$A$4:$A$300,$A34))</f>
        <v>14.04397294117647</v>
      </c>
      <c r="H34" s="28">
        <f>IF(OR($A34&gt;MAX(Trato_Diario!$A$4:$A$300),SUMIFS(Trato_Diario!$G$4:$G$300,Trato_Diario!$B$4:$B$300,7,Trato_Diario!$A$4:$A$300,$A34)=0),"",SUMIFS(Trato_Diario!$J$4:$J$300,Trato_Diario!$B$4:$B$300,7,Trato_Diario!$A$4:$A$300,$A34)/SUMIFS(Trato_Diario!$G$4:$G$300,Trato_Diario!$B$4:$B$300,7,Trato_Diario!$A$4:$A$300,$A34))</f>
        <v>15.098964705882354</v>
      </c>
      <c r="I34" s="28">
        <f>IF(OR($A34&gt;MAX(Trato_Diario!$A$4:$A$300),SUMIFS(Trato_Diario!$G$4:$G$300,Trato_Diario!$B$4:$B$300,8,Trato_Diario!$A$4:$A$300,$A34)=0),"",SUMIFS(Trato_Diario!$J$4:$J$300,Trato_Diario!$B$4:$B$300,8,Trato_Diario!$A$4:$A$300,$A34)/SUMIFS(Trato_Diario!$G$4:$G$300,Trato_Diario!$B$4:$B$300,8,Trato_Diario!$A$4:$A$300,$A34))</f>
        <v>15.086866176470588</v>
      </c>
      <c r="J34" s="28">
        <f>IF(OR($A34&gt;MAX(Trato_Diario!$A$4:$A$300),SUMIFS(Trato_Diario!$G$4:$G$300,Trato_Diario!$B$4:$B$300,9,Trato_Diario!$A$4:$A$300,$A34)=0),"",SUMIFS(Trato_Diario!$J$4:$J$300,Trato_Diario!$B$4:$B$300,9,Trato_Diario!$A$4:$A$300,$A34)/SUMIFS(Trato_Diario!$G$4:$G$300,Trato_Diario!$B$4:$B$300,9,Trato_Diario!$A$4:$A$300,$A34))</f>
        <v>12.399264285714285</v>
      </c>
      <c r="K34" s="28">
        <f>IF(OR($A34&gt;MAX(Trato_Diario!$A$4:$A$300),SUMIFS(Trato_Diario!$G$4:$G$300,Trato_Diario!$B$4:$B$300,10,Trato_Diario!$A$4:$A$300,$A34)=0),"",SUMIFS(Trato_Diario!$J$4:$J$300,Trato_Diario!$B$4:$B$300,10,Trato_Diario!$A$4:$A$300,$A34)/SUMIFS(Trato_Diario!$G$4:$G$300,Trato_Diario!$B$4:$B$300,10,Trato_Diario!$A$4:$A$300,$A34))</f>
        <v>13.836318181818182</v>
      </c>
      <c r="L34" s="76">
        <f>IF(OR($A34&gt;MAX(Trato_Diario!$A$4:$A$300),SUMIFS(Trato_Diario!$G$4:$G$300,Trato_Diario!$A$4:$A$300,$A34)=0),"",SUMIFS(Trato_Diario!$J$4:$J$300,Trato_Diario!$A$4:$A$300,$A34)/SUMIFS(Trato_Diario!$G$4:$G$300,Trato_Diario!$A$4:$A$300,$A34))</f>
        <v>15.027647058823531</v>
      </c>
    </row>
    <row r="35" spans="1:12" ht="14.25" customHeight="1" x14ac:dyDescent="0.3">
      <c r="A35" s="85">
        <v>46244</v>
      </c>
      <c r="B35" s="26" t="str">
        <f>IF(OR($A35&gt;MAX(Trato_Diario!$A$4:$A$300),SUMIFS(Trato_Diario!$G$4:$G$300,Trato_Diario!$B$4:$B$300,1,Trato_Diario!$A$4:$A$300,$A35)=0),"",SUMIFS(Trato_Diario!$J$4:$J$300,Trato_Diario!$B$4:$B$300,1,Trato_Diario!$A$4:$A$300,$A35)/SUMIFS(Trato_Diario!$G$4:$G$300,Trato_Diario!$B$4:$B$300,1,Trato_Diario!$A$4:$A$300,$A35))</f>
        <v/>
      </c>
      <c r="C35" s="26" t="str">
        <f>IF(OR($A35&gt;MAX(Trato_Diario!$A$4:$A$300),SUMIFS(Trato_Diario!$G$4:$G$300,Trato_Diario!$B$4:$B$300,2,Trato_Diario!$A$4:$A$300,$A35)=0),"",SUMIFS(Trato_Diario!$J$4:$J$300,Trato_Diario!$B$4:$B$300,2,Trato_Diario!$A$4:$A$300,$A35)/SUMIFS(Trato_Diario!$G$4:$G$300,Trato_Diario!$B$4:$B$300,2,Trato_Diario!$A$4:$A$300,$A35))</f>
        <v/>
      </c>
      <c r="D35" s="26" t="str">
        <f>IF(OR($A35&gt;MAX(Trato_Diario!$A$4:$A$300),SUMIFS(Trato_Diario!$G$4:$G$300,Trato_Diario!$B$4:$B$300,3,Trato_Diario!$A$4:$A$300,$A35)=0),"",SUMIFS(Trato_Diario!$J$4:$J$300,Trato_Diario!$B$4:$B$300,3,Trato_Diario!$A$4:$A$300,$A35)/SUMIFS(Trato_Diario!$G$4:$G$300,Trato_Diario!$B$4:$B$300,3,Trato_Diario!$A$4:$A$300,$A35))</f>
        <v/>
      </c>
      <c r="E35" s="26" t="str">
        <f>IF(OR($A35&gt;MAX(Trato_Diario!$A$4:$A$300),SUMIFS(Trato_Diario!$G$4:$G$300,Trato_Diario!$B$4:$B$300,4,Trato_Diario!$A$4:$A$300,$A35)=0),"",SUMIFS(Trato_Diario!$J$4:$J$300,Trato_Diario!$B$4:$B$300,4,Trato_Diario!$A$4:$A$300,$A35)/SUMIFS(Trato_Diario!$G$4:$G$300,Trato_Diario!$B$4:$B$300,4,Trato_Diario!$A$4:$A$300,$A35))</f>
        <v/>
      </c>
      <c r="F35" s="26" t="str">
        <f>IF(OR($A35&gt;MAX(Trato_Diario!$A$4:$A$300),SUMIFS(Trato_Diario!$G$4:$G$300,Trato_Diario!$B$4:$B$300,5,Trato_Diario!$A$4:$A$300,$A35)=0),"",SUMIFS(Trato_Diario!$J$4:$J$300,Trato_Diario!$B$4:$B$300,5,Trato_Diario!$A$4:$A$300,$A35)/SUMIFS(Trato_Diario!$G$4:$G$300,Trato_Diario!$B$4:$B$300,5,Trato_Diario!$A$4:$A$300,$A35))</f>
        <v/>
      </c>
      <c r="G35" s="26" t="str">
        <f>IF(OR($A35&gt;MAX(Trato_Diario!$A$4:$A$300),SUMIFS(Trato_Diario!$G$4:$G$300,Trato_Diario!$B$4:$B$300,6,Trato_Diario!$A$4:$A$300,$A35)=0),"",SUMIFS(Trato_Diario!$J$4:$J$300,Trato_Diario!$B$4:$B$300,6,Trato_Diario!$A$4:$A$300,$A35)/SUMIFS(Trato_Diario!$G$4:$G$300,Trato_Diario!$B$4:$B$300,6,Trato_Diario!$A$4:$A$300,$A35))</f>
        <v/>
      </c>
      <c r="H35" s="26" t="str">
        <f>IF(OR($A35&gt;MAX(Trato_Diario!$A$4:$A$300),SUMIFS(Trato_Diario!$G$4:$G$300,Trato_Diario!$B$4:$B$300,7,Trato_Diario!$A$4:$A$300,$A35)=0),"",SUMIFS(Trato_Diario!$J$4:$J$300,Trato_Diario!$B$4:$B$300,7,Trato_Diario!$A$4:$A$300,$A35)/SUMIFS(Trato_Diario!$G$4:$G$300,Trato_Diario!$B$4:$B$300,7,Trato_Diario!$A$4:$A$300,$A35))</f>
        <v/>
      </c>
      <c r="I35" s="26" t="str">
        <f>IF(OR($A35&gt;MAX(Trato_Diario!$A$4:$A$300),SUMIFS(Trato_Diario!$G$4:$G$300,Trato_Diario!$B$4:$B$300,8,Trato_Diario!$A$4:$A$300,$A35)=0),"",SUMIFS(Trato_Diario!$J$4:$J$300,Trato_Diario!$B$4:$B$300,8,Trato_Diario!$A$4:$A$300,$A35)/SUMIFS(Trato_Diario!$G$4:$G$300,Trato_Diario!$B$4:$B$300,8,Trato_Diario!$A$4:$A$300,$A35))</f>
        <v/>
      </c>
      <c r="J35" s="26" t="str">
        <f>IF(OR($A35&gt;MAX(Trato_Diario!$A$4:$A$300),SUMIFS(Trato_Diario!$G$4:$G$300,Trato_Diario!$B$4:$B$300,9,Trato_Diario!$A$4:$A$300,$A35)=0),"",SUMIFS(Trato_Diario!$J$4:$J$300,Trato_Diario!$B$4:$B$300,9,Trato_Diario!$A$4:$A$300,$A35)/SUMIFS(Trato_Diario!$G$4:$G$300,Trato_Diario!$B$4:$B$300,9,Trato_Diario!$A$4:$A$300,$A35))</f>
        <v/>
      </c>
      <c r="K35" s="26" t="str">
        <f>IF(OR($A35&gt;MAX(Trato_Diario!$A$4:$A$300),SUMIFS(Trato_Diario!$G$4:$G$300,Trato_Diario!$B$4:$B$300,10,Trato_Diario!$A$4:$A$300,$A35)=0),"",SUMIFS(Trato_Diario!$J$4:$J$300,Trato_Diario!$B$4:$B$300,10,Trato_Diario!$A$4:$A$300,$A35)/SUMIFS(Trato_Diario!$G$4:$G$300,Trato_Diario!$B$4:$B$300,10,Trato_Diario!$A$4:$A$300,$A35))</f>
        <v/>
      </c>
      <c r="L35" s="74" t="str">
        <f>IF(OR($A35&gt;MAX(Trato_Diario!$A$4:$A$300),SUMIFS(Trato_Diario!$G$4:$G$300,Trato_Diario!$A$4:$A$300,$A35)=0),"",SUMIFS(Trato_Diario!$J$4:$J$300,Trato_Diario!$A$4:$A$300,$A35)/SUMIFS(Trato_Diario!$G$4:$G$300,Trato_Diario!$A$4:$A$300,$A35))</f>
        <v/>
      </c>
    </row>
    <row r="36" spans="1:12" ht="14.25" customHeight="1" x14ac:dyDescent="0.3">
      <c r="A36" s="86">
        <v>46245</v>
      </c>
      <c r="B36" s="28" t="str">
        <f>IF(OR($A36&gt;MAX(Trato_Diario!$A$4:$A$300),SUMIFS(Trato_Diario!$G$4:$G$300,Trato_Diario!$B$4:$B$300,1,Trato_Diario!$A$4:$A$300,$A36)=0),"",SUMIFS(Trato_Diario!$J$4:$J$300,Trato_Diario!$B$4:$B$300,1,Trato_Diario!$A$4:$A$300,$A36)/SUMIFS(Trato_Diario!$G$4:$G$300,Trato_Diario!$B$4:$B$300,1,Trato_Diario!$A$4:$A$300,$A36))</f>
        <v/>
      </c>
      <c r="C36" s="28" t="str">
        <f>IF(OR($A36&gt;MAX(Trato_Diario!$A$4:$A$300),SUMIFS(Trato_Diario!$G$4:$G$300,Trato_Diario!$B$4:$B$300,2,Trato_Diario!$A$4:$A$300,$A36)=0),"",SUMIFS(Trato_Diario!$J$4:$J$300,Trato_Diario!$B$4:$B$300,2,Trato_Diario!$A$4:$A$300,$A36)/SUMIFS(Trato_Diario!$G$4:$G$300,Trato_Diario!$B$4:$B$300,2,Trato_Diario!$A$4:$A$300,$A36))</f>
        <v/>
      </c>
      <c r="D36" s="28" t="str">
        <f>IF(OR($A36&gt;MAX(Trato_Diario!$A$4:$A$300),SUMIFS(Trato_Diario!$G$4:$G$300,Trato_Diario!$B$4:$B$300,3,Trato_Diario!$A$4:$A$300,$A36)=0),"",SUMIFS(Trato_Diario!$J$4:$J$300,Trato_Diario!$B$4:$B$300,3,Trato_Diario!$A$4:$A$300,$A36)/SUMIFS(Trato_Diario!$G$4:$G$300,Trato_Diario!$B$4:$B$300,3,Trato_Diario!$A$4:$A$300,$A36))</f>
        <v/>
      </c>
      <c r="E36" s="28" t="str">
        <f>IF(OR($A36&gt;MAX(Trato_Diario!$A$4:$A$300),SUMIFS(Trato_Diario!$G$4:$G$300,Trato_Diario!$B$4:$B$300,4,Trato_Diario!$A$4:$A$300,$A36)=0),"",SUMIFS(Trato_Diario!$J$4:$J$300,Trato_Diario!$B$4:$B$300,4,Trato_Diario!$A$4:$A$300,$A36)/SUMIFS(Trato_Diario!$G$4:$G$300,Trato_Diario!$B$4:$B$300,4,Trato_Diario!$A$4:$A$300,$A36))</f>
        <v/>
      </c>
      <c r="F36" s="28" t="str">
        <f>IF(OR($A36&gt;MAX(Trato_Diario!$A$4:$A$300),SUMIFS(Trato_Diario!$G$4:$G$300,Trato_Diario!$B$4:$B$300,5,Trato_Diario!$A$4:$A$300,$A36)=0),"",SUMIFS(Trato_Diario!$J$4:$J$300,Trato_Diario!$B$4:$B$300,5,Trato_Diario!$A$4:$A$300,$A36)/SUMIFS(Trato_Diario!$G$4:$G$300,Trato_Diario!$B$4:$B$300,5,Trato_Diario!$A$4:$A$300,$A36))</f>
        <v/>
      </c>
      <c r="G36" s="28" t="str">
        <f>IF(OR($A36&gt;MAX(Trato_Diario!$A$4:$A$300),SUMIFS(Trato_Diario!$G$4:$G$300,Trato_Diario!$B$4:$B$300,6,Trato_Diario!$A$4:$A$300,$A36)=0),"",SUMIFS(Trato_Diario!$J$4:$J$300,Trato_Diario!$B$4:$B$300,6,Trato_Diario!$A$4:$A$300,$A36)/SUMIFS(Trato_Diario!$G$4:$G$300,Trato_Diario!$B$4:$B$300,6,Trato_Diario!$A$4:$A$300,$A36))</f>
        <v/>
      </c>
      <c r="H36" s="28" t="str">
        <f>IF(OR($A36&gt;MAX(Trato_Diario!$A$4:$A$300),SUMIFS(Trato_Diario!$G$4:$G$300,Trato_Diario!$B$4:$B$300,7,Trato_Diario!$A$4:$A$300,$A36)=0),"",SUMIFS(Trato_Diario!$J$4:$J$300,Trato_Diario!$B$4:$B$300,7,Trato_Diario!$A$4:$A$300,$A36)/SUMIFS(Trato_Diario!$G$4:$G$300,Trato_Diario!$B$4:$B$300,7,Trato_Diario!$A$4:$A$300,$A36))</f>
        <v/>
      </c>
      <c r="I36" s="28" t="str">
        <f>IF(OR($A36&gt;MAX(Trato_Diario!$A$4:$A$300),SUMIFS(Trato_Diario!$G$4:$G$300,Trato_Diario!$B$4:$B$300,8,Trato_Diario!$A$4:$A$300,$A36)=0),"",SUMIFS(Trato_Diario!$J$4:$J$300,Trato_Diario!$B$4:$B$300,8,Trato_Diario!$A$4:$A$300,$A36)/SUMIFS(Trato_Diario!$G$4:$G$300,Trato_Diario!$B$4:$B$300,8,Trato_Diario!$A$4:$A$300,$A36))</f>
        <v/>
      </c>
      <c r="J36" s="28" t="str">
        <f>IF(OR($A36&gt;MAX(Trato_Diario!$A$4:$A$300),SUMIFS(Trato_Diario!$G$4:$G$300,Trato_Diario!$B$4:$B$300,9,Trato_Diario!$A$4:$A$300,$A36)=0),"",SUMIFS(Trato_Diario!$J$4:$J$300,Trato_Diario!$B$4:$B$300,9,Trato_Diario!$A$4:$A$300,$A36)/SUMIFS(Trato_Diario!$G$4:$G$300,Trato_Diario!$B$4:$B$300,9,Trato_Diario!$A$4:$A$300,$A36))</f>
        <v/>
      </c>
      <c r="K36" s="28" t="str">
        <f>IF(OR($A36&gt;MAX(Trato_Diario!$A$4:$A$300),SUMIFS(Trato_Diario!$G$4:$G$300,Trato_Diario!$B$4:$B$300,10,Trato_Diario!$A$4:$A$300,$A36)=0),"",SUMIFS(Trato_Diario!$J$4:$J$300,Trato_Diario!$B$4:$B$300,10,Trato_Diario!$A$4:$A$300,$A36)/SUMIFS(Trato_Diario!$G$4:$G$300,Trato_Diario!$B$4:$B$300,10,Trato_Diario!$A$4:$A$300,$A36))</f>
        <v/>
      </c>
      <c r="L36" s="76" t="str">
        <f>IF(OR($A36&gt;MAX(Trato_Diario!$A$4:$A$300),SUMIFS(Trato_Diario!$G$4:$G$300,Trato_Diario!$A$4:$A$300,$A36)=0),"",SUMIFS(Trato_Diario!$J$4:$J$300,Trato_Diario!$A$4:$A$300,$A36)/SUMIFS(Trato_Diario!$G$4:$G$300,Trato_Diario!$A$4:$A$300,$A36))</f>
        <v/>
      </c>
    </row>
    <row r="37" spans="1:12" ht="14.25" customHeight="1" x14ac:dyDescent="0.3">
      <c r="A37" s="85">
        <v>46246</v>
      </c>
      <c r="B37" s="26" t="str">
        <f>IF(OR($A37&gt;MAX(Trato_Diario!$A$4:$A$300),SUMIFS(Trato_Diario!$G$4:$G$300,Trato_Diario!$B$4:$B$300,1,Trato_Diario!$A$4:$A$300,$A37)=0),"",SUMIFS(Trato_Diario!$J$4:$J$300,Trato_Diario!$B$4:$B$300,1,Trato_Diario!$A$4:$A$300,$A37)/SUMIFS(Trato_Diario!$G$4:$G$300,Trato_Diario!$B$4:$B$300,1,Trato_Diario!$A$4:$A$300,$A37))</f>
        <v/>
      </c>
      <c r="C37" s="26" t="str">
        <f>IF(OR($A37&gt;MAX(Trato_Diario!$A$4:$A$300),SUMIFS(Trato_Diario!$G$4:$G$300,Trato_Diario!$B$4:$B$300,2,Trato_Diario!$A$4:$A$300,$A37)=0),"",SUMIFS(Trato_Diario!$J$4:$J$300,Trato_Diario!$B$4:$B$300,2,Trato_Diario!$A$4:$A$300,$A37)/SUMIFS(Trato_Diario!$G$4:$G$300,Trato_Diario!$B$4:$B$300,2,Trato_Diario!$A$4:$A$300,$A37))</f>
        <v/>
      </c>
      <c r="D37" s="26" t="str">
        <f>IF(OR($A37&gt;MAX(Trato_Diario!$A$4:$A$300),SUMIFS(Trato_Diario!$G$4:$G$300,Trato_Diario!$B$4:$B$300,3,Trato_Diario!$A$4:$A$300,$A37)=0),"",SUMIFS(Trato_Diario!$J$4:$J$300,Trato_Diario!$B$4:$B$300,3,Trato_Diario!$A$4:$A$300,$A37)/SUMIFS(Trato_Diario!$G$4:$G$300,Trato_Diario!$B$4:$B$300,3,Trato_Diario!$A$4:$A$300,$A37))</f>
        <v/>
      </c>
      <c r="E37" s="26" t="str">
        <f>IF(OR($A37&gt;MAX(Trato_Diario!$A$4:$A$300),SUMIFS(Trato_Diario!$G$4:$G$300,Trato_Diario!$B$4:$B$300,4,Trato_Diario!$A$4:$A$300,$A37)=0),"",SUMIFS(Trato_Diario!$J$4:$J$300,Trato_Diario!$B$4:$B$300,4,Trato_Diario!$A$4:$A$300,$A37)/SUMIFS(Trato_Diario!$G$4:$G$300,Trato_Diario!$B$4:$B$300,4,Trato_Diario!$A$4:$A$300,$A37))</f>
        <v/>
      </c>
      <c r="F37" s="26" t="str">
        <f>IF(OR($A37&gt;MAX(Trato_Diario!$A$4:$A$300),SUMIFS(Trato_Diario!$G$4:$G$300,Trato_Diario!$B$4:$B$300,5,Trato_Diario!$A$4:$A$300,$A37)=0),"",SUMIFS(Trato_Diario!$J$4:$J$300,Trato_Diario!$B$4:$B$300,5,Trato_Diario!$A$4:$A$300,$A37)/SUMIFS(Trato_Diario!$G$4:$G$300,Trato_Diario!$B$4:$B$300,5,Trato_Diario!$A$4:$A$300,$A37))</f>
        <v/>
      </c>
      <c r="G37" s="26" t="str">
        <f>IF(OR($A37&gt;MAX(Trato_Diario!$A$4:$A$300),SUMIFS(Trato_Diario!$G$4:$G$300,Trato_Diario!$B$4:$B$300,6,Trato_Diario!$A$4:$A$300,$A37)=0),"",SUMIFS(Trato_Diario!$J$4:$J$300,Trato_Diario!$B$4:$B$300,6,Trato_Diario!$A$4:$A$300,$A37)/SUMIFS(Trato_Diario!$G$4:$G$300,Trato_Diario!$B$4:$B$300,6,Trato_Diario!$A$4:$A$300,$A37))</f>
        <v/>
      </c>
      <c r="H37" s="26" t="str">
        <f>IF(OR($A37&gt;MAX(Trato_Diario!$A$4:$A$300),SUMIFS(Trato_Diario!$G$4:$G$300,Trato_Diario!$B$4:$B$300,7,Trato_Diario!$A$4:$A$300,$A37)=0),"",SUMIFS(Trato_Diario!$J$4:$J$300,Trato_Diario!$B$4:$B$300,7,Trato_Diario!$A$4:$A$300,$A37)/SUMIFS(Trato_Diario!$G$4:$G$300,Trato_Diario!$B$4:$B$300,7,Trato_Diario!$A$4:$A$300,$A37))</f>
        <v/>
      </c>
      <c r="I37" s="26" t="str">
        <f>IF(OR($A37&gt;MAX(Trato_Diario!$A$4:$A$300),SUMIFS(Trato_Diario!$G$4:$G$300,Trato_Diario!$B$4:$B$300,8,Trato_Diario!$A$4:$A$300,$A37)=0),"",SUMIFS(Trato_Diario!$J$4:$J$300,Trato_Diario!$B$4:$B$300,8,Trato_Diario!$A$4:$A$300,$A37)/SUMIFS(Trato_Diario!$G$4:$G$300,Trato_Diario!$B$4:$B$300,8,Trato_Diario!$A$4:$A$300,$A37))</f>
        <v/>
      </c>
      <c r="J37" s="26" t="str">
        <f>IF(OR($A37&gt;MAX(Trato_Diario!$A$4:$A$300),SUMIFS(Trato_Diario!$G$4:$G$300,Trato_Diario!$B$4:$B$300,9,Trato_Diario!$A$4:$A$300,$A37)=0),"",SUMIFS(Trato_Diario!$J$4:$J$300,Trato_Diario!$B$4:$B$300,9,Trato_Diario!$A$4:$A$300,$A37)/SUMIFS(Trato_Diario!$G$4:$G$300,Trato_Diario!$B$4:$B$300,9,Trato_Diario!$A$4:$A$300,$A37))</f>
        <v/>
      </c>
      <c r="K37" s="26" t="str">
        <f>IF(OR($A37&gt;MAX(Trato_Diario!$A$4:$A$300),SUMIFS(Trato_Diario!$G$4:$G$300,Trato_Diario!$B$4:$B$300,10,Trato_Diario!$A$4:$A$300,$A37)=0),"",SUMIFS(Trato_Diario!$J$4:$J$300,Trato_Diario!$B$4:$B$300,10,Trato_Diario!$A$4:$A$300,$A37)/SUMIFS(Trato_Diario!$G$4:$G$300,Trato_Diario!$B$4:$B$300,10,Trato_Diario!$A$4:$A$300,$A37))</f>
        <v/>
      </c>
      <c r="L37" s="74" t="str">
        <f>IF(OR($A37&gt;MAX(Trato_Diario!$A$4:$A$300),SUMIFS(Trato_Diario!$G$4:$G$300,Trato_Diario!$A$4:$A$300,$A37)=0),"",SUMIFS(Trato_Diario!$J$4:$J$300,Trato_Diario!$A$4:$A$300,$A37)/SUMIFS(Trato_Diario!$G$4:$G$300,Trato_Diario!$A$4:$A$300,$A37))</f>
        <v/>
      </c>
    </row>
    <row r="38" spans="1:12" ht="14.25" customHeight="1" x14ac:dyDescent="0.3">
      <c r="A38" s="86">
        <v>46247</v>
      </c>
      <c r="B38" s="28" t="str">
        <f>IF(OR($A38&gt;MAX(Trato_Diario!$A$4:$A$300),SUMIFS(Trato_Diario!$G$4:$G$300,Trato_Diario!$B$4:$B$300,1,Trato_Diario!$A$4:$A$300,$A38)=0),"",SUMIFS(Trato_Diario!$J$4:$J$300,Trato_Diario!$B$4:$B$300,1,Trato_Diario!$A$4:$A$300,$A38)/SUMIFS(Trato_Diario!$G$4:$G$300,Trato_Diario!$B$4:$B$300,1,Trato_Diario!$A$4:$A$300,$A38))</f>
        <v/>
      </c>
      <c r="C38" s="28" t="str">
        <f>IF(OR($A38&gt;MAX(Trato_Diario!$A$4:$A$300),SUMIFS(Trato_Diario!$G$4:$G$300,Trato_Diario!$B$4:$B$300,2,Trato_Diario!$A$4:$A$300,$A38)=0),"",SUMIFS(Trato_Diario!$J$4:$J$300,Trato_Diario!$B$4:$B$300,2,Trato_Diario!$A$4:$A$300,$A38)/SUMIFS(Trato_Diario!$G$4:$G$300,Trato_Diario!$B$4:$B$300,2,Trato_Diario!$A$4:$A$300,$A38))</f>
        <v/>
      </c>
      <c r="D38" s="28" t="str">
        <f>IF(OR($A38&gt;MAX(Trato_Diario!$A$4:$A$300),SUMIFS(Trato_Diario!$G$4:$G$300,Trato_Diario!$B$4:$B$300,3,Trato_Diario!$A$4:$A$300,$A38)=0),"",SUMIFS(Trato_Diario!$J$4:$J$300,Trato_Diario!$B$4:$B$300,3,Trato_Diario!$A$4:$A$300,$A38)/SUMIFS(Trato_Diario!$G$4:$G$300,Trato_Diario!$B$4:$B$300,3,Trato_Diario!$A$4:$A$300,$A38))</f>
        <v/>
      </c>
      <c r="E38" s="28" t="str">
        <f>IF(OR($A38&gt;MAX(Trato_Diario!$A$4:$A$300),SUMIFS(Trato_Diario!$G$4:$G$300,Trato_Diario!$B$4:$B$300,4,Trato_Diario!$A$4:$A$300,$A38)=0),"",SUMIFS(Trato_Diario!$J$4:$J$300,Trato_Diario!$B$4:$B$300,4,Trato_Diario!$A$4:$A$300,$A38)/SUMIFS(Trato_Diario!$G$4:$G$300,Trato_Diario!$B$4:$B$300,4,Trato_Diario!$A$4:$A$300,$A38))</f>
        <v/>
      </c>
      <c r="F38" s="28" t="str">
        <f>IF(OR($A38&gt;MAX(Trato_Diario!$A$4:$A$300),SUMIFS(Trato_Diario!$G$4:$G$300,Trato_Diario!$B$4:$B$300,5,Trato_Diario!$A$4:$A$300,$A38)=0),"",SUMIFS(Trato_Diario!$J$4:$J$300,Trato_Diario!$B$4:$B$300,5,Trato_Diario!$A$4:$A$300,$A38)/SUMIFS(Trato_Diario!$G$4:$G$300,Trato_Diario!$B$4:$B$300,5,Trato_Diario!$A$4:$A$300,$A38))</f>
        <v/>
      </c>
      <c r="G38" s="28" t="str">
        <f>IF(OR($A38&gt;MAX(Trato_Diario!$A$4:$A$300),SUMIFS(Trato_Diario!$G$4:$G$300,Trato_Diario!$B$4:$B$300,6,Trato_Diario!$A$4:$A$300,$A38)=0),"",SUMIFS(Trato_Diario!$J$4:$J$300,Trato_Diario!$B$4:$B$300,6,Trato_Diario!$A$4:$A$300,$A38)/SUMIFS(Trato_Diario!$G$4:$G$300,Trato_Diario!$B$4:$B$300,6,Trato_Diario!$A$4:$A$300,$A38))</f>
        <v/>
      </c>
      <c r="H38" s="28" t="str">
        <f>IF(OR($A38&gt;MAX(Trato_Diario!$A$4:$A$300),SUMIFS(Trato_Diario!$G$4:$G$300,Trato_Diario!$B$4:$B$300,7,Trato_Diario!$A$4:$A$300,$A38)=0),"",SUMIFS(Trato_Diario!$J$4:$J$300,Trato_Diario!$B$4:$B$300,7,Trato_Diario!$A$4:$A$300,$A38)/SUMIFS(Trato_Diario!$G$4:$G$300,Trato_Diario!$B$4:$B$300,7,Trato_Diario!$A$4:$A$300,$A38))</f>
        <v/>
      </c>
      <c r="I38" s="28" t="str">
        <f>IF(OR($A38&gt;MAX(Trato_Diario!$A$4:$A$300),SUMIFS(Trato_Diario!$G$4:$G$300,Trato_Diario!$B$4:$B$300,8,Trato_Diario!$A$4:$A$300,$A38)=0),"",SUMIFS(Trato_Diario!$J$4:$J$300,Trato_Diario!$B$4:$B$300,8,Trato_Diario!$A$4:$A$300,$A38)/SUMIFS(Trato_Diario!$G$4:$G$300,Trato_Diario!$B$4:$B$300,8,Trato_Diario!$A$4:$A$300,$A38))</f>
        <v/>
      </c>
      <c r="J38" s="28" t="str">
        <f>IF(OR($A38&gt;MAX(Trato_Diario!$A$4:$A$300),SUMIFS(Trato_Diario!$G$4:$G$300,Trato_Diario!$B$4:$B$300,9,Trato_Diario!$A$4:$A$300,$A38)=0),"",SUMIFS(Trato_Diario!$J$4:$J$300,Trato_Diario!$B$4:$B$300,9,Trato_Diario!$A$4:$A$300,$A38)/SUMIFS(Trato_Diario!$G$4:$G$300,Trato_Diario!$B$4:$B$300,9,Trato_Diario!$A$4:$A$300,$A38))</f>
        <v/>
      </c>
      <c r="K38" s="28" t="str">
        <f>IF(OR($A38&gt;MAX(Trato_Diario!$A$4:$A$300),SUMIFS(Trato_Diario!$G$4:$G$300,Trato_Diario!$B$4:$B$300,10,Trato_Diario!$A$4:$A$300,$A38)=0),"",SUMIFS(Trato_Diario!$J$4:$J$300,Trato_Diario!$B$4:$B$300,10,Trato_Diario!$A$4:$A$300,$A38)/SUMIFS(Trato_Diario!$G$4:$G$300,Trato_Diario!$B$4:$B$300,10,Trato_Diario!$A$4:$A$300,$A38))</f>
        <v/>
      </c>
      <c r="L38" s="76" t="str">
        <f>IF(OR($A38&gt;MAX(Trato_Diario!$A$4:$A$300),SUMIFS(Trato_Diario!$G$4:$G$300,Trato_Diario!$A$4:$A$300,$A38)=0),"",SUMIFS(Trato_Diario!$J$4:$J$300,Trato_Diario!$A$4:$A$300,$A38)/SUMIFS(Trato_Diario!$G$4:$G$300,Trato_Diario!$A$4:$A$300,$A38))</f>
        <v/>
      </c>
    </row>
    <row r="39" spans="1:12" ht="14.25" customHeight="1" x14ac:dyDescent="0.3">
      <c r="A39" s="85">
        <v>46248</v>
      </c>
      <c r="B39" s="26" t="str">
        <f>IF(OR($A39&gt;MAX(Trato_Diario!$A$4:$A$300),SUMIFS(Trato_Diario!$G$4:$G$300,Trato_Diario!$B$4:$B$300,1,Trato_Diario!$A$4:$A$300,$A39)=0),"",SUMIFS(Trato_Diario!$J$4:$J$300,Trato_Diario!$B$4:$B$300,1,Trato_Diario!$A$4:$A$300,$A39)/SUMIFS(Trato_Diario!$G$4:$G$300,Trato_Diario!$B$4:$B$300,1,Trato_Diario!$A$4:$A$300,$A39))</f>
        <v/>
      </c>
      <c r="C39" s="26" t="str">
        <f>IF(OR($A39&gt;MAX(Trato_Diario!$A$4:$A$300),SUMIFS(Trato_Diario!$G$4:$G$300,Trato_Diario!$B$4:$B$300,2,Trato_Diario!$A$4:$A$300,$A39)=0),"",SUMIFS(Trato_Diario!$J$4:$J$300,Trato_Diario!$B$4:$B$300,2,Trato_Diario!$A$4:$A$300,$A39)/SUMIFS(Trato_Diario!$G$4:$G$300,Trato_Diario!$B$4:$B$300,2,Trato_Diario!$A$4:$A$300,$A39))</f>
        <v/>
      </c>
      <c r="D39" s="26" t="str">
        <f>IF(OR($A39&gt;MAX(Trato_Diario!$A$4:$A$300),SUMIFS(Trato_Diario!$G$4:$G$300,Trato_Diario!$B$4:$B$300,3,Trato_Diario!$A$4:$A$300,$A39)=0),"",SUMIFS(Trato_Diario!$J$4:$J$300,Trato_Diario!$B$4:$B$300,3,Trato_Diario!$A$4:$A$300,$A39)/SUMIFS(Trato_Diario!$G$4:$G$300,Trato_Diario!$B$4:$B$300,3,Trato_Diario!$A$4:$A$300,$A39))</f>
        <v/>
      </c>
      <c r="E39" s="26" t="str">
        <f>IF(OR($A39&gt;MAX(Trato_Diario!$A$4:$A$300),SUMIFS(Trato_Diario!$G$4:$G$300,Trato_Diario!$B$4:$B$300,4,Trato_Diario!$A$4:$A$300,$A39)=0),"",SUMIFS(Trato_Diario!$J$4:$J$300,Trato_Diario!$B$4:$B$300,4,Trato_Diario!$A$4:$A$300,$A39)/SUMIFS(Trato_Diario!$G$4:$G$300,Trato_Diario!$B$4:$B$300,4,Trato_Diario!$A$4:$A$300,$A39))</f>
        <v/>
      </c>
      <c r="F39" s="26" t="str">
        <f>IF(OR($A39&gt;MAX(Trato_Diario!$A$4:$A$300),SUMIFS(Trato_Diario!$G$4:$G$300,Trato_Diario!$B$4:$B$300,5,Trato_Diario!$A$4:$A$300,$A39)=0),"",SUMIFS(Trato_Diario!$J$4:$J$300,Trato_Diario!$B$4:$B$300,5,Trato_Diario!$A$4:$A$300,$A39)/SUMIFS(Trato_Diario!$G$4:$G$300,Trato_Diario!$B$4:$B$300,5,Trato_Diario!$A$4:$A$300,$A39))</f>
        <v/>
      </c>
      <c r="G39" s="26" t="str">
        <f>IF(OR($A39&gt;MAX(Trato_Diario!$A$4:$A$300),SUMIFS(Trato_Diario!$G$4:$G$300,Trato_Diario!$B$4:$B$300,6,Trato_Diario!$A$4:$A$300,$A39)=0),"",SUMIFS(Trato_Diario!$J$4:$J$300,Trato_Diario!$B$4:$B$300,6,Trato_Diario!$A$4:$A$300,$A39)/SUMIFS(Trato_Diario!$G$4:$G$300,Trato_Diario!$B$4:$B$300,6,Trato_Diario!$A$4:$A$300,$A39))</f>
        <v/>
      </c>
      <c r="H39" s="26" t="str">
        <f>IF(OR($A39&gt;MAX(Trato_Diario!$A$4:$A$300),SUMIFS(Trato_Diario!$G$4:$G$300,Trato_Diario!$B$4:$B$300,7,Trato_Diario!$A$4:$A$300,$A39)=0),"",SUMIFS(Trato_Diario!$J$4:$J$300,Trato_Diario!$B$4:$B$300,7,Trato_Diario!$A$4:$A$300,$A39)/SUMIFS(Trato_Diario!$G$4:$G$300,Trato_Diario!$B$4:$B$300,7,Trato_Diario!$A$4:$A$300,$A39))</f>
        <v/>
      </c>
      <c r="I39" s="26" t="str">
        <f>IF(OR($A39&gt;MAX(Trato_Diario!$A$4:$A$300),SUMIFS(Trato_Diario!$G$4:$G$300,Trato_Diario!$B$4:$B$300,8,Trato_Diario!$A$4:$A$300,$A39)=0),"",SUMIFS(Trato_Diario!$J$4:$J$300,Trato_Diario!$B$4:$B$300,8,Trato_Diario!$A$4:$A$300,$A39)/SUMIFS(Trato_Diario!$G$4:$G$300,Trato_Diario!$B$4:$B$300,8,Trato_Diario!$A$4:$A$300,$A39))</f>
        <v/>
      </c>
      <c r="J39" s="26" t="str">
        <f>IF(OR($A39&gt;MAX(Trato_Diario!$A$4:$A$300),SUMIFS(Trato_Diario!$G$4:$G$300,Trato_Diario!$B$4:$B$300,9,Trato_Diario!$A$4:$A$300,$A39)=0),"",SUMIFS(Trato_Diario!$J$4:$J$300,Trato_Diario!$B$4:$B$300,9,Trato_Diario!$A$4:$A$300,$A39)/SUMIFS(Trato_Diario!$G$4:$G$300,Trato_Diario!$B$4:$B$300,9,Trato_Diario!$A$4:$A$300,$A39))</f>
        <v/>
      </c>
      <c r="K39" s="26" t="str">
        <f>IF(OR($A39&gt;MAX(Trato_Diario!$A$4:$A$300),SUMIFS(Trato_Diario!$G$4:$G$300,Trato_Diario!$B$4:$B$300,10,Trato_Diario!$A$4:$A$300,$A39)=0),"",SUMIFS(Trato_Diario!$J$4:$J$300,Trato_Diario!$B$4:$B$300,10,Trato_Diario!$A$4:$A$300,$A39)/SUMIFS(Trato_Diario!$G$4:$G$300,Trato_Diario!$B$4:$B$300,10,Trato_Diario!$A$4:$A$300,$A39))</f>
        <v/>
      </c>
      <c r="L39" s="74" t="str">
        <f>IF(OR($A39&gt;MAX(Trato_Diario!$A$4:$A$300),SUMIFS(Trato_Diario!$G$4:$G$300,Trato_Diario!$A$4:$A$300,$A39)=0),"",SUMIFS(Trato_Diario!$J$4:$J$300,Trato_Diario!$A$4:$A$300,$A39)/SUMIFS(Trato_Diario!$G$4:$G$300,Trato_Diario!$A$4:$A$300,$A39))</f>
        <v/>
      </c>
    </row>
    <row r="40" spans="1:12" ht="14.25" customHeight="1" x14ac:dyDescent="0.3">
      <c r="A40" s="86">
        <v>46249</v>
      </c>
      <c r="B40" s="28" t="str">
        <f>IF(OR($A40&gt;MAX(Trato_Diario!$A$4:$A$300),SUMIFS(Trato_Diario!$G$4:$G$300,Trato_Diario!$B$4:$B$300,1,Trato_Diario!$A$4:$A$300,$A40)=0),"",SUMIFS(Trato_Diario!$J$4:$J$300,Trato_Diario!$B$4:$B$300,1,Trato_Diario!$A$4:$A$300,$A40)/SUMIFS(Trato_Diario!$G$4:$G$300,Trato_Diario!$B$4:$B$300,1,Trato_Diario!$A$4:$A$300,$A40))</f>
        <v/>
      </c>
      <c r="C40" s="28" t="str">
        <f>IF(OR($A40&gt;MAX(Trato_Diario!$A$4:$A$300),SUMIFS(Trato_Diario!$G$4:$G$300,Trato_Diario!$B$4:$B$300,2,Trato_Diario!$A$4:$A$300,$A40)=0),"",SUMIFS(Trato_Diario!$J$4:$J$300,Trato_Diario!$B$4:$B$300,2,Trato_Diario!$A$4:$A$300,$A40)/SUMIFS(Trato_Diario!$G$4:$G$300,Trato_Diario!$B$4:$B$300,2,Trato_Diario!$A$4:$A$300,$A40))</f>
        <v/>
      </c>
      <c r="D40" s="28" t="str">
        <f>IF(OR($A40&gt;MAX(Trato_Diario!$A$4:$A$300),SUMIFS(Trato_Diario!$G$4:$G$300,Trato_Diario!$B$4:$B$300,3,Trato_Diario!$A$4:$A$300,$A40)=0),"",SUMIFS(Trato_Diario!$J$4:$J$300,Trato_Diario!$B$4:$B$300,3,Trato_Diario!$A$4:$A$300,$A40)/SUMIFS(Trato_Diario!$G$4:$G$300,Trato_Diario!$B$4:$B$300,3,Trato_Diario!$A$4:$A$300,$A40))</f>
        <v/>
      </c>
      <c r="E40" s="28" t="str">
        <f>IF(OR($A40&gt;MAX(Trato_Diario!$A$4:$A$300),SUMIFS(Trato_Diario!$G$4:$G$300,Trato_Diario!$B$4:$B$300,4,Trato_Diario!$A$4:$A$300,$A40)=0),"",SUMIFS(Trato_Diario!$J$4:$J$300,Trato_Diario!$B$4:$B$300,4,Trato_Diario!$A$4:$A$300,$A40)/SUMIFS(Trato_Diario!$G$4:$G$300,Trato_Diario!$B$4:$B$300,4,Trato_Diario!$A$4:$A$300,$A40))</f>
        <v/>
      </c>
      <c r="F40" s="28" t="str">
        <f>IF(OR($A40&gt;MAX(Trato_Diario!$A$4:$A$300),SUMIFS(Trato_Diario!$G$4:$G$300,Trato_Diario!$B$4:$B$300,5,Trato_Diario!$A$4:$A$300,$A40)=0),"",SUMIFS(Trato_Diario!$J$4:$J$300,Trato_Diario!$B$4:$B$300,5,Trato_Diario!$A$4:$A$300,$A40)/SUMIFS(Trato_Diario!$G$4:$G$300,Trato_Diario!$B$4:$B$300,5,Trato_Diario!$A$4:$A$300,$A40))</f>
        <v/>
      </c>
      <c r="G40" s="28" t="str">
        <f>IF(OR($A40&gt;MAX(Trato_Diario!$A$4:$A$300),SUMIFS(Trato_Diario!$G$4:$G$300,Trato_Diario!$B$4:$B$300,6,Trato_Diario!$A$4:$A$300,$A40)=0),"",SUMIFS(Trato_Diario!$J$4:$J$300,Trato_Diario!$B$4:$B$300,6,Trato_Diario!$A$4:$A$300,$A40)/SUMIFS(Trato_Diario!$G$4:$G$300,Trato_Diario!$B$4:$B$300,6,Trato_Diario!$A$4:$A$300,$A40))</f>
        <v/>
      </c>
      <c r="H40" s="28" t="str">
        <f>IF(OR($A40&gt;MAX(Trato_Diario!$A$4:$A$300),SUMIFS(Trato_Diario!$G$4:$G$300,Trato_Diario!$B$4:$B$300,7,Trato_Diario!$A$4:$A$300,$A40)=0),"",SUMIFS(Trato_Diario!$J$4:$J$300,Trato_Diario!$B$4:$B$300,7,Trato_Diario!$A$4:$A$300,$A40)/SUMIFS(Trato_Diario!$G$4:$G$300,Trato_Diario!$B$4:$B$300,7,Trato_Diario!$A$4:$A$300,$A40))</f>
        <v/>
      </c>
      <c r="I40" s="28" t="str">
        <f>IF(OR($A40&gt;MAX(Trato_Diario!$A$4:$A$300),SUMIFS(Trato_Diario!$G$4:$G$300,Trato_Diario!$B$4:$B$300,8,Trato_Diario!$A$4:$A$300,$A40)=0),"",SUMIFS(Trato_Diario!$J$4:$J$300,Trato_Diario!$B$4:$B$300,8,Trato_Diario!$A$4:$A$300,$A40)/SUMIFS(Trato_Diario!$G$4:$G$300,Trato_Diario!$B$4:$B$300,8,Trato_Diario!$A$4:$A$300,$A40))</f>
        <v/>
      </c>
      <c r="J40" s="28" t="str">
        <f>IF(OR($A40&gt;MAX(Trato_Diario!$A$4:$A$300),SUMIFS(Trato_Diario!$G$4:$G$300,Trato_Diario!$B$4:$B$300,9,Trato_Diario!$A$4:$A$300,$A40)=0),"",SUMIFS(Trato_Diario!$J$4:$J$300,Trato_Diario!$B$4:$B$300,9,Trato_Diario!$A$4:$A$300,$A40)/SUMIFS(Trato_Diario!$G$4:$G$300,Trato_Diario!$B$4:$B$300,9,Trato_Diario!$A$4:$A$300,$A40))</f>
        <v/>
      </c>
      <c r="K40" s="28" t="str">
        <f>IF(OR($A40&gt;MAX(Trato_Diario!$A$4:$A$300),SUMIFS(Trato_Diario!$G$4:$G$300,Trato_Diario!$B$4:$B$300,10,Trato_Diario!$A$4:$A$300,$A40)=0),"",SUMIFS(Trato_Diario!$J$4:$J$300,Trato_Diario!$B$4:$B$300,10,Trato_Diario!$A$4:$A$300,$A40)/SUMIFS(Trato_Diario!$G$4:$G$300,Trato_Diario!$B$4:$B$300,10,Trato_Diario!$A$4:$A$300,$A40))</f>
        <v/>
      </c>
      <c r="L40" s="76" t="str">
        <f>IF(OR($A40&gt;MAX(Trato_Diario!$A$4:$A$300),SUMIFS(Trato_Diario!$G$4:$G$300,Trato_Diario!$A$4:$A$300,$A40)=0),"",SUMIFS(Trato_Diario!$J$4:$J$300,Trato_Diario!$A$4:$A$300,$A40)/SUMIFS(Trato_Diario!$G$4:$G$300,Trato_Diario!$A$4:$A$300,$A40))</f>
        <v/>
      </c>
    </row>
    <row r="41" spans="1:12" ht="14.25" customHeight="1" x14ac:dyDescent="0.3">
      <c r="A41" s="85">
        <v>46250</v>
      </c>
      <c r="B41" s="26" t="str">
        <f>IF(OR($A41&gt;MAX(Trato_Diario!$A$4:$A$300),SUMIFS(Trato_Diario!$G$4:$G$300,Trato_Diario!$B$4:$B$300,1,Trato_Diario!$A$4:$A$300,$A41)=0),"",SUMIFS(Trato_Diario!$J$4:$J$300,Trato_Diario!$B$4:$B$300,1,Trato_Diario!$A$4:$A$300,$A41)/SUMIFS(Trato_Diario!$G$4:$G$300,Trato_Diario!$B$4:$B$300,1,Trato_Diario!$A$4:$A$300,$A41))</f>
        <v/>
      </c>
      <c r="C41" s="26" t="str">
        <f>IF(OR($A41&gt;MAX(Trato_Diario!$A$4:$A$300),SUMIFS(Trato_Diario!$G$4:$G$300,Trato_Diario!$B$4:$B$300,2,Trato_Diario!$A$4:$A$300,$A41)=0),"",SUMIFS(Trato_Diario!$J$4:$J$300,Trato_Diario!$B$4:$B$300,2,Trato_Diario!$A$4:$A$300,$A41)/SUMIFS(Trato_Diario!$G$4:$G$300,Trato_Diario!$B$4:$B$300,2,Trato_Diario!$A$4:$A$300,$A41))</f>
        <v/>
      </c>
      <c r="D41" s="26" t="str">
        <f>IF(OR($A41&gt;MAX(Trato_Diario!$A$4:$A$300),SUMIFS(Trato_Diario!$G$4:$G$300,Trato_Diario!$B$4:$B$300,3,Trato_Diario!$A$4:$A$300,$A41)=0),"",SUMIFS(Trato_Diario!$J$4:$J$300,Trato_Diario!$B$4:$B$300,3,Trato_Diario!$A$4:$A$300,$A41)/SUMIFS(Trato_Diario!$G$4:$G$300,Trato_Diario!$B$4:$B$300,3,Trato_Diario!$A$4:$A$300,$A41))</f>
        <v/>
      </c>
      <c r="E41" s="26" t="str">
        <f>IF(OR($A41&gt;MAX(Trato_Diario!$A$4:$A$300),SUMIFS(Trato_Diario!$G$4:$G$300,Trato_Diario!$B$4:$B$300,4,Trato_Diario!$A$4:$A$300,$A41)=0),"",SUMIFS(Trato_Diario!$J$4:$J$300,Trato_Diario!$B$4:$B$300,4,Trato_Diario!$A$4:$A$300,$A41)/SUMIFS(Trato_Diario!$G$4:$G$300,Trato_Diario!$B$4:$B$300,4,Trato_Diario!$A$4:$A$300,$A41))</f>
        <v/>
      </c>
      <c r="F41" s="26" t="str">
        <f>IF(OR($A41&gt;MAX(Trato_Diario!$A$4:$A$300),SUMIFS(Trato_Diario!$G$4:$G$300,Trato_Diario!$B$4:$B$300,5,Trato_Diario!$A$4:$A$300,$A41)=0),"",SUMIFS(Trato_Diario!$J$4:$J$300,Trato_Diario!$B$4:$B$300,5,Trato_Diario!$A$4:$A$300,$A41)/SUMIFS(Trato_Diario!$G$4:$G$300,Trato_Diario!$B$4:$B$300,5,Trato_Diario!$A$4:$A$300,$A41))</f>
        <v/>
      </c>
      <c r="G41" s="26" t="str">
        <f>IF(OR($A41&gt;MAX(Trato_Diario!$A$4:$A$300),SUMIFS(Trato_Diario!$G$4:$G$300,Trato_Diario!$B$4:$B$300,6,Trato_Diario!$A$4:$A$300,$A41)=0),"",SUMIFS(Trato_Diario!$J$4:$J$300,Trato_Diario!$B$4:$B$300,6,Trato_Diario!$A$4:$A$300,$A41)/SUMIFS(Trato_Diario!$G$4:$G$300,Trato_Diario!$B$4:$B$300,6,Trato_Diario!$A$4:$A$300,$A41))</f>
        <v/>
      </c>
      <c r="H41" s="26" t="str">
        <f>IF(OR($A41&gt;MAX(Trato_Diario!$A$4:$A$300),SUMIFS(Trato_Diario!$G$4:$G$300,Trato_Diario!$B$4:$B$300,7,Trato_Diario!$A$4:$A$300,$A41)=0),"",SUMIFS(Trato_Diario!$J$4:$J$300,Trato_Diario!$B$4:$B$300,7,Trato_Diario!$A$4:$A$300,$A41)/SUMIFS(Trato_Diario!$G$4:$G$300,Trato_Diario!$B$4:$B$300,7,Trato_Diario!$A$4:$A$300,$A41))</f>
        <v/>
      </c>
      <c r="I41" s="26" t="str">
        <f>IF(OR($A41&gt;MAX(Trato_Diario!$A$4:$A$300),SUMIFS(Trato_Diario!$G$4:$G$300,Trato_Diario!$B$4:$B$300,8,Trato_Diario!$A$4:$A$300,$A41)=0),"",SUMIFS(Trato_Diario!$J$4:$J$300,Trato_Diario!$B$4:$B$300,8,Trato_Diario!$A$4:$A$300,$A41)/SUMIFS(Trato_Diario!$G$4:$G$300,Trato_Diario!$B$4:$B$300,8,Trato_Diario!$A$4:$A$300,$A41))</f>
        <v/>
      </c>
      <c r="J41" s="26" t="str">
        <f>IF(OR($A41&gt;MAX(Trato_Diario!$A$4:$A$300),SUMIFS(Trato_Diario!$G$4:$G$300,Trato_Diario!$B$4:$B$300,9,Trato_Diario!$A$4:$A$300,$A41)=0),"",SUMIFS(Trato_Diario!$J$4:$J$300,Trato_Diario!$B$4:$B$300,9,Trato_Diario!$A$4:$A$300,$A41)/SUMIFS(Trato_Diario!$G$4:$G$300,Trato_Diario!$B$4:$B$300,9,Trato_Diario!$A$4:$A$300,$A41))</f>
        <v/>
      </c>
      <c r="K41" s="26" t="str">
        <f>IF(OR($A41&gt;MAX(Trato_Diario!$A$4:$A$300),SUMIFS(Trato_Diario!$G$4:$G$300,Trato_Diario!$B$4:$B$300,10,Trato_Diario!$A$4:$A$300,$A41)=0),"",SUMIFS(Trato_Diario!$J$4:$J$300,Trato_Diario!$B$4:$B$300,10,Trato_Diario!$A$4:$A$300,$A41)/SUMIFS(Trato_Diario!$G$4:$G$300,Trato_Diario!$B$4:$B$300,10,Trato_Diario!$A$4:$A$300,$A41))</f>
        <v/>
      </c>
      <c r="L41" s="74" t="str">
        <f>IF(OR($A41&gt;MAX(Trato_Diario!$A$4:$A$300),SUMIFS(Trato_Diario!$G$4:$G$300,Trato_Diario!$A$4:$A$300,$A41)=0),"",SUMIFS(Trato_Diario!$J$4:$J$300,Trato_Diario!$A$4:$A$300,$A41)/SUMIFS(Trato_Diario!$G$4:$G$300,Trato_Diario!$A$4:$A$300,$A41))</f>
        <v/>
      </c>
    </row>
    <row r="42" spans="1:12" ht="14.25" customHeight="1" x14ac:dyDescent="0.3">
      <c r="A42" s="86">
        <v>46251</v>
      </c>
      <c r="B42" s="28" t="str">
        <f>IF(OR($A42&gt;MAX(Trato_Diario!$A$4:$A$300),SUMIFS(Trato_Diario!$G$4:$G$300,Trato_Diario!$B$4:$B$300,1,Trato_Diario!$A$4:$A$300,$A42)=0),"",SUMIFS(Trato_Diario!$J$4:$J$300,Trato_Diario!$B$4:$B$300,1,Trato_Diario!$A$4:$A$300,$A42)/SUMIFS(Trato_Diario!$G$4:$G$300,Trato_Diario!$B$4:$B$300,1,Trato_Diario!$A$4:$A$300,$A42))</f>
        <v/>
      </c>
      <c r="C42" s="28" t="str">
        <f>IF(OR($A42&gt;MAX(Trato_Diario!$A$4:$A$300),SUMIFS(Trato_Diario!$G$4:$G$300,Trato_Diario!$B$4:$B$300,2,Trato_Diario!$A$4:$A$300,$A42)=0),"",SUMIFS(Trato_Diario!$J$4:$J$300,Trato_Diario!$B$4:$B$300,2,Trato_Diario!$A$4:$A$300,$A42)/SUMIFS(Trato_Diario!$G$4:$G$300,Trato_Diario!$B$4:$B$300,2,Trato_Diario!$A$4:$A$300,$A42))</f>
        <v/>
      </c>
      <c r="D42" s="28" t="str">
        <f>IF(OR($A42&gt;MAX(Trato_Diario!$A$4:$A$300),SUMIFS(Trato_Diario!$G$4:$G$300,Trato_Diario!$B$4:$B$300,3,Trato_Diario!$A$4:$A$300,$A42)=0),"",SUMIFS(Trato_Diario!$J$4:$J$300,Trato_Diario!$B$4:$B$300,3,Trato_Diario!$A$4:$A$300,$A42)/SUMIFS(Trato_Diario!$G$4:$G$300,Trato_Diario!$B$4:$B$300,3,Trato_Diario!$A$4:$A$300,$A42))</f>
        <v/>
      </c>
      <c r="E42" s="28" t="str">
        <f>IF(OR($A42&gt;MAX(Trato_Diario!$A$4:$A$300),SUMIFS(Trato_Diario!$G$4:$G$300,Trato_Diario!$B$4:$B$300,4,Trato_Diario!$A$4:$A$300,$A42)=0),"",SUMIFS(Trato_Diario!$J$4:$J$300,Trato_Diario!$B$4:$B$300,4,Trato_Diario!$A$4:$A$300,$A42)/SUMIFS(Trato_Diario!$G$4:$G$300,Trato_Diario!$B$4:$B$300,4,Trato_Diario!$A$4:$A$300,$A42))</f>
        <v/>
      </c>
      <c r="F42" s="28" t="str">
        <f>IF(OR($A42&gt;MAX(Trato_Diario!$A$4:$A$300),SUMIFS(Trato_Diario!$G$4:$G$300,Trato_Diario!$B$4:$B$300,5,Trato_Diario!$A$4:$A$300,$A42)=0),"",SUMIFS(Trato_Diario!$J$4:$J$300,Trato_Diario!$B$4:$B$300,5,Trato_Diario!$A$4:$A$300,$A42)/SUMIFS(Trato_Diario!$G$4:$G$300,Trato_Diario!$B$4:$B$300,5,Trato_Diario!$A$4:$A$300,$A42))</f>
        <v/>
      </c>
      <c r="G42" s="28" t="str">
        <f>IF(OR($A42&gt;MAX(Trato_Diario!$A$4:$A$300),SUMIFS(Trato_Diario!$G$4:$G$300,Trato_Diario!$B$4:$B$300,6,Trato_Diario!$A$4:$A$300,$A42)=0),"",SUMIFS(Trato_Diario!$J$4:$J$300,Trato_Diario!$B$4:$B$300,6,Trato_Diario!$A$4:$A$300,$A42)/SUMIFS(Trato_Diario!$G$4:$G$300,Trato_Diario!$B$4:$B$300,6,Trato_Diario!$A$4:$A$300,$A42))</f>
        <v/>
      </c>
      <c r="H42" s="28" t="str">
        <f>IF(OR($A42&gt;MAX(Trato_Diario!$A$4:$A$300),SUMIFS(Trato_Diario!$G$4:$G$300,Trato_Diario!$B$4:$B$300,7,Trato_Diario!$A$4:$A$300,$A42)=0),"",SUMIFS(Trato_Diario!$J$4:$J$300,Trato_Diario!$B$4:$B$300,7,Trato_Diario!$A$4:$A$300,$A42)/SUMIFS(Trato_Diario!$G$4:$G$300,Trato_Diario!$B$4:$B$300,7,Trato_Diario!$A$4:$A$300,$A42))</f>
        <v/>
      </c>
      <c r="I42" s="28" t="str">
        <f>IF(OR($A42&gt;MAX(Trato_Diario!$A$4:$A$300),SUMIFS(Trato_Diario!$G$4:$G$300,Trato_Diario!$B$4:$B$300,8,Trato_Diario!$A$4:$A$300,$A42)=0),"",SUMIFS(Trato_Diario!$J$4:$J$300,Trato_Diario!$B$4:$B$300,8,Trato_Diario!$A$4:$A$300,$A42)/SUMIFS(Trato_Diario!$G$4:$G$300,Trato_Diario!$B$4:$B$300,8,Trato_Diario!$A$4:$A$300,$A42))</f>
        <v/>
      </c>
      <c r="J42" s="28" t="str">
        <f>IF(OR($A42&gt;MAX(Trato_Diario!$A$4:$A$300),SUMIFS(Trato_Diario!$G$4:$G$300,Trato_Diario!$B$4:$B$300,9,Trato_Diario!$A$4:$A$300,$A42)=0),"",SUMIFS(Trato_Diario!$J$4:$J$300,Trato_Diario!$B$4:$B$300,9,Trato_Diario!$A$4:$A$300,$A42)/SUMIFS(Trato_Diario!$G$4:$G$300,Trato_Diario!$B$4:$B$300,9,Trato_Diario!$A$4:$A$300,$A42))</f>
        <v/>
      </c>
      <c r="K42" s="28" t="str">
        <f>IF(OR($A42&gt;MAX(Trato_Diario!$A$4:$A$300),SUMIFS(Trato_Diario!$G$4:$G$300,Trato_Diario!$B$4:$B$300,10,Trato_Diario!$A$4:$A$300,$A42)=0),"",SUMIFS(Trato_Diario!$J$4:$J$300,Trato_Diario!$B$4:$B$300,10,Trato_Diario!$A$4:$A$300,$A42)/SUMIFS(Trato_Diario!$G$4:$G$300,Trato_Diario!$B$4:$B$300,10,Trato_Diario!$A$4:$A$300,$A42))</f>
        <v/>
      </c>
      <c r="L42" s="76" t="str">
        <f>IF(OR($A42&gt;MAX(Trato_Diario!$A$4:$A$300),SUMIFS(Trato_Diario!$G$4:$G$300,Trato_Diario!$A$4:$A$300,$A42)=0),"",SUMIFS(Trato_Diario!$J$4:$J$300,Trato_Diario!$A$4:$A$300,$A42)/SUMIFS(Trato_Diario!$G$4:$G$300,Trato_Diario!$A$4:$A$300,$A42))</f>
        <v/>
      </c>
    </row>
    <row r="43" spans="1:12" ht="14.25" customHeight="1" x14ac:dyDescent="0.3">
      <c r="A43" s="85">
        <v>46252</v>
      </c>
      <c r="B43" s="26" t="str">
        <f>IF(OR($A43&gt;MAX(Trato_Diario!$A$4:$A$300),SUMIFS(Trato_Diario!$G$4:$G$300,Trato_Diario!$B$4:$B$300,1,Trato_Diario!$A$4:$A$300,$A43)=0),"",SUMIFS(Trato_Diario!$J$4:$J$300,Trato_Diario!$B$4:$B$300,1,Trato_Diario!$A$4:$A$300,$A43)/SUMIFS(Trato_Diario!$G$4:$G$300,Trato_Diario!$B$4:$B$300,1,Trato_Diario!$A$4:$A$300,$A43))</f>
        <v/>
      </c>
      <c r="C43" s="26" t="str">
        <f>IF(OR($A43&gt;MAX(Trato_Diario!$A$4:$A$300),SUMIFS(Trato_Diario!$G$4:$G$300,Trato_Diario!$B$4:$B$300,2,Trato_Diario!$A$4:$A$300,$A43)=0),"",SUMIFS(Trato_Diario!$J$4:$J$300,Trato_Diario!$B$4:$B$300,2,Trato_Diario!$A$4:$A$300,$A43)/SUMIFS(Trato_Diario!$G$4:$G$300,Trato_Diario!$B$4:$B$300,2,Trato_Diario!$A$4:$A$300,$A43))</f>
        <v/>
      </c>
      <c r="D43" s="26" t="str">
        <f>IF(OR($A43&gt;MAX(Trato_Diario!$A$4:$A$300),SUMIFS(Trato_Diario!$G$4:$G$300,Trato_Diario!$B$4:$B$300,3,Trato_Diario!$A$4:$A$300,$A43)=0),"",SUMIFS(Trato_Diario!$J$4:$J$300,Trato_Diario!$B$4:$B$300,3,Trato_Diario!$A$4:$A$300,$A43)/SUMIFS(Trato_Diario!$G$4:$G$300,Trato_Diario!$B$4:$B$300,3,Trato_Diario!$A$4:$A$300,$A43))</f>
        <v/>
      </c>
      <c r="E43" s="26" t="str">
        <f>IF(OR($A43&gt;MAX(Trato_Diario!$A$4:$A$300),SUMIFS(Trato_Diario!$G$4:$G$300,Trato_Diario!$B$4:$B$300,4,Trato_Diario!$A$4:$A$300,$A43)=0),"",SUMIFS(Trato_Diario!$J$4:$J$300,Trato_Diario!$B$4:$B$300,4,Trato_Diario!$A$4:$A$300,$A43)/SUMIFS(Trato_Diario!$G$4:$G$300,Trato_Diario!$B$4:$B$300,4,Trato_Diario!$A$4:$A$300,$A43))</f>
        <v/>
      </c>
      <c r="F43" s="26" t="str">
        <f>IF(OR($A43&gt;MAX(Trato_Diario!$A$4:$A$300),SUMIFS(Trato_Diario!$G$4:$G$300,Trato_Diario!$B$4:$B$300,5,Trato_Diario!$A$4:$A$300,$A43)=0),"",SUMIFS(Trato_Diario!$J$4:$J$300,Trato_Diario!$B$4:$B$300,5,Trato_Diario!$A$4:$A$300,$A43)/SUMIFS(Trato_Diario!$G$4:$G$300,Trato_Diario!$B$4:$B$300,5,Trato_Diario!$A$4:$A$300,$A43))</f>
        <v/>
      </c>
      <c r="G43" s="26" t="str">
        <f>IF(OR($A43&gt;MAX(Trato_Diario!$A$4:$A$300),SUMIFS(Trato_Diario!$G$4:$G$300,Trato_Diario!$B$4:$B$300,6,Trato_Diario!$A$4:$A$300,$A43)=0),"",SUMIFS(Trato_Diario!$J$4:$J$300,Trato_Diario!$B$4:$B$300,6,Trato_Diario!$A$4:$A$300,$A43)/SUMIFS(Trato_Diario!$G$4:$G$300,Trato_Diario!$B$4:$B$300,6,Trato_Diario!$A$4:$A$300,$A43))</f>
        <v/>
      </c>
      <c r="H43" s="26" t="str">
        <f>IF(OR($A43&gt;MAX(Trato_Diario!$A$4:$A$300),SUMIFS(Trato_Diario!$G$4:$G$300,Trato_Diario!$B$4:$B$300,7,Trato_Diario!$A$4:$A$300,$A43)=0),"",SUMIFS(Trato_Diario!$J$4:$J$300,Trato_Diario!$B$4:$B$300,7,Trato_Diario!$A$4:$A$300,$A43)/SUMIFS(Trato_Diario!$G$4:$G$300,Trato_Diario!$B$4:$B$300,7,Trato_Diario!$A$4:$A$300,$A43))</f>
        <v/>
      </c>
      <c r="I43" s="26" t="str">
        <f>IF(OR($A43&gt;MAX(Trato_Diario!$A$4:$A$300),SUMIFS(Trato_Diario!$G$4:$G$300,Trato_Diario!$B$4:$B$300,8,Trato_Diario!$A$4:$A$300,$A43)=0),"",SUMIFS(Trato_Diario!$J$4:$J$300,Trato_Diario!$B$4:$B$300,8,Trato_Diario!$A$4:$A$300,$A43)/SUMIFS(Trato_Diario!$G$4:$G$300,Trato_Diario!$B$4:$B$300,8,Trato_Diario!$A$4:$A$300,$A43))</f>
        <v/>
      </c>
      <c r="J43" s="26" t="str">
        <f>IF(OR($A43&gt;MAX(Trato_Diario!$A$4:$A$300),SUMIFS(Trato_Diario!$G$4:$G$300,Trato_Diario!$B$4:$B$300,9,Trato_Diario!$A$4:$A$300,$A43)=0),"",SUMIFS(Trato_Diario!$J$4:$J$300,Trato_Diario!$B$4:$B$300,9,Trato_Diario!$A$4:$A$300,$A43)/SUMIFS(Trato_Diario!$G$4:$G$300,Trato_Diario!$B$4:$B$300,9,Trato_Diario!$A$4:$A$300,$A43))</f>
        <v/>
      </c>
      <c r="K43" s="26" t="str">
        <f>IF(OR($A43&gt;MAX(Trato_Diario!$A$4:$A$300),SUMIFS(Trato_Diario!$G$4:$G$300,Trato_Diario!$B$4:$B$300,10,Trato_Diario!$A$4:$A$300,$A43)=0),"",SUMIFS(Trato_Diario!$J$4:$J$300,Trato_Diario!$B$4:$B$300,10,Trato_Diario!$A$4:$A$300,$A43)/SUMIFS(Trato_Diario!$G$4:$G$300,Trato_Diario!$B$4:$B$300,10,Trato_Diario!$A$4:$A$300,$A43))</f>
        <v/>
      </c>
      <c r="L43" s="74" t="str">
        <f>IF(OR($A43&gt;MAX(Trato_Diario!$A$4:$A$300),SUMIFS(Trato_Diario!$G$4:$G$300,Trato_Diario!$A$4:$A$300,$A43)=0),"",SUMIFS(Trato_Diario!$J$4:$J$300,Trato_Diario!$A$4:$A$300,$A43)/SUMIFS(Trato_Diario!$G$4:$G$300,Trato_Diario!$A$4:$A$300,$A43))</f>
        <v/>
      </c>
    </row>
    <row r="44" spans="1:12" ht="14.25" customHeight="1" x14ac:dyDescent="0.3">
      <c r="A44" s="86">
        <v>46253</v>
      </c>
      <c r="B44" s="28" t="str">
        <f>IF(OR($A44&gt;MAX(Trato_Diario!$A$4:$A$300),SUMIFS(Trato_Diario!$G$4:$G$300,Trato_Diario!$B$4:$B$300,1,Trato_Diario!$A$4:$A$300,$A44)=0),"",SUMIFS(Trato_Diario!$J$4:$J$300,Trato_Diario!$B$4:$B$300,1,Trato_Diario!$A$4:$A$300,$A44)/SUMIFS(Trato_Diario!$G$4:$G$300,Trato_Diario!$B$4:$B$300,1,Trato_Diario!$A$4:$A$300,$A44))</f>
        <v/>
      </c>
      <c r="C44" s="28" t="str">
        <f>IF(OR($A44&gt;MAX(Trato_Diario!$A$4:$A$300),SUMIFS(Trato_Diario!$G$4:$G$300,Trato_Diario!$B$4:$B$300,2,Trato_Diario!$A$4:$A$300,$A44)=0),"",SUMIFS(Trato_Diario!$J$4:$J$300,Trato_Diario!$B$4:$B$300,2,Trato_Diario!$A$4:$A$300,$A44)/SUMIFS(Trato_Diario!$G$4:$G$300,Trato_Diario!$B$4:$B$300,2,Trato_Diario!$A$4:$A$300,$A44))</f>
        <v/>
      </c>
      <c r="D44" s="28" t="str">
        <f>IF(OR($A44&gt;MAX(Trato_Diario!$A$4:$A$300),SUMIFS(Trato_Diario!$G$4:$G$300,Trato_Diario!$B$4:$B$300,3,Trato_Diario!$A$4:$A$300,$A44)=0),"",SUMIFS(Trato_Diario!$J$4:$J$300,Trato_Diario!$B$4:$B$300,3,Trato_Diario!$A$4:$A$300,$A44)/SUMIFS(Trato_Diario!$G$4:$G$300,Trato_Diario!$B$4:$B$300,3,Trato_Diario!$A$4:$A$300,$A44))</f>
        <v/>
      </c>
      <c r="E44" s="28" t="str">
        <f>IF(OR($A44&gt;MAX(Trato_Diario!$A$4:$A$300),SUMIFS(Trato_Diario!$G$4:$G$300,Trato_Diario!$B$4:$B$300,4,Trato_Diario!$A$4:$A$300,$A44)=0),"",SUMIFS(Trato_Diario!$J$4:$J$300,Trato_Diario!$B$4:$B$300,4,Trato_Diario!$A$4:$A$300,$A44)/SUMIFS(Trato_Diario!$G$4:$G$300,Trato_Diario!$B$4:$B$300,4,Trato_Diario!$A$4:$A$300,$A44))</f>
        <v/>
      </c>
      <c r="F44" s="28" t="str">
        <f>IF(OR($A44&gt;MAX(Trato_Diario!$A$4:$A$300),SUMIFS(Trato_Diario!$G$4:$G$300,Trato_Diario!$B$4:$B$300,5,Trato_Diario!$A$4:$A$300,$A44)=0),"",SUMIFS(Trato_Diario!$J$4:$J$300,Trato_Diario!$B$4:$B$300,5,Trato_Diario!$A$4:$A$300,$A44)/SUMIFS(Trato_Diario!$G$4:$G$300,Trato_Diario!$B$4:$B$300,5,Trato_Diario!$A$4:$A$300,$A44))</f>
        <v/>
      </c>
      <c r="G44" s="28" t="str">
        <f>IF(OR($A44&gt;MAX(Trato_Diario!$A$4:$A$300),SUMIFS(Trato_Diario!$G$4:$G$300,Trato_Diario!$B$4:$B$300,6,Trato_Diario!$A$4:$A$300,$A44)=0),"",SUMIFS(Trato_Diario!$J$4:$J$300,Trato_Diario!$B$4:$B$300,6,Trato_Diario!$A$4:$A$300,$A44)/SUMIFS(Trato_Diario!$G$4:$G$300,Trato_Diario!$B$4:$B$300,6,Trato_Diario!$A$4:$A$300,$A44))</f>
        <v/>
      </c>
      <c r="H44" s="28" t="str">
        <f>IF(OR($A44&gt;MAX(Trato_Diario!$A$4:$A$300),SUMIFS(Trato_Diario!$G$4:$G$300,Trato_Diario!$B$4:$B$300,7,Trato_Diario!$A$4:$A$300,$A44)=0),"",SUMIFS(Trato_Diario!$J$4:$J$300,Trato_Diario!$B$4:$B$300,7,Trato_Diario!$A$4:$A$300,$A44)/SUMIFS(Trato_Diario!$G$4:$G$300,Trato_Diario!$B$4:$B$300,7,Trato_Diario!$A$4:$A$300,$A44))</f>
        <v/>
      </c>
      <c r="I44" s="28" t="str">
        <f>IF(OR($A44&gt;MAX(Trato_Diario!$A$4:$A$300),SUMIFS(Trato_Diario!$G$4:$G$300,Trato_Diario!$B$4:$B$300,8,Trato_Diario!$A$4:$A$300,$A44)=0),"",SUMIFS(Trato_Diario!$J$4:$J$300,Trato_Diario!$B$4:$B$300,8,Trato_Diario!$A$4:$A$300,$A44)/SUMIFS(Trato_Diario!$G$4:$G$300,Trato_Diario!$B$4:$B$300,8,Trato_Diario!$A$4:$A$300,$A44))</f>
        <v/>
      </c>
      <c r="J44" s="28" t="str">
        <f>IF(OR($A44&gt;MAX(Trato_Diario!$A$4:$A$300),SUMIFS(Trato_Diario!$G$4:$G$300,Trato_Diario!$B$4:$B$300,9,Trato_Diario!$A$4:$A$300,$A44)=0),"",SUMIFS(Trato_Diario!$J$4:$J$300,Trato_Diario!$B$4:$B$300,9,Trato_Diario!$A$4:$A$300,$A44)/SUMIFS(Trato_Diario!$G$4:$G$300,Trato_Diario!$B$4:$B$300,9,Trato_Diario!$A$4:$A$300,$A44))</f>
        <v/>
      </c>
      <c r="K44" s="28" t="str">
        <f>IF(OR($A44&gt;MAX(Trato_Diario!$A$4:$A$300),SUMIFS(Trato_Diario!$G$4:$G$300,Trato_Diario!$B$4:$B$300,10,Trato_Diario!$A$4:$A$300,$A44)=0),"",SUMIFS(Trato_Diario!$J$4:$J$300,Trato_Diario!$B$4:$B$300,10,Trato_Diario!$A$4:$A$300,$A44)/SUMIFS(Trato_Diario!$G$4:$G$300,Trato_Diario!$B$4:$B$300,10,Trato_Diario!$A$4:$A$300,$A44))</f>
        <v/>
      </c>
      <c r="L44" s="76" t="str">
        <f>IF(OR($A44&gt;MAX(Trato_Diario!$A$4:$A$300),SUMIFS(Trato_Diario!$G$4:$G$300,Trato_Diario!$A$4:$A$300,$A44)=0),"",SUMIFS(Trato_Diario!$J$4:$J$300,Trato_Diario!$A$4:$A$300,$A44)/SUMIFS(Trato_Diario!$G$4:$G$300,Trato_Diario!$A$4:$A$300,$A44))</f>
        <v/>
      </c>
    </row>
    <row r="45" spans="1:12" ht="14.25" customHeight="1" x14ac:dyDescent="0.3">
      <c r="A45" s="85">
        <v>46254</v>
      </c>
      <c r="B45" s="26" t="str">
        <f>IF(OR($A45&gt;MAX(Trato_Diario!$A$4:$A$300),SUMIFS(Trato_Diario!$G$4:$G$300,Trato_Diario!$B$4:$B$300,1,Trato_Diario!$A$4:$A$300,$A45)=0),"",SUMIFS(Trato_Diario!$J$4:$J$300,Trato_Diario!$B$4:$B$300,1,Trato_Diario!$A$4:$A$300,$A45)/SUMIFS(Trato_Diario!$G$4:$G$300,Trato_Diario!$B$4:$B$300,1,Trato_Diario!$A$4:$A$300,$A45))</f>
        <v/>
      </c>
      <c r="C45" s="26" t="str">
        <f>IF(OR($A45&gt;MAX(Trato_Diario!$A$4:$A$300),SUMIFS(Trato_Diario!$G$4:$G$300,Trato_Diario!$B$4:$B$300,2,Trato_Diario!$A$4:$A$300,$A45)=0),"",SUMIFS(Trato_Diario!$J$4:$J$300,Trato_Diario!$B$4:$B$300,2,Trato_Diario!$A$4:$A$300,$A45)/SUMIFS(Trato_Diario!$G$4:$G$300,Trato_Diario!$B$4:$B$300,2,Trato_Diario!$A$4:$A$300,$A45))</f>
        <v/>
      </c>
      <c r="D45" s="26" t="str">
        <f>IF(OR($A45&gt;MAX(Trato_Diario!$A$4:$A$300),SUMIFS(Trato_Diario!$G$4:$G$300,Trato_Diario!$B$4:$B$300,3,Trato_Diario!$A$4:$A$300,$A45)=0),"",SUMIFS(Trato_Diario!$J$4:$J$300,Trato_Diario!$B$4:$B$300,3,Trato_Diario!$A$4:$A$300,$A45)/SUMIFS(Trato_Diario!$G$4:$G$300,Trato_Diario!$B$4:$B$300,3,Trato_Diario!$A$4:$A$300,$A45))</f>
        <v/>
      </c>
      <c r="E45" s="26" t="str">
        <f>IF(OR($A45&gt;MAX(Trato_Diario!$A$4:$A$300),SUMIFS(Trato_Diario!$G$4:$G$300,Trato_Diario!$B$4:$B$300,4,Trato_Diario!$A$4:$A$300,$A45)=0),"",SUMIFS(Trato_Diario!$J$4:$J$300,Trato_Diario!$B$4:$B$300,4,Trato_Diario!$A$4:$A$300,$A45)/SUMIFS(Trato_Diario!$G$4:$G$300,Trato_Diario!$B$4:$B$300,4,Trato_Diario!$A$4:$A$300,$A45))</f>
        <v/>
      </c>
      <c r="F45" s="26" t="str">
        <f>IF(OR($A45&gt;MAX(Trato_Diario!$A$4:$A$300),SUMIFS(Trato_Diario!$G$4:$G$300,Trato_Diario!$B$4:$B$300,5,Trato_Diario!$A$4:$A$300,$A45)=0),"",SUMIFS(Trato_Diario!$J$4:$J$300,Trato_Diario!$B$4:$B$300,5,Trato_Diario!$A$4:$A$300,$A45)/SUMIFS(Trato_Diario!$G$4:$G$300,Trato_Diario!$B$4:$B$300,5,Trato_Diario!$A$4:$A$300,$A45))</f>
        <v/>
      </c>
      <c r="G45" s="26" t="str">
        <f>IF(OR($A45&gt;MAX(Trato_Diario!$A$4:$A$300),SUMIFS(Trato_Diario!$G$4:$G$300,Trato_Diario!$B$4:$B$300,6,Trato_Diario!$A$4:$A$300,$A45)=0),"",SUMIFS(Trato_Diario!$J$4:$J$300,Trato_Diario!$B$4:$B$300,6,Trato_Diario!$A$4:$A$300,$A45)/SUMIFS(Trato_Diario!$G$4:$G$300,Trato_Diario!$B$4:$B$300,6,Trato_Diario!$A$4:$A$300,$A45))</f>
        <v/>
      </c>
      <c r="H45" s="26" t="str">
        <f>IF(OR($A45&gt;MAX(Trato_Diario!$A$4:$A$300),SUMIFS(Trato_Diario!$G$4:$G$300,Trato_Diario!$B$4:$B$300,7,Trato_Diario!$A$4:$A$300,$A45)=0),"",SUMIFS(Trato_Diario!$J$4:$J$300,Trato_Diario!$B$4:$B$300,7,Trato_Diario!$A$4:$A$300,$A45)/SUMIFS(Trato_Diario!$G$4:$G$300,Trato_Diario!$B$4:$B$300,7,Trato_Diario!$A$4:$A$300,$A45))</f>
        <v/>
      </c>
      <c r="I45" s="26" t="str">
        <f>IF(OR($A45&gt;MAX(Trato_Diario!$A$4:$A$300),SUMIFS(Trato_Diario!$G$4:$G$300,Trato_Diario!$B$4:$B$300,8,Trato_Diario!$A$4:$A$300,$A45)=0),"",SUMIFS(Trato_Diario!$J$4:$J$300,Trato_Diario!$B$4:$B$300,8,Trato_Diario!$A$4:$A$300,$A45)/SUMIFS(Trato_Diario!$G$4:$G$300,Trato_Diario!$B$4:$B$300,8,Trato_Diario!$A$4:$A$300,$A45))</f>
        <v/>
      </c>
      <c r="J45" s="26" t="str">
        <f>IF(OR($A45&gt;MAX(Trato_Diario!$A$4:$A$300),SUMIFS(Trato_Diario!$G$4:$G$300,Trato_Diario!$B$4:$B$300,9,Trato_Diario!$A$4:$A$300,$A45)=0),"",SUMIFS(Trato_Diario!$J$4:$J$300,Trato_Diario!$B$4:$B$300,9,Trato_Diario!$A$4:$A$300,$A45)/SUMIFS(Trato_Diario!$G$4:$G$300,Trato_Diario!$B$4:$B$300,9,Trato_Diario!$A$4:$A$300,$A45))</f>
        <v/>
      </c>
      <c r="K45" s="26" t="str">
        <f>IF(OR($A45&gt;MAX(Trato_Diario!$A$4:$A$300),SUMIFS(Trato_Diario!$G$4:$G$300,Trato_Diario!$B$4:$B$300,10,Trato_Diario!$A$4:$A$300,$A45)=0),"",SUMIFS(Trato_Diario!$J$4:$J$300,Trato_Diario!$B$4:$B$300,10,Trato_Diario!$A$4:$A$300,$A45)/SUMIFS(Trato_Diario!$G$4:$G$300,Trato_Diario!$B$4:$B$300,10,Trato_Diario!$A$4:$A$300,$A45))</f>
        <v/>
      </c>
      <c r="L45" s="74" t="str">
        <f>IF(OR($A45&gt;MAX(Trato_Diario!$A$4:$A$300),SUMIFS(Trato_Diario!$G$4:$G$300,Trato_Diario!$A$4:$A$300,$A45)=0),"",SUMIFS(Trato_Diario!$J$4:$J$300,Trato_Diario!$A$4:$A$300,$A45)/SUMIFS(Trato_Diario!$G$4:$G$300,Trato_Diario!$A$4:$A$300,$A45))</f>
        <v/>
      </c>
    </row>
    <row r="46" spans="1:12" ht="14.25" customHeight="1" x14ac:dyDescent="0.3">
      <c r="A46" s="86">
        <v>46255</v>
      </c>
      <c r="B46" s="28" t="str">
        <f>IF(OR($A46&gt;MAX(Trato_Diario!$A$4:$A$300),SUMIFS(Trato_Diario!$G$4:$G$300,Trato_Diario!$B$4:$B$300,1,Trato_Diario!$A$4:$A$300,$A46)=0),"",SUMIFS(Trato_Diario!$J$4:$J$300,Trato_Diario!$B$4:$B$300,1,Trato_Diario!$A$4:$A$300,$A46)/SUMIFS(Trato_Diario!$G$4:$G$300,Trato_Diario!$B$4:$B$300,1,Trato_Diario!$A$4:$A$300,$A46))</f>
        <v/>
      </c>
      <c r="C46" s="28" t="str">
        <f>IF(OR($A46&gt;MAX(Trato_Diario!$A$4:$A$300),SUMIFS(Trato_Diario!$G$4:$G$300,Trato_Diario!$B$4:$B$300,2,Trato_Diario!$A$4:$A$300,$A46)=0),"",SUMIFS(Trato_Diario!$J$4:$J$300,Trato_Diario!$B$4:$B$300,2,Trato_Diario!$A$4:$A$300,$A46)/SUMIFS(Trato_Diario!$G$4:$G$300,Trato_Diario!$B$4:$B$300,2,Trato_Diario!$A$4:$A$300,$A46))</f>
        <v/>
      </c>
      <c r="D46" s="28" t="str">
        <f>IF(OR($A46&gt;MAX(Trato_Diario!$A$4:$A$300),SUMIFS(Trato_Diario!$G$4:$G$300,Trato_Diario!$B$4:$B$300,3,Trato_Diario!$A$4:$A$300,$A46)=0),"",SUMIFS(Trato_Diario!$J$4:$J$300,Trato_Diario!$B$4:$B$300,3,Trato_Diario!$A$4:$A$300,$A46)/SUMIFS(Trato_Diario!$G$4:$G$300,Trato_Diario!$B$4:$B$300,3,Trato_Diario!$A$4:$A$300,$A46))</f>
        <v/>
      </c>
      <c r="E46" s="28" t="str">
        <f>IF(OR($A46&gt;MAX(Trato_Diario!$A$4:$A$300),SUMIFS(Trato_Diario!$G$4:$G$300,Trato_Diario!$B$4:$B$300,4,Trato_Diario!$A$4:$A$300,$A46)=0),"",SUMIFS(Trato_Diario!$J$4:$J$300,Trato_Diario!$B$4:$B$300,4,Trato_Diario!$A$4:$A$300,$A46)/SUMIFS(Trato_Diario!$G$4:$G$300,Trato_Diario!$B$4:$B$300,4,Trato_Diario!$A$4:$A$300,$A46))</f>
        <v/>
      </c>
      <c r="F46" s="28" t="str">
        <f>IF(OR($A46&gt;MAX(Trato_Diario!$A$4:$A$300),SUMIFS(Trato_Diario!$G$4:$G$300,Trato_Diario!$B$4:$B$300,5,Trato_Diario!$A$4:$A$300,$A46)=0),"",SUMIFS(Trato_Diario!$J$4:$J$300,Trato_Diario!$B$4:$B$300,5,Trato_Diario!$A$4:$A$300,$A46)/SUMIFS(Trato_Diario!$G$4:$G$300,Trato_Diario!$B$4:$B$300,5,Trato_Diario!$A$4:$A$300,$A46))</f>
        <v/>
      </c>
      <c r="G46" s="28" t="str">
        <f>IF(OR($A46&gt;MAX(Trato_Diario!$A$4:$A$300),SUMIFS(Trato_Diario!$G$4:$G$300,Trato_Diario!$B$4:$B$300,6,Trato_Diario!$A$4:$A$300,$A46)=0),"",SUMIFS(Trato_Diario!$J$4:$J$300,Trato_Diario!$B$4:$B$300,6,Trato_Diario!$A$4:$A$300,$A46)/SUMIFS(Trato_Diario!$G$4:$G$300,Trato_Diario!$B$4:$B$300,6,Trato_Diario!$A$4:$A$300,$A46))</f>
        <v/>
      </c>
      <c r="H46" s="28" t="str">
        <f>IF(OR($A46&gt;MAX(Trato_Diario!$A$4:$A$300),SUMIFS(Trato_Diario!$G$4:$G$300,Trato_Diario!$B$4:$B$300,7,Trato_Diario!$A$4:$A$300,$A46)=0),"",SUMIFS(Trato_Diario!$J$4:$J$300,Trato_Diario!$B$4:$B$300,7,Trato_Diario!$A$4:$A$300,$A46)/SUMIFS(Trato_Diario!$G$4:$G$300,Trato_Diario!$B$4:$B$300,7,Trato_Diario!$A$4:$A$300,$A46))</f>
        <v/>
      </c>
      <c r="I46" s="28" t="str">
        <f>IF(OR($A46&gt;MAX(Trato_Diario!$A$4:$A$300),SUMIFS(Trato_Diario!$G$4:$G$300,Trato_Diario!$B$4:$B$300,8,Trato_Diario!$A$4:$A$300,$A46)=0),"",SUMIFS(Trato_Diario!$J$4:$J$300,Trato_Diario!$B$4:$B$300,8,Trato_Diario!$A$4:$A$300,$A46)/SUMIFS(Trato_Diario!$G$4:$G$300,Trato_Diario!$B$4:$B$300,8,Trato_Diario!$A$4:$A$300,$A46))</f>
        <v/>
      </c>
      <c r="J46" s="28" t="str">
        <f>IF(OR($A46&gt;MAX(Trato_Diario!$A$4:$A$300),SUMIFS(Trato_Diario!$G$4:$G$300,Trato_Diario!$B$4:$B$300,9,Trato_Diario!$A$4:$A$300,$A46)=0),"",SUMIFS(Trato_Diario!$J$4:$J$300,Trato_Diario!$B$4:$B$300,9,Trato_Diario!$A$4:$A$300,$A46)/SUMIFS(Trato_Diario!$G$4:$G$300,Trato_Diario!$B$4:$B$300,9,Trato_Diario!$A$4:$A$300,$A46))</f>
        <v/>
      </c>
      <c r="K46" s="28" t="str">
        <f>IF(OR($A46&gt;MAX(Trato_Diario!$A$4:$A$300),SUMIFS(Trato_Diario!$G$4:$G$300,Trato_Diario!$B$4:$B$300,10,Trato_Diario!$A$4:$A$300,$A46)=0),"",SUMIFS(Trato_Diario!$J$4:$J$300,Trato_Diario!$B$4:$B$300,10,Trato_Diario!$A$4:$A$300,$A46)/SUMIFS(Trato_Diario!$G$4:$G$300,Trato_Diario!$B$4:$B$300,10,Trato_Diario!$A$4:$A$300,$A46))</f>
        <v/>
      </c>
      <c r="L46" s="76" t="str">
        <f>IF(OR($A46&gt;MAX(Trato_Diario!$A$4:$A$300),SUMIFS(Trato_Diario!$G$4:$G$300,Trato_Diario!$A$4:$A$300,$A46)=0),"",SUMIFS(Trato_Diario!$J$4:$J$300,Trato_Diario!$A$4:$A$300,$A46)/SUMIFS(Trato_Diario!$G$4:$G$300,Trato_Diario!$A$4:$A$300,$A46))</f>
        <v/>
      </c>
    </row>
    <row r="47" spans="1:12" ht="14.25" customHeight="1" x14ac:dyDescent="0.3">
      <c r="A47" s="85">
        <v>46256</v>
      </c>
      <c r="B47" s="26" t="str">
        <f>IF(OR($A47&gt;MAX(Trato_Diario!$A$4:$A$300),SUMIFS(Trato_Diario!$G$4:$G$300,Trato_Diario!$B$4:$B$300,1,Trato_Diario!$A$4:$A$300,$A47)=0),"",SUMIFS(Trato_Diario!$J$4:$J$300,Trato_Diario!$B$4:$B$300,1,Trato_Diario!$A$4:$A$300,$A47)/SUMIFS(Trato_Diario!$G$4:$G$300,Trato_Diario!$B$4:$B$300,1,Trato_Diario!$A$4:$A$300,$A47))</f>
        <v/>
      </c>
      <c r="C47" s="26" t="str">
        <f>IF(OR($A47&gt;MAX(Trato_Diario!$A$4:$A$300),SUMIFS(Trato_Diario!$G$4:$G$300,Trato_Diario!$B$4:$B$300,2,Trato_Diario!$A$4:$A$300,$A47)=0),"",SUMIFS(Trato_Diario!$J$4:$J$300,Trato_Diario!$B$4:$B$300,2,Trato_Diario!$A$4:$A$300,$A47)/SUMIFS(Trato_Diario!$G$4:$G$300,Trato_Diario!$B$4:$B$300,2,Trato_Diario!$A$4:$A$300,$A47))</f>
        <v/>
      </c>
      <c r="D47" s="26" t="str">
        <f>IF(OR($A47&gt;MAX(Trato_Diario!$A$4:$A$300),SUMIFS(Trato_Diario!$G$4:$G$300,Trato_Diario!$B$4:$B$300,3,Trato_Diario!$A$4:$A$300,$A47)=0),"",SUMIFS(Trato_Diario!$J$4:$J$300,Trato_Diario!$B$4:$B$300,3,Trato_Diario!$A$4:$A$300,$A47)/SUMIFS(Trato_Diario!$G$4:$G$300,Trato_Diario!$B$4:$B$300,3,Trato_Diario!$A$4:$A$300,$A47))</f>
        <v/>
      </c>
      <c r="E47" s="26" t="str">
        <f>IF(OR($A47&gt;MAX(Trato_Diario!$A$4:$A$300),SUMIFS(Trato_Diario!$G$4:$G$300,Trato_Diario!$B$4:$B$300,4,Trato_Diario!$A$4:$A$300,$A47)=0),"",SUMIFS(Trato_Diario!$J$4:$J$300,Trato_Diario!$B$4:$B$300,4,Trato_Diario!$A$4:$A$300,$A47)/SUMIFS(Trato_Diario!$G$4:$G$300,Trato_Diario!$B$4:$B$300,4,Trato_Diario!$A$4:$A$300,$A47))</f>
        <v/>
      </c>
      <c r="F47" s="26" t="str">
        <f>IF(OR($A47&gt;MAX(Trato_Diario!$A$4:$A$300),SUMIFS(Trato_Diario!$G$4:$G$300,Trato_Diario!$B$4:$B$300,5,Trato_Diario!$A$4:$A$300,$A47)=0),"",SUMIFS(Trato_Diario!$J$4:$J$300,Trato_Diario!$B$4:$B$300,5,Trato_Diario!$A$4:$A$300,$A47)/SUMIFS(Trato_Diario!$G$4:$G$300,Trato_Diario!$B$4:$B$300,5,Trato_Diario!$A$4:$A$300,$A47))</f>
        <v/>
      </c>
      <c r="G47" s="26" t="str">
        <f>IF(OR($A47&gt;MAX(Trato_Diario!$A$4:$A$300),SUMIFS(Trato_Diario!$G$4:$G$300,Trato_Diario!$B$4:$B$300,6,Trato_Diario!$A$4:$A$300,$A47)=0),"",SUMIFS(Trato_Diario!$J$4:$J$300,Trato_Diario!$B$4:$B$300,6,Trato_Diario!$A$4:$A$300,$A47)/SUMIFS(Trato_Diario!$G$4:$G$300,Trato_Diario!$B$4:$B$300,6,Trato_Diario!$A$4:$A$300,$A47))</f>
        <v/>
      </c>
      <c r="H47" s="26" t="str">
        <f>IF(OR($A47&gt;MAX(Trato_Diario!$A$4:$A$300),SUMIFS(Trato_Diario!$G$4:$G$300,Trato_Diario!$B$4:$B$300,7,Trato_Diario!$A$4:$A$300,$A47)=0),"",SUMIFS(Trato_Diario!$J$4:$J$300,Trato_Diario!$B$4:$B$300,7,Trato_Diario!$A$4:$A$300,$A47)/SUMIFS(Trato_Diario!$G$4:$G$300,Trato_Diario!$B$4:$B$300,7,Trato_Diario!$A$4:$A$300,$A47))</f>
        <v/>
      </c>
      <c r="I47" s="26" t="str">
        <f>IF(OR($A47&gt;MAX(Trato_Diario!$A$4:$A$300),SUMIFS(Trato_Diario!$G$4:$G$300,Trato_Diario!$B$4:$B$300,8,Trato_Diario!$A$4:$A$300,$A47)=0),"",SUMIFS(Trato_Diario!$J$4:$J$300,Trato_Diario!$B$4:$B$300,8,Trato_Diario!$A$4:$A$300,$A47)/SUMIFS(Trato_Diario!$G$4:$G$300,Trato_Diario!$B$4:$B$300,8,Trato_Diario!$A$4:$A$300,$A47))</f>
        <v/>
      </c>
      <c r="J47" s="26" t="str">
        <f>IF(OR($A47&gt;MAX(Trato_Diario!$A$4:$A$300),SUMIFS(Trato_Diario!$G$4:$G$300,Trato_Diario!$B$4:$B$300,9,Trato_Diario!$A$4:$A$300,$A47)=0),"",SUMIFS(Trato_Diario!$J$4:$J$300,Trato_Diario!$B$4:$B$300,9,Trato_Diario!$A$4:$A$300,$A47)/SUMIFS(Trato_Diario!$G$4:$G$300,Trato_Diario!$B$4:$B$300,9,Trato_Diario!$A$4:$A$300,$A47))</f>
        <v/>
      </c>
      <c r="K47" s="26" t="str">
        <f>IF(OR($A47&gt;MAX(Trato_Diario!$A$4:$A$300),SUMIFS(Trato_Diario!$G$4:$G$300,Trato_Diario!$B$4:$B$300,10,Trato_Diario!$A$4:$A$300,$A47)=0),"",SUMIFS(Trato_Diario!$J$4:$J$300,Trato_Diario!$B$4:$B$300,10,Trato_Diario!$A$4:$A$300,$A47)/SUMIFS(Trato_Diario!$G$4:$G$300,Trato_Diario!$B$4:$B$300,10,Trato_Diario!$A$4:$A$300,$A47))</f>
        <v/>
      </c>
      <c r="L47" s="74" t="str">
        <f>IF(OR($A47&gt;MAX(Trato_Diario!$A$4:$A$300),SUMIFS(Trato_Diario!$G$4:$G$300,Trato_Diario!$A$4:$A$300,$A47)=0),"",SUMIFS(Trato_Diario!$J$4:$J$300,Trato_Diario!$A$4:$A$300,$A47)/SUMIFS(Trato_Diario!$G$4:$G$300,Trato_Diario!$A$4:$A$300,$A47))</f>
        <v/>
      </c>
    </row>
    <row r="48" spans="1:12" ht="14.25" customHeight="1" x14ac:dyDescent="0.3">
      <c r="A48" s="86">
        <v>46257</v>
      </c>
      <c r="B48" s="28" t="str">
        <f>IF(OR($A48&gt;MAX(Trato_Diario!$A$4:$A$300),SUMIFS(Trato_Diario!$G$4:$G$300,Trato_Diario!$B$4:$B$300,1,Trato_Diario!$A$4:$A$300,$A48)=0),"",SUMIFS(Trato_Diario!$J$4:$J$300,Trato_Diario!$B$4:$B$300,1,Trato_Diario!$A$4:$A$300,$A48)/SUMIFS(Trato_Diario!$G$4:$G$300,Trato_Diario!$B$4:$B$300,1,Trato_Diario!$A$4:$A$300,$A48))</f>
        <v/>
      </c>
      <c r="C48" s="28" t="str">
        <f>IF(OR($A48&gt;MAX(Trato_Diario!$A$4:$A$300),SUMIFS(Trato_Diario!$G$4:$G$300,Trato_Diario!$B$4:$B$300,2,Trato_Diario!$A$4:$A$300,$A48)=0),"",SUMIFS(Trato_Diario!$J$4:$J$300,Trato_Diario!$B$4:$B$300,2,Trato_Diario!$A$4:$A$300,$A48)/SUMIFS(Trato_Diario!$G$4:$G$300,Trato_Diario!$B$4:$B$300,2,Trato_Diario!$A$4:$A$300,$A48))</f>
        <v/>
      </c>
      <c r="D48" s="28" t="str">
        <f>IF(OR($A48&gt;MAX(Trato_Diario!$A$4:$A$300),SUMIFS(Trato_Diario!$G$4:$G$300,Trato_Diario!$B$4:$B$300,3,Trato_Diario!$A$4:$A$300,$A48)=0),"",SUMIFS(Trato_Diario!$J$4:$J$300,Trato_Diario!$B$4:$B$300,3,Trato_Diario!$A$4:$A$300,$A48)/SUMIFS(Trato_Diario!$G$4:$G$300,Trato_Diario!$B$4:$B$300,3,Trato_Diario!$A$4:$A$300,$A48))</f>
        <v/>
      </c>
      <c r="E48" s="28" t="str">
        <f>IF(OR($A48&gt;MAX(Trato_Diario!$A$4:$A$300),SUMIFS(Trato_Diario!$G$4:$G$300,Trato_Diario!$B$4:$B$300,4,Trato_Diario!$A$4:$A$300,$A48)=0),"",SUMIFS(Trato_Diario!$J$4:$J$300,Trato_Diario!$B$4:$B$300,4,Trato_Diario!$A$4:$A$300,$A48)/SUMIFS(Trato_Diario!$G$4:$G$300,Trato_Diario!$B$4:$B$300,4,Trato_Diario!$A$4:$A$300,$A48))</f>
        <v/>
      </c>
      <c r="F48" s="28" t="str">
        <f>IF(OR($A48&gt;MAX(Trato_Diario!$A$4:$A$300),SUMIFS(Trato_Diario!$G$4:$G$300,Trato_Diario!$B$4:$B$300,5,Trato_Diario!$A$4:$A$300,$A48)=0),"",SUMIFS(Trato_Diario!$J$4:$J$300,Trato_Diario!$B$4:$B$300,5,Trato_Diario!$A$4:$A$300,$A48)/SUMIFS(Trato_Diario!$G$4:$G$300,Trato_Diario!$B$4:$B$300,5,Trato_Diario!$A$4:$A$300,$A48))</f>
        <v/>
      </c>
      <c r="G48" s="28" t="str">
        <f>IF(OR($A48&gt;MAX(Trato_Diario!$A$4:$A$300),SUMIFS(Trato_Diario!$G$4:$G$300,Trato_Diario!$B$4:$B$300,6,Trato_Diario!$A$4:$A$300,$A48)=0),"",SUMIFS(Trato_Diario!$J$4:$J$300,Trato_Diario!$B$4:$B$300,6,Trato_Diario!$A$4:$A$300,$A48)/SUMIFS(Trato_Diario!$G$4:$G$300,Trato_Diario!$B$4:$B$300,6,Trato_Diario!$A$4:$A$300,$A48))</f>
        <v/>
      </c>
      <c r="H48" s="28" t="str">
        <f>IF(OR($A48&gt;MAX(Trato_Diario!$A$4:$A$300),SUMIFS(Trato_Diario!$G$4:$G$300,Trato_Diario!$B$4:$B$300,7,Trato_Diario!$A$4:$A$300,$A48)=0),"",SUMIFS(Trato_Diario!$J$4:$J$300,Trato_Diario!$B$4:$B$300,7,Trato_Diario!$A$4:$A$300,$A48)/SUMIFS(Trato_Diario!$G$4:$G$300,Trato_Diario!$B$4:$B$300,7,Trato_Diario!$A$4:$A$300,$A48))</f>
        <v/>
      </c>
      <c r="I48" s="28" t="str">
        <f>IF(OR($A48&gt;MAX(Trato_Diario!$A$4:$A$300),SUMIFS(Trato_Diario!$G$4:$G$300,Trato_Diario!$B$4:$B$300,8,Trato_Diario!$A$4:$A$300,$A48)=0),"",SUMIFS(Trato_Diario!$J$4:$J$300,Trato_Diario!$B$4:$B$300,8,Trato_Diario!$A$4:$A$300,$A48)/SUMIFS(Trato_Diario!$G$4:$G$300,Trato_Diario!$B$4:$B$300,8,Trato_Diario!$A$4:$A$300,$A48))</f>
        <v/>
      </c>
      <c r="J48" s="28" t="str">
        <f>IF(OR($A48&gt;MAX(Trato_Diario!$A$4:$A$300),SUMIFS(Trato_Diario!$G$4:$G$300,Trato_Diario!$B$4:$B$300,9,Trato_Diario!$A$4:$A$300,$A48)=0),"",SUMIFS(Trato_Diario!$J$4:$J$300,Trato_Diario!$B$4:$B$300,9,Trato_Diario!$A$4:$A$300,$A48)/SUMIFS(Trato_Diario!$G$4:$G$300,Trato_Diario!$B$4:$B$300,9,Trato_Diario!$A$4:$A$300,$A48))</f>
        <v/>
      </c>
      <c r="K48" s="28" t="str">
        <f>IF(OR($A48&gt;MAX(Trato_Diario!$A$4:$A$300),SUMIFS(Trato_Diario!$G$4:$G$300,Trato_Diario!$B$4:$B$300,10,Trato_Diario!$A$4:$A$300,$A48)=0),"",SUMIFS(Trato_Diario!$J$4:$J$300,Trato_Diario!$B$4:$B$300,10,Trato_Diario!$A$4:$A$300,$A48)/SUMIFS(Trato_Diario!$G$4:$G$300,Trato_Diario!$B$4:$B$300,10,Trato_Diario!$A$4:$A$300,$A48))</f>
        <v/>
      </c>
      <c r="L48" s="76" t="str">
        <f>IF(OR($A48&gt;MAX(Trato_Diario!$A$4:$A$300),SUMIFS(Trato_Diario!$G$4:$G$300,Trato_Diario!$A$4:$A$300,$A48)=0),"",SUMIFS(Trato_Diario!$J$4:$J$300,Trato_Diario!$A$4:$A$300,$A48)/SUMIFS(Trato_Diario!$G$4:$G$300,Trato_Diario!$A$4:$A$300,$A48))</f>
        <v/>
      </c>
    </row>
    <row r="49" spans="1:12" ht="14.25" customHeight="1" x14ac:dyDescent="0.3">
      <c r="A49" s="85">
        <v>46258</v>
      </c>
      <c r="B49" s="26" t="str">
        <f>IF(OR($A49&gt;MAX(Trato_Diario!$A$4:$A$300),SUMIFS(Trato_Diario!$G$4:$G$300,Trato_Diario!$B$4:$B$300,1,Trato_Diario!$A$4:$A$300,$A49)=0),"",SUMIFS(Trato_Diario!$J$4:$J$300,Trato_Diario!$B$4:$B$300,1,Trato_Diario!$A$4:$A$300,$A49)/SUMIFS(Trato_Diario!$G$4:$G$300,Trato_Diario!$B$4:$B$300,1,Trato_Diario!$A$4:$A$300,$A49))</f>
        <v/>
      </c>
      <c r="C49" s="26" t="str">
        <f>IF(OR($A49&gt;MAX(Trato_Diario!$A$4:$A$300),SUMIFS(Trato_Diario!$G$4:$G$300,Trato_Diario!$B$4:$B$300,2,Trato_Diario!$A$4:$A$300,$A49)=0),"",SUMIFS(Trato_Diario!$J$4:$J$300,Trato_Diario!$B$4:$B$300,2,Trato_Diario!$A$4:$A$300,$A49)/SUMIFS(Trato_Diario!$G$4:$G$300,Trato_Diario!$B$4:$B$300,2,Trato_Diario!$A$4:$A$300,$A49))</f>
        <v/>
      </c>
      <c r="D49" s="26" t="str">
        <f>IF(OR($A49&gt;MAX(Trato_Diario!$A$4:$A$300),SUMIFS(Trato_Diario!$G$4:$G$300,Trato_Diario!$B$4:$B$300,3,Trato_Diario!$A$4:$A$300,$A49)=0),"",SUMIFS(Trato_Diario!$J$4:$J$300,Trato_Diario!$B$4:$B$300,3,Trato_Diario!$A$4:$A$300,$A49)/SUMIFS(Trato_Diario!$G$4:$G$300,Trato_Diario!$B$4:$B$300,3,Trato_Diario!$A$4:$A$300,$A49))</f>
        <v/>
      </c>
      <c r="E49" s="26" t="str">
        <f>IF(OR($A49&gt;MAX(Trato_Diario!$A$4:$A$300),SUMIFS(Trato_Diario!$G$4:$G$300,Trato_Diario!$B$4:$B$300,4,Trato_Diario!$A$4:$A$300,$A49)=0),"",SUMIFS(Trato_Diario!$J$4:$J$300,Trato_Diario!$B$4:$B$300,4,Trato_Diario!$A$4:$A$300,$A49)/SUMIFS(Trato_Diario!$G$4:$G$300,Trato_Diario!$B$4:$B$300,4,Trato_Diario!$A$4:$A$300,$A49))</f>
        <v/>
      </c>
      <c r="F49" s="26" t="str">
        <f>IF(OR($A49&gt;MAX(Trato_Diario!$A$4:$A$300),SUMIFS(Trato_Diario!$G$4:$G$300,Trato_Diario!$B$4:$B$300,5,Trato_Diario!$A$4:$A$300,$A49)=0),"",SUMIFS(Trato_Diario!$J$4:$J$300,Trato_Diario!$B$4:$B$300,5,Trato_Diario!$A$4:$A$300,$A49)/SUMIFS(Trato_Diario!$G$4:$G$300,Trato_Diario!$B$4:$B$300,5,Trato_Diario!$A$4:$A$300,$A49))</f>
        <v/>
      </c>
      <c r="G49" s="26" t="str">
        <f>IF(OR($A49&gt;MAX(Trato_Diario!$A$4:$A$300),SUMIFS(Trato_Diario!$G$4:$G$300,Trato_Diario!$B$4:$B$300,6,Trato_Diario!$A$4:$A$300,$A49)=0),"",SUMIFS(Trato_Diario!$J$4:$J$300,Trato_Diario!$B$4:$B$300,6,Trato_Diario!$A$4:$A$300,$A49)/SUMIFS(Trato_Diario!$G$4:$G$300,Trato_Diario!$B$4:$B$300,6,Trato_Diario!$A$4:$A$300,$A49))</f>
        <v/>
      </c>
      <c r="H49" s="26" t="str">
        <f>IF(OR($A49&gt;MAX(Trato_Diario!$A$4:$A$300),SUMIFS(Trato_Diario!$G$4:$G$300,Trato_Diario!$B$4:$B$300,7,Trato_Diario!$A$4:$A$300,$A49)=0),"",SUMIFS(Trato_Diario!$J$4:$J$300,Trato_Diario!$B$4:$B$300,7,Trato_Diario!$A$4:$A$300,$A49)/SUMIFS(Trato_Diario!$G$4:$G$300,Trato_Diario!$B$4:$B$300,7,Trato_Diario!$A$4:$A$300,$A49))</f>
        <v/>
      </c>
      <c r="I49" s="26" t="str">
        <f>IF(OR($A49&gt;MAX(Trato_Diario!$A$4:$A$300),SUMIFS(Trato_Diario!$G$4:$G$300,Trato_Diario!$B$4:$B$300,8,Trato_Diario!$A$4:$A$300,$A49)=0),"",SUMIFS(Trato_Diario!$J$4:$J$300,Trato_Diario!$B$4:$B$300,8,Trato_Diario!$A$4:$A$300,$A49)/SUMIFS(Trato_Diario!$G$4:$G$300,Trato_Diario!$B$4:$B$300,8,Trato_Diario!$A$4:$A$300,$A49))</f>
        <v/>
      </c>
      <c r="J49" s="26" t="str">
        <f>IF(OR($A49&gt;MAX(Trato_Diario!$A$4:$A$300),SUMIFS(Trato_Diario!$G$4:$G$300,Trato_Diario!$B$4:$B$300,9,Trato_Diario!$A$4:$A$300,$A49)=0),"",SUMIFS(Trato_Diario!$J$4:$J$300,Trato_Diario!$B$4:$B$300,9,Trato_Diario!$A$4:$A$300,$A49)/SUMIFS(Trato_Diario!$G$4:$G$300,Trato_Diario!$B$4:$B$300,9,Trato_Diario!$A$4:$A$300,$A49))</f>
        <v/>
      </c>
      <c r="K49" s="26" t="str">
        <f>IF(OR($A49&gt;MAX(Trato_Diario!$A$4:$A$300),SUMIFS(Trato_Diario!$G$4:$G$300,Trato_Diario!$B$4:$B$300,10,Trato_Diario!$A$4:$A$300,$A49)=0),"",SUMIFS(Trato_Diario!$J$4:$J$300,Trato_Diario!$B$4:$B$300,10,Trato_Diario!$A$4:$A$300,$A49)/SUMIFS(Trato_Diario!$G$4:$G$300,Trato_Diario!$B$4:$B$300,10,Trato_Diario!$A$4:$A$300,$A49))</f>
        <v/>
      </c>
      <c r="L49" s="74" t="str">
        <f>IF(OR($A49&gt;MAX(Trato_Diario!$A$4:$A$300),SUMIFS(Trato_Diario!$G$4:$G$300,Trato_Diario!$A$4:$A$300,$A49)=0),"",SUMIFS(Trato_Diario!$J$4:$J$300,Trato_Diario!$A$4:$A$300,$A49)/SUMIFS(Trato_Diario!$G$4:$G$300,Trato_Diario!$A$4:$A$300,$A49))</f>
        <v/>
      </c>
    </row>
    <row r="50" spans="1:12" ht="14.25" customHeight="1" x14ac:dyDescent="0.3">
      <c r="A50" s="86">
        <v>46259</v>
      </c>
      <c r="B50" s="28" t="str">
        <f>IF(OR($A50&gt;MAX(Trato_Diario!$A$4:$A$300),SUMIFS(Trato_Diario!$G$4:$G$300,Trato_Diario!$B$4:$B$300,1,Trato_Diario!$A$4:$A$300,$A50)=0),"",SUMIFS(Trato_Diario!$J$4:$J$300,Trato_Diario!$B$4:$B$300,1,Trato_Diario!$A$4:$A$300,$A50)/SUMIFS(Trato_Diario!$G$4:$G$300,Trato_Diario!$B$4:$B$300,1,Trato_Diario!$A$4:$A$300,$A50))</f>
        <v/>
      </c>
      <c r="C50" s="28" t="str">
        <f>IF(OR($A50&gt;MAX(Trato_Diario!$A$4:$A$300),SUMIFS(Trato_Diario!$G$4:$G$300,Trato_Diario!$B$4:$B$300,2,Trato_Diario!$A$4:$A$300,$A50)=0),"",SUMIFS(Trato_Diario!$J$4:$J$300,Trato_Diario!$B$4:$B$300,2,Trato_Diario!$A$4:$A$300,$A50)/SUMIFS(Trato_Diario!$G$4:$G$300,Trato_Diario!$B$4:$B$300,2,Trato_Diario!$A$4:$A$300,$A50))</f>
        <v/>
      </c>
      <c r="D50" s="28" t="str">
        <f>IF(OR($A50&gt;MAX(Trato_Diario!$A$4:$A$300),SUMIFS(Trato_Diario!$G$4:$G$300,Trato_Diario!$B$4:$B$300,3,Trato_Diario!$A$4:$A$300,$A50)=0),"",SUMIFS(Trato_Diario!$J$4:$J$300,Trato_Diario!$B$4:$B$300,3,Trato_Diario!$A$4:$A$300,$A50)/SUMIFS(Trato_Diario!$G$4:$G$300,Trato_Diario!$B$4:$B$300,3,Trato_Diario!$A$4:$A$300,$A50))</f>
        <v/>
      </c>
      <c r="E50" s="28" t="str">
        <f>IF(OR($A50&gt;MAX(Trato_Diario!$A$4:$A$300),SUMIFS(Trato_Diario!$G$4:$G$300,Trato_Diario!$B$4:$B$300,4,Trato_Diario!$A$4:$A$300,$A50)=0),"",SUMIFS(Trato_Diario!$J$4:$J$300,Trato_Diario!$B$4:$B$300,4,Trato_Diario!$A$4:$A$300,$A50)/SUMIFS(Trato_Diario!$G$4:$G$300,Trato_Diario!$B$4:$B$300,4,Trato_Diario!$A$4:$A$300,$A50))</f>
        <v/>
      </c>
      <c r="F50" s="28" t="str">
        <f>IF(OR($A50&gt;MAX(Trato_Diario!$A$4:$A$300),SUMIFS(Trato_Diario!$G$4:$G$300,Trato_Diario!$B$4:$B$300,5,Trato_Diario!$A$4:$A$300,$A50)=0),"",SUMIFS(Trato_Diario!$J$4:$J$300,Trato_Diario!$B$4:$B$300,5,Trato_Diario!$A$4:$A$300,$A50)/SUMIFS(Trato_Diario!$G$4:$G$300,Trato_Diario!$B$4:$B$300,5,Trato_Diario!$A$4:$A$300,$A50))</f>
        <v/>
      </c>
      <c r="G50" s="28" t="str">
        <f>IF(OR($A50&gt;MAX(Trato_Diario!$A$4:$A$300),SUMIFS(Trato_Diario!$G$4:$G$300,Trato_Diario!$B$4:$B$300,6,Trato_Diario!$A$4:$A$300,$A50)=0),"",SUMIFS(Trato_Diario!$J$4:$J$300,Trato_Diario!$B$4:$B$300,6,Trato_Diario!$A$4:$A$300,$A50)/SUMIFS(Trato_Diario!$G$4:$G$300,Trato_Diario!$B$4:$B$300,6,Trato_Diario!$A$4:$A$300,$A50))</f>
        <v/>
      </c>
      <c r="H50" s="28" t="str">
        <f>IF(OR($A50&gt;MAX(Trato_Diario!$A$4:$A$300),SUMIFS(Trato_Diario!$G$4:$G$300,Trato_Diario!$B$4:$B$300,7,Trato_Diario!$A$4:$A$300,$A50)=0),"",SUMIFS(Trato_Diario!$J$4:$J$300,Trato_Diario!$B$4:$B$300,7,Trato_Diario!$A$4:$A$300,$A50)/SUMIFS(Trato_Diario!$G$4:$G$300,Trato_Diario!$B$4:$B$300,7,Trato_Diario!$A$4:$A$300,$A50))</f>
        <v/>
      </c>
      <c r="I50" s="28" t="str">
        <f>IF(OR($A50&gt;MAX(Trato_Diario!$A$4:$A$300),SUMIFS(Trato_Diario!$G$4:$G$300,Trato_Diario!$B$4:$B$300,8,Trato_Diario!$A$4:$A$300,$A50)=0),"",SUMIFS(Trato_Diario!$J$4:$J$300,Trato_Diario!$B$4:$B$300,8,Trato_Diario!$A$4:$A$300,$A50)/SUMIFS(Trato_Diario!$G$4:$G$300,Trato_Diario!$B$4:$B$300,8,Trato_Diario!$A$4:$A$300,$A50))</f>
        <v/>
      </c>
      <c r="J50" s="28" t="str">
        <f>IF(OR($A50&gt;MAX(Trato_Diario!$A$4:$A$300),SUMIFS(Trato_Diario!$G$4:$G$300,Trato_Diario!$B$4:$B$300,9,Trato_Diario!$A$4:$A$300,$A50)=0),"",SUMIFS(Trato_Diario!$J$4:$J$300,Trato_Diario!$B$4:$B$300,9,Trato_Diario!$A$4:$A$300,$A50)/SUMIFS(Trato_Diario!$G$4:$G$300,Trato_Diario!$B$4:$B$300,9,Trato_Diario!$A$4:$A$300,$A50))</f>
        <v/>
      </c>
      <c r="K50" s="28" t="str">
        <f>IF(OR($A50&gt;MAX(Trato_Diario!$A$4:$A$300),SUMIFS(Trato_Diario!$G$4:$G$300,Trato_Diario!$B$4:$B$300,10,Trato_Diario!$A$4:$A$300,$A50)=0),"",SUMIFS(Trato_Diario!$J$4:$J$300,Trato_Diario!$B$4:$B$300,10,Trato_Diario!$A$4:$A$300,$A50)/SUMIFS(Trato_Diario!$G$4:$G$300,Trato_Diario!$B$4:$B$300,10,Trato_Diario!$A$4:$A$300,$A50))</f>
        <v/>
      </c>
      <c r="L50" s="76" t="str">
        <f>IF(OR($A50&gt;MAX(Trato_Diario!$A$4:$A$300),SUMIFS(Trato_Diario!$G$4:$G$300,Trato_Diario!$A$4:$A$300,$A50)=0),"",SUMIFS(Trato_Diario!$J$4:$J$300,Trato_Diario!$A$4:$A$300,$A50)/SUMIFS(Trato_Diario!$G$4:$G$300,Trato_Diario!$A$4:$A$300,$A50))</f>
        <v/>
      </c>
    </row>
    <row r="51" spans="1:12" ht="14.25" customHeight="1" x14ac:dyDescent="0.3">
      <c r="A51" s="85">
        <v>46260</v>
      </c>
      <c r="B51" s="26" t="str">
        <f>IF(OR($A51&gt;MAX(Trato_Diario!$A$4:$A$300),SUMIFS(Trato_Diario!$G$4:$G$300,Trato_Diario!$B$4:$B$300,1,Trato_Diario!$A$4:$A$300,$A51)=0),"",SUMIFS(Trato_Diario!$J$4:$J$300,Trato_Diario!$B$4:$B$300,1,Trato_Diario!$A$4:$A$300,$A51)/SUMIFS(Trato_Diario!$G$4:$G$300,Trato_Diario!$B$4:$B$300,1,Trato_Diario!$A$4:$A$300,$A51))</f>
        <v/>
      </c>
      <c r="C51" s="26" t="str">
        <f>IF(OR($A51&gt;MAX(Trato_Diario!$A$4:$A$300),SUMIFS(Trato_Diario!$G$4:$G$300,Trato_Diario!$B$4:$B$300,2,Trato_Diario!$A$4:$A$300,$A51)=0),"",SUMIFS(Trato_Diario!$J$4:$J$300,Trato_Diario!$B$4:$B$300,2,Trato_Diario!$A$4:$A$300,$A51)/SUMIFS(Trato_Diario!$G$4:$G$300,Trato_Diario!$B$4:$B$300,2,Trato_Diario!$A$4:$A$300,$A51))</f>
        <v/>
      </c>
      <c r="D51" s="26" t="str">
        <f>IF(OR($A51&gt;MAX(Trato_Diario!$A$4:$A$300),SUMIFS(Trato_Diario!$G$4:$G$300,Trato_Diario!$B$4:$B$300,3,Trato_Diario!$A$4:$A$300,$A51)=0),"",SUMIFS(Trato_Diario!$J$4:$J$300,Trato_Diario!$B$4:$B$300,3,Trato_Diario!$A$4:$A$300,$A51)/SUMIFS(Trato_Diario!$G$4:$G$300,Trato_Diario!$B$4:$B$300,3,Trato_Diario!$A$4:$A$300,$A51))</f>
        <v/>
      </c>
      <c r="E51" s="26" t="str">
        <f>IF(OR($A51&gt;MAX(Trato_Diario!$A$4:$A$300),SUMIFS(Trato_Diario!$G$4:$G$300,Trato_Diario!$B$4:$B$300,4,Trato_Diario!$A$4:$A$300,$A51)=0),"",SUMIFS(Trato_Diario!$J$4:$J$300,Trato_Diario!$B$4:$B$300,4,Trato_Diario!$A$4:$A$300,$A51)/SUMIFS(Trato_Diario!$G$4:$G$300,Trato_Diario!$B$4:$B$300,4,Trato_Diario!$A$4:$A$300,$A51))</f>
        <v/>
      </c>
      <c r="F51" s="26" t="str">
        <f>IF(OR($A51&gt;MAX(Trato_Diario!$A$4:$A$300),SUMIFS(Trato_Diario!$G$4:$G$300,Trato_Diario!$B$4:$B$300,5,Trato_Diario!$A$4:$A$300,$A51)=0),"",SUMIFS(Trato_Diario!$J$4:$J$300,Trato_Diario!$B$4:$B$300,5,Trato_Diario!$A$4:$A$300,$A51)/SUMIFS(Trato_Diario!$G$4:$G$300,Trato_Diario!$B$4:$B$300,5,Trato_Diario!$A$4:$A$300,$A51))</f>
        <v/>
      </c>
      <c r="G51" s="26" t="str">
        <f>IF(OR($A51&gt;MAX(Trato_Diario!$A$4:$A$300),SUMIFS(Trato_Diario!$G$4:$G$300,Trato_Diario!$B$4:$B$300,6,Trato_Diario!$A$4:$A$300,$A51)=0),"",SUMIFS(Trato_Diario!$J$4:$J$300,Trato_Diario!$B$4:$B$300,6,Trato_Diario!$A$4:$A$300,$A51)/SUMIFS(Trato_Diario!$G$4:$G$300,Trato_Diario!$B$4:$B$300,6,Trato_Diario!$A$4:$A$300,$A51))</f>
        <v/>
      </c>
      <c r="H51" s="26" t="str">
        <f>IF(OR($A51&gt;MAX(Trato_Diario!$A$4:$A$300),SUMIFS(Trato_Diario!$G$4:$G$300,Trato_Diario!$B$4:$B$300,7,Trato_Diario!$A$4:$A$300,$A51)=0),"",SUMIFS(Trato_Diario!$J$4:$J$300,Trato_Diario!$B$4:$B$300,7,Trato_Diario!$A$4:$A$300,$A51)/SUMIFS(Trato_Diario!$G$4:$G$300,Trato_Diario!$B$4:$B$300,7,Trato_Diario!$A$4:$A$300,$A51))</f>
        <v/>
      </c>
      <c r="I51" s="26" t="str">
        <f>IF(OR($A51&gt;MAX(Trato_Diario!$A$4:$A$300),SUMIFS(Trato_Diario!$G$4:$G$300,Trato_Diario!$B$4:$B$300,8,Trato_Diario!$A$4:$A$300,$A51)=0),"",SUMIFS(Trato_Diario!$J$4:$J$300,Trato_Diario!$B$4:$B$300,8,Trato_Diario!$A$4:$A$300,$A51)/SUMIFS(Trato_Diario!$G$4:$G$300,Trato_Diario!$B$4:$B$300,8,Trato_Diario!$A$4:$A$300,$A51))</f>
        <v/>
      </c>
      <c r="J51" s="26" t="str">
        <f>IF(OR($A51&gt;MAX(Trato_Diario!$A$4:$A$300),SUMIFS(Trato_Diario!$G$4:$G$300,Trato_Diario!$B$4:$B$300,9,Trato_Diario!$A$4:$A$300,$A51)=0),"",SUMIFS(Trato_Diario!$J$4:$J$300,Trato_Diario!$B$4:$B$300,9,Trato_Diario!$A$4:$A$300,$A51)/SUMIFS(Trato_Diario!$G$4:$G$300,Trato_Diario!$B$4:$B$300,9,Trato_Diario!$A$4:$A$300,$A51))</f>
        <v/>
      </c>
      <c r="K51" s="26" t="str">
        <f>IF(OR($A51&gt;MAX(Trato_Diario!$A$4:$A$300),SUMIFS(Trato_Diario!$G$4:$G$300,Trato_Diario!$B$4:$B$300,10,Trato_Diario!$A$4:$A$300,$A51)=0),"",SUMIFS(Trato_Diario!$J$4:$J$300,Trato_Diario!$B$4:$B$300,10,Trato_Diario!$A$4:$A$300,$A51)/SUMIFS(Trato_Diario!$G$4:$G$300,Trato_Diario!$B$4:$B$300,10,Trato_Diario!$A$4:$A$300,$A51))</f>
        <v/>
      </c>
      <c r="L51" s="74" t="str">
        <f>IF(OR($A51&gt;MAX(Trato_Diario!$A$4:$A$300),SUMIFS(Trato_Diario!$G$4:$G$300,Trato_Diario!$A$4:$A$300,$A51)=0),"",SUMIFS(Trato_Diario!$J$4:$J$300,Trato_Diario!$A$4:$A$300,$A51)/SUMIFS(Trato_Diario!$G$4:$G$300,Trato_Diario!$A$4:$A$300,$A51))</f>
        <v/>
      </c>
    </row>
    <row r="52" spans="1:12" ht="14.25" customHeight="1" x14ac:dyDescent="0.3">
      <c r="A52" s="86">
        <v>46261</v>
      </c>
      <c r="B52" s="28" t="str">
        <f>IF(OR($A52&gt;MAX(Trato_Diario!$A$4:$A$300),SUMIFS(Trato_Diario!$G$4:$G$300,Trato_Diario!$B$4:$B$300,1,Trato_Diario!$A$4:$A$300,$A52)=0),"",SUMIFS(Trato_Diario!$J$4:$J$300,Trato_Diario!$B$4:$B$300,1,Trato_Diario!$A$4:$A$300,$A52)/SUMIFS(Trato_Diario!$G$4:$G$300,Trato_Diario!$B$4:$B$300,1,Trato_Diario!$A$4:$A$300,$A52))</f>
        <v/>
      </c>
      <c r="C52" s="28" t="str">
        <f>IF(OR($A52&gt;MAX(Trato_Diario!$A$4:$A$300),SUMIFS(Trato_Diario!$G$4:$G$300,Trato_Diario!$B$4:$B$300,2,Trato_Diario!$A$4:$A$300,$A52)=0),"",SUMIFS(Trato_Diario!$J$4:$J$300,Trato_Diario!$B$4:$B$300,2,Trato_Diario!$A$4:$A$300,$A52)/SUMIFS(Trato_Diario!$G$4:$G$300,Trato_Diario!$B$4:$B$300,2,Trato_Diario!$A$4:$A$300,$A52))</f>
        <v/>
      </c>
      <c r="D52" s="28" t="str">
        <f>IF(OR($A52&gt;MAX(Trato_Diario!$A$4:$A$300),SUMIFS(Trato_Diario!$G$4:$G$300,Trato_Diario!$B$4:$B$300,3,Trato_Diario!$A$4:$A$300,$A52)=0),"",SUMIFS(Trato_Diario!$J$4:$J$300,Trato_Diario!$B$4:$B$300,3,Trato_Diario!$A$4:$A$300,$A52)/SUMIFS(Trato_Diario!$G$4:$G$300,Trato_Diario!$B$4:$B$300,3,Trato_Diario!$A$4:$A$300,$A52))</f>
        <v/>
      </c>
      <c r="E52" s="28" t="str">
        <f>IF(OR($A52&gt;MAX(Trato_Diario!$A$4:$A$300),SUMIFS(Trato_Diario!$G$4:$G$300,Trato_Diario!$B$4:$B$300,4,Trato_Diario!$A$4:$A$300,$A52)=0),"",SUMIFS(Trato_Diario!$J$4:$J$300,Trato_Diario!$B$4:$B$300,4,Trato_Diario!$A$4:$A$300,$A52)/SUMIFS(Trato_Diario!$G$4:$G$300,Trato_Diario!$B$4:$B$300,4,Trato_Diario!$A$4:$A$300,$A52))</f>
        <v/>
      </c>
      <c r="F52" s="28" t="str">
        <f>IF(OR($A52&gt;MAX(Trato_Diario!$A$4:$A$300),SUMIFS(Trato_Diario!$G$4:$G$300,Trato_Diario!$B$4:$B$300,5,Trato_Diario!$A$4:$A$300,$A52)=0),"",SUMIFS(Trato_Diario!$J$4:$J$300,Trato_Diario!$B$4:$B$300,5,Trato_Diario!$A$4:$A$300,$A52)/SUMIFS(Trato_Diario!$G$4:$G$300,Trato_Diario!$B$4:$B$300,5,Trato_Diario!$A$4:$A$300,$A52))</f>
        <v/>
      </c>
      <c r="G52" s="28" t="str">
        <f>IF(OR($A52&gt;MAX(Trato_Diario!$A$4:$A$300),SUMIFS(Trato_Diario!$G$4:$G$300,Trato_Diario!$B$4:$B$300,6,Trato_Diario!$A$4:$A$300,$A52)=0),"",SUMIFS(Trato_Diario!$J$4:$J$300,Trato_Diario!$B$4:$B$300,6,Trato_Diario!$A$4:$A$300,$A52)/SUMIFS(Trato_Diario!$G$4:$G$300,Trato_Diario!$B$4:$B$300,6,Trato_Diario!$A$4:$A$300,$A52))</f>
        <v/>
      </c>
      <c r="H52" s="28" t="str">
        <f>IF(OR($A52&gt;MAX(Trato_Diario!$A$4:$A$300),SUMIFS(Trato_Diario!$G$4:$G$300,Trato_Diario!$B$4:$B$300,7,Trato_Diario!$A$4:$A$300,$A52)=0),"",SUMIFS(Trato_Diario!$J$4:$J$300,Trato_Diario!$B$4:$B$300,7,Trato_Diario!$A$4:$A$300,$A52)/SUMIFS(Trato_Diario!$G$4:$G$300,Trato_Diario!$B$4:$B$300,7,Trato_Diario!$A$4:$A$300,$A52))</f>
        <v/>
      </c>
      <c r="I52" s="28" t="str">
        <f>IF(OR($A52&gt;MAX(Trato_Diario!$A$4:$A$300),SUMIFS(Trato_Diario!$G$4:$G$300,Trato_Diario!$B$4:$B$300,8,Trato_Diario!$A$4:$A$300,$A52)=0),"",SUMIFS(Trato_Diario!$J$4:$J$300,Trato_Diario!$B$4:$B$300,8,Trato_Diario!$A$4:$A$300,$A52)/SUMIFS(Trato_Diario!$G$4:$G$300,Trato_Diario!$B$4:$B$300,8,Trato_Diario!$A$4:$A$300,$A52))</f>
        <v/>
      </c>
      <c r="J52" s="28" t="str">
        <f>IF(OR($A52&gt;MAX(Trato_Diario!$A$4:$A$300),SUMIFS(Trato_Diario!$G$4:$G$300,Trato_Diario!$B$4:$B$300,9,Trato_Diario!$A$4:$A$300,$A52)=0),"",SUMIFS(Trato_Diario!$J$4:$J$300,Trato_Diario!$B$4:$B$300,9,Trato_Diario!$A$4:$A$300,$A52)/SUMIFS(Trato_Diario!$G$4:$G$300,Trato_Diario!$B$4:$B$300,9,Trato_Diario!$A$4:$A$300,$A52))</f>
        <v/>
      </c>
      <c r="K52" s="28" t="str">
        <f>IF(OR($A52&gt;MAX(Trato_Diario!$A$4:$A$300),SUMIFS(Trato_Diario!$G$4:$G$300,Trato_Diario!$B$4:$B$300,10,Trato_Diario!$A$4:$A$300,$A52)=0),"",SUMIFS(Trato_Diario!$J$4:$J$300,Trato_Diario!$B$4:$B$300,10,Trato_Diario!$A$4:$A$300,$A52)/SUMIFS(Trato_Diario!$G$4:$G$300,Trato_Diario!$B$4:$B$300,10,Trato_Diario!$A$4:$A$300,$A52))</f>
        <v/>
      </c>
      <c r="L52" s="76" t="str">
        <f>IF(OR($A52&gt;MAX(Trato_Diario!$A$4:$A$300),SUMIFS(Trato_Diario!$G$4:$G$300,Trato_Diario!$A$4:$A$300,$A52)=0),"",SUMIFS(Trato_Diario!$J$4:$J$300,Trato_Diario!$A$4:$A$300,$A52)/SUMIFS(Trato_Diario!$G$4:$G$300,Trato_Diario!$A$4:$A$300,$A52))</f>
        <v/>
      </c>
    </row>
    <row r="53" spans="1:12" ht="14.25" customHeight="1" x14ac:dyDescent="0.3">
      <c r="A53" s="85">
        <v>46262</v>
      </c>
      <c r="B53" s="26" t="str">
        <f>IF(OR($A53&gt;MAX(Trato_Diario!$A$4:$A$300),SUMIFS(Trato_Diario!$G$4:$G$300,Trato_Diario!$B$4:$B$300,1,Trato_Diario!$A$4:$A$300,$A53)=0),"",SUMIFS(Trato_Diario!$J$4:$J$300,Trato_Diario!$B$4:$B$300,1,Trato_Diario!$A$4:$A$300,$A53)/SUMIFS(Trato_Diario!$G$4:$G$300,Trato_Diario!$B$4:$B$300,1,Trato_Diario!$A$4:$A$300,$A53))</f>
        <v/>
      </c>
      <c r="C53" s="26" t="str">
        <f>IF(OR($A53&gt;MAX(Trato_Diario!$A$4:$A$300),SUMIFS(Trato_Diario!$G$4:$G$300,Trato_Diario!$B$4:$B$300,2,Trato_Diario!$A$4:$A$300,$A53)=0),"",SUMIFS(Trato_Diario!$J$4:$J$300,Trato_Diario!$B$4:$B$300,2,Trato_Diario!$A$4:$A$300,$A53)/SUMIFS(Trato_Diario!$G$4:$G$300,Trato_Diario!$B$4:$B$300,2,Trato_Diario!$A$4:$A$300,$A53))</f>
        <v/>
      </c>
      <c r="D53" s="26" t="str">
        <f>IF(OR($A53&gt;MAX(Trato_Diario!$A$4:$A$300),SUMIFS(Trato_Diario!$G$4:$G$300,Trato_Diario!$B$4:$B$300,3,Trato_Diario!$A$4:$A$300,$A53)=0),"",SUMIFS(Trato_Diario!$J$4:$J$300,Trato_Diario!$B$4:$B$300,3,Trato_Diario!$A$4:$A$300,$A53)/SUMIFS(Trato_Diario!$G$4:$G$300,Trato_Diario!$B$4:$B$300,3,Trato_Diario!$A$4:$A$300,$A53))</f>
        <v/>
      </c>
      <c r="E53" s="26" t="str">
        <f>IF(OR($A53&gt;MAX(Trato_Diario!$A$4:$A$300),SUMIFS(Trato_Diario!$G$4:$G$300,Trato_Diario!$B$4:$B$300,4,Trato_Diario!$A$4:$A$300,$A53)=0),"",SUMIFS(Trato_Diario!$J$4:$J$300,Trato_Diario!$B$4:$B$300,4,Trato_Diario!$A$4:$A$300,$A53)/SUMIFS(Trato_Diario!$G$4:$G$300,Trato_Diario!$B$4:$B$300,4,Trato_Diario!$A$4:$A$300,$A53))</f>
        <v/>
      </c>
      <c r="F53" s="26" t="str">
        <f>IF(OR($A53&gt;MAX(Trato_Diario!$A$4:$A$300),SUMIFS(Trato_Diario!$G$4:$G$300,Trato_Diario!$B$4:$B$300,5,Trato_Diario!$A$4:$A$300,$A53)=0),"",SUMIFS(Trato_Diario!$J$4:$J$300,Trato_Diario!$B$4:$B$300,5,Trato_Diario!$A$4:$A$300,$A53)/SUMIFS(Trato_Diario!$G$4:$G$300,Trato_Diario!$B$4:$B$300,5,Trato_Diario!$A$4:$A$300,$A53))</f>
        <v/>
      </c>
      <c r="G53" s="26" t="str">
        <f>IF(OR($A53&gt;MAX(Trato_Diario!$A$4:$A$300),SUMIFS(Trato_Diario!$G$4:$G$300,Trato_Diario!$B$4:$B$300,6,Trato_Diario!$A$4:$A$300,$A53)=0),"",SUMIFS(Trato_Diario!$J$4:$J$300,Trato_Diario!$B$4:$B$300,6,Trato_Diario!$A$4:$A$300,$A53)/SUMIFS(Trato_Diario!$G$4:$G$300,Trato_Diario!$B$4:$B$300,6,Trato_Diario!$A$4:$A$300,$A53))</f>
        <v/>
      </c>
      <c r="H53" s="26" t="str">
        <f>IF(OR($A53&gt;MAX(Trato_Diario!$A$4:$A$300),SUMIFS(Trato_Diario!$G$4:$G$300,Trato_Diario!$B$4:$B$300,7,Trato_Diario!$A$4:$A$300,$A53)=0),"",SUMIFS(Trato_Diario!$J$4:$J$300,Trato_Diario!$B$4:$B$300,7,Trato_Diario!$A$4:$A$300,$A53)/SUMIFS(Trato_Diario!$G$4:$G$300,Trato_Diario!$B$4:$B$300,7,Trato_Diario!$A$4:$A$300,$A53))</f>
        <v/>
      </c>
      <c r="I53" s="26" t="str">
        <f>IF(OR($A53&gt;MAX(Trato_Diario!$A$4:$A$300),SUMIFS(Trato_Diario!$G$4:$G$300,Trato_Diario!$B$4:$B$300,8,Trato_Diario!$A$4:$A$300,$A53)=0),"",SUMIFS(Trato_Diario!$J$4:$J$300,Trato_Diario!$B$4:$B$300,8,Trato_Diario!$A$4:$A$300,$A53)/SUMIFS(Trato_Diario!$G$4:$G$300,Trato_Diario!$B$4:$B$300,8,Trato_Diario!$A$4:$A$300,$A53))</f>
        <v/>
      </c>
      <c r="J53" s="26" t="str">
        <f>IF(OR($A53&gt;MAX(Trato_Diario!$A$4:$A$300),SUMIFS(Trato_Diario!$G$4:$G$300,Trato_Diario!$B$4:$B$300,9,Trato_Diario!$A$4:$A$300,$A53)=0),"",SUMIFS(Trato_Diario!$J$4:$J$300,Trato_Diario!$B$4:$B$300,9,Trato_Diario!$A$4:$A$300,$A53)/SUMIFS(Trato_Diario!$G$4:$G$300,Trato_Diario!$B$4:$B$300,9,Trato_Diario!$A$4:$A$300,$A53))</f>
        <v/>
      </c>
      <c r="K53" s="26" t="str">
        <f>IF(OR($A53&gt;MAX(Trato_Diario!$A$4:$A$300),SUMIFS(Trato_Diario!$G$4:$G$300,Trato_Diario!$B$4:$B$300,10,Trato_Diario!$A$4:$A$300,$A53)=0),"",SUMIFS(Trato_Diario!$J$4:$J$300,Trato_Diario!$B$4:$B$300,10,Trato_Diario!$A$4:$A$300,$A53)/SUMIFS(Trato_Diario!$G$4:$G$300,Trato_Diario!$B$4:$B$300,10,Trato_Diario!$A$4:$A$300,$A53))</f>
        <v/>
      </c>
      <c r="L53" s="74" t="str">
        <f>IF(OR($A53&gt;MAX(Trato_Diario!$A$4:$A$300),SUMIFS(Trato_Diario!$G$4:$G$300,Trato_Diario!$A$4:$A$300,$A53)=0),"",SUMIFS(Trato_Diario!$J$4:$J$300,Trato_Diario!$A$4:$A$300,$A53)/SUMIFS(Trato_Diario!$G$4:$G$300,Trato_Diario!$A$4:$A$300,$A53))</f>
        <v/>
      </c>
    </row>
    <row r="54" spans="1:12" ht="14.25" customHeight="1" x14ac:dyDescent="0.3">
      <c r="A54" s="86">
        <v>46263</v>
      </c>
      <c r="B54" s="28" t="str">
        <f>IF(OR($A54&gt;MAX(Trato_Diario!$A$4:$A$300),SUMIFS(Trato_Diario!$G$4:$G$300,Trato_Diario!$B$4:$B$300,1,Trato_Diario!$A$4:$A$300,$A54)=0),"",SUMIFS(Trato_Diario!$J$4:$J$300,Trato_Diario!$B$4:$B$300,1,Trato_Diario!$A$4:$A$300,$A54)/SUMIFS(Trato_Diario!$G$4:$G$300,Trato_Diario!$B$4:$B$300,1,Trato_Diario!$A$4:$A$300,$A54))</f>
        <v/>
      </c>
      <c r="C54" s="28" t="str">
        <f>IF(OR($A54&gt;MAX(Trato_Diario!$A$4:$A$300),SUMIFS(Trato_Diario!$G$4:$G$300,Trato_Diario!$B$4:$B$300,2,Trato_Diario!$A$4:$A$300,$A54)=0),"",SUMIFS(Trato_Diario!$J$4:$J$300,Trato_Diario!$B$4:$B$300,2,Trato_Diario!$A$4:$A$300,$A54)/SUMIFS(Trato_Diario!$G$4:$G$300,Trato_Diario!$B$4:$B$300,2,Trato_Diario!$A$4:$A$300,$A54))</f>
        <v/>
      </c>
      <c r="D54" s="28" t="str">
        <f>IF(OR($A54&gt;MAX(Trato_Diario!$A$4:$A$300),SUMIFS(Trato_Diario!$G$4:$G$300,Trato_Diario!$B$4:$B$300,3,Trato_Diario!$A$4:$A$300,$A54)=0),"",SUMIFS(Trato_Diario!$J$4:$J$300,Trato_Diario!$B$4:$B$300,3,Trato_Diario!$A$4:$A$300,$A54)/SUMIFS(Trato_Diario!$G$4:$G$300,Trato_Diario!$B$4:$B$300,3,Trato_Diario!$A$4:$A$300,$A54))</f>
        <v/>
      </c>
      <c r="E54" s="28" t="str">
        <f>IF(OR($A54&gt;MAX(Trato_Diario!$A$4:$A$300),SUMIFS(Trato_Diario!$G$4:$G$300,Trato_Diario!$B$4:$B$300,4,Trato_Diario!$A$4:$A$300,$A54)=0),"",SUMIFS(Trato_Diario!$J$4:$J$300,Trato_Diario!$B$4:$B$300,4,Trato_Diario!$A$4:$A$300,$A54)/SUMIFS(Trato_Diario!$G$4:$G$300,Trato_Diario!$B$4:$B$300,4,Trato_Diario!$A$4:$A$300,$A54))</f>
        <v/>
      </c>
      <c r="F54" s="28" t="str">
        <f>IF(OR($A54&gt;MAX(Trato_Diario!$A$4:$A$300),SUMIFS(Trato_Diario!$G$4:$G$300,Trato_Diario!$B$4:$B$300,5,Trato_Diario!$A$4:$A$300,$A54)=0),"",SUMIFS(Trato_Diario!$J$4:$J$300,Trato_Diario!$B$4:$B$300,5,Trato_Diario!$A$4:$A$300,$A54)/SUMIFS(Trato_Diario!$G$4:$G$300,Trato_Diario!$B$4:$B$300,5,Trato_Diario!$A$4:$A$300,$A54))</f>
        <v/>
      </c>
      <c r="G54" s="28" t="str">
        <f>IF(OR($A54&gt;MAX(Trato_Diario!$A$4:$A$300),SUMIFS(Trato_Diario!$G$4:$G$300,Trato_Diario!$B$4:$B$300,6,Trato_Diario!$A$4:$A$300,$A54)=0),"",SUMIFS(Trato_Diario!$J$4:$J$300,Trato_Diario!$B$4:$B$300,6,Trato_Diario!$A$4:$A$300,$A54)/SUMIFS(Trato_Diario!$G$4:$G$300,Trato_Diario!$B$4:$B$300,6,Trato_Diario!$A$4:$A$300,$A54))</f>
        <v/>
      </c>
      <c r="H54" s="28" t="str">
        <f>IF(OR($A54&gt;MAX(Trato_Diario!$A$4:$A$300),SUMIFS(Trato_Diario!$G$4:$G$300,Trato_Diario!$B$4:$B$300,7,Trato_Diario!$A$4:$A$300,$A54)=0),"",SUMIFS(Trato_Diario!$J$4:$J$300,Trato_Diario!$B$4:$B$300,7,Trato_Diario!$A$4:$A$300,$A54)/SUMIFS(Trato_Diario!$G$4:$G$300,Trato_Diario!$B$4:$B$300,7,Trato_Diario!$A$4:$A$300,$A54))</f>
        <v/>
      </c>
      <c r="I54" s="28" t="str">
        <f>IF(OR($A54&gt;MAX(Trato_Diario!$A$4:$A$300),SUMIFS(Trato_Diario!$G$4:$G$300,Trato_Diario!$B$4:$B$300,8,Trato_Diario!$A$4:$A$300,$A54)=0),"",SUMIFS(Trato_Diario!$J$4:$J$300,Trato_Diario!$B$4:$B$300,8,Trato_Diario!$A$4:$A$300,$A54)/SUMIFS(Trato_Diario!$G$4:$G$300,Trato_Diario!$B$4:$B$300,8,Trato_Diario!$A$4:$A$300,$A54))</f>
        <v/>
      </c>
      <c r="J54" s="28" t="str">
        <f>IF(OR($A54&gt;MAX(Trato_Diario!$A$4:$A$300),SUMIFS(Trato_Diario!$G$4:$G$300,Trato_Diario!$B$4:$B$300,9,Trato_Diario!$A$4:$A$300,$A54)=0),"",SUMIFS(Trato_Diario!$J$4:$J$300,Trato_Diario!$B$4:$B$300,9,Trato_Diario!$A$4:$A$300,$A54)/SUMIFS(Trato_Diario!$G$4:$G$300,Trato_Diario!$B$4:$B$300,9,Trato_Diario!$A$4:$A$300,$A54))</f>
        <v/>
      </c>
      <c r="K54" s="28" t="str">
        <f>IF(OR($A54&gt;MAX(Trato_Diario!$A$4:$A$300),SUMIFS(Trato_Diario!$G$4:$G$300,Trato_Diario!$B$4:$B$300,10,Trato_Diario!$A$4:$A$300,$A54)=0),"",SUMIFS(Trato_Diario!$J$4:$J$300,Trato_Diario!$B$4:$B$300,10,Trato_Diario!$A$4:$A$300,$A54)/SUMIFS(Trato_Diario!$G$4:$G$300,Trato_Diario!$B$4:$B$300,10,Trato_Diario!$A$4:$A$300,$A54))</f>
        <v/>
      </c>
      <c r="L54" s="76" t="str">
        <f>IF(OR($A54&gt;MAX(Trato_Diario!$A$4:$A$300),SUMIFS(Trato_Diario!$G$4:$G$300,Trato_Diario!$A$4:$A$300,$A54)=0),"",SUMIFS(Trato_Diario!$J$4:$J$300,Trato_Diario!$A$4:$A$300,$A54)/SUMIFS(Trato_Diario!$G$4:$G$300,Trato_Diario!$A$4:$A$300,$A54))</f>
        <v/>
      </c>
    </row>
    <row r="55" spans="1:12" ht="14.25" customHeight="1" x14ac:dyDescent="0.3">
      <c r="A55" s="85">
        <v>46264</v>
      </c>
      <c r="B55" s="26" t="str">
        <f>IF(OR($A55&gt;MAX(Trato_Diario!$A$4:$A$300),SUMIFS(Trato_Diario!$G$4:$G$300,Trato_Diario!$B$4:$B$300,1,Trato_Diario!$A$4:$A$300,$A55)=0),"",SUMIFS(Trato_Diario!$J$4:$J$300,Trato_Diario!$B$4:$B$300,1,Trato_Diario!$A$4:$A$300,$A55)/SUMIFS(Trato_Diario!$G$4:$G$300,Trato_Diario!$B$4:$B$300,1,Trato_Diario!$A$4:$A$300,$A55))</f>
        <v/>
      </c>
      <c r="C55" s="26" t="str">
        <f>IF(OR($A55&gt;MAX(Trato_Diario!$A$4:$A$300),SUMIFS(Trato_Diario!$G$4:$G$300,Trato_Diario!$B$4:$B$300,2,Trato_Diario!$A$4:$A$300,$A55)=0),"",SUMIFS(Trato_Diario!$J$4:$J$300,Trato_Diario!$B$4:$B$300,2,Trato_Diario!$A$4:$A$300,$A55)/SUMIFS(Trato_Diario!$G$4:$G$300,Trato_Diario!$B$4:$B$300,2,Trato_Diario!$A$4:$A$300,$A55))</f>
        <v/>
      </c>
      <c r="D55" s="26" t="str">
        <f>IF(OR($A55&gt;MAX(Trato_Diario!$A$4:$A$300),SUMIFS(Trato_Diario!$G$4:$G$300,Trato_Diario!$B$4:$B$300,3,Trato_Diario!$A$4:$A$300,$A55)=0),"",SUMIFS(Trato_Diario!$J$4:$J$300,Trato_Diario!$B$4:$B$300,3,Trato_Diario!$A$4:$A$300,$A55)/SUMIFS(Trato_Diario!$G$4:$G$300,Trato_Diario!$B$4:$B$300,3,Trato_Diario!$A$4:$A$300,$A55))</f>
        <v/>
      </c>
      <c r="E55" s="26" t="str">
        <f>IF(OR($A55&gt;MAX(Trato_Diario!$A$4:$A$300),SUMIFS(Trato_Diario!$G$4:$G$300,Trato_Diario!$B$4:$B$300,4,Trato_Diario!$A$4:$A$300,$A55)=0),"",SUMIFS(Trato_Diario!$J$4:$J$300,Trato_Diario!$B$4:$B$300,4,Trato_Diario!$A$4:$A$300,$A55)/SUMIFS(Trato_Diario!$G$4:$G$300,Trato_Diario!$B$4:$B$300,4,Trato_Diario!$A$4:$A$300,$A55))</f>
        <v/>
      </c>
      <c r="F55" s="26" t="str">
        <f>IF(OR($A55&gt;MAX(Trato_Diario!$A$4:$A$300),SUMIFS(Trato_Diario!$G$4:$G$300,Trato_Diario!$B$4:$B$300,5,Trato_Diario!$A$4:$A$300,$A55)=0),"",SUMIFS(Trato_Diario!$J$4:$J$300,Trato_Diario!$B$4:$B$300,5,Trato_Diario!$A$4:$A$300,$A55)/SUMIFS(Trato_Diario!$G$4:$G$300,Trato_Diario!$B$4:$B$300,5,Trato_Diario!$A$4:$A$300,$A55))</f>
        <v/>
      </c>
      <c r="G55" s="26" t="str">
        <f>IF(OR($A55&gt;MAX(Trato_Diario!$A$4:$A$300),SUMIFS(Trato_Diario!$G$4:$G$300,Trato_Diario!$B$4:$B$300,6,Trato_Diario!$A$4:$A$300,$A55)=0),"",SUMIFS(Trato_Diario!$J$4:$J$300,Trato_Diario!$B$4:$B$300,6,Trato_Diario!$A$4:$A$300,$A55)/SUMIFS(Trato_Diario!$G$4:$G$300,Trato_Diario!$B$4:$B$300,6,Trato_Diario!$A$4:$A$300,$A55))</f>
        <v/>
      </c>
      <c r="H55" s="26" t="str">
        <f>IF(OR($A55&gt;MAX(Trato_Diario!$A$4:$A$300),SUMIFS(Trato_Diario!$G$4:$G$300,Trato_Diario!$B$4:$B$300,7,Trato_Diario!$A$4:$A$300,$A55)=0),"",SUMIFS(Trato_Diario!$J$4:$J$300,Trato_Diario!$B$4:$B$300,7,Trato_Diario!$A$4:$A$300,$A55)/SUMIFS(Trato_Diario!$G$4:$G$300,Trato_Diario!$B$4:$B$300,7,Trato_Diario!$A$4:$A$300,$A55))</f>
        <v/>
      </c>
      <c r="I55" s="26" t="str">
        <f>IF(OR($A55&gt;MAX(Trato_Diario!$A$4:$A$300),SUMIFS(Trato_Diario!$G$4:$G$300,Trato_Diario!$B$4:$B$300,8,Trato_Diario!$A$4:$A$300,$A55)=0),"",SUMIFS(Trato_Diario!$J$4:$J$300,Trato_Diario!$B$4:$B$300,8,Trato_Diario!$A$4:$A$300,$A55)/SUMIFS(Trato_Diario!$G$4:$G$300,Trato_Diario!$B$4:$B$300,8,Trato_Diario!$A$4:$A$300,$A55))</f>
        <v/>
      </c>
      <c r="J55" s="26" t="str">
        <f>IF(OR($A55&gt;MAX(Trato_Diario!$A$4:$A$300),SUMIFS(Trato_Diario!$G$4:$G$300,Trato_Diario!$B$4:$B$300,9,Trato_Diario!$A$4:$A$300,$A55)=0),"",SUMIFS(Trato_Diario!$J$4:$J$300,Trato_Diario!$B$4:$B$300,9,Trato_Diario!$A$4:$A$300,$A55)/SUMIFS(Trato_Diario!$G$4:$G$300,Trato_Diario!$B$4:$B$300,9,Trato_Diario!$A$4:$A$300,$A55))</f>
        <v/>
      </c>
      <c r="K55" s="26" t="str">
        <f>IF(OR($A55&gt;MAX(Trato_Diario!$A$4:$A$300),SUMIFS(Trato_Diario!$G$4:$G$300,Trato_Diario!$B$4:$B$300,10,Trato_Diario!$A$4:$A$300,$A55)=0),"",SUMIFS(Trato_Diario!$J$4:$J$300,Trato_Diario!$B$4:$B$300,10,Trato_Diario!$A$4:$A$300,$A55)/SUMIFS(Trato_Diario!$G$4:$G$300,Trato_Diario!$B$4:$B$300,10,Trato_Diario!$A$4:$A$300,$A55))</f>
        <v/>
      </c>
      <c r="L55" s="74" t="str">
        <f>IF(OR($A55&gt;MAX(Trato_Diario!$A$4:$A$300),SUMIFS(Trato_Diario!$G$4:$G$300,Trato_Diario!$A$4:$A$300,$A55)=0),"",SUMIFS(Trato_Diario!$J$4:$J$300,Trato_Diario!$A$4:$A$300,$A55)/SUMIFS(Trato_Diario!$G$4:$G$300,Trato_Diario!$A$4:$A$300,$A55))</f>
        <v/>
      </c>
    </row>
    <row r="56" spans="1:12" ht="14.25" customHeight="1" x14ac:dyDescent="0.3">
      <c r="A56" s="86">
        <v>46265</v>
      </c>
      <c r="B56" s="28" t="str">
        <f>IF(OR($A56&gt;MAX(Trato_Diario!$A$4:$A$300),SUMIFS(Trato_Diario!$G$4:$G$300,Trato_Diario!$B$4:$B$300,1,Trato_Diario!$A$4:$A$300,$A56)=0),"",SUMIFS(Trato_Diario!$J$4:$J$300,Trato_Diario!$B$4:$B$300,1,Trato_Diario!$A$4:$A$300,$A56)/SUMIFS(Trato_Diario!$G$4:$G$300,Trato_Diario!$B$4:$B$300,1,Trato_Diario!$A$4:$A$300,$A56))</f>
        <v/>
      </c>
      <c r="C56" s="28" t="str">
        <f>IF(OR($A56&gt;MAX(Trato_Diario!$A$4:$A$300),SUMIFS(Trato_Diario!$G$4:$G$300,Trato_Diario!$B$4:$B$300,2,Trato_Diario!$A$4:$A$300,$A56)=0),"",SUMIFS(Trato_Diario!$J$4:$J$300,Trato_Diario!$B$4:$B$300,2,Trato_Diario!$A$4:$A$300,$A56)/SUMIFS(Trato_Diario!$G$4:$G$300,Trato_Diario!$B$4:$B$300,2,Trato_Diario!$A$4:$A$300,$A56))</f>
        <v/>
      </c>
      <c r="D56" s="28" t="str">
        <f>IF(OR($A56&gt;MAX(Trato_Diario!$A$4:$A$300),SUMIFS(Trato_Diario!$G$4:$G$300,Trato_Diario!$B$4:$B$300,3,Trato_Diario!$A$4:$A$300,$A56)=0),"",SUMIFS(Trato_Diario!$J$4:$J$300,Trato_Diario!$B$4:$B$300,3,Trato_Diario!$A$4:$A$300,$A56)/SUMIFS(Trato_Diario!$G$4:$G$300,Trato_Diario!$B$4:$B$300,3,Trato_Diario!$A$4:$A$300,$A56))</f>
        <v/>
      </c>
      <c r="E56" s="28" t="str">
        <f>IF(OR($A56&gt;MAX(Trato_Diario!$A$4:$A$300),SUMIFS(Trato_Diario!$G$4:$G$300,Trato_Diario!$B$4:$B$300,4,Trato_Diario!$A$4:$A$300,$A56)=0),"",SUMIFS(Trato_Diario!$J$4:$J$300,Trato_Diario!$B$4:$B$300,4,Trato_Diario!$A$4:$A$300,$A56)/SUMIFS(Trato_Diario!$G$4:$G$300,Trato_Diario!$B$4:$B$300,4,Trato_Diario!$A$4:$A$300,$A56))</f>
        <v/>
      </c>
      <c r="F56" s="28" t="str">
        <f>IF(OR($A56&gt;MAX(Trato_Diario!$A$4:$A$300),SUMIFS(Trato_Diario!$G$4:$G$300,Trato_Diario!$B$4:$B$300,5,Trato_Diario!$A$4:$A$300,$A56)=0),"",SUMIFS(Trato_Diario!$J$4:$J$300,Trato_Diario!$B$4:$B$300,5,Trato_Diario!$A$4:$A$300,$A56)/SUMIFS(Trato_Diario!$G$4:$G$300,Trato_Diario!$B$4:$B$300,5,Trato_Diario!$A$4:$A$300,$A56))</f>
        <v/>
      </c>
      <c r="G56" s="28" t="str">
        <f>IF(OR($A56&gt;MAX(Trato_Diario!$A$4:$A$300),SUMIFS(Trato_Diario!$G$4:$G$300,Trato_Diario!$B$4:$B$300,6,Trato_Diario!$A$4:$A$300,$A56)=0),"",SUMIFS(Trato_Diario!$J$4:$J$300,Trato_Diario!$B$4:$B$300,6,Trato_Diario!$A$4:$A$300,$A56)/SUMIFS(Trato_Diario!$G$4:$G$300,Trato_Diario!$B$4:$B$300,6,Trato_Diario!$A$4:$A$300,$A56))</f>
        <v/>
      </c>
      <c r="H56" s="28" t="str">
        <f>IF(OR($A56&gt;MAX(Trato_Diario!$A$4:$A$300),SUMIFS(Trato_Diario!$G$4:$G$300,Trato_Diario!$B$4:$B$300,7,Trato_Diario!$A$4:$A$300,$A56)=0),"",SUMIFS(Trato_Diario!$J$4:$J$300,Trato_Diario!$B$4:$B$300,7,Trato_Diario!$A$4:$A$300,$A56)/SUMIFS(Trato_Diario!$G$4:$G$300,Trato_Diario!$B$4:$B$300,7,Trato_Diario!$A$4:$A$300,$A56))</f>
        <v/>
      </c>
      <c r="I56" s="28" t="str">
        <f>IF(OR($A56&gt;MAX(Trato_Diario!$A$4:$A$300),SUMIFS(Trato_Diario!$G$4:$G$300,Trato_Diario!$B$4:$B$300,8,Trato_Diario!$A$4:$A$300,$A56)=0),"",SUMIFS(Trato_Diario!$J$4:$J$300,Trato_Diario!$B$4:$B$300,8,Trato_Diario!$A$4:$A$300,$A56)/SUMIFS(Trato_Diario!$G$4:$G$300,Trato_Diario!$B$4:$B$300,8,Trato_Diario!$A$4:$A$300,$A56))</f>
        <v/>
      </c>
      <c r="J56" s="28" t="str">
        <f>IF(OR($A56&gt;MAX(Trato_Diario!$A$4:$A$300),SUMIFS(Trato_Diario!$G$4:$G$300,Trato_Diario!$B$4:$B$300,9,Trato_Diario!$A$4:$A$300,$A56)=0),"",SUMIFS(Trato_Diario!$J$4:$J$300,Trato_Diario!$B$4:$B$300,9,Trato_Diario!$A$4:$A$300,$A56)/SUMIFS(Trato_Diario!$G$4:$G$300,Trato_Diario!$B$4:$B$300,9,Trato_Diario!$A$4:$A$300,$A56))</f>
        <v/>
      </c>
      <c r="K56" s="28" t="str">
        <f>IF(OR($A56&gt;MAX(Trato_Diario!$A$4:$A$300),SUMIFS(Trato_Diario!$G$4:$G$300,Trato_Diario!$B$4:$B$300,10,Trato_Diario!$A$4:$A$300,$A56)=0),"",SUMIFS(Trato_Diario!$J$4:$J$300,Trato_Diario!$B$4:$B$300,10,Trato_Diario!$A$4:$A$300,$A56)/SUMIFS(Trato_Diario!$G$4:$G$300,Trato_Diario!$B$4:$B$300,10,Trato_Diario!$A$4:$A$300,$A56))</f>
        <v/>
      </c>
      <c r="L56" s="76" t="str">
        <f>IF(OR($A56&gt;MAX(Trato_Diario!$A$4:$A$300),SUMIFS(Trato_Diario!$G$4:$G$300,Trato_Diario!$A$4:$A$300,$A56)=0),"",SUMIFS(Trato_Diario!$J$4:$J$300,Trato_Diario!$A$4:$A$300,$A56)/SUMIFS(Trato_Diario!$G$4:$G$300,Trato_Diario!$A$4:$A$300,$A56))</f>
        <v/>
      </c>
    </row>
    <row r="57" spans="1:12" ht="14.25" customHeight="1" x14ac:dyDescent="0.3">
      <c r="A57" s="85">
        <v>46266</v>
      </c>
      <c r="B57" s="26" t="str">
        <f>IF(OR($A57&gt;MAX(Trato_Diario!$A$4:$A$300),SUMIFS(Trato_Diario!$G$4:$G$300,Trato_Diario!$B$4:$B$300,1,Trato_Diario!$A$4:$A$300,$A57)=0),"",SUMIFS(Trato_Diario!$J$4:$J$300,Trato_Diario!$B$4:$B$300,1,Trato_Diario!$A$4:$A$300,$A57)/SUMIFS(Trato_Diario!$G$4:$G$300,Trato_Diario!$B$4:$B$300,1,Trato_Diario!$A$4:$A$300,$A57))</f>
        <v/>
      </c>
      <c r="C57" s="26" t="str">
        <f>IF(OR($A57&gt;MAX(Trato_Diario!$A$4:$A$300),SUMIFS(Trato_Diario!$G$4:$G$300,Trato_Diario!$B$4:$B$300,2,Trato_Diario!$A$4:$A$300,$A57)=0),"",SUMIFS(Trato_Diario!$J$4:$J$300,Trato_Diario!$B$4:$B$300,2,Trato_Diario!$A$4:$A$300,$A57)/SUMIFS(Trato_Diario!$G$4:$G$300,Trato_Diario!$B$4:$B$300,2,Trato_Diario!$A$4:$A$300,$A57))</f>
        <v/>
      </c>
      <c r="D57" s="26" t="str">
        <f>IF(OR($A57&gt;MAX(Trato_Diario!$A$4:$A$300),SUMIFS(Trato_Diario!$G$4:$G$300,Trato_Diario!$B$4:$B$300,3,Trato_Diario!$A$4:$A$300,$A57)=0),"",SUMIFS(Trato_Diario!$J$4:$J$300,Trato_Diario!$B$4:$B$300,3,Trato_Diario!$A$4:$A$300,$A57)/SUMIFS(Trato_Diario!$G$4:$G$300,Trato_Diario!$B$4:$B$300,3,Trato_Diario!$A$4:$A$300,$A57))</f>
        <v/>
      </c>
      <c r="E57" s="26" t="str">
        <f>IF(OR($A57&gt;MAX(Trato_Diario!$A$4:$A$300),SUMIFS(Trato_Diario!$G$4:$G$300,Trato_Diario!$B$4:$B$300,4,Trato_Diario!$A$4:$A$300,$A57)=0),"",SUMIFS(Trato_Diario!$J$4:$J$300,Trato_Diario!$B$4:$B$300,4,Trato_Diario!$A$4:$A$300,$A57)/SUMIFS(Trato_Diario!$G$4:$G$300,Trato_Diario!$B$4:$B$300,4,Trato_Diario!$A$4:$A$300,$A57))</f>
        <v/>
      </c>
      <c r="F57" s="26" t="str">
        <f>IF(OR($A57&gt;MAX(Trato_Diario!$A$4:$A$300),SUMIFS(Trato_Diario!$G$4:$G$300,Trato_Diario!$B$4:$B$300,5,Trato_Diario!$A$4:$A$300,$A57)=0),"",SUMIFS(Trato_Diario!$J$4:$J$300,Trato_Diario!$B$4:$B$300,5,Trato_Diario!$A$4:$A$300,$A57)/SUMIFS(Trato_Diario!$G$4:$G$300,Trato_Diario!$B$4:$B$300,5,Trato_Diario!$A$4:$A$300,$A57))</f>
        <v/>
      </c>
      <c r="G57" s="26" t="str">
        <f>IF(OR($A57&gt;MAX(Trato_Diario!$A$4:$A$300),SUMIFS(Trato_Diario!$G$4:$G$300,Trato_Diario!$B$4:$B$300,6,Trato_Diario!$A$4:$A$300,$A57)=0),"",SUMIFS(Trato_Diario!$J$4:$J$300,Trato_Diario!$B$4:$B$300,6,Trato_Diario!$A$4:$A$300,$A57)/SUMIFS(Trato_Diario!$G$4:$G$300,Trato_Diario!$B$4:$B$300,6,Trato_Diario!$A$4:$A$300,$A57))</f>
        <v/>
      </c>
      <c r="H57" s="26" t="str">
        <f>IF(OR($A57&gt;MAX(Trato_Diario!$A$4:$A$300),SUMIFS(Trato_Diario!$G$4:$G$300,Trato_Diario!$B$4:$B$300,7,Trato_Diario!$A$4:$A$300,$A57)=0),"",SUMIFS(Trato_Diario!$J$4:$J$300,Trato_Diario!$B$4:$B$300,7,Trato_Diario!$A$4:$A$300,$A57)/SUMIFS(Trato_Diario!$G$4:$G$300,Trato_Diario!$B$4:$B$300,7,Trato_Diario!$A$4:$A$300,$A57))</f>
        <v/>
      </c>
      <c r="I57" s="26" t="str">
        <f>IF(OR($A57&gt;MAX(Trato_Diario!$A$4:$A$300),SUMIFS(Trato_Diario!$G$4:$G$300,Trato_Diario!$B$4:$B$300,8,Trato_Diario!$A$4:$A$300,$A57)=0),"",SUMIFS(Trato_Diario!$J$4:$J$300,Trato_Diario!$B$4:$B$300,8,Trato_Diario!$A$4:$A$300,$A57)/SUMIFS(Trato_Diario!$G$4:$G$300,Trato_Diario!$B$4:$B$300,8,Trato_Diario!$A$4:$A$300,$A57))</f>
        <v/>
      </c>
      <c r="J57" s="26" t="str">
        <f>IF(OR($A57&gt;MAX(Trato_Diario!$A$4:$A$300),SUMIFS(Trato_Diario!$G$4:$G$300,Trato_Diario!$B$4:$B$300,9,Trato_Diario!$A$4:$A$300,$A57)=0),"",SUMIFS(Trato_Diario!$J$4:$J$300,Trato_Diario!$B$4:$B$300,9,Trato_Diario!$A$4:$A$300,$A57)/SUMIFS(Trato_Diario!$G$4:$G$300,Trato_Diario!$B$4:$B$300,9,Trato_Diario!$A$4:$A$300,$A57))</f>
        <v/>
      </c>
      <c r="K57" s="26" t="str">
        <f>IF(OR($A57&gt;MAX(Trato_Diario!$A$4:$A$300),SUMIFS(Trato_Diario!$G$4:$G$300,Trato_Diario!$B$4:$B$300,10,Trato_Diario!$A$4:$A$300,$A57)=0),"",SUMIFS(Trato_Diario!$J$4:$J$300,Trato_Diario!$B$4:$B$300,10,Trato_Diario!$A$4:$A$300,$A57)/SUMIFS(Trato_Diario!$G$4:$G$300,Trato_Diario!$B$4:$B$300,10,Trato_Diario!$A$4:$A$300,$A57))</f>
        <v/>
      </c>
      <c r="L57" s="74" t="str">
        <f>IF(OR($A57&gt;MAX(Trato_Diario!$A$4:$A$300),SUMIFS(Trato_Diario!$G$4:$G$300,Trato_Diario!$A$4:$A$300,$A57)=0),"",SUMIFS(Trato_Diario!$J$4:$J$300,Trato_Diario!$A$4:$A$300,$A57)/SUMIFS(Trato_Diario!$G$4:$G$300,Trato_Diario!$A$4:$A$300,$A57))</f>
        <v/>
      </c>
    </row>
    <row r="58" spans="1:12" ht="14.25" customHeight="1" x14ac:dyDescent="0.3">
      <c r="A58" s="86">
        <v>46267</v>
      </c>
      <c r="B58" s="28" t="str">
        <f>IF(OR($A58&gt;MAX(Trato_Diario!$A$4:$A$300),SUMIFS(Trato_Diario!$G$4:$G$300,Trato_Diario!$B$4:$B$300,1,Trato_Diario!$A$4:$A$300,$A58)=0),"",SUMIFS(Trato_Diario!$J$4:$J$300,Trato_Diario!$B$4:$B$300,1,Trato_Diario!$A$4:$A$300,$A58)/SUMIFS(Trato_Diario!$G$4:$G$300,Trato_Diario!$B$4:$B$300,1,Trato_Diario!$A$4:$A$300,$A58))</f>
        <v/>
      </c>
      <c r="C58" s="28" t="str">
        <f>IF(OR($A58&gt;MAX(Trato_Diario!$A$4:$A$300),SUMIFS(Trato_Diario!$G$4:$G$300,Trato_Diario!$B$4:$B$300,2,Trato_Diario!$A$4:$A$300,$A58)=0),"",SUMIFS(Trato_Diario!$J$4:$J$300,Trato_Diario!$B$4:$B$300,2,Trato_Diario!$A$4:$A$300,$A58)/SUMIFS(Trato_Diario!$G$4:$G$300,Trato_Diario!$B$4:$B$300,2,Trato_Diario!$A$4:$A$300,$A58))</f>
        <v/>
      </c>
      <c r="D58" s="28" t="str">
        <f>IF(OR($A58&gt;MAX(Trato_Diario!$A$4:$A$300),SUMIFS(Trato_Diario!$G$4:$G$300,Trato_Diario!$B$4:$B$300,3,Trato_Diario!$A$4:$A$300,$A58)=0),"",SUMIFS(Trato_Diario!$J$4:$J$300,Trato_Diario!$B$4:$B$300,3,Trato_Diario!$A$4:$A$300,$A58)/SUMIFS(Trato_Diario!$G$4:$G$300,Trato_Diario!$B$4:$B$300,3,Trato_Diario!$A$4:$A$300,$A58))</f>
        <v/>
      </c>
      <c r="E58" s="28" t="str">
        <f>IF(OR($A58&gt;MAX(Trato_Diario!$A$4:$A$300),SUMIFS(Trato_Diario!$G$4:$G$300,Trato_Diario!$B$4:$B$300,4,Trato_Diario!$A$4:$A$300,$A58)=0),"",SUMIFS(Trato_Diario!$J$4:$J$300,Trato_Diario!$B$4:$B$300,4,Trato_Diario!$A$4:$A$300,$A58)/SUMIFS(Trato_Diario!$G$4:$G$300,Trato_Diario!$B$4:$B$300,4,Trato_Diario!$A$4:$A$300,$A58))</f>
        <v/>
      </c>
      <c r="F58" s="28" t="str">
        <f>IF(OR($A58&gt;MAX(Trato_Diario!$A$4:$A$300),SUMIFS(Trato_Diario!$G$4:$G$300,Trato_Diario!$B$4:$B$300,5,Trato_Diario!$A$4:$A$300,$A58)=0),"",SUMIFS(Trato_Diario!$J$4:$J$300,Trato_Diario!$B$4:$B$300,5,Trato_Diario!$A$4:$A$300,$A58)/SUMIFS(Trato_Diario!$G$4:$G$300,Trato_Diario!$B$4:$B$300,5,Trato_Diario!$A$4:$A$300,$A58))</f>
        <v/>
      </c>
      <c r="G58" s="28" t="str">
        <f>IF(OR($A58&gt;MAX(Trato_Diario!$A$4:$A$300),SUMIFS(Trato_Diario!$G$4:$G$300,Trato_Diario!$B$4:$B$300,6,Trato_Diario!$A$4:$A$300,$A58)=0),"",SUMIFS(Trato_Diario!$J$4:$J$300,Trato_Diario!$B$4:$B$300,6,Trato_Diario!$A$4:$A$300,$A58)/SUMIFS(Trato_Diario!$G$4:$G$300,Trato_Diario!$B$4:$B$300,6,Trato_Diario!$A$4:$A$300,$A58))</f>
        <v/>
      </c>
      <c r="H58" s="28" t="str">
        <f>IF(OR($A58&gt;MAX(Trato_Diario!$A$4:$A$300),SUMIFS(Trato_Diario!$G$4:$G$300,Trato_Diario!$B$4:$B$300,7,Trato_Diario!$A$4:$A$300,$A58)=0),"",SUMIFS(Trato_Diario!$J$4:$J$300,Trato_Diario!$B$4:$B$300,7,Trato_Diario!$A$4:$A$300,$A58)/SUMIFS(Trato_Diario!$G$4:$G$300,Trato_Diario!$B$4:$B$300,7,Trato_Diario!$A$4:$A$300,$A58))</f>
        <v/>
      </c>
      <c r="I58" s="28" t="str">
        <f>IF(OR($A58&gt;MAX(Trato_Diario!$A$4:$A$300),SUMIFS(Trato_Diario!$G$4:$G$300,Trato_Diario!$B$4:$B$300,8,Trato_Diario!$A$4:$A$300,$A58)=0),"",SUMIFS(Trato_Diario!$J$4:$J$300,Trato_Diario!$B$4:$B$300,8,Trato_Diario!$A$4:$A$300,$A58)/SUMIFS(Trato_Diario!$G$4:$G$300,Trato_Diario!$B$4:$B$300,8,Trato_Diario!$A$4:$A$300,$A58))</f>
        <v/>
      </c>
      <c r="J58" s="28" t="str">
        <f>IF(OR($A58&gt;MAX(Trato_Diario!$A$4:$A$300),SUMIFS(Trato_Diario!$G$4:$G$300,Trato_Diario!$B$4:$B$300,9,Trato_Diario!$A$4:$A$300,$A58)=0),"",SUMIFS(Trato_Diario!$J$4:$J$300,Trato_Diario!$B$4:$B$300,9,Trato_Diario!$A$4:$A$300,$A58)/SUMIFS(Trato_Diario!$G$4:$G$300,Trato_Diario!$B$4:$B$300,9,Trato_Diario!$A$4:$A$300,$A58))</f>
        <v/>
      </c>
      <c r="K58" s="28" t="str">
        <f>IF(OR($A58&gt;MAX(Trato_Diario!$A$4:$A$300),SUMIFS(Trato_Diario!$G$4:$G$300,Trato_Diario!$B$4:$B$300,10,Trato_Diario!$A$4:$A$300,$A58)=0),"",SUMIFS(Trato_Diario!$J$4:$J$300,Trato_Diario!$B$4:$B$300,10,Trato_Diario!$A$4:$A$300,$A58)/SUMIFS(Trato_Diario!$G$4:$G$300,Trato_Diario!$B$4:$B$300,10,Trato_Diario!$A$4:$A$300,$A58))</f>
        <v/>
      </c>
      <c r="L58" s="76" t="str">
        <f>IF(OR($A58&gt;MAX(Trato_Diario!$A$4:$A$300),SUMIFS(Trato_Diario!$G$4:$G$300,Trato_Diario!$A$4:$A$300,$A58)=0),"",SUMIFS(Trato_Diario!$J$4:$J$300,Trato_Diario!$A$4:$A$300,$A58)/SUMIFS(Trato_Diario!$G$4:$G$300,Trato_Diario!$A$4:$A$300,$A58))</f>
        <v/>
      </c>
    </row>
    <row r="59" spans="1:12" ht="14.25" customHeight="1" x14ac:dyDescent="0.3">
      <c r="A59" s="85">
        <v>46268</v>
      </c>
      <c r="B59" s="26" t="str">
        <f>IF(OR($A59&gt;MAX(Trato_Diario!$A$4:$A$300),SUMIFS(Trato_Diario!$G$4:$G$300,Trato_Diario!$B$4:$B$300,1,Trato_Diario!$A$4:$A$300,$A59)=0),"",SUMIFS(Trato_Diario!$J$4:$J$300,Trato_Diario!$B$4:$B$300,1,Trato_Diario!$A$4:$A$300,$A59)/SUMIFS(Trato_Diario!$G$4:$G$300,Trato_Diario!$B$4:$B$300,1,Trato_Diario!$A$4:$A$300,$A59))</f>
        <v/>
      </c>
      <c r="C59" s="26" t="str">
        <f>IF(OR($A59&gt;MAX(Trato_Diario!$A$4:$A$300),SUMIFS(Trato_Diario!$G$4:$G$300,Trato_Diario!$B$4:$B$300,2,Trato_Diario!$A$4:$A$300,$A59)=0),"",SUMIFS(Trato_Diario!$J$4:$J$300,Trato_Diario!$B$4:$B$300,2,Trato_Diario!$A$4:$A$300,$A59)/SUMIFS(Trato_Diario!$G$4:$G$300,Trato_Diario!$B$4:$B$300,2,Trato_Diario!$A$4:$A$300,$A59))</f>
        <v/>
      </c>
      <c r="D59" s="26" t="str">
        <f>IF(OR($A59&gt;MAX(Trato_Diario!$A$4:$A$300),SUMIFS(Trato_Diario!$G$4:$G$300,Trato_Diario!$B$4:$B$300,3,Trato_Diario!$A$4:$A$300,$A59)=0),"",SUMIFS(Trato_Diario!$J$4:$J$300,Trato_Diario!$B$4:$B$300,3,Trato_Diario!$A$4:$A$300,$A59)/SUMIFS(Trato_Diario!$G$4:$G$300,Trato_Diario!$B$4:$B$300,3,Trato_Diario!$A$4:$A$300,$A59))</f>
        <v/>
      </c>
      <c r="E59" s="26" t="str">
        <f>IF(OR($A59&gt;MAX(Trato_Diario!$A$4:$A$300),SUMIFS(Trato_Diario!$G$4:$G$300,Trato_Diario!$B$4:$B$300,4,Trato_Diario!$A$4:$A$300,$A59)=0),"",SUMIFS(Trato_Diario!$J$4:$J$300,Trato_Diario!$B$4:$B$300,4,Trato_Diario!$A$4:$A$300,$A59)/SUMIFS(Trato_Diario!$G$4:$G$300,Trato_Diario!$B$4:$B$300,4,Trato_Diario!$A$4:$A$300,$A59))</f>
        <v/>
      </c>
      <c r="F59" s="26" t="str">
        <f>IF(OR($A59&gt;MAX(Trato_Diario!$A$4:$A$300),SUMIFS(Trato_Diario!$G$4:$G$300,Trato_Diario!$B$4:$B$300,5,Trato_Diario!$A$4:$A$300,$A59)=0),"",SUMIFS(Trato_Diario!$J$4:$J$300,Trato_Diario!$B$4:$B$300,5,Trato_Diario!$A$4:$A$300,$A59)/SUMIFS(Trato_Diario!$G$4:$G$300,Trato_Diario!$B$4:$B$300,5,Trato_Diario!$A$4:$A$300,$A59))</f>
        <v/>
      </c>
      <c r="G59" s="26" t="str">
        <f>IF(OR($A59&gt;MAX(Trato_Diario!$A$4:$A$300),SUMIFS(Trato_Diario!$G$4:$G$300,Trato_Diario!$B$4:$B$300,6,Trato_Diario!$A$4:$A$300,$A59)=0),"",SUMIFS(Trato_Diario!$J$4:$J$300,Trato_Diario!$B$4:$B$300,6,Trato_Diario!$A$4:$A$300,$A59)/SUMIFS(Trato_Diario!$G$4:$G$300,Trato_Diario!$B$4:$B$300,6,Trato_Diario!$A$4:$A$300,$A59))</f>
        <v/>
      </c>
      <c r="H59" s="26" t="str">
        <f>IF(OR($A59&gt;MAX(Trato_Diario!$A$4:$A$300),SUMIFS(Trato_Diario!$G$4:$G$300,Trato_Diario!$B$4:$B$300,7,Trato_Diario!$A$4:$A$300,$A59)=0),"",SUMIFS(Trato_Diario!$J$4:$J$300,Trato_Diario!$B$4:$B$300,7,Trato_Diario!$A$4:$A$300,$A59)/SUMIFS(Trato_Diario!$G$4:$G$300,Trato_Diario!$B$4:$B$300,7,Trato_Diario!$A$4:$A$300,$A59))</f>
        <v/>
      </c>
      <c r="I59" s="26" t="str">
        <f>IF(OR($A59&gt;MAX(Trato_Diario!$A$4:$A$300),SUMIFS(Trato_Diario!$G$4:$G$300,Trato_Diario!$B$4:$B$300,8,Trato_Diario!$A$4:$A$300,$A59)=0),"",SUMIFS(Trato_Diario!$J$4:$J$300,Trato_Diario!$B$4:$B$300,8,Trato_Diario!$A$4:$A$300,$A59)/SUMIFS(Trato_Diario!$G$4:$G$300,Trato_Diario!$B$4:$B$300,8,Trato_Diario!$A$4:$A$300,$A59))</f>
        <v/>
      </c>
      <c r="J59" s="26" t="str">
        <f>IF(OR($A59&gt;MAX(Trato_Diario!$A$4:$A$300),SUMIFS(Trato_Diario!$G$4:$G$300,Trato_Diario!$B$4:$B$300,9,Trato_Diario!$A$4:$A$300,$A59)=0),"",SUMIFS(Trato_Diario!$J$4:$J$300,Trato_Diario!$B$4:$B$300,9,Trato_Diario!$A$4:$A$300,$A59)/SUMIFS(Trato_Diario!$G$4:$G$300,Trato_Diario!$B$4:$B$300,9,Trato_Diario!$A$4:$A$300,$A59))</f>
        <v/>
      </c>
      <c r="K59" s="26" t="str">
        <f>IF(OR($A59&gt;MAX(Trato_Diario!$A$4:$A$300),SUMIFS(Trato_Diario!$G$4:$G$300,Trato_Diario!$B$4:$B$300,10,Trato_Diario!$A$4:$A$300,$A59)=0),"",SUMIFS(Trato_Diario!$J$4:$J$300,Trato_Diario!$B$4:$B$300,10,Trato_Diario!$A$4:$A$300,$A59)/SUMIFS(Trato_Diario!$G$4:$G$300,Trato_Diario!$B$4:$B$300,10,Trato_Diario!$A$4:$A$300,$A59))</f>
        <v/>
      </c>
      <c r="L59" s="74" t="str">
        <f>IF(OR($A59&gt;MAX(Trato_Diario!$A$4:$A$300),SUMIFS(Trato_Diario!$G$4:$G$300,Trato_Diario!$A$4:$A$300,$A59)=0),"",SUMIFS(Trato_Diario!$J$4:$J$300,Trato_Diario!$A$4:$A$300,$A59)/SUMIFS(Trato_Diario!$G$4:$G$300,Trato_Diario!$A$4:$A$300,$A59))</f>
        <v/>
      </c>
    </row>
    <row r="60" spans="1:12" ht="14.25" customHeight="1" x14ac:dyDescent="0.3">
      <c r="A60" s="86">
        <v>46269</v>
      </c>
      <c r="B60" s="28" t="str">
        <f>IF(OR($A60&gt;MAX(Trato_Diario!$A$4:$A$300),SUMIFS(Trato_Diario!$G$4:$G$300,Trato_Diario!$B$4:$B$300,1,Trato_Diario!$A$4:$A$300,$A60)=0),"",SUMIFS(Trato_Diario!$J$4:$J$300,Trato_Diario!$B$4:$B$300,1,Trato_Diario!$A$4:$A$300,$A60)/SUMIFS(Trato_Diario!$G$4:$G$300,Trato_Diario!$B$4:$B$300,1,Trato_Diario!$A$4:$A$300,$A60))</f>
        <v/>
      </c>
      <c r="C60" s="28" t="str">
        <f>IF(OR($A60&gt;MAX(Trato_Diario!$A$4:$A$300),SUMIFS(Trato_Diario!$G$4:$G$300,Trato_Diario!$B$4:$B$300,2,Trato_Diario!$A$4:$A$300,$A60)=0),"",SUMIFS(Trato_Diario!$J$4:$J$300,Trato_Diario!$B$4:$B$300,2,Trato_Diario!$A$4:$A$300,$A60)/SUMIFS(Trato_Diario!$G$4:$G$300,Trato_Diario!$B$4:$B$300,2,Trato_Diario!$A$4:$A$300,$A60))</f>
        <v/>
      </c>
      <c r="D60" s="28" t="str">
        <f>IF(OR($A60&gt;MAX(Trato_Diario!$A$4:$A$300),SUMIFS(Trato_Diario!$G$4:$G$300,Trato_Diario!$B$4:$B$300,3,Trato_Diario!$A$4:$A$300,$A60)=0),"",SUMIFS(Trato_Diario!$J$4:$J$300,Trato_Diario!$B$4:$B$300,3,Trato_Diario!$A$4:$A$300,$A60)/SUMIFS(Trato_Diario!$G$4:$G$300,Trato_Diario!$B$4:$B$300,3,Trato_Diario!$A$4:$A$300,$A60))</f>
        <v/>
      </c>
      <c r="E60" s="28" t="str">
        <f>IF(OR($A60&gt;MAX(Trato_Diario!$A$4:$A$300),SUMIFS(Trato_Diario!$G$4:$G$300,Trato_Diario!$B$4:$B$300,4,Trato_Diario!$A$4:$A$300,$A60)=0),"",SUMIFS(Trato_Diario!$J$4:$J$300,Trato_Diario!$B$4:$B$300,4,Trato_Diario!$A$4:$A$300,$A60)/SUMIFS(Trato_Diario!$G$4:$G$300,Trato_Diario!$B$4:$B$300,4,Trato_Diario!$A$4:$A$300,$A60))</f>
        <v/>
      </c>
      <c r="F60" s="28" t="str">
        <f>IF(OR($A60&gt;MAX(Trato_Diario!$A$4:$A$300),SUMIFS(Trato_Diario!$G$4:$G$300,Trato_Diario!$B$4:$B$300,5,Trato_Diario!$A$4:$A$300,$A60)=0),"",SUMIFS(Trato_Diario!$J$4:$J$300,Trato_Diario!$B$4:$B$300,5,Trato_Diario!$A$4:$A$300,$A60)/SUMIFS(Trato_Diario!$G$4:$G$300,Trato_Diario!$B$4:$B$300,5,Trato_Diario!$A$4:$A$300,$A60))</f>
        <v/>
      </c>
      <c r="G60" s="28" t="str">
        <f>IF(OR($A60&gt;MAX(Trato_Diario!$A$4:$A$300),SUMIFS(Trato_Diario!$G$4:$G$300,Trato_Diario!$B$4:$B$300,6,Trato_Diario!$A$4:$A$300,$A60)=0),"",SUMIFS(Trato_Diario!$J$4:$J$300,Trato_Diario!$B$4:$B$300,6,Trato_Diario!$A$4:$A$300,$A60)/SUMIFS(Trato_Diario!$G$4:$G$300,Trato_Diario!$B$4:$B$300,6,Trato_Diario!$A$4:$A$300,$A60))</f>
        <v/>
      </c>
      <c r="H60" s="28" t="str">
        <f>IF(OR($A60&gt;MAX(Trato_Diario!$A$4:$A$300),SUMIFS(Trato_Diario!$G$4:$G$300,Trato_Diario!$B$4:$B$300,7,Trato_Diario!$A$4:$A$300,$A60)=0),"",SUMIFS(Trato_Diario!$J$4:$J$300,Trato_Diario!$B$4:$B$300,7,Trato_Diario!$A$4:$A$300,$A60)/SUMIFS(Trato_Diario!$G$4:$G$300,Trato_Diario!$B$4:$B$300,7,Trato_Diario!$A$4:$A$300,$A60))</f>
        <v/>
      </c>
      <c r="I60" s="28" t="str">
        <f>IF(OR($A60&gt;MAX(Trato_Diario!$A$4:$A$300),SUMIFS(Trato_Diario!$G$4:$G$300,Trato_Diario!$B$4:$B$300,8,Trato_Diario!$A$4:$A$300,$A60)=0),"",SUMIFS(Trato_Diario!$J$4:$J$300,Trato_Diario!$B$4:$B$300,8,Trato_Diario!$A$4:$A$300,$A60)/SUMIFS(Trato_Diario!$G$4:$G$300,Trato_Diario!$B$4:$B$300,8,Trato_Diario!$A$4:$A$300,$A60))</f>
        <v/>
      </c>
      <c r="J60" s="28" t="str">
        <f>IF(OR($A60&gt;MAX(Trato_Diario!$A$4:$A$300),SUMIFS(Trato_Diario!$G$4:$G$300,Trato_Diario!$B$4:$B$300,9,Trato_Diario!$A$4:$A$300,$A60)=0),"",SUMIFS(Trato_Diario!$J$4:$J$300,Trato_Diario!$B$4:$B$300,9,Trato_Diario!$A$4:$A$300,$A60)/SUMIFS(Trato_Diario!$G$4:$G$300,Trato_Diario!$B$4:$B$300,9,Trato_Diario!$A$4:$A$300,$A60))</f>
        <v/>
      </c>
      <c r="K60" s="28" t="str">
        <f>IF(OR($A60&gt;MAX(Trato_Diario!$A$4:$A$300),SUMIFS(Trato_Diario!$G$4:$G$300,Trato_Diario!$B$4:$B$300,10,Trato_Diario!$A$4:$A$300,$A60)=0),"",SUMIFS(Trato_Diario!$J$4:$J$300,Trato_Diario!$B$4:$B$300,10,Trato_Diario!$A$4:$A$300,$A60)/SUMIFS(Trato_Diario!$G$4:$G$300,Trato_Diario!$B$4:$B$300,10,Trato_Diario!$A$4:$A$300,$A60))</f>
        <v/>
      </c>
      <c r="L60" s="76" t="str">
        <f>IF(OR($A60&gt;MAX(Trato_Diario!$A$4:$A$300),SUMIFS(Trato_Diario!$G$4:$G$300,Trato_Diario!$A$4:$A$300,$A60)=0),"",SUMIFS(Trato_Diario!$J$4:$J$300,Trato_Diario!$A$4:$A$300,$A60)/SUMIFS(Trato_Diario!$G$4:$G$300,Trato_Diario!$A$4:$A$300,$A60))</f>
        <v/>
      </c>
    </row>
    <row r="61" spans="1:12" ht="14.25" customHeight="1" x14ac:dyDescent="0.3">
      <c r="A61" s="85">
        <v>46270</v>
      </c>
      <c r="B61" s="26" t="str">
        <f>IF(OR($A61&gt;MAX(Trato_Diario!$A$4:$A$300),SUMIFS(Trato_Diario!$G$4:$G$300,Trato_Diario!$B$4:$B$300,1,Trato_Diario!$A$4:$A$300,$A61)=0),"",SUMIFS(Trato_Diario!$J$4:$J$300,Trato_Diario!$B$4:$B$300,1,Trato_Diario!$A$4:$A$300,$A61)/SUMIFS(Trato_Diario!$G$4:$G$300,Trato_Diario!$B$4:$B$300,1,Trato_Diario!$A$4:$A$300,$A61))</f>
        <v/>
      </c>
      <c r="C61" s="26" t="str">
        <f>IF(OR($A61&gt;MAX(Trato_Diario!$A$4:$A$300),SUMIFS(Trato_Diario!$G$4:$G$300,Trato_Diario!$B$4:$B$300,2,Trato_Diario!$A$4:$A$300,$A61)=0),"",SUMIFS(Trato_Diario!$J$4:$J$300,Trato_Diario!$B$4:$B$300,2,Trato_Diario!$A$4:$A$300,$A61)/SUMIFS(Trato_Diario!$G$4:$G$300,Trato_Diario!$B$4:$B$300,2,Trato_Diario!$A$4:$A$300,$A61))</f>
        <v/>
      </c>
      <c r="D61" s="26" t="str">
        <f>IF(OR($A61&gt;MAX(Trato_Diario!$A$4:$A$300),SUMIFS(Trato_Diario!$G$4:$G$300,Trato_Diario!$B$4:$B$300,3,Trato_Diario!$A$4:$A$300,$A61)=0),"",SUMIFS(Trato_Diario!$J$4:$J$300,Trato_Diario!$B$4:$B$300,3,Trato_Diario!$A$4:$A$300,$A61)/SUMIFS(Trato_Diario!$G$4:$G$300,Trato_Diario!$B$4:$B$300,3,Trato_Diario!$A$4:$A$300,$A61))</f>
        <v/>
      </c>
      <c r="E61" s="26" t="str">
        <f>IF(OR($A61&gt;MAX(Trato_Diario!$A$4:$A$300),SUMIFS(Trato_Diario!$G$4:$G$300,Trato_Diario!$B$4:$B$300,4,Trato_Diario!$A$4:$A$300,$A61)=0),"",SUMIFS(Trato_Diario!$J$4:$J$300,Trato_Diario!$B$4:$B$300,4,Trato_Diario!$A$4:$A$300,$A61)/SUMIFS(Trato_Diario!$G$4:$G$300,Trato_Diario!$B$4:$B$300,4,Trato_Diario!$A$4:$A$300,$A61))</f>
        <v/>
      </c>
      <c r="F61" s="26" t="str">
        <f>IF(OR($A61&gt;MAX(Trato_Diario!$A$4:$A$300),SUMIFS(Trato_Diario!$G$4:$G$300,Trato_Diario!$B$4:$B$300,5,Trato_Diario!$A$4:$A$300,$A61)=0),"",SUMIFS(Trato_Diario!$J$4:$J$300,Trato_Diario!$B$4:$B$300,5,Trato_Diario!$A$4:$A$300,$A61)/SUMIFS(Trato_Diario!$G$4:$G$300,Trato_Diario!$B$4:$B$300,5,Trato_Diario!$A$4:$A$300,$A61))</f>
        <v/>
      </c>
      <c r="G61" s="26" t="str">
        <f>IF(OR($A61&gt;MAX(Trato_Diario!$A$4:$A$300),SUMIFS(Trato_Diario!$G$4:$G$300,Trato_Diario!$B$4:$B$300,6,Trato_Diario!$A$4:$A$300,$A61)=0),"",SUMIFS(Trato_Diario!$J$4:$J$300,Trato_Diario!$B$4:$B$300,6,Trato_Diario!$A$4:$A$300,$A61)/SUMIFS(Trato_Diario!$G$4:$G$300,Trato_Diario!$B$4:$B$300,6,Trato_Diario!$A$4:$A$300,$A61))</f>
        <v/>
      </c>
      <c r="H61" s="26" t="str">
        <f>IF(OR($A61&gt;MAX(Trato_Diario!$A$4:$A$300),SUMIFS(Trato_Diario!$G$4:$G$300,Trato_Diario!$B$4:$B$300,7,Trato_Diario!$A$4:$A$300,$A61)=0),"",SUMIFS(Trato_Diario!$J$4:$J$300,Trato_Diario!$B$4:$B$300,7,Trato_Diario!$A$4:$A$300,$A61)/SUMIFS(Trato_Diario!$G$4:$G$300,Trato_Diario!$B$4:$B$300,7,Trato_Diario!$A$4:$A$300,$A61))</f>
        <v/>
      </c>
      <c r="I61" s="26" t="str">
        <f>IF(OR($A61&gt;MAX(Trato_Diario!$A$4:$A$300),SUMIFS(Trato_Diario!$G$4:$G$300,Trato_Diario!$B$4:$B$300,8,Trato_Diario!$A$4:$A$300,$A61)=0),"",SUMIFS(Trato_Diario!$J$4:$J$300,Trato_Diario!$B$4:$B$300,8,Trato_Diario!$A$4:$A$300,$A61)/SUMIFS(Trato_Diario!$G$4:$G$300,Trato_Diario!$B$4:$B$300,8,Trato_Diario!$A$4:$A$300,$A61))</f>
        <v/>
      </c>
      <c r="J61" s="26" t="str">
        <f>IF(OR($A61&gt;MAX(Trato_Diario!$A$4:$A$300),SUMIFS(Trato_Diario!$G$4:$G$300,Trato_Diario!$B$4:$B$300,9,Trato_Diario!$A$4:$A$300,$A61)=0),"",SUMIFS(Trato_Diario!$J$4:$J$300,Trato_Diario!$B$4:$B$300,9,Trato_Diario!$A$4:$A$300,$A61)/SUMIFS(Trato_Diario!$G$4:$G$300,Trato_Diario!$B$4:$B$300,9,Trato_Diario!$A$4:$A$300,$A61))</f>
        <v/>
      </c>
      <c r="K61" s="26" t="str">
        <f>IF(OR($A61&gt;MAX(Trato_Diario!$A$4:$A$300),SUMIFS(Trato_Diario!$G$4:$G$300,Trato_Diario!$B$4:$B$300,10,Trato_Diario!$A$4:$A$300,$A61)=0),"",SUMIFS(Trato_Diario!$J$4:$J$300,Trato_Diario!$B$4:$B$300,10,Trato_Diario!$A$4:$A$300,$A61)/SUMIFS(Trato_Diario!$G$4:$G$300,Trato_Diario!$B$4:$B$300,10,Trato_Diario!$A$4:$A$300,$A61))</f>
        <v/>
      </c>
      <c r="L61" s="74" t="str">
        <f>IF(OR($A61&gt;MAX(Trato_Diario!$A$4:$A$300),SUMIFS(Trato_Diario!$G$4:$G$300,Trato_Diario!$A$4:$A$300,$A61)=0),"",SUMIFS(Trato_Diario!$J$4:$J$300,Trato_Diario!$A$4:$A$300,$A61)/SUMIFS(Trato_Diario!$G$4:$G$300,Trato_Diario!$A$4:$A$300,$A61))</f>
        <v/>
      </c>
    </row>
    <row r="62" spans="1:12" ht="14.25" customHeight="1" x14ac:dyDescent="0.3">
      <c r="A62" s="86">
        <v>46271</v>
      </c>
      <c r="B62" s="28" t="str">
        <f>IF(OR($A62&gt;MAX(Trato_Diario!$A$4:$A$300),SUMIFS(Trato_Diario!$G$4:$G$300,Trato_Diario!$B$4:$B$300,1,Trato_Diario!$A$4:$A$300,$A62)=0),"",SUMIFS(Trato_Diario!$J$4:$J$300,Trato_Diario!$B$4:$B$300,1,Trato_Diario!$A$4:$A$300,$A62)/SUMIFS(Trato_Diario!$G$4:$G$300,Trato_Diario!$B$4:$B$300,1,Trato_Diario!$A$4:$A$300,$A62))</f>
        <v/>
      </c>
      <c r="C62" s="28" t="str">
        <f>IF(OR($A62&gt;MAX(Trato_Diario!$A$4:$A$300),SUMIFS(Trato_Diario!$G$4:$G$300,Trato_Diario!$B$4:$B$300,2,Trato_Diario!$A$4:$A$300,$A62)=0),"",SUMIFS(Trato_Diario!$J$4:$J$300,Trato_Diario!$B$4:$B$300,2,Trato_Diario!$A$4:$A$300,$A62)/SUMIFS(Trato_Diario!$G$4:$G$300,Trato_Diario!$B$4:$B$300,2,Trato_Diario!$A$4:$A$300,$A62))</f>
        <v/>
      </c>
      <c r="D62" s="28" t="str">
        <f>IF(OR($A62&gt;MAX(Trato_Diario!$A$4:$A$300),SUMIFS(Trato_Diario!$G$4:$G$300,Trato_Diario!$B$4:$B$300,3,Trato_Diario!$A$4:$A$300,$A62)=0),"",SUMIFS(Trato_Diario!$J$4:$J$300,Trato_Diario!$B$4:$B$300,3,Trato_Diario!$A$4:$A$300,$A62)/SUMIFS(Trato_Diario!$G$4:$G$300,Trato_Diario!$B$4:$B$300,3,Trato_Diario!$A$4:$A$300,$A62))</f>
        <v/>
      </c>
      <c r="E62" s="28" t="str">
        <f>IF(OR($A62&gt;MAX(Trato_Diario!$A$4:$A$300),SUMIFS(Trato_Diario!$G$4:$G$300,Trato_Diario!$B$4:$B$300,4,Trato_Diario!$A$4:$A$300,$A62)=0),"",SUMIFS(Trato_Diario!$J$4:$J$300,Trato_Diario!$B$4:$B$300,4,Trato_Diario!$A$4:$A$300,$A62)/SUMIFS(Trato_Diario!$G$4:$G$300,Trato_Diario!$B$4:$B$300,4,Trato_Diario!$A$4:$A$300,$A62))</f>
        <v/>
      </c>
      <c r="F62" s="28" t="str">
        <f>IF(OR($A62&gt;MAX(Trato_Diario!$A$4:$A$300),SUMIFS(Trato_Diario!$G$4:$G$300,Trato_Diario!$B$4:$B$300,5,Trato_Diario!$A$4:$A$300,$A62)=0),"",SUMIFS(Trato_Diario!$J$4:$J$300,Trato_Diario!$B$4:$B$300,5,Trato_Diario!$A$4:$A$300,$A62)/SUMIFS(Trato_Diario!$G$4:$G$300,Trato_Diario!$B$4:$B$300,5,Trato_Diario!$A$4:$A$300,$A62))</f>
        <v/>
      </c>
      <c r="G62" s="28" t="str">
        <f>IF(OR($A62&gt;MAX(Trato_Diario!$A$4:$A$300),SUMIFS(Trato_Diario!$G$4:$G$300,Trato_Diario!$B$4:$B$300,6,Trato_Diario!$A$4:$A$300,$A62)=0),"",SUMIFS(Trato_Diario!$J$4:$J$300,Trato_Diario!$B$4:$B$300,6,Trato_Diario!$A$4:$A$300,$A62)/SUMIFS(Trato_Diario!$G$4:$G$300,Trato_Diario!$B$4:$B$300,6,Trato_Diario!$A$4:$A$300,$A62))</f>
        <v/>
      </c>
      <c r="H62" s="28" t="str">
        <f>IF(OR($A62&gt;MAX(Trato_Diario!$A$4:$A$300),SUMIFS(Trato_Diario!$G$4:$G$300,Trato_Diario!$B$4:$B$300,7,Trato_Diario!$A$4:$A$300,$A62)=0),"",SUMIFS(Trato_Diario!$J$4:$J$300,Trato_Diario!$B$4:$B$300,7,Trato_Diario!$A$4:$A$300,$A62)/SUMIFS(Trato_Diario!$G$4:$G$300,Trato_Diario!$B$4:$B$300,7,Trato_Diario!$A$4:$A$300,$A62))</f>
        <v/>
      </c>
      <c r="I62" s="28" t="str">
        <f>IF(OR($A62&gt;MAX(Trato_Diario!$A$4:$A$300),SUMIFS(Trato_Diario!$G$4:$G$300,Trato_Diario!$B$4:$B$300,8,Trato_Diario!$A$4:$A$300,$A62)=0),"",SUMIFS(Trato_Diario!$J$4:$J$300,Trato_Diario!$B$4:$B$300,8,Trato_Diario!$A$4:$A$300,$A62)/SUMIFS(Trato_Diario!$G$4:$G$300,Trato_Diario!$B$4:$B$300,8,Trato_Diario!$A$4:$A$300,$A62))</f>
        <v/>
      </c>
      <c r="J62" s="28" t="str">
        <f>IF(OR($A62&gt;MAX(Trato_Diario!$A$4:$A$300),SUMIFS(Trato_Diario!$G$4:$G$300,Trato_Diario!$B$4:$B$300,9,Trato_Diario!$A$4:$A$300,$A62)=0),"",SUMIFS(Trato_Diario!$J$4:$J$300,Trato_Diario!$B$4:$B$300,9,Trato_Diario!$A$4:$A$300,$A62)/SUMIFS(Trato_Diario!$G$4:$G$300,Trato_Diario!$B$4:$B$300,9,Trato_Diario!$A$4:$A$300,$A62))</f>
        <v/>
      </c>
      <c r="K62" s="28" t="str">
        <f>IF(OR($A62&gt;MAX(Trato_Diario!$A$4:$A$300),SUMIFS(Trato_Diario!$G$4:$G$300,Trato_Diario!$B$4:$B$300,10,Trato_Diario!$A$4:$A$300,$A62)=0),"",SUMIFS(Trato_Diario!$J$4:$J$300,Trato_Diario!$B$4:$B$300,10,Trato_Diario!$A$4:$A$300,$A62)/SUMIFS(Trato_Diario!$G$4:$G$300,Trato_Diario!$B$4:$B$300,10,Trato_Diario!$A$4:$A$300,$A62))</f>
        <v/>
      </c>
      <c r="L62" s="76" t="str">
        <f>IF(OR($A62&gt;MAX(Trato_Diario!$A$4:$A$300),SUMIFS(Trato_Diario!$G$4:$G$300,Trato_Diario!$A$4:$A$300,$A62)=0),"",SUMIFS(Trato_Diario!$J$4:$J$300,Trato_Diario!$A$4:$A$300,$A62)/SUMIFS(Trato_Diario!$G$4:$G$300,Trato_Diario!$A$4:$A$300,$A62))</f>
        <v/>
      </c>
    </row>
    <row r="63" spans="1:12" ht="14.25" customHeight="1" x14ac:dyDescent="0.3">
      <c r="A63" s="85">
        <v>46272</v>
      </c>
      <c r="B63" s="26" t="str">
        <f>IF(OR($A63&gt;MAX(Trato_Diario!$A$4:$A$300),SUMIFS(Trato_Diario!$G$4:$G$300,Trato_Diario!$B$4:$B$300,1,Trato_Diario!$A$4:$A$300,$A63)=0),"",SUMIFS(Trato_Diario!$J$4:$J$300,Trato_Diario!$B$4:$B$300,1,Trato_Diario!$A$4:$A$300,$A63)/SUMIFS(Trato_Diario!$G$4:$G$300,Trato_Diario!$B$4:$B$300,1,Trato_Diario!$A$4:$A$300,$A63))</f>
        <v/>
      </c>
      <c r="C63" s="26" t="str">
        <f>IF(OR($A63&gt;MAX(Trato_Diario!$A$4:$A$300),SUMIFS(Trato_Diario!$G$4:$G$300,Trato_Diario!$B$4:$B$300,2,Trato_Diario!$A$4:$A$300,$A63)=0),"",SUMIFS(Trato_Diario!$J$4:$J$300,Trato_Diario!$B$4:$B$300,2,Trato_Diario!$A$4:$A$300,$A63)/SUMIFS(Trato_Diario!$G$4:$G$300,Trato_Diario!$B$4:$B$300,2,Trato_Diario!$A$4:$A$300,$A63))</f>
        <v/>
      </c>
      <c r="D63" s="26" t="str">
        <f>IF(OR($A63&gt;MAX(Trato_Diario!$A$4:$A$300),SUMIFS(Trato_Diario!$G$4:$G$300,Trato_Diario!$B$4:$B$300,3,Trato_Diario!$A$4:$A$300,$A63)=0),"",SUMIFS(Trato_Diario!$J$4:$J$300,Trato_Diario!$B$4:$B$300,3,Trato_Diario!$A$4:$A$300,$A63)/SUMIFS(Trato_Diario!$G$4:$G$300,Trato_Diario!$B$4:$B$300,3,Trato_Diario!$A$4:$A$300,$A63))</f>
        <v/>
      </c>
      <c r="E63" s="26" t="str">
        <f>IF(OR($A63&gt;MAX(Trato_Diario!$A$4:$A$300),SUMIFS(Trato_Diario!$G$4:$G$300,Trato_Diario!$B$4:$B$300,4,Trato_Diario!$A$4:$A$300,$A63)=0),"",SUMIFS(Trato_Diario!$J$4:$J$300,Trato_Diario!$B$4:$B$300,4,Trato_Diario!$A$4:$A$300,$A63)/SUMIFS(Trato_Diario!$G$4:$G$300,Trato_Diario!$B$4:$B$300,4,Trato_Diario!$A$4:$A$300,$A63))</f>
        <v/>
      </c>
      <c r="F63" s="26" t="str">
        <f>IF(OR($A63&gt;MAX(Trato_Diario!$A$4:$A$300),SUMIFS(Trato_Diario!$G$4:$G$300,Trato_Diario!$B$4:$B$300,5,Trato_Diario!$A$4:$A$300,$A63)=0),"",SUMIFS(Trato_Diario!$J$4:$J$300,Trato_Diario!$B$4:$B$300,5,Trato_Diario!$A$4:$A$300,$A63)/SUMIFS(Trato_Diario!$G$4:$G$300,Trato_Diario!$B$4:$B$300,5,Trato_Diario!$A$4:$A$300,$A63))</f>
        <v/>
      </c>
      <c r="G63" s="26" t="str">
        <f>IF(OR($A63&gt;MAX(Trato_Diario!$A$4:$A$300),SUMIFS(Trato_Diario!$G$4:$G$300,Trato_Diario!$B$4:$B$300,6,Trato_Diario!$A$4:$A$300,$A63)=0),"",SUMIFS(Trato_Diario!$J$4:$J$300,Trato_Diario!$B$4:$B$300,6,Trato_Diario!$A$4:$A$300,$A63)/SUMIFS(Trato_Diario!$G$4:$G$300,Trato_Diario!$B$4:$B$300,6,Trato_Diario!$A$4:$A$300,$A63))</f>
        <v/>
      </c>
      <c r="H63" s="26" t="str">
        <f>IF(OR($A63&gt;MAX(Trato_Diario!$A$4:$A$300),SUMIFS(Trato_Diario!$G$4:$G$300,Trato_Diario!$B$4:$B$300,7,Trato_Diario!$A$4:$A$300,$A63)=0),"",SUMIFS(Trato_Diario!$J$4:$J$300,Trato_Diario!$B$4:$B$300,7,Trato_Diario!$A$4:$A$300,$A63)/SUMIFS(Trato_Diario!$G$4:$G$300,Trato_Diario!$B$4:$B$300,7,Trato_Diario!$A$4:$A$300,$A63))</f>
        <v/>
      </c>
      <c r="I63" s="26" t="str">
        <f>IF(OR($A63&gt;MAX(Trato_Diario!$A$4:$A$300),SUMIFS(Trato_Diario!$G$4:$G$300,Trato_Diario!$B$4:$B$300,8,Trato_Diario!$A$4:$A$300,$A63)=0),"",SUMIFS(Trato_Diario!$J$4:$J$300,Trato_Diario!$B$4:$B$300,8,Trato_Diario!$A$4:$A$300,$A63)/SUMIFS(Trato_Diario!$G$4:$G$300,Trato_Diario!$B$4:$B$300,8,Trato_Diario!$A$4:$A$300,$A63))</f>
        <v/>
      </c>
      <c r="J63" s="26" t="str">
        <f>IF(OR($A63&gt;MAX(Trato_Diario!$A$4:$A$300),SUMIFS(Trato_Diario!$G$4:$G$300,Trato_Diario!$B$4:$B$300,9,Trato_Diario!$A$4:$A$300,$A63)=0),"",SUMIFS(Trato_Diario!$J$4:$J$300,Trato_Diario!$B$4:$B$300,9,Trato_Diario!$A$4:$A$300,$A63)/SUMIFS(Trato_Diario!$G$4:$G$300,Trato_Diario!$B$4:$B$300,9,Trato_Diario!$A$4:$A$300,$A63))</f>
        <v/>
      </c>
      <c r="K63" s="26" t="str">
        <f>IF(OR($A63&gt;MAX(Trato_Diario!$A$4:$A$300),SUMIFS(Trato_Diario!$G$4:$G$300,Trato_Diario!$B$4:$B$300,10,Trato_Diario!$A$4:$A$300,$A63)=0),"",SUMIFS(Trato_Diario!$J$4:$J$300,Trato_Diario!$B$4:$B$300,10,Trato_Diario!$A$4:$A$300,$A63)/SUMIFS(Trato_Diario!$G$4:$G$300,Trato_Diario!$B$4:$B$300,10,Trato_Diario!$A$4:$A$300,$A63))</f>
        <v/>
      </c>
      <c r="L63" s="74" t="str">
        <f>IF(OR($A63&gt;MAX(Trato_Diario!$A$4:$A$300),SUMIFS(Trato_Diario!$G$4:$G$300,Trato_Diario!$A$4:$A$300,$A63)=0),"",SUMIFS(Trato_Diario!$J$4:$J$300,Trato_Diario!$A$4:$A$300,$A63)/SUMIFS(Trato_Diario!$G$4:$G$300,Trato_Diario!$A$4:$A$300,$A63))</f>
        <v/>
      </c>
    </row>
    <row r="64" spans="1:12" ht="14.25" customHeight="1" x14ac:dyDescent="0.3">
      <c r="A64" s="86">
        <v>46273</v>
      </c>
      <c r="B64" s="28" t="str">
        <f>IF(OR($A64&gt;MAX(Trato_Diario!$A$4:$A$300),SUMIFS(Trato_Diario!$G$4:$G$300,Trato_Diario!$B$4:$B$300,1,Trato_Diario!$A$4:$A$300,$A64)=0),"",SUMIFS(Trato_Diario!$J$4:$J$300,Trato_Diario!$B$4:$B$300,1,Trato_Diario!$A$4:$A$300,$A64)/SUMIFS(Trato_Diario!$G$4:$G$300,Trato_Diario!$B$4:$B$300,1,Trato_Diario!$A$4:$A$300,$A64))</f>
        <v/>
      </c>
      <c r="C64" s="28" t="str">
        <f>IF(OR($A64&gt;MAX(Trato_Diario!$A$4:$A$300),SUMIFS(Trato_Diario!$G$4:$G$300,Trato_Diario!$B$4:$B$300,2,Trato_Diario!$A$4:$A$300,$A64)=0),"",SUMIFS(Trato_Diario!$J$4:$J$300,Trato_Diario!$B$4:$B$300,2,Trato_Diario!$A$4:$A$300,$A64)/SUMIFS(Trato_Diario!$G$4:$G$300,Trato_Diario!$B$4:$B$300,2,Trato_Diario!$A$4:$A$300,$A64))</f>
        <v/>
      </c>
      <c r="D64" s="28" t="str">
        <f>IF(OR($A64&gt;MAX(Trato_Diario!$A$4:$A$300),SUMIFS(Trato_Diario!$G$4:$G$300,Trato_Diario!$B$4:$B$300,3,Trato_Diario!$A$4:$A$300,$A64)=0),"",SUMIFS(Trato_Diario!$J$4:$J$300,Trato_Diario!$B$4:$B$300,3,Trato_Diario!$A$4:$A$300,$A64)/SUMIFS(Trato_Diario!$G$4:$G$300,Trato_Diario!$B$4:$B$300,3,Trato_Diario!$A$4:$A$300,$A64))</f>
        <v/>
      </c>
      <c r="E64" s="28" t="str">
        <f>IF(OR($A64&gt;MAX(Trato_Diario!$A$4:$A$300),SUMIFS(Trato_Diario!$G$4:$G$300,Trato_Diario!$B$4:$B$300,4,Trato_Diario!$A$4:$A$300,$A64)=0),"",SUMIFS(Trato_Diario!$J$4:$J$300,Trato_Diario!$B$4:$B$300,4,Trato_Diario!$A$4:$A$300,$A64)/SUMIFS(Trato_Diario!$G$4:$G$300,Trato_Diario!$B$4:$B$300,4,Trato_Diario!$A$4:$A$300,$A64))</f>
        <v/>
      </c>
      <c r="F64" s="28" t="str">
        <f>IF(OR($A64&gt;MAX(Trato_Diario!$A$4:$A$300),SUMIFS(Trato_Diario!$G$4:$G$300,Trato_Diario!$B$4:$B$300,5,Trato_Diario!$A$4:$A$300,$A64)=0),"",SUMIFS(Trato_Diario!$J$4:$J$300,Trato_Diario!$B$4:$B$300,5,Trato_Diario!$A$4:$A$300,$A64)/SUMIFS(Trato_Diario!$G$4:$G$300,Trato_Diario!$B$4:$B$300,5,Trato_Diario!$A$4:$A$300,$A64))</f>
        <v/>
      </c>
      <c r="G64" s="28" t="str">
        <f>IF(OR($A64&gt;MAX(Trato_Diario!$A$4:$A$300),SUMIFS(Trato_Diario!$G$4:$G$300,Trato_Diario!$B$4:$B$300,6,Trato_Diario!$A$4:$A$300,$A64)=0),"",SUMIFS(Trato_Diario!$J$4:$J$300,Trato_Diario!$B$4:$B$300,6,Trato_Diario!$A$4:$A$300,$A64)/SUMIFS(Trato_Diario!$G$4:$G$300,Trato_Diario!$B$4:$B$300,6,Trato_Diario!$A$4:$A$300,$A64))</f>
        <v/>
      </c>
      <c r="H64" s="28" t="str">
        <f>IF(OR($A64&gt;MAX(Trato_Diario!$A$4:$A$300),SUMIFS(Trato_Diario!$G$4:$G$300,Trato_Diario!$B$4:$B$300,7,Trato_Diario!$A$4:$A$300,$A64)=0),"",SUMIFS(Trato_Diario!$J$4:$J$300,Trato_Diario!$B$4:$B$300,7,Trato_Diario!$A$4:$A$300,$A64)/SUMIFS(Trato_Diario!$G$4:$G$300,Trato_Diario!$B$4:$B$300,7,Trato_Diario!$A$4:$A$300,$A64))</f>
        <v/>
      </c>
      <c r="I64" s="28" t="str">
        <f>IF(OR($A64&gt;MAX(Trato_Diario!$A$4:$A$300),SUMIFS(Trato_Diario!$G$4:$G$300,Trato_Diario!$B$4:$B$300,8,Trato_Diario!$A$4:$A$300,$A64)=0),"",SUMIFS(Trato_Diario!$J$4:$J$300,Trato_Diario!$B$4:$B$300,8,Trato_Diario!$A$4:$A$300,$A64)/SUMIFS(Trato_Diario!$G$4:$G$300,Trato_Diario!$B$4:$B$300,8,Trato_Diario!$A$4:$A$300,$A64))</f>
        <v/>
      </c>
      <c r="J64" s="28" t="str">
        <f>IF(OR($A64&gt;MAX(Trato_Diario!$A$4:$A$300),SUMIFS(Trato_Diario!$G$4:$G$300,Trato_Diario!$B$4:$B$300,9,Trato_Diario!$A$4:$A$300,$A64)=0),"",SUMIFS(Trato_Diario!$J$4:$J$300,Trato_Diario!$B$4:$B$300,9,Trato_Diario!$A$4:$A$300,$A64)/SUMIFS(Trato_Diario!$G$4:$G$300,Trato_Diario!$B$4:$B$300,9,Trato_Diario!$A$4:$A$300,$A64))</f>
        <v/>
      </c>
      <c r="K64" s="28" t="str">
        <f>IF(OR($A64&gt;MAX(Trato_Diario!$A$4:$A$300),SUMIFS(Trato_Diario!$G$4:$G$300,Trato_Diario!$B$4:$B$300,10,Trato_Diario!$A$4:$A$300,$A64)=0),"",SUMIFS(Trato_Diario!$J$4:$J$300,Trato_Diario!$B$4:$B$300,10,Trato_Diario!$A$4:$A$300,$A64)/SUMIFS(Trato_Diario!$G$4:$G$300,Trato_Diario!$B$4:$B$300,10,Trato_Diario!$A$4:$A$300,$A64))</f>
        <v/>
      </c>
      <c r="L64" s="76" t="str">
        <f>IF(OR($A64&gt;MAX(Trato_Diario!$A$4:$A$300),SUMIFS(Trato_Diario!$G$4:$G$300,Trato_Diario!$A$4:$A$300,$A64)=0),"",SUMIFS(Trato_Diario!$J$4:$J$300,Trato_Diario!$A$4:$A$300,$A64)/SUMIFS(Trato_Diario!$G$4:$G$300,Trato_Diario!$A$4:$A$300,$A64))</f>
        <v/>
      </c>
    </row>
    <row r="65" spans="1:12" ht="14.25" customHeight="1" x14ac:dyDescent="0.3">
      <c r="A65" s="85">
        <v>46274</v>
      </c>
      <c r="B65" s="26" t="str">
        <f>IF(OR($A65&gt;MAX(Trato_Diario!$A$4:$A$300),SUMIFS(Trato_Diario!$G$4:$G$300,Trato_Diario!$B$4:$B$300,1,Trato_Diario!$A$4:$A$300,$A65)=0),"",SUMIFS(Trato_Diario!$J$4:$J$300,Trato_Diario!$B$4:$B$300,1,Trato_Diario!$A$4:$A$300,$A65)/SUMIFS(Trato_Diario!$G$4:$G$300,Trato_Diario!$B$4:$B$300,1,Trato_Diario!$A$4:$A$300,$A65))</f>
        <v/>
      </c>
      <c r="C65" s="26" t="str">
        <f>IF(OR($A65&gt;MAX(Trato_Diario!$A$4:$A$300),SUMIFS(Trato_Diario!$G$4:$G$300,Trato_Diario!$B$4:$B$300,2,Trato_Diario!$A$4:$A$300,$A65)=0),"",SUMIFS(Trato_Diario!$J$4:$J$300,Trato_Diario!$B$4:$B$300,2,Trato_Diario!$A$4:$A$300,$A65)/SUMIFS(Trato_Diario!$G$4:$G$300,Trato_Diario!$B$4:$B$300,2,Trato_Diario!$A$4:$A$300,$A65))</f>
        <v/>
      </c>
      <c r="D65" s="26" t="str">
        <f>IF(OR($A65&gt;MAX(Trato_Diario!$A$4:$A$300),SUMIFS(Trato_Diario!$G$4:$G$300,Trato_Diario!$B$4:$B$300,3,Trato_Diario!$A$4:$A$300,$A65)=0),"",SUMIFS(Trato_Diario!$J$4:$J$300,Trato_Diario!$B$4:$B$300,3,Trato_Diario!$A$4:$A$300,$A65)/SUMIFS(Trato_Diario!$G$4:$G$300,Trato_Diario!$B$4:$B$300,3,Trato_Diario!$A$4:$A$300,$A65))</f>
        <v/>
      </c>
      <c r="E65" s="26" t="str">
        <f>IF(OR($A65&gt;MAX(Trato_Diario!$A$4:$A$300),SUMIFS(Trato_Diario!$G$4:$G$300,Trato_Diario!$B$4:$B$300,4,Trato_Diario!$A$4:$A$300,$A65)=0),"",SUMIFS(Trato_Diario!$J$4:$J$300,Trato_Diario!$B$4:$B$300,4,Trato_Diario!$A$4:$A$300,$A65)/SUMIFS(Trato_Diario!$G$4:$G$300,Trato_Diario!$B$4:$B$300,4,Trato_Diario!$A$4:$A$300,$A65))</f>
        <v/>
      </c>
      <c r="F65" s="26" t="str">
        <f>IF(OR($A65&gt;MAX(Trato_Diario!$A$4:$A$300),SUMIFS(Trato_Diario!$G$4:$G$300,Trato_Diario!$B$4:$B$300,5,Trato_Diario!$A$4:$A$300,$A65)=0),"",SUMIFS(Trato_Diario!$J$4:$J$300,Trato_Diario!$B$4:$B$300,5,Trato_Diario!$A$4:$A$300,$A65)/SUMIFS(Trato_Diario!$G$4:$G$300,Trato_Diario!$B$4:$B$300,5,Trato_Diario!$A$4:$A$300,$A65))</f>
        <v/>
      </c>
      <c r="G65" s="26" t="str">
        <f>IF(OR($A65&gt;MAX(Trato_Diario!$A$4:$A$300),SUMIFS(Trato_Diario!$G$4:$G$300,Trato_Diario!$B$4:$B$300,6,Trato_Diario!$A$4:$A$300,$A65)=0),"",SUMIFS(Trato_Diario!$J$4:$J$300,Trato_Diario!$B$4:$B$300,6,Trato_Diario!$A$4:$A$300,$A65)/SUMIFS(Trato_Diario!$G$4:$G$300,Trato_Diario!$B$4:$B$300,6,Trato_Diario!$A$4:$A$300,$A65))</f>
        <v/>
      </c>
      <c r="H65" s="26" t="str">
        <f>IF(OR($A65&gt;MAX(Trato_Diario!$A$4:$A$300),SUMIFS(Trato_Diario!$G$4:$G$300,Trato_Diario!$B$4:$B$300,7,Trato_Diario!$A$4:$A$300,$A65)=0),"",SUMIFS(Trato_Diario!$J$4:$J$300,Trato_Diario!$B$4:$B$300,7,Trato_Diario!$A$4:$A$300,$A65)/SUMIFS(Trato_Diario!$G$4:$G$300,Trato_Diario!$B$4:$B$300,7,Trato_Diario!$A$4:$A$300,$A65))</f>
        <v/>
      </c>
      <c r="I65" s="26" t="str">
        <f>IF(OR($A65&gt;MAX(Trato_Diario!$A$4:$A$300),SUMIFS(Trato_Diario!$G$4:$G$300,Trato_Diario!$B$4:$B$300,8,Trato_Diario!$A$4:$A$300,$A65)=0),"",SUMIFS(Trato_Diario!$J$4:$J$300,Trato_Diario!$B$4:$B$300,8,Trato_Diario!$A$4:$A$300,$A65)/SUMIFS(Trato_Diario!$G$4:$G$300,Trato_Diario!$B$4:$B$300,8,Trato_Diario!$A$4:$A$300,$A65))</f>
        <v/>
      </c>
      <c r="J65" s="26" t="str">
        <f>IF(OR($A65&gt;MAX(Trato_Diario!$A$4:$A$300),SUMIFS(Trato_Diario!$G$4:$G$300,Trato_Diario!$B$4:$B$300,9,Trato_Diario!$A$4:$A$300,$A65)=0),"",SUMIFS(Trato_Diario!$J$4:$J$300,Trato_Diario!$B$4:$B$300,9,Trato_Diario!$A$4:$A$300,$A65)/SUMIFS(Trato_Diario!$G$4:$G$300,Trato_Diario!$B$4:$B$300,9,Trato_Diario!$A$4:$A$300,$A65))</f>
        <v/>
      </c>
      <c r="K65" s="26" t="str">
        <f>IF(OR($A65&gt;MAX(Trato_Diario!$A$4:$A$300),SUMIFS(Trato_Diario!$G$4:$G$300,Trato_Diario!$B$4:$B$300,10,Trato_Diario!$A$4:$A$300,$A65)=0),"",SUMIFS(Trato_Diario!$J$4:$J$300,Trato_Diario!$B$4:$B$300,10,Trato_Diario!$A$4:$A$300,$A65)/SUMIFS(Trato_Diario!$G$4:$G$300,Trato_Diario!$B$4:$B$300,10,Trato_Diario!$A$4:$A$300,$A65))</f>
        <v/>
      </c>
      <c r="L65" s="74" t="str">
        <f>IF(OR($A65&gt;MAX(Trato_Diario!$A$4:$A$300),SUMIFS(Trato_Diario!$G$4:$G$300,Trato_Diario!$A$4:$A$300,$A65)=0),"",SUMIFS(Trato_Diario!$J$4:$J$300,Trato_Diario!$A$4:$A$300,$A65)/SUMIFS(Trato_Diario!$G$4:$G$300,Trato_Diario!$A$4:$A$300,$A65))</f>
        <v/>
      </c>
    </row>
    <row r="66" spans="1:12" ht="14.25" customHeight="1" x14ac:dyDescent="0.3">
      <c r="A66" s="86">
        <v>46275</v>
      </c>
      <c r="B66" s="28" t="str">
        <f>IF(OR($A66&gt;MAX(Trato_Diario!$A$4:$A$300),SUMIFS(Trato_Diario!$G$4:$G$300,Trato_Diario!$B$4:$B$300,1,Trato_Diario!$A$4:$A$300,$A66)=0),"",SUMIFS(Trato_Diario!$J$4:$J$300,Trato_Diario!$B$4:$B$300,1,Trato_Diario!$A$4:$A$300,$A66)/SUMIFS(Trato_Diario!$G$4:$G$300,Trato_Diario!$B$4:$B$300,1,Trato_Diario!$A$4:$A$300,$A66))</f>
        <v/>
      </c>
      <c r="C66" s="28" t="str">
        <f>IF(OR($A66&gt;MAX(Trato_Diario!$A$4:$A$300),SUMIFS(Trato_Diario!$G$4:$G$300,Trato_Diario!$B$4:$B$300,2,Trato_Diario!$A$4:$A$300,$A66)=0),"",SUMIFS(Trato_Diario!$J$4:$J$300,Trato_Diario!$B$4:$B$300,2,Trato_Diario!$A$4:$A$300,$A66)/SUMIFS(Trato_Diario!$G$4:$G$300,Trato_Diario!$B$4:$B$300,2,Trato_Diario!$A$4:$A$300,$A66))</f>
        <v/>
      </c>
      <c r="D66" s="28" t="str">
        <f>IF(OR($A66&gt;MAX(Trato_Diario!$A$4:$A$300),SUMIFS(Trato_Diario!$G$4:$G$300,Trato_Diario!$B$4:$B$300,3,Trato_Diario!$A$4:$A$300,$A66)=0),"",SUMIFS(Trato_Diario!$J$4:$J$300,Trato_Diario!$B$4:$B$300,3,Trato_Diario!$A$4:$A$300,$A66)/SUMIFS(Trato_Diario!$G$4:$G$300,Trato_Diario!$B$4:$B$300,3,Trato_Diario!$A$4:$A$300,$A66))</f>
        <v/>
      </c>
      <c r="E66" s="28" t="str">
        <f>IF(OR($A66&gt;MAX(Trato_Diario!$A$4:$A$300),SUMIFS(Trato_Diario!$G$4:$G$300,Trato_Diario!$B$4:$B$300,4,Trato_Diario!$A$4:$A$300,$A66)=0),"",SUMIFS(Trato_Diario!$J$4:$J$300,Trato_Diario!$B$4:$B$300,4,Trato_Diario!$A$4:$A$300,$A66)/SUMIFS(Trato_Diario!$G$4:$G$300,Trato_Diario!$B$4:$B$300,4,Trato_Diario!$A$4:$A$300,$A66))</f>
        <v/>
      </c>
      <c r="F66" s="28" t="str">
        <f>IF(OR($A66&gt;MAX(Trato_Diario!$A$4:$A$300),SUMIFS(Trato_Diario!$G$4:$G$300,Trato_Diario!$B$4:$B$300,5,Trato_Diario!$A$4:$A$300,$A66)=0),"",SUMIFS(Trato_Diario!$J$4:$J$300,Trato_Diario!$B$4:$B$300,5,Trato_Diario!$A$4:$A$300,$A66)/SUMIFS(Trato_Diario!$G$4:$G$300,Trato_Diario!$B$4:$B$300,5,Trato_Diario!$A$4:$A$300,$A66))</f>
        <v/>
      </c>
      <c r="G66" s="28" t="str">
        <f>IF(OR($A66&gt;MAX(Trato_Diario!$A$4:$A$300),SUMIFS(Trato_Diario!$G$4:$G$300,Trato_Diario!$B$4:$B$300,6,Trato_Diario!$A$4:$A$300,$A66)=0),"",SUMIFS(Trato_Diario!$J$4:$J$300,Trato_Diario!$B$4:$B$300,6,Trato_Diario!$A$4:$A$300,$A66)/SUMIFS(Trato_Diario!$G$4:$G$300,Trato_Diario!$B$4:$B$300,6,Trato_Diario!$A$4:$A$300,$A66))</f>
        <v/>
      </c>
      <c r="H66" s="28" t="str">
        <f>IF(OR($A66&gt;MAX(Trato_Diario!$A$4:$A$300),SUMIFS(Trato_Diario!$G$4:$G$300,Trato_Diario!$B$4:$B$300,7,Trato_Diario!$A$4:$A$300,$A66)=0),"",SUMIFS(Trato_Diario!$J$4:$J$300,Trato_Diario!$B$4:$B$300,7,Trato_Diario!$A$4:$A$300,$A66)/SUMIFS(Trato_Diario!$G$4:$G$300,Trato_Diario!$B$4:$B$300,7,Trato_Diario!$A$4:$A$300,$A66))</f>
        <v/>
      </c>
      <c r="I66" s="28" t="str">
        <f>IF(OR($A66&gt;MAX(Trato_Diario!$A$4:$A$300),SUMIFS(Trato_Diario!$G$4:$G$300,Trato_Diario!$B$4:$B$300,8,Trato_Diario!$A$4:$A$300,$A66)=0),"",SUMIFS(Trato_Diario!$J$4:$J$300,Trato_Diario!$B$4:$B$300,8,Trato_Diario!$A$4:$A$300,$A66)/SUMIFS(Trato_Diario!$G$4:$G$300,Trato_Diario!$B$4:$B$300,8,Trato_Diario!$A$4:$A$300,$A66))</f>
        <v/>
      </c>
      <c r="J66" s="28" t="str">
        <f>IF(OR($A66&gt;MAX(Trato_Diario!$A$4:$A$300),SUMIFS(Trato_Diario!$G$4:$G$300,Trato_Diario!$B$4:$B$300,9,Trato_Diario!$A$4:$A$300,$A66)=0),"",SUMIFS(Trato_Diario!$J$4:$J$300,Trato_Diario!$B$4:$B$300,9,Trato_Diario!$A$4:$A$300,$A66)/SUMIFS(Trato_Diario!$G$4:$G$300,Trato_Diario!$B$4:$B$300,9,Trato_Diario!$A$4:$A$300,$A66))</f>
        <v/>
      </c>
      <c r="K66" s="28" t="str">
        <f>IF(OR($A66&gt;MAX(Trato_Diario!$A$4:$A$300),SUMIFS(Trato_Diario!$G$4:$G$300,Trato_Diario!$B$4:$B$300,10,Trato_Diario!$A$4:$A$300,$A66)=0),"",SUMIFS(Trato_Diario!$J$4:$J$300,Trato_Diario!$B$4:$B$300,10,Trato_Diario!$A$4:$A$300,$A66)/SUMIFS(Trato_Diario!$G$4:$G$300,Trato_Diario!$B$4:$B$300,10,Trato_Diario!$A$4:$A$300,$A66))</f>
        <v/>
      </c>
      <c r="L66" s="76" t="str">
        <f>IF(OR($A66&gt;MAX(Trato_Diario!$A$4:$A$300),SUMIFS(Trato_Diario!$G$4:$G$300,Trato_Diario!$A$4:$A$300,$A66)=0),"",SUMIFS(Trato_Diario!$J$4:$J$300,Trato_Diario!$A$4:$A$300,$A66)/SUMIFS(Trato_Diario!$G$4:$G$300,Trato_Diario!$A$4:$A$300,$A66))</f>
        <v/>
      </c>
    </row>
    <row r="67" spans="1:12" ht="14.25" customHeight="1" x14ac:dyDescent="0.3">
      <c r="A67" s="85">
        <v>46276</v>
      </c>
      <c r="B67" s="26" t="str">
        <f>IF(OR($A67&gt;MAX(Trato_Diario!$A$4:$A$300),SUMIFS(Trato_Diario!$G$4:$G$300,Trato_Diario!$B$4:$B$300,1,Trato_Diario!$A$4:$A$300,$A67)=0),"",SUMIFS(Trato_Diario!$J$4:$J$300,Trato_Diario!$B$4:$B$300,1,Trato_Diario!$A$4:$A$300,$A67)/SUMIFS(Trato_Diario!$G$4:$G$300,Trato_Diario!$B$4:$B$300,1,Trato_Diario!$A$4:$A$300,$A67))</f>
        <v/>
      </c>
      <c r="C67" s="26" t="str">
        <f>IF(OR($A67&gt;MAX(Trato_Diario!$A$4:$A$300),SUMIFS(Trato_Diario!$G$4:$G$300,Trato_Diario!$B$4:$B$300,2,Trato_Diario!$A$4:$A$300,$A67)=0),"",SUMIFS(Trato_Diario!$J$4:$J$300,Trato_Diario!$B$4:$B$300,2,Trato_Diario!$A$4:$A$300,$A67)/SUMIFS(Trato_Diario!$G$4:$G$300,Trato_Diario!$B$4:$B$300,2,Trato_Diario!$A$4:$A$300,$A67))</f>
        <v/>
      </c>
      <c r="D67" s="26" t="str">
        <f>IF(OR($A67&gt;MAX(Trato_Diario!$A$4:$A$300),SUMIFS(Trato_Diario!$G$4:$G$300,Trato_Diario!$B$4:$B$300,3,Trato_Diario!$A$4:$A$300,$A67)=0),"",SUMIFS(Trato_Diario!$J$4:$J$300,Trato_Diario!$B$4:$B$300,3,Trato_Diario!$A$4:$A$300,$A67)/SUMIFS(Trato_Diario!$G$4:$G$300,Trato_Diario!$B$4:$B$300,3,Trato_Diario!$A$4:$A$300,$A67))</f>
        <v/>
      </c>
      <c r="E67" s="26" t="str">
        <f>IF(OR($A67&gt;MAX(Trato_Diario!$A$4:$A$300),SUMIFS(Trato_Diario!$G$4:$G$300,Trato_Diario!$B$4:$B$300,4,Trato_Diario!$A$4:$A$300,$A67)=0),"",SUMIFS(Trato_Diario!$J$4:$J$300,Trato_Diario!$B$4:$B$300,4,Trato_Diario!$A$4:$A$300,$A67)/SUMIFS(Trato_Diario!$G$4:$G$300,Trato_Diario!$B$4:$B$300,4,Trato_Diario!$A$4:$A$300,$A67))</f>
        <v/>
      </c>
      <c r="F67" s="26" t="str">
        <f>IF(OR($A67&gt;MAX(Trato_Diario!$A$4:$A$300),SUMIFS(Trato_Diario!$G$4:$G$300,Trato_Diario!$B$4:$B$300,5,Trato_Diario!$A$4:$A$300,$A67)=0),"",SUMIFS(Trato_Diario!$J$4:$J$300,Trato_Diario!$B$4:$B$300,5,Trato_Diario!$A$4:$A$300,$A67)/SUMIFS(Trato_Diario!$G$4:$G$300,Trato_Diario!$B$4:$B$300,5,Trato_Diario!$A$4:$A$300,$A67))</f>
        <v/>
      </c>
      <c r="G67" s="26" t="str">
        <f>IF(OR($A67&gt;MAX(Trato_Diario!$A$4:$A$300),SUMIFS(Trato_Diario!$G$4:$G$300,Trato_Diario!$B$4:$B$300,6,Trato_Diario!$A$4:$A$300,$A67)=0),"",SUMIFS(Trato_Diario!$J$4:$J$300,Trato_Diario!$B$4:$B$300,6,Trato_Diario!$A$4:$A$300,$A67)/SUMIFS(Trato_Diario!$G$4:$G$300,Trato_Diario!$B$4:$B$300,6,Trato_Diario!$A$4:$A$300,$A67))</f>
        <v/>
      </c>
      <c r="H67" s="26" t="str">
        <f>IF(OR($A67&gt;MAX(Trato_Diario!$A$4:$A$300),SUMIFS(Trato_Diario!$G$4:$G$300,Trato_Diario!$B$4:$B$300,7,Trato_Diario!$A$4:$A$300,$A67)=0),"",SUMIFS(Trato_Diario!$J$4:$J$300,Trato_Diario!$B$4:$B$300,7,Trato_Diario!$A$4:$A$300,$A67)/SUMIFS(Trato_Diario!$G$4:$G$300,Trato_Diario!$B$4:$B$300,7,Trato_Diario!$A$4:$A$300,$A67))</f>
        <v/>
      </c>
      <c r="I67" s="26" t="str">
        <f>IF(OR($A67&gt;MAX(Trato_Diario!$A$4:$A$300),SUMIFS(Trato_Diario!$G$4:$G$300,Trato_Diario!$B$4:$B$300,8,Trato_Diario!$A$4:$A$300,$A67)=0),"",SUMIFS(Trato_Diario!$J$4:$J$300,Trato_Diario!$B$4:$B$300,8,Trato_Diario!$A$4:$A$300,$A67)/SUMIFS(Trato_Diario!$G$4:$G$300,Trato_Diario!$B$4:$B$300,8,Trato_Diario!$A$4:$A$300,$A67))</f>
        <v/>
      </c>
      <c r="J67" s="26" t="str">
        <f>IF(OR($A67&gt;MAX(Trato_Diario!$A$4:$A$300),SUMIFS(Trato_Diario!$G$4:$G$300,Trato_Diario!$B$4:$B$300,9,Trato_Diario!$A$4:$A$300,$A67)=0),"",SUMIFS(Trato_Diario!$J$4:$J$300,Trato_Diario!$B$4:$B$300,9,Trato_Diario!$A$4:$A$300,$A67)/SUMIFS(Trato_Diario!$G$4:$G$300,Trato_Diario!$B$4:$B$300,9,Trato_Diario!$A$4:$A$300,$A67))</f>
        <v/>
      </c>
      <c r="K67" s="26" t="str">
        <f>IF(OR($A67&gt;MAX(Trato_Diario!$A$4:$A$300),SUMIFS(Trato_Diario!$G$4:$G$300,Trato_Diario!$B$4:$B$300,10,Trato_Diario!$A$4:$A$300,$A67)=0),"",SUMIFS(Trato_Diario!$J$4:$J$300,Trato_Diario!$B$4:$B$300,10,Trato_Diario!$A$4:$A$300,$A67)/SUMIFS(Trato_Diario!$G$4:$G$300,Trato_Diario!$B$4:$B$300,10,Trato_Diario!$A$4:$A$300,$A67))</f>
        <v/>
      </c>
      <c r="L67" s="74" t="str">
        <f>IF(OR($A67&gt;MAX(Trato_Diario!$A$4:$A$300),SUMIFS(Trato_Diario!$G$4:$G$300,Trato_Diario!$A$4:$A$300,$A67)=0),"",SUMIFS(Trato_Diario!$J$4:$J$300,Trato_Diario!$A$4:$A$300,$A67)/SUMIFS(Trato_Diario!$G$4:$G$300,Trato_Diario!$A$4:$A$300,$A67))</f>
        <v/>
      </c>
    </row>
    <row r="68" spans="1:12" ht="14.25" customHeight="1" x14ac:dyDescent="0.3">
      <c r="A68" s="86">
        <v>46277</v>
      </c>
      <c r="B68" s="28" t="str">
        <f>IF(OR($A68&gt;MAX(Trato_Diario!$A$4:$A$300),SUMIFS(Trato_Diario!$G$4:$G$300,Trato_Diario!$B$4:$B$300,1,Trato_Diario!$A$4:$A$300,$A68)=0),"",SUMIFS(Trato_Diario!$J$4:$J$300,Trato_Diario!$B$4:$B$300,1,Trato_Diario!$A$4:$A$300,$A68)/SUMIFS(Trato_Diario!$G$4:$G$300,Trato_Diario!$B$4:$B$300,1,Trato_Diario!$A$4:$A$300,$A68))</f>
        <v/>
      </c>
      <c r="C68" s="28" t="str">
        <f>IF(OR($A68&gt;MAX(Trato_Diario!$A$4:$A$300),SUMIFS(Trato_Diario!$G$4:$G$300,Trato_Diario!$B$4:$B$300,2,Trato_Diario!$A$4:$A$300,$A68)=0),"",SUMIFS(Trato_Diario!$J$4:$J$300,Trato_Diario!$B$4:$B$300,2,Trato_Diario!$A$4:$A$300,$A68)/SUMIFS(Trato_Diario!$G$4:$G$300,Trato_Diario!$B$4:$B$300,2,Trato_Diario!$A$4:$A$300,$A68))</f>
        <v/>
      </c>
      <c r="D68" s="28" t="str">
        <f>IF(OR($A68&gt;MAX(Trato_Diario!$A$4:$A$300),SUMIFS(Trato_Diario!$G$4:$G$300,Trato_Diario!$B$4:$B$300,3,Trato_Diario!$A$4:$A$300,$A68)=0),"",SUMIFS(Trato_Diario!$J$4:$J$300,Trato_Diario!$B$4:$B$300,3,Trato_Diario!$A$4:$A$300,$A68)/SUMIFS(Trato_Diario!$G$4:$G$300,Trato_Diario!$B$4:$B$300,3,Trato_Diario!$A$4:$A$300,$A68))</f>
        <v/>
      </c>
      <c r="E68" s="28" t="str">
        <f>IF(OR($A68&gt;MAX(Trato_Diario!$A$4:$A$300),SUMIFS(Trato_Diario!$G$4:$G$300,Trato_Diario!$B$4:$B$300,4,Trato_Diario!$A$4:$A$300,$A68)=0),"",SUMIFS(Trato_Diario!$J$4:$J$300,Trato_Diario!$B$4:$B$300,4,Trato_Diario!$A$4:$A$300,$A68)/SUMIFS(Trato_Diario!$G$4:$G$300,Trato_Diario!$B$4:$B$300,4,Trato_Diario!$A$4:$A$300,$A68))</f>
        <v/>
      </c>
      <c r="F68" s="28" t="str">
        <f>IF(OR($A68&gt;MAX(Trato_Diario!$A$4:$A$300),SUMIFS(Trato_Diario!$G$4:$G$300,Trato_Diario!$B$4:$B$300,5,Trato_Diario!$A$4:$A$300,$A68)=0),"",SUMIFS(Trato_Diario!$J$4:$J$300,Trato_Diario!$B$4:$B$300,5,Trato_Diario!$A$4:$A$300,$A68)/SUMIFS(Trato_Diario!$G$4:$G$300,Trato_Diario!$B$4:$B$300,5,Trato_Diario!$A$4:$A$300,$A68))</f>
        <v/>
      </c>
      <c r="G68" s="28" t="str">
        <f>IF(OR($A68&gt;MAX(Trato_Diario!$A$4:$A$300),SUMIFS(Trato_Diario!$G$4:$G$300,Trato_Diario!$B$4:$B$300,6,Trato_Diario!$A$4:$A$300,$A68)=0),"",SUMIFS(Trato_Diario!$J$4:$J$300,Trato_Diario!$B$4:$B$300,6,Trato_Diario!$A$4:$A$300,$A68)/SUMIFS(Trato_Diario!$G$4:$G$300,Trato_Diario!$B$4:$B$300,6,Trato_Diario!$A$4:$A$300,$A68))</f>
        <v/>
      </c>
      <c r="H68" s="28" t="str">
        <f>IF(OR($A68&gt;MAX(Trato_Diario!$A$4:$A$300),SUMIFS(Trato_Diario!$G$4:$G$300,Trato_Diario!$B$4:$B$300,7,Trato_Diario!$A$4:$A$300,$A68)=0),"",SUMIFS(Trato_Diario!$J$4:$J$300,Trato_Diario!$B$4:$B$300,7,Trato_Diario!$A$4:$A$300,$A68)/SUMIFS(Trato_Diario!$G$4:$G$300,Trato_Diario!$B$4:$B$300,7,Trato_Diario!$A$4:$A$300,$A68))</f>
        <v/>
      </c>
      <c r="I68" s="28" t="str">
        <f>IF(OR($A68&gt;MAX(Trato_Diario!$A$4:$A$300),SUMIFS(Trato_Diario!$G$4:$G$300,Trato_Diario!$B$4:$B$300,8,Trato_Diario!$A$4:$A$300,$A68)=0),"",SUMIFS(Trato_Diario!$J$4:$J$300,Trato_Diario!$B$4:$B$300,8,Trato_Diario!$A$4:$A$300,$A68)/SUMIFS(Trato_Diario!$G$4:$G$300,Trato_Diario!$B$4:$B$300,8,Trato_Diario!$A$4:$A$300,$A68))</f>
        <v/>
      </c>
      <c r="J68" s="28" t="str">
        <f>IF(OR($A68&gt;MAX(Trato_Diario!$A$4:$A$300),SUMIFS(Trato_Diario!$G$4:$G$300,Trato_Diario!$B$4:$B$300,9,Trato_Diario!$A$4:$A$300,$A68)=0),"",SUMIFS(Trato_Diario!$J$4:$J$300,Trato_Diario!$B$4:$B$300,9,Trato_Diario!$A$4:$A$300,$A68)/SUMIFS(Trato_Diario!$G$4:$G$300,Trato_Diario!$B$4:$B$300,9,Trato_Diario!$A$4:$A$300,$A68))</f>
        <v/>
      </c>
      <c r="K68" s="28" t="str">
        <f>IF(OR($A68&gt;MAX(Trato_Diario!$A$4:$A$300),SUMIFS(Trato_Diario!$G$4:$G$300,Trato_Diario!$B$4:$B$300,10,Trato_Diario!$A$4:$A$300,$A68)=0),"",SUMIFS(Trato_Diario!$J$4:$J$300,Trato_Diario!$B$4:$B$300,10,Trato_Diario!$A$4:$A$300,$A68)/SUMIFS(Trato_Diario!$G$4:$G$300,Trato_Diario!$B$4:$B$300,10,Trato_Diario!$A$4:$A$300,$A68))</f>
        <v/>
      </c>
      <c r="L68" s="76" t="str">
        <f>IF(OR($A68&gt;MAX(Trato_Diario!$A$4:$A$300),SUMIFS(Trato_Diario!$G$4:$G$300,Trato_Diario!$A$4:$A$300,$A68)=0),"",SUMIFS(Trato_Diario!$J$4:$J$300,Trato_Diario!$A$4:$A$300,$A68)/SUMIFS(Trato_Diario!$G$4:$G$300,Trato_Diario!$A$4:$A$300,$A68))</f>
        <v/>
      </c>
    </row>
    <row r="69" spans="1:12" ht="14.25" customHeight="1" x14ac:dyDescent="0.3">
      <c r="A69" s="85">
        <v>46278</v>
      </c>
      <c r="B69" s="26" t="str">
        <f>IF(OR($A69&gt;MAX(Trato_Diario!$A$4:$A$300),SUMIFS(Trato_Diario!$G$4:$G$300,Trato_Diario!$B$4:$B$300,1,Trato_Diario!$A$4:$A$300,$A69)=0),"",SUMIFS(Trato_Diario!$J$4:$J$300,Trato_Diario!$B$4:$B$300,1,Trato_Diario!$A$4:$A$300,$A69)/SUMIFS(Trato_Diario!$G$4:$G$300,Trato_Diario!$B$4:$B$300,1,Trato_Diario!$A$4:$A$300,$A69))</f>
        <v/>
      </c>
      <c r="C69" s="26" t="str">
        <f>IF(OR($A69&gt;MAX(Trato_Diario!$A$4:$A$300),SUMIFS(Trato_Diario!$G$4:$G$300,Trato_Diario!$B$4:$B$300,2,Trato_Diario!$A$4:$A$300,$A69)=0),"",SUMIFS(Trato_Diario!$J$4:$J$300,Trato_Diario!$B$4:$B$300,2,Trato_Diario!$A$4:$A$300,$A69)/SUMIFS(Trato_Diario!$G$4:$G$300,Trato_Diario!$B$4:$B$300,2,Trato_Diario!$A$4:$A$300,$A69))</f>
        <v/>
      </c>
      <c r="D69" s="26" t="str">
        <f>IF(OR($A69&gt;MAX(Trato_Diario!$A$4:$A$300),SUMIFS(Trato_Diario!$G$4:$G$300,Trato_Diario!$B$4:$B$300,3,Trato_Diario!$A$4:$A$300,$A69)=0),"",SUMIFS(Trato_Diario!$J$4:$J$300,Trato_Diario!$B$4:$B$300,3,Trato_Diario!$A$4:$A$300,$A69)/SUMIFS(Trato_Diario!$G$4:$G$300,Trato_Diario!$B$4:$B$300,3,Trato_Diario!$A$4:$A$300,$A69))</f>
        <v/>
      </c>
      <c r="E69" s="26" t="str">
        <f>IF(OR($A69&gt;MAX(Trato_Diario!$A$4:$A$300),SUMIFS(Trato_Diario!$G$4:$G$300,Trato_Diario!$B$4:$B$300,4,Trato_Diario!$A$4:$A$300,$A69)=0),"",SUMIFS(Trato_Diario!$J$4:$J$300,Trato_Diario!$B$4:$B$300,4,Trato_Diario!$A$4:$A$300,$A69)/SUMIFS(Trato_Diario!$G$4:$G$300,Trato_Diario!$B$4:$B$300,4,Trato_Diario!$A$4:$A$300,$A69))</f>
        <v/>
      </c>
      <c r="F69" s="26" t="str">
        <f>IF(OR($A69&gt;MAX(Trato_Diario!$A$4:$A$300),SUMIFS(Trato_Diario!$G$4:$G$300,Trato_Diario!$B$4:$B$300,5,Trato_Diario!$A$4:$A$300,$A69)=0),"",SUMIFS(Trato_Diario!$J$4:$J$300,Trato_Diario!$B$4:$B$300,5,Trato_Diario!$A$4:$A$300,$A69)/SUMIFS(Trato_Diario!$G$4:$G$300,Trato_Diario!$B$4:$B$300,5,Trato_Diario!$A$4:$A$300,$A69))</f>
        <v/>
      </c>
      <c r="G69" s="26" t="str">
        <f>IF(OR($A69&gt;MAX(Trato_Diario!$A$4:$A$300),SUMIFS(Trato_Diario!$G$4:$G$300,Trato_Diario!$B$4:$B$300,6,Trato_Diario!$A$4:$A$300,$A69)=0),"",SUMIFS(Trato_Diario!$J$4:$J$300,Trato_Diario!$B$4:$B$300,6,Trato_Diario!$A$4:$A$300,$A69)/SUMIFS(Trato_Diario!$G$4:$G$300,Trato_Diario!$B$4:$B$300,6,Trato_Diario!$A$4:$A$300,$A69))</f>
        <v/>
      </c>
      <c r="H69" s="26" t="str">
        <f>IF(OR($A69&gt;MAX(Trato_Diario!$A$4:$A$300),SUMIFS(Trato_Diario!$G$4:$G$300,Trato_Diario!$B$4:$B$300,7,Trato_Diario!$A$4:$A$300,$A69)=0),"",SUMIFS(Trato_Diario!$J$4:$J$300,Trato_Diario!$B$4:$B$300,7,Trato_Diario!$A$4:$A$300,$A69)/SUMIFS(Trato_Diario!$G$4:$G$300,Trato_Diario!$B$4:$B$300,7,Trato_Diario!$A$4:$A$300,$A69))</f>
        <v/>
      </c>
      <c r="I69" s="26" t="str">
        <f>IF(OR($A69&gt;MAX(Trato_Diario!$A$4:$A$300),SUMIFS(Trato_Diario!$G$4:$G$300,Trato_Diario!$B$4:$B$300,8,Trato_Diario!$A$4:$A$300,$A69)=0),"",SUMIFS(Trato_Diario!$J$4:$J$300,Trato_Diario!$B$4:$B$300,8,Trato_Diario!$A$4:$A$300,$A69)/SUMIFS(Trato_Diario!$G$4:$G$300,Trato_Diario!$B$4:$B$300,8,Trato_Diario!$A$4:$A$300,$A69))</f>
        <v/>
      </c>
      <c r="J69" s="26" t="str">
        <f>IF(OR($A69&gt;MAX(Trato_Diario!$A$4:$A$300),SUMIFS(Trato_Diario!$G$4:$G$300,Trato_Diario!$B$4:$B$300,9,Trato_Diario!$A$4:$A$300,$A69)=0),"",SUMIFS(Trato_Diario!$J$4:$J$300,Trato_Diario!$B$4:$B$300,9,Trato_Diario!$A$4:$A$300,$A69)/SUMIFS(Trato_Diario!$G$4:$G$300,Trato_Diario!$B$4:$B$300,9,Trato_Diario!$A$4:$A$300,$A69))</f>
        <v/>
      </c>
      <c r="K69" s="26" t="str">
        <f>IF(OR($A69&gt;MAX(Trato_Diario!$A$4:$A$300),SUMIFS(Trato_Diario!$G$4:$G$300,Trato_Diario!$B$4:$B$300,10,Trato_Diario!$A$4:$A$300,$A69)=0),"",SUMIFS(Trato_Diario!$J$4:$J$300,Trato_Diario!$B$4:$B$300,10,Trato_Diario!$A$4:$A$300,$A69)/SUMIFS(Trato_Diario!$G$4:$G$300,Trato_Diario!$B$4:$B$300,10,Trato_Diario!$A$4:$A$300,$A69))</f>
        <v/>
      </c>
      <c r="L69" s="74" t="str">
        <f>IF(OR($A69&gt;MAX(Trato_Diario!$A$4:$A$300),SUMIFS(Trato_Diario!$G$4:$G$300,Trato_Diario!$A$4:$A$300,$A69)=0),"",SUMIFS(Trato_Diario!$J$4:$J$300,Trato_Diario!$A$4:$A$300,$A69)/SUMIFS(Trato_Diario!$G$4:$G$300,Trato_Diario!$A$4:$A$300,$A69))</f>
        <v/>
      </c>
    </row>
    <row r="70" spans="1:12" ht="14.25" customHeight="1" x14ac:dyDescent="0.3">
      <c r="A70" s="86">
        <v>46279</v>
      </c>
      <c r="B70" s="28" t="str">
        <f>IF(OR($A70&gt;MAX(Trato_Diario!$A$4:$A$300),SUMIFS(Trato_Diario!$G$4:$G$300,Trato_Diario!$B$4:$B$300,1,Trato_Diario!$A$4:$A$300,$A70)=0),"",SUMIFS(Trato_Diario!$J$4:$J$300,Trato_Diario!$B$4:$B$300,1,Trato_Diario!$A$4:$A$300,$A70)/SUMIFS(Trato_Diario!$G$4:$G$300,Trato_Diario!$B$4:$B$300,1,Trato_Diario!$A$4:$A$300,$A70))</f>
        <v/>
      </c>
      <c r="C70" s="28" t="str">
        <f>IF(OR($A70&gt;MAX(Trato_Diario!$A$4:$A$300),SUMIFS(Trato_Diario!$G$4:$G$300,Trato_Diario!$B$4:$B$300,2,Trato_Diario!$A$4:$A$300,$A70)=0),"",SUMIFS(Trato_Diario!$J$4:$J$300,Trato_Diario!$B$4:$B$300,2,Trato_Diario!$A$4:$A$300,$A70)/SUMIFS(Trato_Diario!$G$4:$G$300,Trato_Diario!$B$4:$B$300,2,Trato_Diario!$A$4:$A$300,$A70))</f>
        <v/>
      </c>
      <c r="D70" s="28" t="str">
        <f>IF(OR($A70&gt;MAX(Trato_Diario!$A$4:$A$300),SUMIFS(Trato_Diario!$G$4:$G$300,Trato_Diario!$B$4:$B$300,3,Trato_Diario!$A$4:$A$300,$A70)=0),"",SUMIFS(Trato_Diario!$J$4:$J$300,Trato_Diario!$B$4:$B$300,3,Trato_Diario!$A$4:$A$300,$A70)/SUMIFS(Trato_Diario!$G$4:$G$300,Trato_Diario!$B$4:$B$300,3,Trato_Diario!$A$4:$A$300,$A70))</f>
        <v/>
      </c>
      <c r="E70" s="28" t="str">
        <f>IF(OR($A70&gt;MAX(Trato_Diario!$A$4:$A$300),SUMIFS(Trato_Diario!$G$4:$G$300,Trato_Diario!$B$4:$B$300,4,Trato_Diario!$A$4:$A$300,$A70)=0),"",SUMIFS(Trato_Diario!$J$4:$J$300,Trato_Diario!$B$4:$B$300,4,Trato_Diario!$A$4:$A$300,$A70)/SUMIFS(Trato_Diario!$G$4:$G$300,Trato_Diario!$B$4:$B$300,4,Trato_Diario!$A$4:$A$300,$A70))</f>
        <v/>
      </c>
      <c r="F70" s="28" t="str">
        <f>IF(OR($A70&gt;MAX(Trato_Diario!$A$4:$A$300),SUMIFS(Trato_Diario!$G$4:$G$300,Trato_Diario!$B$4:$B$300,5,Trato_Diario!$A$4:$A$300,$A70)=0),"",SUMIFS(Trato_Diario!$J$4:$J$300,Trato_Diario!$B$4:$B$300,5,Trato_Diario!$A$4:$A$300,$A70)/SUMIFS(Trato_Diario!$G$4:$G$300,Trato_Diario!$B$4:$B$300,5,Trato_Diario!$A$4:$A$300,$A70))</f>
        <v/>
      </c>
      <c r="G70" s="28" t="str">
        <f>IF(OR($A70&gt;MAX(Trato_Diario!$A$4:$A$300),SUMIFS(Trato_Diario!$G$4:$G$300,Trato_Diario!$B$4:$B$300,6,Trato_Diario!$A$4:$A$300,$A70)=0),"",SUMIFS(Trato_Diario!$J$4:$J$300,Trato_Diario!$B$4:$B$300,6,Trato_Diario!$A$4:$A$300,$A70)/SUMIFS(Trato_Diario!$G$4:$G$300,Trato_Diario!$B$4:$B$300,6,Trato_Diario!$A$4:$A$300,$A70))</f>
        <v/>
      </c>
      <c r="H70" s="28" t="str">
        <f>IF(OR($A70&gt;MAX(Trato_Diario!$A$4:$A$300),SUMIFS(Trato_Diario!$G$4:$G$300,Trato_Diario!$B$4:$B$300,7,Trato_Diario!$A$4:$A$300,$A70)=0),"",SUMIFS(Trato_Diario!$J$4:$J$300,Trato_Diario!$B$4:$B$300,7,Trato_Diario!$A$4:$A$300,$A70)/SUMIFS(Trato_Diario!$G$4:$G$300,Trato_Diario!$B$4:$B$300,7,Trato_Diario!$A$4:$A$300,$A70))</f>
        <v/>
      </c>
      <c r="I70" s="28" t="str">
        <f>IF(OR($A70&gt;MAX(Trato_Diario!$A$4:$A$300),SUMIFS(Trato_Diario!$G$4:$G$300,Trato_Diario!$B$4:$B$300,8,Trato_Diario!$A$4:$A$300,$A70)=0),"",SUMIFS(Trato_Diario!$J$4:$J$300,Trato_Diario!$B$4:$B$300,8,Trato_Diario!$A$4:$A$300,$A70)/SUMIFS(Trato_Diario!$G$4:$G$300,Trato_Diario!$B$4:$B$300,8,Trato_Diario!$A$4:$A$300,$A70))</f>
        <v/>
      </c>
      <c r="J70" s="28" t="str">
        <f>IF(OR($A70&gt;MAX(Trato_Diario!$A$4:$A$300),SUMIFS(Trato_Diario!$G$4:$G$300,Trato_Diario!$B$4:$B$300,9,Trato_Diario!$A$4:$A$300,$A70)=0),"",SUMIFS(Trato_Diario!$J$4:$J$300,Trato_Diario!$B$4:$B$300,9,Trato_Diario!$A$4:$A$300,$A70)/SUMIFS(Trato_Diario!$G$4:$G$300,Trato_Diario!$B$4:$B$300,9,Trato_Diario!$A$4:$A$300,$A70))</f>
        <v/>
      </c>
      <c r="K70" s="28" t="str">
        <f>IF(OR($A70&gt;MAX(Trato_Diario!$A$4:$A$300),SUMIFS(Trato_Diario!$G$4:$G$300,Trato_Diario!$B$4:$B$300,10,Trato_Diario!$A$4:$A$300,$A70)=0),"",SUMIFS(Trato_Diario!$J$4:$J$300,Trato_Diario!$B$4:$B$300,10,Trato_Diario!$A$4:$A$300,$A70)/SUMIFS(Trato_Diario!$G$4:$G$300,Trato_Diario!$B$4:$B$300,10,Trato_Diario!$A$4:$A$300,$A70))</f>
        <v/>
      </c>
      <c r="L70" s="76" t="str">
        <f>IF(OR($A70&gt;MAX(Trato_Diario!$A$4:$A$300),SUMIFS(Trato_Diario!$G$4:$G$300,Trato_Diario!$A$4:$A$300,$A70)=0),"",SUMIFS(Trato_Diario!$J$4:$J$300,Trato_Diario!$A$4:$A$300,$A70)/SUMIFS(Trato_Diario!$G$4:$G$300,Trato_Diario!$A$4:$A$300,$A70))</f>
        <v/>
      </c>
    </row>
    <row r="71" spans="1:12" ht="14.25" customHeight="1" x14ac:dyDescent="0.3">
      <c r="A71" s="85">
        <v>46280</v>
      </c>
      <c r="B71" s="26" t="str">
        <f>IF(OR($A71&gt;MAX(Trato_Diario!$A$4:$A$300),SUMIFS(Trato_Diario!$G$4:$G$300,Trato_Diario!$B$4:$B$300,1,Trato_Diario!$A$4:$A$300,$A71)=0),"",SUMIFS(Trato_Diario!$J$4:$J$300,Trato_Diario!$B$4:$B$300,1,Trato_Diario!$A$4:$A$300,$A71)/SUMIFS(Trato_Diario!$G$4:$G$300,Trato_Diario!$B$4:$B$300,1,Trato_Diario!$A$4:$A$300,$A71))</f>
        <v/>
      </c>
      <c r="C71" s="26" t="str">
        <f>IF(OR($A71&gt;MAX(Trato_Diario!$A$4:$A$300),SUMIFS(Trato_Diario!$G$4:$G$300,Trato_Diario!$B$4:$B$300,2,Trato_Diario!$A$4:$A$300,$A71)=0),"",SUMIFS(Trato_Diario!$J$4:$J$300,Trato_Diario!$B$4:$B$300,2,Trato_Diario!$A$4:$A$300,$A71)/SUMIFS(Trato_Diario!$G$4:$G$300,Trato_Diario!$B$4:$B$300,2,Trato_Diario!$A$4:$A$300,$A71))</f>
        <v/>
      </c>
      <c r="D71" s="26" t="str">
        <f>IF(OR($A71&gt;MAX(Trato_Diario!$A$4:$A$300),SUMIFS(Trato_Diario!$G$4:$G$300,Trato_Diario!$B$4:$B$300,3,Trato_Diario!$A$4:$A$300,$A71)=0),"",SUMIFS(Trato_Diario!$J$4:$J$300,Trato_Diario!$B$4:$B$300,3,Trato_Diario!$A$4:$A$300,$A71)/SUMIFS(Trato_Diario!$G$4:$G$300,Trato_Diario!$B$4:$B$300,3,Trato_Diario!$A$4:$A$300,$A71))</f>
        <v/>
      </c>
      <c r="E71" s="26" t="str">
        <f>IF(OR($A71&gt;MAX(Trato_Diario!$A$4:$A$300),SUMIFS(Trato_Diario!$G$4:$G$300,Trato_Diario!$B$4:$B$300,4,Trato_Diario!$A$4:$A$300,$A71)=0),"",SUMIFS(Trato_Diario!$J$4:$J$300,Trato_Diario!$B$4:$B$300,4,Trato_Diario!$A$4:$A$300,$A71)/SUMIFS(Trato_Diario!$G$4:$G$300,Trato_Diario!$B$4:$B$300,4,Trato_Diario!$A$4:$A$300,$A71))</f>
        <v/>
      </c>
      <c r="F71" s="26" t="str">
        <f>IF(OR($A71&gt;MAX(Trato_Diario!$A$4:$A$300),SUMIFS(Trato_Diario!$G$4:$G$300,Trato_Diario!$B$4:$B$300,5,Trato_Diario!$A$4:$A$300,$A71)=0),"",SUMIFS(Trato_Diario!$J$4:$J$300,Trato_Diario!$B$4:$B$300,5,Trato_Diario!$A$4:$A$300,$A71)/SUMIFS(Trato_Diario!$G$4:$G$300,Trato_Diario!$B$4:$B$300,5,Trato_Diario!$A$4:$A$300,$A71))</f>
        <v/>
      </c>
      <c r="G71" s="26" t="str">
        <f>IF(OR($A71&gt;MAX(Trato_Diario!$A$4:$A$300),SUMIFS(Trato_Diario!$G$4:$G$300,Trato_Diario!$B$4:$B$300,6,Trato_Diario!$A$4:$A$300,$A71)=0),"",SUMIFS(Trato_Diario!$J$4:$J$300,Trato_Diario!$B$4:$B$300,6,Trato_Diario!$A$4:$A$300,$A71)/SUMIFS(Trato_Diario!$G$4:$G$300,Trato_Diario!$B$4:$B$300,6,Trato_Diario!$A$4:$A$300,$A71))</f>
        <v/>
      </c>
      <c r="H71" s="26" t="str">
        <f>IF(OR($A71&gt;MAX(Trato_Diario!$A$4:$A$300),SUMIFS(Trato_Diario!$G$4:$G$300,Trato_Diario!$B$4:$B$300,7,Trato_Diario!$A$4:$A$300,$A71)=0),"",SUMIFS(Trato_Diario!$J$4:$J$300,Trato_Diario!$B$4:$B$300,7,Trato_Diario!$A$4:$A$300,$A71)/SUMIFS(Trato_Diario!$G$4:$G$300,Trato_Diario!$B$4:$B$300,7,Trato_Diario!$A$4:$A$300,$A71))</f>
        <v/>
      </c>
      <c r="I71" s="26" t="str">
        <f>IF(OR($A71&gt;MAX(Trato_Diario!$A$4:$A$300),SUMIFS(Trato_Diario!$G$4:$G$300,Trato_Diario!$B$4:$B$300,8,Trato_Diario!$A$4:$A$300,$A71)=0),"",SUMIFS(Trato_Diario!$J$4:$J$300,Trato_Diario!$B$4:$B$300,8,Trato_Diario!$A$4:$A$300,$A71)/SUMIFS(Trato_Diario!$G$4:$G$300,Trato_Diario!$B$4:$B$300,8,Trato_Diario!$A$4:$A$300,$A71))</f>
        <v/>
      </c>
      <c r="J71" s="26" t="str">
        <f>IF(OR($A71&gt;MAX(Trato_Diario!$A$4:$A$300),SUMIFS(Trato_Diario!$G$4:$G$300,Trato_Diario!$B$4:$B$300,9,Trato_Diario!$A$4:$A$300,$A71)=0),"",SUMIFS(Trato_Diario!$J$4:$J$300,Trato_Diario!$B$4:$B$300,9,Trato_Diario!$A$4:$A$300,$A71)/SUMIFS(Trato_Diario!$G$4:$G$300,Trato_Diario!$B$4:$B$300,9,Trato_Diario!$A$4:$A$300,$A71))</f>
        <v/>
      </c>
      <c r="K71" s="26" t="str">
        <f>IF(OR($A71&gt;MAX(Trato_Diario!$A$4:$A$300),SUMIFS(Trato_Diario!$G$4:$G$300,Trato_Diario!$B$4:$B$300,10,Trato_Diario!$A$4:$A$300,$A71)=0),"",SUMIFS(Trato_Diario!$J$4:$J$300,Trato_Diario!$B$4:$B$300,10,Trato_Diario!$A$4:$A$300,$A71)/SUMIFS(Trato_Diario!$G$4:$G$300,Trato_Diario!$B$4:$B$300,10,Trato_Diario!$A$4:$A$300,$A71))</f>
        <v/>
      </c>
      <c r="L71" s="74" t="str">
        <f>IF(OR($A71&gt;MAX(Trato_Diario!$A$4:$A$300),SUMIFS(Trato_Diario!$G$4:$G$300,Trato_Diario!$A$4:$A$300,$A71)=0),"",SUMIFS(Trato_Diario!$J$4:$J$300,Trato_Diario!$A$4:$A$300,$A71)/SUMIFS(Trato_Diario!$G$4:$G$300,Trato_Diario!$A$4:$A$300,$A71))</f>
        <v/>
      </c>
    </row>
    <row r="72" spans="1:12" ht="14.25" customHeight="1" x14ac:dyDescent="0.3">
      <c r="A72" s="86">
        <v>46281</v>
      </c>
      <c r="B72" s="28" t="str">
        <f>IF(OR($A72&gt;MAX(Trato_Diario!$A$4:$A$300),SUMIFS(Trato_Diario!$G$4:$G$300,Trato_Diario!$B$4:$B$300,1,Trato_Diario!$A$4:$A$300,$A72)=0),"",SUMIFS(Trato_Diario!$J$4:$J$300,Trato_Diario!$B$4:$B$300,1,Trato_Diario!$A$4:$A$300,$A72)/SUMIFS(Trato_Diario!$G$4:$G$300,Trato_Diario!$B$4:$B$300,1,Trato_Diario!$A$4:$A$300,$A72))</f>
        <v/>
      </c>
      <c r="C72" s="28" t="str">
        <f>IF(OR($A72&gt;MAX(Trato_Diario!$A$4:$A$300),SUMIFS(Trato_Diario!$G$4:$G$300,Trato_Diario!$B$4:$B$300,2,Trato_Diario!$A$4:$A$300,$A72)=0),"",SUMIFS(Trato_Diario!$J$4:$J$300,Trato_Diario!$B$4:$B$300,2,Trato_Diario!$A$4:$A$300,$A72)/SUMIFS(Trato_Diario!$G$4:$G$300,Trato_Diario!$B$4:$B$300,2,Trato_Diario!$A$4:$A$300,$A72))</f>
        <v/>
      </c>
      <c r="D72" s="28" t="str">
        <f>IF(OR($A72&gt;MAX(Trato_Diario!$A$4:$A$300),SUMIFS(Trato_Diario!$G$4:$G$300,Trato_Diario!$B$4:$B$300,3,Trato_Diario!$A$4:$A$300,$A72)=0),"",SUMIFS(Trato_Diario!$J$4:$J$300,Trato_Diario!$B$4:$B$300,3,Trato_Diario!$A$4:$A$300,$A72)/SUMIFS(Trato_Diario!$G$4:$G$300,Trato_Diario!$B$4:$B$300,3,Trato_Diario!$A$4:$A$300,$A72))</f>
        <v/>
      </c>
      <c r="E72" s="28" t="str">
        <f>IF(OR($A72&gt;MAX(Trato_Diario!$A$4:$A$300),SUMIFS(Trato_Diario!$G$4:$G$300,Trato_Diario!$B$4:$B$300,4,Trato_Diario!$A$4:$A$300,$A72)=0),"",SUMIFS(Trato_Diario!$J$4:$J$300,Trato_Diario!$B$4:$B$300,4,Trato_Diario!$A$4:$A$300,$A72)/SUMIFS(Trato_Diario!$G$4:$G$300,Trato_Diario!$B$4:$B$300,4,Trato_Diario!$A$4:$A$300,$A72))</f>
        <v/>
      </c>
      <c r="F72" s="28" t="str">
        <f>IF(OR($A72&gt;MAX(Trato_Diario!$A$4:$A$300),SUMIFS(Trato_Diario!$G$4:$G$300,Trato_Diario!$B$4:$B$300,5,Trato_Diario!$A$4:$A$300,$A72)=0),"",SUMIFS(Trato_Diario!$J$4:$J$300,Trato_Diario!$B$4:$B$300,5,Trato_Diario!$A$4:$A$300,$A72)/SUMIFS(Trato_Diario!$G$4:$G$300,Trato_Diario!$B$4:$B$300,5,Trato_Diario!$A$4:$A$300,$A72))</f>
        <v/>
      </c>
      <c r="G72" s="28" t="str">
        <f>IF(OR($A72&gt;MAX(Trato_Diario!$A$4:$A$300),SUMIFS(Trato_Diario!$G$4:$G$300,Trato_Diario!$B$4:$B$300,6,Trato_Diario!$A$4:$A$300,$A72)=0),"",SUMIFS(Trato_Diario!$J$4:$J$300,Trato_Diario!$B$4:$B$300,6,Trato_Diario!$A$4:$A$300,$A72)/SUMIFS(Trato_Diario!$G$4:$G$300,Trato_Diario!$B$4:$B$300,6,Trato_Diario!$A$4:$A$300,$A72))</f>
        <v/>
      </c>
      <c r="H72" s="28" t="str">
        <f>IF(OR($A72&gt;MAX(Trato_Diario!$A$4:$A$300),SUMIFS(Trato_Diario!$G$4:$G$300,Trato_Diario!$B$4:$B$300,7,Trato_Diario!$A$4:$A$300,$A72)=0),"",SUMIFS(Trato_Diario!$J$4:$J$300,Trato_Diario!$B$4:$B$300,7,Trato_Diario!$A$4:$A$300,$A72)/SUMIFS(Trato_Diario!$G$4:$G$300,Trato_Diario!$B$4:$B$300,7,Trato_Diario!$A$4:$A$300,$A72))</f>
        <v/>
      </c>
      <c r="I72" s="28" t="str">
        <f>IF(OR($A72&gt;MAX(Trato_Diario!$A$4:$A$300),SUMIFS(Trato_Diario!$G$4:$G$300,Trato_Diario!$B$4:$B$300,8,Trato_Diario!$A$4:$A$300,$A72)=0),"",SUMIFS(Trato_Diario!$J$4:$J$300,Trato_Diario!$B$4:$B$300,8,Trato_Diario!$A$4:$A$300,$A72)/SUMIFS(Trato_Diario!$G$4:$G$300,Trato_Diario!$B$4:$B$300,8,Trato_Diario!$A$4:$A$300,$A72))</f>
        <v/>
      </c>
      <c r="J72" s="28" t="str">
        <f>IF(OR($A72&gt;MAX(Trato_Diario!$A$4:$A$300),SUMIFS(Trato_Diario!$G$4:$G$300,Trato_Diario!$B$4:$B$300,9,Trato_Diario!$A$4:$A$300,$A72)=0),"",SUMIFS(Trato_Diario!$J$4:$J$300,Trato_Diario!$B$4:$B$300,9,Trato_Diario!$A$4:$A$300,$A72)/SUMIFS(Trato_Diario!$G$4:$G$300,Trato_Diario!$B$4:$B$300,9,Trato_Diario!$A$4:$A$300,$A72))</f>
        <v/>
      </c>
      <c r="K72" s="28" t="str">
        <f>IF(OR($A72&gt;MAX(Trato_Diario!$A$4:$A$300),SUMIFS(Trato_Diario!$G$4:$G$300,Trato_Diario!$B$4:$B$300,10,Trato_Diario!$A$4:$A$300,$A72)=0),"",SUMIFS(Trato_Diario!$J$4:$J$300,Trato_Diario!$B$4:$B$300,10,Trato_Diario!$A$4:$A$300,$A72)/SUMIFS(Trato_Diario!$G$4:$G$300,Trato_Diario!$B$4:$B$300,10,Trato_Diario!$A$4:$A$300,$A72))</f>
        <v/>
      </c>
      <c r="L72" s="76" t="str">
        <f>IF(OR($A72&gt;MAX(Trato_Diario!$A$4:$A$300),SUMIFS(Trato_Diario!$G$4:$G$300,Trato_Diario!$A$4:$A$300,$A72)=0),"",SUMIFS(Trato_Diario!$J$4:$J$300,Trato_Diario!$A$4:$A$300,$A72)/SUMIFS(Trato_Diario!$G$4:$G$300,Trato_Diario!$A$4:$A$300,$A72))</f>
        <v/>
      </c>
    </row>
    <row r="73" spans="1:12" ht="14.25" customHeight="1" x14ac:dyDescent="0.3">
      <c r="A73" s="85">
        <v>46282</v>
      </c>
      <c r="B73" s="26" t="str">
        <f>IF(OR($A73&gt;MAX(Trato_Diario!$A$4:$A$300),SUMIFS(Trato_Diario!$G$4:$G$300,Trato_Diario!$B$4:$B$300,1,Trato_Diario!$A$4:$A$300,$A73)=0),"",SUMIFS(Trato_Diario!$J$4:$J$300,Trato_Diario!$B$4:$B$300,1,Trato_Diario!$A$4:$A$300,$A73)/SUMIFS(Trato_Diario!$G$4:$G$300,Trato_Diario!$B$4:$B$300,1,Trato_Diario!$A$4:$A$300,$A73))</f>
        <v/>
      </c>
      <c r="C73" s="26" t="str">
        <f>IF(OR($A73&gt;MAX(Trato_Diario!$A$4:$A$300),SUMIFS(Trato_Diario!$G$4:$G$300,Trato_Diario!$B$4:$B$300,2,Trato_Diario!$A$4:$A$300,$A73)=0),"",SUMIFS(Trato_Diario!$J$4:$J$300,Trato_Diario!$B$4:$B$300,2,Trato_Diario!$A$4:$A$300,$A73)/SUMIFS(Trato_Diario!$G$4:$G$300,Trato_Diario!$B$4:$B$300,2,Trato_Diario!$A$4:$A$300,$A73))</f>
        <v/>
      </c>
      <c r="D73" s="26" t="str">
        <f>IF(OR($A73&gt;MAX(Trato_Diario!$A$4:$A$300),SUMIFS(Trato_Diario!$G$4:$G$300,Trato_Diario!$B$4:$B$300,3,Trato_Diario!$A$4:$A$300,$A73)=0),"",SUMIFS(Trato_Diario!$J$4:$J$300,Trato_Diario!$B$4:$B$300,3,Trato_Diario!$A$4:$A$300,$A73)/SUMIFS(Trato_Diario!$G$4:$G$300,Trato_Diario!$B$4:$B$300,3,Trato_Diario!$A$4:$A$300,$A73))</f>
        <v/>
      </c>
      <c r="E73" s="26" t="str">
        <f>IF(OR($A73&gt;MAX(Trato_Diario!$A$4:$A$300),SUMIFS(Trato_Diario!$G$4:$G$300,Trato_Diario!$B$4:$B$300,4,Trato_Diario!$A$4:$A$300,$A73)=0),"",SUMIFS(Trato_Diario!$J$4:$J$300,Trato_Diario!$B$4:$B$300,4,Trato_Diario!$A$4:$A$300,$A73)/SUMIFS(Trato_Diario!$G$4:$G$300,Trato_Diario!$B$4:$B$300,4,Trato_Diario!$A$4:$A$300,$A73))</f>
        <v/>
      </c>
      <c r="F73" s="26" t="str">
        <f>IF(OR($A73&gt;MAX(Trato_Diario!$A$4:$A$300),SUMIFS(Trato_Diario!$G$4:$G$300,Trato_Diario!$B$4:$B$300,5,Trato_Diario!$A$4:$A$300,$A73)=0),"",SUMIFS(Trato_Diario!$J$4:$J$300,Trato_Diario!$B$4:$B$300,5,Trato_Diario!$A$4:$A$300,$A73)/SUMIFS(Trato_Diario!$G$4:$G$300,Trato_Diario!$B$4:$B$300,5,Trato_Diario!$A$4:$A$300,$A73))</f>
        <v/>
      </c>
      <c r="G73" s="26" t="str">
        <f>IF(OR($A73&gt;MAX(Trato_Diario!$A$4:$A$300),SUMIFS(Trato_Diario!$G$4:$G$300,Trato_Diario!$B$4:$B$300,6,Trato_Diario!$A$4:$A$300,$A73)=0),"",SUMIFS(Trato_Diario!$J$4:$J$300,Trato_Diario!$B$4:$B$300,6,Trato_Diario!$A$4:$A$300,$A73)/SUMIFS(Trato_Diario!$G$4:$G$300,Trato_Diario!$B$4:$B$300,6,Trato_Diario!$A$4:$A$300,$A73))</f>
        <v/>
      </c>
      <c r="H73" s="26" t="str">
        <f>IF(OR($A73&gt;MAX(Trato_Diario!$A$4:$A$300),SUMIFS(Trato_Diario!$G$4:$G$300,Trato_Diario!$B$4:$B$300,7,Trato_Diario!$A$4:$A$300,$A73)=0),"",SUMIFS(Trato_Diario!$J$4:$J$300,Trato_Diario!$B$4:$B$300,7,Trato_Diario!$A$4:$A$300,$A73)/SUMIFS(Trato_Diario!$G$4:$G$300,Trato_Diario!$B$4:$B$300,7,Trato_Diario!$A$4:$A$300,$A73))</f>
        <v/>
      </c>
      <c r="I73" s="26" t="str">
        <f>IF(OR($A73&gt;MAX(Trato_Diario!$A$4:$A$300),SUMIFS(Trato_Diario!$G$4:$G$300,Trato_Diario!$B$4:$B$300,8,Trato_Diario!$A$4:$A$300,$A73)=0),"",SUMIFS(Trato_Diario!$J$4:$J$300,Trato_Diario!$B$4:$B$300,8,Trato_Diario!$A$4:$A$300,$A73)/SUMIFS(Trato_Diario!$G$4:$G$300,Trato_Diario!$B$4:$B$300,8,Trato_Diario!$A$4:$A$300,$A73))</f>
        <v/>
      </c>
      <c r="J73" s="26" t="str">
        <f>IF(OR($A73&gt;MAX(Trato_Diario!$A$4:$A$300),SUMIFS(Trato_Diario!$G$4:$G$300,Trato_Diario!$B$4:$B$300,9,Trato_Diario!$A$4:$A$300,$A73)=0),"",SUMIFS(Trato_Diario!$J$4:$J$300,Trato_Diario!$B$4:$B$300,9,Trato_Diario!$A$4:$A$300,$A73)/SUMIFS(Trato_Diario!$G$4:$G$300,Trato_Diario!$B$4:$B$300,9,Trato_Diario!$A$4:$A$300,$A73))</f>
        <v/>
      </c>
      <c r="K73" s="26" t="str">
        <f>IF(OR($A73&gt;MAX(Trato_Diario!$A$4:$A$300),SUMIFS(Trato_Diario!$G$4:$G$300,Trato_Diario!$B$4:$B$300,10,Trato_Diario!$A$4:$A$300,$A73)=0),"",SUMIFS(Trato_Diario!$J$4:$J$300,Trato_Diario!$B$4:$B$300,10,Trato_Diario!$A$4:$A$300,$A73)/SUMIFS(Trato_Diario!$G$4:$G$300,Trato_Diario!$B$4:$B$300,10,Trato_Diario!$A$4:$A$300,$A73))</f>
        <v/>
      </c>
      <c r="L73" s="74" t="str">
        <f>IF(OR($A73&gt;MAX(Trato_Diario!$A$4:$A$300),SUMIFS(Trato_Diario!$G$4:$G$300,Trato_Diario!$A$4:$A$300,$A73)=0),"",SUMIFS(Trato_Diario!$J$4:$J$300,Trato_Diario!$A$4:$A$300,$A73)/SUMIFS(Trato_Diario!$G$4:$G$300,Trato_Diario!$A$4:$A$300,$A73))</f>
        <v/>
      </c>
    </row>
    <row r="74" spans="1:12" ht="14.25" customHeight="1" x14ac:dyDescent="0.3">
      <c r="A74" s="86">
        <v>46283</v>
      </c>
      <c r="B74" s="28" t="str">
        <f>IF(OR($A74&gt;MAX(Trato_Diario!$A$4:$A$300),SUMIFS(Trato_Diario!$G$4:$G$300,Trato_Diario!$B$4:$B$300,1,Trato_Diario!$A$4:$A$300,$A74)=0),"",SUMIFS(Trato_Diario!$J$4:$J$300,Trato_Diario!$B$4:$B$300,1,Trato_Diario!$A$4:$A$300,$A74)/SUMIFS(Trato_Diario!$G$4:$G$300,Trato_Diario!$B$4:$B$300,1,Trato_Diario!$A$4:$A$300,$A74))</f>
        <v/>
      </c>
      <c r="C74" s="28" t="str">
        <f>IF(OR($A74&gt;MAX(Trato_Diario!$A$4:$A$300),SUMIFS(Trato_Diario!$G$4:$G$300,Trato_Diario!$B$4:$B$300,2,Trato_Diario!$A$4:$A$300,$A74)=0),"",SUMIFS(Trato_Diario!$J$4:$J$300,Trato_Diario!$B$4:$B$300,2,Trato_Diario!$A$4:$A$300,$A74)/SUMIFS(Trato_Diario!$G$4:$G$300,Trato_Diario!$B$4:$B$300,2,Trato_Diario!$A$4:$A$300,$A74))</f>
        <v/>
      </c>
      <c r="D74" s="28" t="str">
        <f>IF(OR($A74&gt;MAX(Trato_Diario!$A$4:$A$300),SUMIFS(Trato_Diario!$G$4:$G$300,Trato_Diario!$B$4:$B$300,3,Trato_Diario!$A$4:$A$300,$A74)=0),"",SUMIFS(Trato_Diario!$J$4:$J$300,Trato_Diario!$B$4:$B$300,3,Trato_Diario!$A$4:$A$300,$A74)/SUMIFS(Trato_Diario!$G$4:$G$300,Trato_Diario!$B$4:$B$300,3,Trato_Diario!$A$4:$A$300,$A74))</f>
        <v/>
      </c>
      <c r="E74" s="28" t="str">
        <f>IF(OR($A74&gt;MAX(Trato_Diario!$A$4:$A$300),SUMIFS(Trato_Diario!$G$4:$G$300,Trato_Diario!$B$4:$B$300,4,Trato_Diario!$A$4:$A$300,$A74)=0),"",SUMIFS(Trato_Diario!$J$4:$J$300,Trato_Diario!$B$4:$B$300,4,Trato_Diario!$A$4:$A$300,$A74)/SUMIFS(Trato_Diario!$G$4:$G$300,Trato_Diario!$B$4:$B$300,4,Trato_Diario!$A$4:$A$300,$A74))</f>
        <v/>
      </c>
      <c r="F74" s="28" t="str">
        <f>IF(OR($A74&gt;MAX(Trato_Diario!$A$4:$A$300),SUMIFS(Trato_Diario!$G$4:$G$300,Trato_Diario!$B$4:$B$300,5,Trato_Diario!$A$4:$A$300,$A74)=0),"",SUMIFS(Trato_Diario!$J$4:$J$300,Trato_Diario!$B$4:$B$300,5,Trato_Diario!$A$4:$A$300,$A74)/SUMIFS(Trato_Diario!$G$4:$G$300,Trato_Diario!$B$4:$B$300,5,Trato_Diario!$A$4:$A$300,$A74))</f>
        <v/>
      </c>
      <c r="G74" s="28" t="str">
        <f>IF(OR($A74&gt;MAX(Trato_Diario!$A$4:$A$300),SUMIFS(Trato_Diario!$G$4:$G$300,Trato_Diario!$B$4:$B$300,6,Trato_Diario!$A$4:$A$300,$A74)=0),"",SUMIFS(Trato_Diario!$J$4:$J$300,Trato_Diario!$B$4:$B$300,6,Trato_Diario!$A$4:$A$300,$A74)/SUMIFS(Trato_Diario!$G$4:$G$300,Trato_Diario!$B$4:$B$300,6,Trato_Diario!$A$4:$A$300,$A74))</f>
        <v/>
      </c>
      <c r="H74" s="28" t="str">
        <f>IF(OR($A74&gt;MAX(Trato_Diario!$A$4:$A$300),SUMIFS(Trato_Diario!$G$4:$G$300,Trato_Diario!$B$4:$B$300,7,Trato_Diario!$A$4:$A$300,$A74)=0),"",SUMIFS(Trato_Diario!$J$4:$J$300,Trato_Diario!$B$4:$B$300,7,Trato_Diario!$A$4:$A$300,$A74)/SUMIFS(Trato_Diario!$G$4:$G$300,Trato_Diario!$B$4:$B$300,7,Trato_Diario!$A$4:$A$300,$A74))</f>
        <v/>
      </c>
      <c r="I74" s="28" t="str">
        <f>IF(OR($A74&gt;MAX(Trato_Diario!$A$4:$A$300),SUMIFS(Trato_Diario!$G$4:$G$300,Trato_Diario!$B$4:$B$300,8,Trato_Diario!$A$4:$A$300,$A74)=0),"",SUMIFS(Trato_Diario!$J$4:$J$300,Trato_Diario!$B$4:$B$300,8,Trato_Diario!$A$4:$A$300,$A74)/SUMIFS(Trato_Diario!$G$4:$G$300,Trato_Diario!$B$4:$B$300,8,Trato_Diario!$A$4:$A$300,$A74))</f>
        <v/>
      </c>
      <c r="J74" s="28" t="str">
        <f>IF(OR($A74&gt;MAX(Trato_Diario!$A$4:$A$300),SUMIFS(Trato_Diario!$G$4:$G$300,Trato_Diario!$B$4:$B$300,9,Trato_Diario!$A$4:$A$300,$A74)=0),"",SUMIFS(Trato_Diario!$J$4:$J$300,Trato_Diario!$B$4:$B$300,9,Trato_Diario!$A$4:$A$300,$A74)/SUMIFS(Trato_Diario!$G$4:$G$300,Trato_Diario!$B$4:$B$300,9,Trato_Diario!$A$4:$A$300,$A74))</f>
        <v/>
      </c>
      <c r="K74" s="28" t="str">
        <f>IF(OR($A74&gt;MAX(Trato_Diario!$A$4:$A$300),SUMIFS(Trato_Diario!$G$4:$G$300,Trato_Diario!$B$4:$B$300,10,Trato_Diario!$A$4:$A$300,$A74)=0),"",SUMIFS(Trato_Diario!$J$4:$J$300,Trato_Diario!$B$4:$B$300,10,Trato_Diario!$A$4:$A$300,$A74)/SUMIFS(Trato_Diario!$G$4:$G$300,Trato_Diario!$B$4:$B$300,10,Trato_Diario!$A$4:$A$300,$A74))</f>
        <v/>
      </c>
      <c r="L74" s="76" t="str">
        <f>IF(OR($A74&gt;MAX(Trato_Diario!$A$4:$A$300),SUMIFS(Trato_Diario!$G$4:$G$300,Trato_Diario!$A$4:$A$300,$A74)=0),"",SUMIFS(Trato_Diario!$J$4:$J$300,Trato_Diario!$A$4:$A$300,$A74)/SUMIFS(Trato_Diario!$G$4:$G$300,Trato_Diario!$A$4:$A$300,$A74))</f>
        <v/>
      </c>
    </row>
    <row r="75" spans="1:12" ht="14.25" customHeight="1" x14ac:dyDescent="0.3">
      <c r="A75" s="85">
        <v>46284</v>
      </c>
      <c r="B75" s="26" t="str">
        <f>IF(OR($A75&gt;MAX(Trato_Diario!$A$4:$A$300),SUMIFS(Trato_Diario!$G$4:$G$300,Trato_Diario!$B$4:$B$300,1,Trato_Diario!$A$4:$A$300,$A75)=0),"",SUMIFS(Trato_Diario!$J$4:$J$300,Trato_Diario!$B$4:$B$300,1,Trato_Diario!$A$4:$A$300,$A75)/SUMIFS(Trato_Diario!$G$4:$G$300,Trato_Diario!$B$4:$B$300,1,Trato_Diario!$A$4:$A$300,$A75))</f>
        <v/>
      </c>
      <c r="C75" s="26" t="str">
        <f>IF(OR($A75&gt;MAX(Trato_Diario!$A$4:$A$300),SUMIFS(Trato_Diario!$G$4:$G$300,Trato_Diario!$B$4:$B$300,2,Trato_Diario!$A$4:$A$300,$A75)=0),"",SUMIFS(Trato_Diario!$J$4:$J$300,Trato_Diario!$B$4:$B$300,2,Trato_Diario!$A$4:$A$300,$A75)/SUMIFS(Trato_Diario!$G$4:$G$300,Trato_Diario!$B$4:$B$300,2,Trato_Diario!$A$4:$A$300,$A75))</f>
        <v/>
      </c>
      <c r="D75" s="26" t="str">
        <f>IF(OR($A75&gt;MAX(Trato_Diario!$A$4:$A$300),SUMIFS(Trato_Diario!$G$4:$G$300,Trato_Diario!$B$4:$B$300,3,Trato_Diario!$A$4:$A$300,$A75)=0),"",SUMIFS(Trato_Diario!$J$4:$J$300,Trato_Diario!$B$4:$B$300,3,Trato_Diario!$A$4:$A$300,$A75)/SUMIFS(Trato_Diario!$G$4:$G$300,Trato_Diario!$B$4:$B$300,3,Trato_Diario!$A$4:$A$300,$A75))</f>
        <v/>
      </c>
      <c r="E75" s="26" t="str">
        <f>IF(OR($A75&gt;MAX(Trato_Diario!$A$4:$A$300),SUMIFS(Trato_Diario!$G$4:$G$300,Trato_Diario!$B$4:$B$300,4,Trato_Diario!$A$4:$A$300,$A75)=0),"",SUMIFS(Trato_Diario!$J$4:$J$300,Trato_Diario!$B$4:$B$300,4,Trato_Diario!$A$4:$A$300,$A75)/SUMIFS(Trato_Diario!$G$4:$G$300,Trato_Diario!$B$4:$B$300,4,Trato_Diario!$A$4:$A$300,$A75))</f>
        <v/>
      </c>
      <c r="F75" s="26" t="str">
        <f>IF(OR($A75&gt;MAX(Trato_Diario!$A$4:$A$300),SUMIFS(Trato_Diario!$G$4:$G$300,Trato_Diario!$B$4:$B$300,5,Trato_Diario!$A$4:$A$300,$A75)=0),"",SUMIFS(Trato_Diario!$J$4:$J$300,Trato_Diario!$B$4:$B$300,5,Trato_Diario!$A$4:$A$300,$A75)/SUMIFS(Trato_Diario!$G$4:$G$300,Trato_Diario!$B$4:$B$300,5,Trato_Diario!$A$4:$A$300,$A75))</f>
        <v/>
      </c>
      <c r="G75" s="26" t="str">
        <f>IF(OR($A75&gt;MAX(Trato_Diario!$A$4:$A$300),SUMIFS(Trato_Diario!$G$4:$G$300,Trato_Diario!$B$4:$B$300,6,Trato_Diario!$A$4:$A$300,$A75)=0),"",SUMIFS(Trato_Diario!$J$4:$J$300,Trato_Diario!$B$4:$B$300,6,Trato_Diario!$A$4:$A$300,$A75)/SUMIFS(Trato_Diario!$G$4:$G$300,Trato_Diario!$B$4:$B$300,6,Trato_Diario!$A$4:$A$300,$A75))</f>
        <v/>
      </c>
      <c r="H75" s="26" t="str">
        <f>IF(OR($A75&gt;MAX(Trato_Diario!$A$4:$A$300),SUMIFS(Trato_Diario!$G$4:$G$300,Trato_Diario!$B$4:$B$300,7,Trato_Diario!$A$4:$A$300,$A75)=0),"",SUMIFS(Trato_Diario!$J$4:$J$300,Trato_Diario!$B$4:$B$300,7,Trato_Diario!$A$4:$A$300,$A75)/SUMIFS(Trato_Diario!$G$4:$G$300,Trato_Diario!$B$4:$B$300,7,Trato_Diario!$A$4:$A$300,$A75))</f>
        <v/>
      </c>
      <c r="I75" s="26" t="str">
        <f>IF(OR($A75&gt;MAX(Trato_Diario!$A$4:$A$300),SUMIFS(Trato_Diario!$G$4:$G$300,Trato_Diario!$B$4:$B$300,8,Trato_Diario!$A$4:$A$300,$A75)=0),"",SUMIFS(Trato_Diario!$J$4:$J$300,Trato_Diario!$B$4:$B$300,8,Trato_Diario!$A$4:$A$300,$A75)/SUMIFS(Trato_Diario!$G$4:$G$300,Trato_Diario!$B$4:$B$300,8,Trato_Diario!$A$4:$A$300,$A75))</f>
        <v/>
      </c>
      <c r="J75" s="26" t="str">
        <f>IF(OR($A75&gt;MAX(Trato_Diario!$A$4:$A$300),SUMIFS(Trato_Diario!$G$4:$G$300,Trato_Diario!$B$4:$B$300,9,Trato_Diario!$A$4:$A$300,$A75)=0),"",SUMIFS(Trato_Diario!$J$4:$J$300,Trato_Diario!$B$4:$B$300,9,Trato_Diario!$A$4:$A$300,$A75)/SUMIFS(Trato_Diario!$G$4:$G$300,Trato_Diario!$B$4:$B$300,9,Trato_Diario!$A$4:$A$300,$A75))</f>
        <v/>
      </c>
      <c r="K75" s="26" t="str">
        <f>IF(OR($A75&gt;MAX(Trato_Diario!$A$4:$A$300),SUMIFS(Trato_Diario!$G$4:$G$300,Trato_Diario!$B$4:$B$300,10,Trato_Diario!$A$4:$A$300,$A75)=0),"",SUMIFS(Trato_Diario!$J$4:$J$300,Trato_Diario!$B$4:$B$300,10,Trato_Diario!$A$4:$A$300,$A75)/SUMIFS(Trato_Diario!$G$4:$G$300,Trato_Diario!$B$4:$B$300,10,Trato_Diario!$A$4:$A$300,$A75))</f>
        <v/>
      </c>
      <c r="L75" s="74" t="str">
        <f>IF(OR($A75&gt;MAX(Trato_Diario!$A$4:$A$300),SUMIFS(Trato_Diario!$G$4:$G$300,Trato_Diario!$A$4:$A$300,$A75)=0),"",SUMIFS(Trato_Diario!$J$4:$J$300,Trato_Diario!$A$4:$A$300,$A75)/SUMIFS(Trato_Diario!$G$4:$G$300,Trato_Diario!$A$4:$A$300,$A75))</f>
        <v/>
      </c>
    </row>
    <row r="76" spans="1:12" ht="14.25" customHeight="1" x14ac:dyDescent="0.3">
      <c r="A76" s="86">
        <v>46285</v>
      </c>
      <c r="B76" s="28" t="str">
        <f>IF(OR($A76&gt;MAX(Trato_Diario!$A$4:$A$300),SUMIFS(Trato_Diario!$G$4:$G$300,Trato_Diario!$B$4:$B$300,1,Trato_Diario!$A$4:$A$300,$A76)=0),"",SUMIFS(Trato_Diario!$J$4:$J$300,Trato_Diario!$B$4:$B$300,1,Trato_Diario!$A$4:$A$300,$A76)/SUMIFS(Trato_Diario!$G$4:$G$300,Trato_Diario!$B$4:$B$300,1,Trato_Diario!$A$4:$A$300,$A76))</f>
        <v/>
      </c>
      <c r="C76" s="28" t="str">
        <f>IF(OR($A76&gt;MAX(Trato_Diario!$A$4:$A$300),SUMIFS(Trato_Diario!$G$4:$G$300,Trato_Diario!$B$4:$B$300,2,Trato_Diario!$A$4:$A$300,$A76)=0),"",SUMIFS(Trato_Diario!$J$4:$J$300,Trato_Diario!$B$4:$B$300,2,Trato_Diario!$A$4:$A$300,$A76)/SUMIFS(Trato_Diario!$G$4:$G$300,Trato_Diario!$B$4:$B$300,2,Trato_Diario!$A$4:$A$300,$A76))</f>
        <v/>
      </c>
      <c r="D76" s="28" t="str">
        <f>IF(OR($A76&gt;MAX(Trato_Diario!$A$4:$A$300),SUMIFS(Trato_Diario!$G$4:$G$300,Trato_Diario!$B$4:$B$300,3,Trato_Diario!$A$4:$A$300,$A76)=0),"",SUMIFS(Trato_Diario!$J$4:$J$300,Trato_Diario!$B$4:$B$300,3,Trato_Diario!$A$4:$A$300,$A76)/SUMIFS(Trato_Diario!$G$4:$G$300,Trato_Diario!$B$4:$B$300,3,Trato_Diario!$A$4:$A$300,$A76))</f>
        <v/>
      </c>
      <c r="E76" s="28" t="str">
        <f>IF(OR($A76&gt;MAX(Trato_Diario!$A$4:$A$300),SUMIFS(Trato_Diario!$G$4:$G$300,Trato_Diario!$B$4:$B$300,4,Trato_Diario!$A$4:$A$300,$A76)=0),"",SUMIFS(Trato_Diario!$J$4:$J$300,Trato_Diario!$B$4:$B$300,4,Trato_Diario!$A$4:$A$300,$A76)/SUMIFS(Trato_Diario!$G$4:$G$300,Trato_Diario!$B$4:$B$300,4,Trato_Diario!$A$4:$A$300,$A76))</f>
        <v/>
      </c>
      <c r="F76" s="28" t="str">
        <f>IF(OR($A76&gt;MAX(Trato_Diario!$A$4:$A$300),SUMIFS(Trato_Diario!$G$4:$G$300,Trato_Diario!$B$4:$B$300,5,Trato_Diario!$A$4:$A$300,$A76)=0),"",SUMIFS(Trato_Diario!$J$4:$J$300,Trato_Diario!$B$4:$B$300,5,Trato_Diario!$A$4:$A$300,$A76)/SUMIFS(Trato_Diario!$G$4:$G$300,Trato_Diario!$B$4:$B$300,5,Trato_Diario!$A$4:$A$300,$A76))</f>
        <v/>
      </c>
      <c r="G76" s="28" t="str">
        <f>IF(OR($A76&gt;MAX(Trato_Diario!$A$4:$A$300),SUMIFS(Trato_Diario!$G$4:$G$300,Trato_Diario!$B$4:$B$300,6,Trato_Diario!$A$4:$A$300,$A76)=0),"",SUMIFS(Trato_Diario!$J$4:$J$300,Trato_Diario!$B$4:$B$300,6,Trato_Diario!$A$4:$A$300,$A76)/SUMIFS(Trato_Diario!$G$4:$G$300,Trato_Diario!$B$4:$B$300,6,Trato_Diario!$A$4:$A$300,$A76))</f>
        <v/>
      </c>
      <c r="H76" s="28" t="str">
        <f>IF(OR($A76&gt;MAX(Trato_Diario!$A$4:$A$300),SUMIFS(Trato_Diario!$G$4:$G$300,Trato_Diario!$B$4:$B$300,7,Trato_Diario!$A$4:$A$300,$A76)=0),"",SUMIFS(Trato_Diario!$J$4:$J$300,Trato_Diario!$B$4:$B$300,7,Trato_Diario!$A$4:$A$300,$A76)/SUMIFS(Trato_Diario!$G$4:$G$300,Trato_Diario!$B$4:$B$300,7,Trato_Diario!$A$4:$A$300,$A76))</f>
        <v/>
      </c>
      <c r="I76" s="28" t="str">
        <f>IF(OR($A76&gt;MAX(Trato_Diario!$A$4:$A$300),SUMIFS(Trato_Diario!$G$4:$G$300,Trato_Diario!$B$4:$B$300,8,Trato_Diario!$A$4:$A$300,$A76)=0),"",SUMIFS(Trato_Diario!$J$4:$J$300,Trato_Diario!$B$4:$B$300,8,Trato_Diario!$A$4:$A$300,$A76)/SUMIFS(Trato_Diario!$G$4:$G$300,Trato_Diario!$B$4:$B$300,8,Trato_Diario!$A$4:$A$300,$A76))</f>
        <v/>
      </c>
      <c r="J76" s="28" t="str">
        <f>IF(OR($A76&gt;MAX(Trato_Diario!$A$4:$A$300),SUMIFS(Trato_Diario!$G$4:$G$300,Trato_Diario!$B$4:$B$300,9,Trato_Diario!$A$4:$A$300,$A76)=0),"",SUMIFS(Trato_Diario!$J$4:$J$300,Trato_Diario!$B$4:$B$300,9,Trato_Diario!$A$4:$A$300,$A76)/SUMIFS(Trato_Diario!$G$4:$G$300,Trato_Diario!$B$4:$B$300,9,Trato_Diario!$A$4:$A$300,$A76))</f>
        <v/>
      </c>
      <c r="K76" s="28" t="str">
        <f>IF(OR($A76&gt;MAX(Trato_Diario!$A$4:$A$300),SUMIFS(Trato_Diario!$G$4:$G$300,Trato_Diario!$B$4:$B$300,10,Trato_Diario!$A$4:$A$300,$A76)=0),"",SUMIFS(Trato_Diario!$J$4:$J$300,Trato_Diario!$B$4:$B$300,10,Trato_Diario!$A$4:$A$300,$A76)/SUMIFS(Trato_Diario!$G$4:$G$300,Trato_Diario!$B$4:$B$300,10,Trato_Diario!$A$4:$A$300,$A76))</f>
        <v/>
      </c>
      <c r="L76" s="76" t="str">
        <f>IF(OR($A76&gt;MAX(Trato_Diario!$A$4:$A$300),SUMIFS(Trato_Diario!$G$4:$G$300,Trato_Diario!$A$4:$A$300,$A76)=0),"",SUMIFS(Trato_Diario!$J$4:$J$300,Trato_Diario!$A$4:$A$300,$A76)/SUMIFS(Trato_Diario!$G$4:$G$300,Trato_Diario!$A$4:$A$300,$A76))</f>
        <v/>
      </c>
    </row>
    <row r="77" spans="1:12" ht="14.25" customHeight="1" x14ac:dyDescent="0.3">
      <c r="A77" s="85">
        <v>46286</v>
      </c>
      <c r="B77" s="26" t="str">
        <f>IF(OR($A77&gt;MAX(Trato_Diario!$A$4:$A$300),SUMIFS(Trato_Diario!$G$4:$G$300,Trato_Diario!$B$4:$B$300,1,Trato_Diario!$A$4:$A$300,$A77)=0),"",SUMIFS(Trato_Diario!$J$4:$J$300,Trato_Diario!$B$4:$B$300,1,Trato_Diario!$A$4:$A$300,$A77)/SUMIFS(Trato_Diario!$G$4:$G$300,Trato_Diario!$B$4:$B$300,1,Trato_Diario!$A$4:$A$300,$A77))</f>
        <v/>
      </c>
      <c r="C77" s="26" t="str">
        <f>IF(OR($A77&gt;MAX(Trato_Diario!$A$4:$A$300),SUMIFS(Trato_Diario!$G$4:$G$300,Trato_Diario!$B$4:$B$300,2,Trato_Diario!$A$4:$A$300,$A77)=0),"",SUMIFS(Trato_Diario!$J$4:$J$300,Trato_Diario!$B$4:$B$300,2,Trato_Diario!$A$4:$A$300,$A77)/SUMIFS(Trato_Diario!$G$4:$G$300,Trato_Diario!$B$4:$B$300,2,Trato_Diario!$A$4:$A$300,$A77))</f>
        <v/>
      </c>
      <c r="D77" s="26" t="str">
        <f>IF(OR($A77&gt;MAX(Trato_Diario!$A$4:$A$300),SUMIFS(Trato_Diario!$G$4:$G$300,Trato_Diario!$B$4:$B$300,3,Trato_Diario!$A$4:$A$300,$A77)=0),"",SUMIFS(Trato_Diario!$J$4:$J$300,Trato_Diario!$B$4:$B$300,3,Trato_Diario!$A$4:$A$300,$A77)/SUMIFS(Trato_Diario!$G$4:$G$300,Trato_Diario!$B$4:$B$300,3,Trato_Diario!$A$4:$A$300,$A77))</f>
        <v/>
      </c>
      <c r="E77" s="26" t="str">
        <f>IF(OR($A77&gt;MAX(Trato_Diario!$A$4:$A$300),SUMIFS(Trato_Diario!$G$4:$G$300,Trato_Diario!$B$4:$B$300,4,Trato_Diario!$A$4:$A$300,$A77)=0),"",SUMIFS(Trato_Diario!$J$4:$J$300,Trato_Diario!$B$4:$B$300,4,Trato_Diario!$A$4:$A$300,$A77)/SUMIFS(Trato_Diario!$G$4:$G$300,Trato_Diario!$B$4:$B$300,4,Trato_Diario!$A$4:$A$300,$A77))</f>
        <v/>
      </c>
      <c r="F77" s="26" t="str">
        <f>IF(OR($A77&gt;MAX(Trato_Diario!$A$4:$A$300),SUMIFS(Trato_Diario!$G$4:$G$300,Trato_Diario!$B$4:$B$300,5,Trato_Diario!$A$4:$A$300,$A77)=0),"",SUMIFS(Trato_Diario!$J$4:$J$300,Trato_Diario!$B$4:$B$300,5,Trato_Diario!$A$4:$A$300,$A77)/SUMIFS(Trato_Diario!$G$4:$G$300,Trato_Diario!$B$4:$B$300,5,Trato_Diario!$A$4:$A$300,$A77))</f>
        <v/>
      </c>
      <c r="G77" s="26" t="str">
        <f>IF(OR($A77&gt;MAX(Trato_Diario!$A$4:$A$300),SUMIFS(Trato_Diario!$G$4:$G$300,Trato_Diario!$B$4:$B$300,6,Trato_Diario!$A$4:$A$300,$A77)=0),"",SUMIFS(Trato_Diario!$J$4:$J$300,Trato_Diario!$B$4:$B$300,6,Trato_Diario!$A$4:$A$300,$A77)/SUMIFS(Trato_Diario!$G$4:$G$300,Trato_Diario!$B$4:$B$300,6,Trato_Diario!$A$4:$A$300,$A77))</f>
        <v/>
      </c>
      <c r="H77" s="26" t="str">
        <f>IF(OR($A77&gt;MAX(Trato_Diario!$A$4:$A$300),SUMIFS(Trato_Diario!$G$4:$G$300,Trato_Diario!$B$4:$B$300,7,Trato_Diario!$A$4:$A$300,$A77)=0),"",SUMIFS(Trato_Diario!$J$4:$J$300,Trato_Diario!$B$4:$B$300,7,Trato_Diario!$A$4:$A$300,$A77)/SUMIFS(Trato_Diario!$G$4:$G$300,Trato_Diario!$B$4:$B$300,7,Trato_Diario!$A$4:$A$300,$A77))</f>
        <v/>
      </c>
      <c r="I77" s="26" t="str">
        <f>IF(OR($A77&gt;MAX(Trato_Diario!$A$4:$A$300),SUMIFS(Trato_Diario!$G$4:$G$300,Trato_Diario!$B$4:$B$300,8,Trato_Diario!$A$4:$A$300,$A77)=0),"",SUMIFS(Trato_Diario!$J$4:$J$300,Trato_Diario!$B$4:$B$300,8,Trato_Diario!$A$4:$A$300,$A77)/SUMIFS(Trato_Diario!$G$4:$G$300,Trato_Diario!$B$4:$B$300,8,Trato_Diario!$A$4:$A$300,$A77))</f>
        <v/>
      </c>
      <c r="J77" s="26" t="str">
        <f>IF(OR($A77&gt;MAX(Trato_Diario!$A$4:$A$300),SUMIFS(Trato_Diario!$G$4:$G$300,Trato_Diario!$B$4:$B$300,9,Trato_Diario!$A$4:$A$300,$A77)=0),"",SUMIFS(Trato_Diario!$J$4:$J$300,Trato_Diario!$B$4:$B$300,9,Trato_Diario!$A$4:$A$300,$A77)/SUMIFS(Trato_Diario!$G$4:$G$300,Trato_Diario!$B$4:$B$300,9,Trato_Diario!$A$4:$A$300,$A77))</f>
        <v/>
      </c>
      <c r="K77" s="26" t="str">
        <f>IF(OR($A77&gt;MAX(Trato_Diario!$A$4:$A$300),SUMIFS(Trato_Diario!$G$4:$G$300,Trato_Diario!$B$4:$B$300,10,Trato_Diario!$A$4:$A$300,$A77)=0),"",SUMIFS(Trato_Diario!$J$4:$J$300,Trato_Diario!$B$4:$B$300,10,Trato_Diario!$A$4:$A$300,$A77)/SUMIFS(Trato_Diario!$G$4:$G$300,Trato_Diario!$B$4:$B$300,10,Trato_Diario!$A$4:$A$300,$A77))</f>
        <v/>
      </c>
      <c r="L77" s="74" t="str">
        <f>IF(OR($A77&gt;MAX(Trato_Diario!$A$4:$A$300),SUMIFS(Trato_Diario!$G$4:$G$300,Trato_Diario!$A$4:$A$300,$A77)=0),"",SUMIFS(Trato_Diario!$J$4:$J$300,Trato_Diario!$A$4:$A$300,$A77)/SUMIFS(Trato_Diario!$G$4:$G$300,Trato_Diario!$A$4:$A$300,$A77))</f>
        <v/>
      </c>
    </row>
    <row r="78" spans="1:12" ht="14.25" customHeight="1" x14ac:dyDescent="0.3">
      <c r="A78" s="86">
        <v>46287</v>
      </c>
      <c r="B78" s="28" t="str">
        <f>IF(OR($A78&gt;MAX(Trato_Diario!$A$4:$A$300),SUMIFS(Trato_Diario!$G$4:$G$300,Trato_Diario!$B$4:$B$300,1,Trato_Diario!$A$4:$A$300,$A78)=0),"",SUMIFS(Trato_Diario!$J$4:$J$300,Trato_Diario!$B$4:$B$300,1,Trato_Diario!$A$4:$A$300,$A78)/SUMIFS(Trato_Diario!$G$4:$G$300,Trato_Diario!$B$4:$B$300,1,Trato_Diario!$A$4:$A$300,$A78))</f>
        <v/>
      </c>
      <c r="C78" s="28" t="str">
        <f>IF(OR($A78&gt;MAX(Trato_Diario!$A$4:$A$300),SUMIFS(Trato_Diario!$G$4:$G$300,Trato_Diario!$B$4:$B$300,2,Trato_Diario!$A$4:$A$300,$A78)=0),"",SUMIFS(Trato_Diario!$J$4:$J$300,Trato_Diario!$B$4:$B$300,2,Trato_Diario!$A$4:$A$300,$A78)/SUMIFS(Trato_Diario!$G$4:$G$300,Trato_Diario!$B$4:$B$300,2,Trato_Diario!$A$4:$A$300,$A78))</f>
        <v/>
      </c>
      <c r="D78" s="28" t="str">
        <f>IF(OR($A78&gt;MAX(Trato_Diario!$A$4:$A$300),SUMIFS(Trato_Diario!$G$4:$G$300,Trato_Diario!$B$4:$B$300,3,Trato_Diario!$A$4:$A$300,$A78)=0),"",SUMIFS(Trato_Diario!$J$4:$J$300,Trato_Diario!$B$4:$B$300,3,Trato_Diario!$A$4:$A$300,$A78)/SUMIFS(Trato_Diario!$G$4:$G$300,Trato_Diario!$B$4:$B$300,3,Trato_Diario!$A$4:$A$300,$A78))</f>
        <v/>
      </c>
      <c r="E78" s="28" t="str">
        <f>IF(OR($A78&gt;MAX(Trato_Diario!$A$4:$A$300),SUMIFS(Trato_Diario!$G$4:$G$300,Trato_Diario!$B$4:$B$300,4,Trato_Diario!$A$4:$A$300,$A78)=0),"",SUMIFS(Trato_Diario!$J$4:$J$300,Trato_Diario!$B$4:$B$300,4,Trato_Diario!$A$4:$A$300,$A78)/SUMIFS(Trato_Diario!$G$4:$G$300,Trato_Diario!$B$4:$B$300,4,Trato_Diario!$A$4:$A$300,$A78))</f>
        <v/>
      </c>
      <c r="F78" s="28" t="str">
        <f>IF(OR($A78&gt;MAX(Trato_Diario!$A$4:$A$300),SUMIFS(Trato_Diario!$G$4:$G$300,Trato_Diario!$B$4:$B$300,5,Trato_Diario!$A$4:$A$300,$A78)=0),"",SUMIFS(Trato_Diario!$J$4:$J$300,Trato_Diario!$B$4:$B$300,5,Trato_Diario!$A$4:$A$300,$A78)/SUMIFS(Trato_Diario!$G$4:$G$300,Trato_Diario!$B$4:$B$300,5,Trato_Diario!$A$4:$A$300,$A78))</f>
        <v/>
      </c>
      <c r="G78" s="28" t="str">
        <f>IF(OR($A78&gt;MAX(Trato_Diario!$A$4:$A$300),SUMIFS(Trato_Diario!$G$4:$G$300,Trato_Diario!$B$4:$B$300,6,Trato_Diario!$A$4:$A$300,$A78)=0),"",SUMIFS(Trato_Diario!$J$4:$J$300,Trato_Diario!$B$4:$B$300,6,Trato_Diario!$A$4:$A$300,$A78)/SUMIFS(Trato_Diario!$G$4:$G$300,Trato_Diario!$B$4:$B$300,6,Trato_Diario!$A$4:$A$300,$A78))</f>
        <v/>
      </c>
      <c r="H78" s="28" t="str">
        <f>IF(OR($A78&gt;MAX(Trato_Diario!$A$4:$A$300),SUMIFS(Trato_Diario!$G$4:$G$300,Trato_Diario!$B$4:$B$300,7,Trato_Diario!$A$4:$A$300,$A78)=0),"",SUMIFS(Trato_Diario!$J$4:$J$300,Trato_Diario!$B$4:$B$300,7,Trato_Diario!$A$4:$A$300,$A78)/SUMIFS(Trato_Diario!$G$4:$G$300,Trato_Diario!$B$4:$B$300,7,Trato_Diario!$A$4:$A$300,$A78))</f>
        <v/>
      </c>
      <c r="I78" s="28" t="str">
        <f>IF(OR($A78&gt;MAX(Trato_Diario!$A$4:$A$300),SUMIFS(Trato_Diario!$G$4:$G$300,Trato_Diario!$B$4:$B$300,8,Trato_Diario!$A$4:$A$300,$A78)=0),"",SUMIFS(Trato_Diario!$J$4:$J$300,Trato_Diario!$B$4:$B$300,8,Trato_Diario!$A$4:$A$300,$A78)/SUMIFS(Trato_Diario!$G$4:$G$300,Trato_Diario!$B$4:$B$300,8,Trato_Diario!$A$4:$A$300,$A78))</f>
        <v/>
      </c>
      <c r="J78" s="28" t="str">
        <f>IF(OR($A78&gt;MAX(Trato_Diario!$A$4:$A$300),SUMIFS(Trato_Diario!$G$4:$G$300,Trato_Diario!$B$4:$B$300,9,Trato_Diario!$A$4:$A$300,$A78)=0),"",SUMIFS(Trato_Diario!$J$4:$J$300,Trato_Diario!$B$4:$B$300,9,Trato_Diario!$A$4:$A$300,$A78)/SUMIFS(Trato_Diario!$G$4:$G$300,Trato_Diario!$B$4:$B$300,9,Trato_Diario!$A$4:$A$300,$A78))</f>
        <v/>
      </c>
      <c r="K78" s="28" t="str">
        <f>IF(OR($A78&gt;MAX(Trato_Diario!$A$4:$A$300),SUMIFS(Trato_Diario!$G$4:$G$300,Trato_Diario!$B$4:$B$300,10,Trato_Diario!$A$4:$A$300,$A78)=0),"",SUMIFS(Trato_Diario!$J$4:$J$300,Trato_Diario!$B$4:$B$300,10,Trato_Diario!$A$4:$A$300,$A78)/SUMIFS(Trato_Diario!$G$4:$G$300,Trato_Diario!$B$4:$B$300,10,Trato_Diario!$A$4:$A$300,$A78))</f>
        <v/>
      </c>
      <c r="L78" s="76" t="str">
        <f>IF(OR($A78&gt;MAX(Trato_Diario!$A$4:$A$300),SUMIFS(Trato_Diario!$G$4:$G$300,Trato_Diario!$A$4:$A$300,$A78)=0),"",SUMIFS(Trato_Diario!$J$4:$J$300,Trato_Diario!$A$4:$A$300,$A78)/SUMIFS(Trato_Diario!$G$4:$G$300,Trato_Diario!$A$4:$A$300,$A78))</f>
        <v/>
      </c>
    </row>
    <row r="79" spans="1:12" ht="14.25" customHeight="1" x14ac:dyDescent="0.3">
      <c r="A79" s="85">
        <v>46288</v>
      </c>
      <c r="B79" s="26" t="str">
        <f>IF(OR($A79&gt;MAX(Trato_Diario!$A$4:$A$300),SUMIFS(Trato_Diario!$G$4:$G$300,Trato_Diario!$B$4:$B$300,1,Trato_Diario!$A$4:$A$300,$A79)=0),"",SUMIFS(Trato_Diario!$J$4:$J$300,Trato_Diario!$B$4:$B$300,1,Trato_Diario!$A$4:$A$300,$A79)/SUMIFS(Trato_Diario!$G$4:$G$300,Trato_Diario!$B$4:$B$300,1,Trato_Diario!$A$4:$A$300,$A79))</f>
        <v/>
      </c>
      <c r="C79" s="26" t="str">
        <f>IF(OR($A79&gt;MAX(Trato_Diario!$A$4:$A$300),SUMIFS(Trato_Diario!$G$4:$G$300,Trato_Diario!$B$4:$B$300,2,Trato_Diario!$A$4:$A$300,$A79)=0),"",SUMIFS(Trato_Diario!$J$4:$J$300,Trato_Diario!$B$4:$B$300,2,Trato_Diario!$A$4:$A$300,$A79)/SUMIFS(Trato_Diario!$G$4:$G$300,Trato_Diario!$B$4:$B$300,2,Trato_Diario!$A$4:$A$300,$A79))</f>
        <v/>
      </c>
      <c r="D79" s="26" t="str">
        <f>IF(OR($A79&gt;MAX(Trato_Diario!$A$4:$A$300),SUMIFS(Trato_Diario!$G$4:$G$300,Trato_Diario!$B$4:$B$300,3,Trato_Diario!$A$4:$A$300,$A79)=0),"",SUMIFS(Trato_Diario!$J$4:$J$300,Trato_Diario!$B$4:$B$300,3,Trato_Diario!$A$4:$A$300,$A79)/SUMIFS(Trato_Diario!$G$4:$G$300,Trato_Diario!$B$4:$B$300,3,Trato_Diario!$A$4:$A$300,$A79))</f>
        <v/>
      </c>
      <c r="E79" s="26" t="str">
        <f>IF(OR($A79&gt;MAX(Trato_Diario!$A$4:$A$300),SUMIFS(Trato_Diario!$G$4:$G$300,Trato_Diario!$B$4:$B$300,4,Trato_Diario!$A$4:$A$300,$A79)=0),"",SUMIFS(Trato_Diario!$J$4:$J$300,Trato_Diario!$B$4:$B$300,4,Trato_Diario!$A$4:$A$300,$A79)/SUMIFS(Trato_Diario!$G$4:$G$300,Trato_Diario!$B$4:$B$300,4,Trato_Diario!$A$4:$A$300,$A79))</f>
        <v/>
      </c>
      <c r="F79" s="26" t="str">
        <f>IF(OR($A79&gt;MAX(Trato_Diario!$A$4:$A$300),SUMIFS(Trato_Diario!$G$4:$G$300,Trato_Diario!$B$4:$B$300,5,Trato_Diario!$A$4:$A$300,$A79)=0),"",SUMIFS(Trato_Diario!$J$4:$J$300,Trato_Diario!$B$4:$B$300,5,Trato_Diario!$A$4:$A$300,$A79)/SUMIFS(Trato_Diario!$G$4:$G$300,Trato_Diario!$B$4:$B$300,5,Trato_Diario!$A$4:$A$300,$A79))</f>
        <v/>
      </c>
      <c r="G79" s="26" t="str">
        <f>IF(OR($A79&gt;MAX(Trato_Diario!$A$4:$A$300),SUMIFS(Trato_Diario!$G$4:$G$300,Trato_Diario!$B$4:$B$300,6,Trato_Diario!$A$4:$A$300,$A79)=0),"",SUMIFS(Trato_Diario!$J$4:$J$300,Trato_Diario!$B$4:$B$300,6,Trato_Diario!$A$4:$A$300,$A79)/SUMIFS(Trato_Diario!$G$4:$G$300,Trato_Diario!$B$4:$B$300,6,Trato_Diario!$A$4:$A$300,$A79))</f>
        <v/>
      </c>
      <c r="H79" s="26" t="str">
        <f>IF(OR($A79&gt;MAX(Trato_Diario!$A$4:$A$300),SUMIFS(Trato_Diario!$G$4:$G$300,Trato_Diario!$B$4:$B$300,7,Trato_Diario!$A$4:$A$300,$A79)=0),"",SUMIFS(Trato_Diario!$J$4:$J$300,Trato_Diario!$B$4:$B$300,7,Trato_Diario!$A$4:$A$300,$A79)/SUMIFS(Trato_Diario!$G$4:$G$300,Trato_Diario!$B$4:$B$300,7,Trato_Diario!$A$4:$A$300,$A79))</f>
        <v/>
      </c>
      <c r="I79" s="26" t="str">
        <f>IF(OR($A79&gt;MAX(Trato_Diario!$A$4:$A$300),SUMIFS(Trato_Diario!$G$4:$G$300,Trato_Diario!$B$4:$B$300,8,Trato_Diario!$A$4:$A$300,$A79)=0),"",SUMIFS(Trato_Diario!$J$4:$J$300,Trato_Diario!$B$4:$B$300,8,Trato_Diario!$A$4:$A$300,$A79)/SUMIFS(Trato_Diario!$G$4:$G$300,Trato_Diario!$B$4:$B$300,8,Trato_Diario!$A$4:$A$300,$A79))</f>
        <v/>
      </c>
      <c r="J79" s="26" t="str">
        <f>IF(OR($A79&gt;MAX(Trato_Diario!$A$4:$A$300),SUMIFS(Trato_Diario!$G$4:$G$300,Trato_Diario!$B$4:$B$300,9,Trato_Diario!$A$4:$A$300,$A79)=0),"",SUMIFS(Trato_Diario!$J$4:$J$300,Trato_Diario!$B$4:$B$300,9,Trato_Diario!$A$4:$A$300,$A79)/SUMIFS(Trato_Diario!$G$4:$G$300,Trato_Diario!$B$4:$B$300,9,Trato_Diario!$A$4:$A$300,$A79))</f>
        <v/>
      </c>
      <c r="K79" s="26" t="str">
        <f>IF(OR($A79&gt;MAX(Trato_Diario!$A$4:$A$300),SUMIFS(Trato_Diario!$G$4:$G$300,Trato_Diario!$B$4:$B$300,10,Trato_Diario!$A$4:$A$300,$A79)=0),"",SUMIFS(Trato_Diario!$J$4:$J$300,Trato_Diario!$B$4:$B$300,10,Trato_Diario!$A$4:$A$300,$A79)/SUMIFS(Trato_Diario!$G$4:$G$300,Trato_Diario!$B$4:$B$300,10,Trato_Diario!$A$4:$A$300,$A79))</f>
        <v/>
      </c>
      <c r="L79" s="74" t="str">
        <f>IF(OR($A79&gt;MAX(Trato_Diario!$A$4:$A$300),SUMIFS(Trato_Diario!$G$4:$G$300,Trato_Diario!$A$4:$A$300,$A79)=0),"",SUMIFS(Trato_Diario!$J$4:$J$300,Trato_Diario!$A$4:$A$300,$A79)/SUMIFS(Trato_Diario!$G$4:$G$300,Trato_Diario!$A$4:$A$300,$A79))</f>
        <v/>
      </c>
    </row>
    <row r="80" spans="1:12" ht="14.25" customHeight="1" x14ac:dyDescent="0.3">
      <c r="A80" s="86">
        <v>46289</v>
      </c>
      <c r="B80" s="28" t="str">
        <f>IF(OR($A80&gt;MAX(Trato_Diario!$A$4:$A$300),SUMIFS(Trato_Diario!$G$4:$G$300,Trato_Diario!$B$4:$B$300,1,Trato_Diario!$A$4:$A$300,$A80)=0),"",SUMIFS(Trato_Diario!$J$4:$J$300,Trato_Diario!$B$4:$B$300,1,Trato_Diario!$A$4:$A$300,$A80)/SUMIFS(Trato_Diario!$G$4:$G$300,Trato_Diario!$B$4:$B$300,1,Trato_Diario!$A$4:$A$300,$A80))</f>
        <v/>
      </c>
      <c r="C80" s="28" t="str">
        <f>IF(OR($A80&gt;MAX(Trato_Diario!$A$4:$A$300),SUMIFS(Trato_Diario!$G$4:$G$300,Trato_Diario!$B$4:$B$300,2,Trato_Diario!$A$4:$A$300,$A80)=0),"",SUMIFS(Trato_Diario!$J$4:$J$300,Trato_Diario!$B$4:$B$300,2,Trato_Diario!$A$4:$A$300,$A80)/SUMIFS(Trato_Diario!$G$4:$G$300,Trato_Diario!$B$4:$B$300,2,Trato_Diario!$A$4:$A$300,$A80))</f>
        <v/>
      </c>
      <c r="D80" s="28" t="str">
        <f>IF(OR($A80&gt;MAX(Trato_Diario!$A$4:$A$300),SUMIFS(Trato_Diario!$G$4:$G$300,Trato_Diario!$B$4:$B$300,3,Trato_Diario!$A$4:$A$300,$A80)=0),"",SUMIFS(Trato_Diario!$J$4:$J$300,Trato_Diario!$B$4:$B$300,3,Trato_Diario!$A$4:$A$300,$A80)/SUMIFS(Trato_Diario!$G$4:$G$300,Trato_Diario!$B$4:$B$300,3,Trato_Diario!$A$4:$A$300,$A80))</f>
        <v/>
      </c>
      <c r="E80" s="28" t="str">
        <f>IF(OR($A80&gt;MAX(Trato_Diario!$A$4:$A$300),SUMIFS(Trato_Diario!$G$4:$G$300,Trato_Diario!$B$4:$B$300,4,Trato_Diario!$A$4:$A$300,$A80)=0),"",SUMIFS(Trato_Diario!$J$4:$J$300,Trato_Diario!$B$4:$B$300,4,Trato_Diario!$A$4:$A$300,$A80)/SUMIFS(Trato_Diario!$G$4:$G$300,Trato_Diario!$B$4:$B$300,4,Trato_Diario!$A$4:$A$300,$A80))</f>
        <v/>
      </c>
      <c r="F80" s="28" t="str">
        <f>IF(OR($A80&gt;MAX(Trato_Diario!$A$4:$A$300),SUMIFS(Trato_Diario!$G$4:$G$300,Trato_Diario!$B$4:$B$300,5,Trato_Diario!$A$4:$A$300,$A80)=0),"",SUMIFS(Trato_Diario!$J$4:$J$300,Trato_Diario!$B$4:$B$300,5,Trato_Diario!$A$4:$A$300,$A80)/SUMIFS(Trato_Diario!$G$4:$G$300,Trato_Diario!$B$4:$B$300,5,Trato_Diario!$A$4:$A$300,$A80))</f>
        <v/>
      </c>
      <c r="G80" s="28" t="str">
        <f>IF(OR($A80&gt;MAX(Trato_Diario!$A$4:$A$300),SUMIFS(Trato_Diario!$G$4:$G$300,Trato_Diario!$B$4:$B$300,6,Trato_Diario!$A$4:$A$300,$A80)=0),"",SUMIFS(Trato_Diario!$J$4:$J$300,Trato_Diario!$B$4:$B$300,6,Trato_Diario!$A$4:$A$300,$A80)/SUMIFS(Trato_Diario!$G$4:$G$300,Trato_Diario!$B$4:$B$300,6,Trato_Diario!$A$4:$A$300,$A80))</f>
        <v/>
      </c>
      <c r="H80" s="28" t="str">
        <f>IF(OR($A80&gt;MAX(Trato_Diario!$A$4:$A$300),SUMIFS(Trato_Diario!$G$4:$G$300,Trato_Diario!$B$4:$B$300,7,Trato_Diario!$A$4:$A$300,$A80)=0),"",SUMIFS(Trato_Diario!$J$4:$J$300,Trato_Diario!$B$4:$B$300,7,Trato_Diario!$A$4:$A$300,$A80)/SUMIFS(Trato_Diario!$G$4:$G$300,Trato_Diario!$B$4:$B$300,7,Trato_Diario!$A$4:$A$300,$A80))</f>
        <v/>
      </c>
      <c r="I80" s="28" t="str">
        <f>IF(OR($A80&gt;MAX(Trato_Diario!$A$4:$A$300),SUMIFS(Trato_Diario!$G$4:$G$300,Trato_Diario!$B$4:$B$300,8,Trato_Diario!$A$4:$A$300,$A80)=0),"",SUMIFS(Trato_Diario!$J$4:$J$300,Trato_Diario!$B$4:$B$300,8,Trato_Diario!$A$4:$A$300,$A80)/SUMIFS(Trato_Diario!$G$4:$G$300,Trato_Diario!$B$4:$B$300,8,Trato_Diario!$A$4:$A$300,$A80))</f>
        <v/>
      </c>
      <c r="J80" s="28" t="str">
        <f>IF(OR($A80&gt;MAX(Trato_Diario!$A$4:$A$300),SUMIFS(Trato_Diario!$G$4:$G$300,Trato_Diario!$B$4:$B$300,9,Trato_Diario!$A$4:$A$300,$A80)=0),"",SUMIFS(Trato_Diario!$J$4:$J$300,Trato_Diario!$B$4:$B$300,9,Trato_Diario!$A$4:$A$300,$A80)/SUMIFS(Trato_Diario!$G$4:$G$300,Trato_Diario!$B$4:$B$300,9,Trato_Diario!$A$4:$A$300,$A80))</f>
        <v/>
      </c>
      <c r="K80" s="28" t="str">
        <f>IF(OR($A80&gt;MAX(Trato_Diario!$A$4:$A$300),SUMIFS(Trato_Diario!$G$4:$G$300,Trato_Diario!$B$4:$B$300,10,Trato_Diario!$A$4:$A$300,$A80)=0),"",SUMIFS(Trato_Diario!$J$4:$J$300,Trato_Diario!$B$4:$B$300,10,Trato_Diario!$A$4:$A$300,$A80)/SUMIFS(Trato_Diario!$G$4:$G$300,Trato_Diario!$B$4:$B$300,10,Trato_Diario!$A$4:$A$300,$A80))</f>
        <v/>
      </c>
      <c r="L80" s="76" t="str">
        <f>IF(OR($A80&gt;MAX(Trato_Diario!$A$4:$A$300),SUMIFS(Trato_Diario!$G$4:$G$300,Trato_Diario!$A$4:$A$300,$A80)=0),"",SUMIFS(Trato_Diario!$J$4:$J$300,Trato_Diario!$A$4:$A$300,$A80)/SUMIFS(Trato_Diario!$G$4:$G$300,Trato_Diario!$A$4:$A$300,$A80))</f>
        <v/>
      </c>
    </row>
    <row r="81" spans="1:12" ht="14.25" customHeight="1" x14ac:dyDescent="0.3">
      <c r="A81" s="85">
        <v>46290</v>
      </c>
      <c r="B81" s="26" t="str">
        <f>IF(OR($A81&gt;MAX(Trato_Diario!$A$4:$A$300),SUMIFS(Trato_Diario!$G$4:$G$300,Trato_Diario!$B$4:$B$300,1,Trato_Diario!$A$4:$A$300,$A81)=0),"",SUMIFS(Trato_Diario!$J$4:$J$300,Trato_Diario!$B$4:$B$300,1,Trato_Diario!$A$4:$A$300,$A81)/SUMIFS(Trato_Diario!$G$4:$G$300,Trato_Diario!$B$4:$B$300,1,Trato_Diario!$A$4:$A$300,$A81))</f>
        <v/>
      </c>
      <c r="C81" s="26" t="str">
        <f>IF(OR($A81&gt;MAX(Trato_Diario!$A$4:$A$300),SUMIFS(Trato_Diario!$G$4:$G$300,Trato_Diario!$B$4:$B$300,2,Trato_Diario!$A$4:$A$300,$A81)=0),"",SUMIFS(Trato_Diario!$J$4:$J$300,Trato_Diario!$B$4:$B$300,2,Trato_Diario!$A$4:$A$300,$A81)/SUMIFS(Trato_Diario!$G$4:$G$300,Trato_Diario!$B$4:$B$300,2,Trato_Diario!$A$4:$A$300,$A81))</f>
        <v/>
      </c>
      <c r="D81" s="26" t="str">
        <f>IF(OR($A81&gt;MAX(Trato_Diario!$A$4:$A$300),SUMIFS(Trato_Diario!$G$4:$G$300,Trato_Diario!$B$4:$B$300,3,Trato_Diario!$A$4:$A$300,$A81)=0),"",SUMIFS(Trato_Diario!$J$4:$J$300,Trato_Diario!$B$4:$B$300,3,Trato_Diario!$A$4:$A$300,$A81)/SUMIFS(Trato_Diario!$G$4:$G$300,Trato_Diario!$B$4:$B$300,3,Trato_Diario!$A$4:$A$300,$A81))</f>
        <v/>
      </c>
      <c r="E81" s="26" t="str">
        <f>IF(OR($A81&gt;MAX(Trato_Diario!$A$4:$A$300),SUMIFS(Trato_Diario!$G$4:$G$300,Trato_Diario!$B$4:$B$300,4,Trato_Diario!$A$4:$A$300,$A81)=0),"",SUMIFS(Trato_Diario!$J$4:$J$300,Trato_Diario!$B$4:$B$300,4,Trato_Diario!$A$4:$A$300,$A81)/SUMIFS(Trato_Diario!$G$4:$G$300,Trato_Diario!$B$4:$B$300,4,Trato_Diario!$A$4:$A$300,$A81))</f>
        <v/>
      </c>
      <c r="F81" s="26" t="str">
        <f>IF(OR($A81&gt;MAX(Trato_Diario!$A$4:$A$300),SUMIFS(Trato_Diario!$G$4:$G$300,Trato_Diario!$B$4:$B$300,5,Trato_Diario!$A$4:$A$300,$A81)=0),"",SUMIFS(Trato_Diario!$J$4:$J$300,Trato_Diario!$B$4:$B$300,5,Trato_Diario!$A$4:$A$300,$A81)/SUMIFS(Trato_Diario!$G$4:$G$300,Trato_Diario!$B$4:$B$300,5,Trato_Diario!$A$4:$A$300,$A81))</f>
        <v/>
      </c>
      <c r="G81" s="26" t="str">
        <f>IF(OR($A81&gt;MAX(Trato_Diario!$A$4:$A$300),SUMIFS(Trato_Diario!$G$4:$G$300,Trato_Diario!$B$4:$B$300,6,Trato_Diario!$A$4:$A$300,$A81)=0),"",SUMIFS(Trato_Diario!$J$4:$J$300,Trato_Diario!$B$4:$B$300,6,Trato_Diario!$A$4:$A$300,$A81)/SUMIFS(Trato_Diario!$G$4:$G$300,Trato_Diario!$B$4:$B$300,6,Trato_Diario!$A$4:$A$300,$A81))</f>
        <v/>
      </c>
      <c r="H81" s="26" t="str">
        <f>IF(OR($A81&gt;MAX(Trato_Diario!$A$4:$A$300),SUMIFS(Trato_Diario!$G$4:$G$300,Trato_Diario!$B$4:$B$300,7,Trato_Diario!$A$4:$A$300,$A81)=0),"",SUMIFS(Trato_Diario!$J$4:$J$300,Trato_Diario!$B$4:$B$300,7,Trato_Diario!$A$4:$A$300,$A81)/SUMIFS(Trato_Diario!$G$4:$G$300,Trato_Diario!$B$4:$B$300,7,Trato_Diario!$A$4:$A$300,$A81))</f>
        <v/>
      </c>
      <c r="I81" s="26" t="str">
        <f>IF(OR($A81&gt;MAX(Trato_Diario!$A$4:$A$300),SUMIFS(Trato_Diario!$G$4:$G$300,Trato_Diario!$B$4:$B$300,8,Trato_Diario!$A$4:$A$300,$A81)=0),"",SUMIFS(Trato_Diario!$J$4:$J$300,Trato_Diario!$B$4:$B$300,8,Trato_Diario!$A$4:$A$300,$A81)/SUMIFS(Trato_Diario!$G$4:$G$300,Trato_Diario!$B$4:$B$300,8,Trato_Diario!$A$4:$A$300,$A81))</f>
        <v/>
      </c>
      <c r="J81" s="26" t="str">
        <f>IF(OR($A81&gt;MAX(Trato_Diario!$A$4:$A$300),SUMIFS(Trato_Diario!$G$4:$G$300,Trato_Diario!$B$4:$B$300,9,Trato_Diario!$A$4:$A$300,$A81)=0),"",SUMIFS(Trato_Diario!$J$4:$J$300,Trato_Diario!$B$4:$B$300,9,Trato_Diario!$A$4:$A$300,$A81)/SUMIFS(Trato_Diario!$G$4:$G$300,Trato_Diario!$B$4:$B$300,9,Trato_Diario!$A$4:$A$300,$A81))</f>
        <v/>
      </c>
      <c r="K81" s="26" t="str">
        <f>IF(OR($A81&gt;MAX(Trato_Diario!$A$4:$A$300),SUMIFS(Trato_Diario!$G$4:$G$300,Trato_Diario!$B$4:$B$300,10,Trato_Diario!$A$4:$A$300,$A81)=0),"",SUMIFS(Trato_Diario!$J$4:$J$300,Trato_Diario!$B$4:$B$300,10,Trato_Diario!$A$4:$A$300,$A81)/SUMIFS(Trato_Diario!$G$4:$G$300,Trato_Diario!$B$4:$B$300,10,Trato_Diario!$A$4:$A$300,$A81))</f>
        <v/>
      </c>
      <c r="L81" s="74" t="str">
        <f>IF(OR($A81&gt;MAX(Trato_Diario!$A$4:$A$300),SUMIFS(Trato_Diario!$G$4:$G$300,Trato_Diario!$A$4:$A$300,$A81)=0),"",SUMIFS(Trato_Diario!$J$4:$J$300,Trato_Diario!$A$4:$A$300,$A81)/SUMIFS(Trato_Diario!$G$4:$G$300,Trato_Diario!$A$4:$A$300,$A81))</f>
        <v/>
      </c>
    </row>
    <row r="82" spans="1:12" ht="14.25" customHeight="1" x14ac:dyDescent="0.3">
      <c r="A82" s="86">
        <v>46291</v>
      </c>
      <c r="B82" s="28" t="str">
        <f>IF(OR($A82&gt;MAX(Trato_Diario!$A$4:$A$300),SUMIFS(Trato_Diario!$G$4:$G$300,Trato_Diario!$B$4:$B$300,1,Trato_Diario!$A$4:$A$300,$A82)=0),"",SUMIFS(Trato_Diario!$J$4:$J$300,Trato_Diario!$B$4:$B$300,1,Trato_Diario!$A$4:$A$300,$A82)/SUMIFS(Trato_Diario!$G$4:$G$300,Trato_Diario!$B$4:$B$300,1,Trato_Diario!$A$4:$A$300,$A82))</f>
        <v/>
      </c>
      <c r="C82" s="28" t="str">
        <f>IF(OR($A82&gt;MAX(Trato_Diario!$A$4:$A$300),SUMIFS(Trato_Diario!$G$4:$G$300,Trato_Diario!$B$4:$B$300,2,Trato_Diario!$A$4:$A$300,$A82)=0),"",SUMIFS(Trato_Diario!$J$4:$J$300,Trato_Diario!$B$4:$B$300,2,Trato_Diario!$A$4:$A$300,$A82)/SUMIFS(Trato_Diario!$G$4:$G$300,Trato_Diario!$B$4:$B$300,2,Trato_Diario!$A$4:$A$300,$A82))</f>
        <v/>
      </c>
      <c r="D82" s="28" t="str">
        <f>IF(OR($A82&gt;MAX(Trato_Diario!$A$4:$A$300),SUMIFS(Trato_Diario!$G$4:$G$300,Trato_Diario!$B$4:$B$300,3,Trato_Diario!$A$4:$A$300,$A82)=0),"",SUMIFS(Trato_Diario!$J$4:$J$300,Trato_Diario!$B$4:$B$300,3,Trato_Diario!$A$4:$A$300,$A82)/SUMIFS(Trato_Diario!$G$4:$G$300,Trato_Diario!$B$4:$B$300,3,Trato_Diario!$A$4:$A$300,$A82))</f>
        <v/>
      </c>
      <c r="E82" s="28" t="str">
        <f>IF(OR($A82&gt;MAX(Trato_Diario!$A$4:$A$300),SUMIFS(Trato_Diario!$G$4:$G$300,Trato_Diario!$B$4:$B$300,4,Trato_Diario!$A$4:$A$300,$A82)=0),"",SUMIFS(Trato_Diario!$J$4:$J$300,Trato_Diario!$B$4:$B$300,4,Trato_Diario!$A$4:$A$300,$A82)/SUMIFS(Trato_Diario!$G$4:$G$300,Trato_Diario!$B$4:$B$300,4,Trato_Diario!$A$4:$A$300,$A82))</f>
        <v/>
      </c>
      <c r="F82" s="28" t="str">
        <f>IF(OR($A82&gt;MAX(Trato_Diario!$A$4:$A$300),SUMIFS(Trato_Diario!$G$4:$G$300,Trato_Diario!$B$4:$B$300,5,Trato_Diario!$A$4:$A$300,$A82)=0),"",SUMIFS(Trato_Diario!$J$4:$J$300,Trato_Diario!$B$4:$B$300,5,Trato_Diario!$A$4:$A$300,$A82)/SUMIFS(Trato_Diario!$G$4:$G$300,Trato_Diario!$B$4:$B$300,5,Trato_Diario!$A$4:$A$300,$A82))</f>
        <v/>
      </c>
      <c r="G82" s="28" t="str">
        <f>IF(OR($A82&gt;MAX(Trato_Diario!$A$4:$A$300),SUMIFS(Trato_Diario!$G$4:$G$300,Trato_Diario!$B$4:$B$300,6,Trato_Diario!$A$4:$A$300,$A82)=0),"",SUMIFS(Trato_Diario!$J$4:$J$300,Trato_Diario!$B$4:$B$300,6,Trato_Diario!$A$4:$A$300,$A82)/SUMIFS(Trato_Diario!$G$4:$G$300,Trato_Diario!$B$4:$B$300,6,Trato_Diario!$A$4:$A$300,$A82))</f>
        <v/>
      </c>
      <c r="H82" s="28" t="str">
        <f>IF(OR($A82&gt;MAX(Trato_Diario!$A$4:$A$300),SUMIFS(Trato_Diario!$G$4:$G$300,Trato_Diario!$B$4:$B$300,7,Trato_Diario!$A$4:$A$300,$A82)=0),"",SUMIFS(Trato_Diario!$J$4:$J$300,Trato_Diario!$B$4:$B$300,7,Trato_Diario!$A$4:$A$300,$A82)/SUMIFS(Trato_Diario!$G$4:$G$300,Trato_Diario!$B$4:$B$300,7,Trato_Diario!$A$4:$A$300,$A82))</f>
        <v/>
      </c>
      <c r="I82" s="28" t="str">
        <f>IF(OR($A82&gt;MAX(Trato_Diario!$A$4:$A$300),SUMIFS(Trato_Diario!$G$4:$G$300,Trato_Diario!$B$4:$B$300,8,Trato_Diario!$A$4:$A$300,$A82)=0),"",SUMIFS(Trato_Diario!$J$4:$J$300,Trato_Diario!$B$4:$B$300,8,Trato_Diario!$A$4:$A$300,$A82)/SUMIFS(Trato_Diario!$G$4:$G$300,Trato_Diario!$B$4:$B$300,8,Trato_Diario!$A$4:$A$300,$A82))</f>
        <v/>
      </c>
      <c r="J82" s="28" t="str">
        <f>IF(OR($A82&gt;MAX(Trato_Diario!$A$4:$A$300),SUMIFS(Trato_Diario!$G$4:$G$300,Trato_Diario!$B$4:$B$300,9,Trato_Diario!$A$4:$A$300,$A82)=0),"",SUMIFS(Trato_Diario!$J$4:$J$300,Trato_Diario!$B$4:$B$300,9,Trato_Diario!$A$4:$A$300,$A82)/SUMIFS(Trato_Diario!$G$4:$G$300,Trato_Diario!$B$4:$B$300,9,Trato_Diario!$A$4:$A$300,$A82))</f>
        <v/>
      </c>
      <c r="K82" s="28" t="str">
        <f>IF(OR($A82&gt;MAX(Trato_Diario!$A$4:$A$300),SUMIFS(Trato_Diario!$G$4:$G$300,Trato_Diario!$B$4:$B$300,10,Trato_Diario!$A$4:$A$300,$A82)=0),"",SUMIFS(Trato_Diario!$J$4:$J$300,Trato_Diario!$B$4:$B$300,10,Trato_Diario!$A$4:$A$300,$A82)/SUMIFS(Trato_Diario!$G$4:$G$300,Trato_Diario!$B$4:$B$300,10,Trato_Diario!$A$4:$A$300,$A82))</f>
        <v/>
      </c>
      <c r="L82" s="76" t="str">
        <f>IF(OR($A82&gt;MAX(Trato_Diario!$A$4:$A$300),SUMIFS(Trato_Diario!$G$4:$G$300,Trato_Diario!$A$4:$A$300,$A82)=0),"",SUMIFS(Trato_Diario!$J$4:$J$300,Trato_Diario!$A$4:$A$300,$A82)/SUMIFS(Trato_Diario!$G$4:$G$300,Trato_Diario!$A$4:$A$300,$A82))</f>
        <v/>
      </c>
    </row>
    <row r="83" spans="1:12" ht="14.25" customHeight="1" x14ac:dyDescent="0.3">
      <c r="A83" s="85">
        <v>46292</v>
      </c>
      <c r="B83" s="26" t="str">
        <f>IF(OR($A83&gt;MAX(Trato_Diario!$A$4:$A$300),SUMIFS(Trato_Diario!$G$4:$G$300,Trato_Diario!$B$4:$B$300,1,Trato_Diario!$A$4:$A$300,$A83)=0),"",SUMIFS(Trato_Diario!$J$4:$J$300,Trato_Diario!$B$4:$B$300,1,Trato_Diario!$A$4:$A$300,$A83)/SUMIFS(Trato_Diario!$G$4:$G$300,Trato_Diario!$B$4:$B$300,1,Trato_Diario!$A$4:$A$300,$A83))</f>
        <v/>
      </c>
      <c r="C83" s="26" t="str">
        <f>IF(OR($A83&gt;MAX(Trato_Diario!$A$4:$A$300),SUMIFS(Trato_Diario!$G$4:$G$300,Trato_Diario!$B$4:$B$300,2,Trato_Diario!$A$4:$A$300,$A83)=0),"",SUMIFS(Trato_Diario!$J$4:$J$300,Trato_Diario!$B$4:$B$300,2,Trato_Diario!$A$4:$A$300,$A83)/SUMIFS(Trato_Diario!$G$4:$G$300,Trato_Diario!$B$4:$B$300,2,Trato_Diario!$A$4:$A$300,$A83))</f>
        <v/>
      </c>
      <c r="D83" s="26" t="str">
        <f>IF(OR($A83&gt;MAX(Trato_Diario!$A$4:$A$300),SUMIFS(Trato_Diario!$G$4:$G$300,Trato_Diario!$B$4:$B$300,3,Trato_Diario!$A$4:$A$300,$A83)=0),"",SUMIFS(Trato_Diario!$J$4:$J$300,Trato_Diario!$B$4:$B$300,3,Trato_Diario!$A$4:$A$300,$A83)/SUMIFS(Trato_Diario!$G$4:$G$300,Trato_Diario!$B$4:$B$300,3,Trato_Diario!$A$4:$A$300,$A83))</f>
        <v/>
      </c>
      <c r="E83" s="26" t="str">
        <f>IF(OR($A83&gt;MAX(Trato_Diario!$A$4:$A$300),SUMIFS(Trato_Diario!$G$4:$G$300,Trato_Diario!$B$4:$B$300,4,Trato_Diario!$A$4:$A$300,$A83)=0),"",SUMIFS(Trato_Diario!$J$4:$J$300,Trato_Diario!$B$4:$B$300,4,Trato_Diario!$A$4:$A$300,$A83)/SUMIFS(Trato_Diario!$G$4:$G$300,Trato_Diario!$B$4:$B$300,4,Trato_Diario!$A$4:$A$300,$A83))</f>
        <v/>
      </c>
      <c r="F83" s="26" t="str">
        <f>IF(OR($A83&gt;MAX(Trato_Diario!$A$4:$A$300),SUMIFS(Trato_Diario!$G$4:$G$300,Trato_Diario!$B$4:$B$300,5,Trato_Diario!$A$4:$A$300,$A83)=0),"",SUMIFS(Trato_Diario!$J$4:$J$300,Trato_Diario!$B$4:$B$300,5,Trato_Diario!$A$4:$A$300,$A83)/SUMIFS(Trato_Diario!$G$4:$G$300,Trato_Diario!$B$4:$B$300,5,Trato_Diario!$A$4:$A$300,$A83))</f>
        <v/>
      </c>
      <c r="G83" s="26" t="str">
        <f>IF(OR($A83&gt;MAX(Trato_Diario!$A$4:$A$300),SUMIFS(Trato_Diario!$G$4:$G$300,Trato_Diario!$B$4:$B$300,6,Trato_Diario!$A$4:$A$300,$A83)=0),"",SUMIFS(Trato_Diario!$J$4:$J$300,Trato_Diario!$B$4:$B$300,6,Trato_Diario!$A$4:$A$300,$A83)/SUMIFS(Trato_Diario!$G$4:$G$300,Trato_Diario!$B$4:$B$300,6,Trato_Diario!$A$4:$A$300,$A83))</f>
        <v/>
      </c>
      <c r="H83" s="26" t="str">
        <f>IF(OR($A83&gt;MAX(Trato_Diario!$A$4:$A$300),SUMIFS(Trato_Diario!$G$4:$G$300,Trato_Diario!$B$4:$B$300,7,Trato_Diario!$A$4:$A$300,$A83)=0),"",SUMIFS(Trato_Diario!$J$4:$J$300,Trato_Diario!$B$4:$B$300,7,Trato_Diario!$A$4:$A$300,$A83)/SUMIFS(Trato_Diario!$G$4:$G$300,Trato_Diario!$B$4:$B$300,7,Trato_Diario!$A$4:$A$300,$A83))</f>
        <v/>
      </c>
      <c r="I83" s="26" t="str">
        <f>IF(OR($A83&gt;MAX(Trato_Diario!$A$4:$A$300),SUMIFS(Trato_Diario!$G$4:$G$300,Trato_Diario!$B$4:$B$300,8,Trato_Diario!$A$4:$A$300,$A83)=0),"",SUMIFS(Trato_Diario!$J$4:$J$300,Trato_Diario!$B$4:$B$300,8,Trato_Diario!$A$4:$A$300,$A83)/SUMIFS(Trato_Diario!$G$4:$G$300,Trato_Diario!$B$4:$B$300,8,Trato_Diario!$A$4:$A$300,$A83))</f>
        <v/>
      </c>
      <c r="J83" s="26" t="str">
        <f>IF(OR($A83&gt;MAX(Trato_Diario!$A$4:$A$300),SUMIFS(Trato_Diario!$G$4:$G$300,Trato_Diario!$B$4:$B$300,9,Trato_Diario!$A$4:$A$300,$A83)=0),"",SUMIFS(Trato_Diario!$J$4:$J$300,Trato_Diario!$B$4:$B$300,9,Trato_Diario!$A$4:$A$300,$A83)/SUMIFS(Trato_Diario!$G$4:$G$300,Trato_Diario!$B$4:$B$300,9,Trato_Diario!$A$4:$A$300,$A83))</f>
        <v/>
      </c>
      <c r="K83" s="26" t="str">
        <f>IF(OR($A83&gt;MAX(Trato_Diario!$A$4:$A$300),SUMIFS(Trato_Diario!$G$4:$G$300,Trato_Diario!$B$4:$B$300,10,Trato_Diario!$A$4:$A$300,$A83)=0),"",SUMIFS(Trato_Diario!$J$4:$J$300,Trato_Diario!$B$4:$B$300,10,Trato_Diario!$A$4:$A$300,$A83)/SUMIFS(Trato_Diario!$G$4:$G$300,Trato_Diario!$B$4:$B$300,10,Trato_Diario!$A$4:$A$300,$A83))</f>
        <v/>
      </c>
      <c r="L83" s="74" t="str">
        <f>IF(OR($A83&gt;MAX(Trato_Diario!$A$4:$A$300),SUMIFS(Trato_Diario!$G$4:$G$300,Trato_Diario!$A$4:$A$300,$A83)=0),"",SUMIFS(Trato_Diario!$J$4:$J$300,Trato_Diario!$A$4:$A$300,$A83)/SUMIFS(Trato_Diario!$G$4:$G$300,Trato_Diario!$A$4:$A$300,$A83))</f>
        <v/>
      </c>
    </row>
    <row r="84" spans="1:12" ht="14.25" customHeight="1" x14ac:dyDescent="0.3">
      <c r="A84" s="86">
        <v>46293</v>
      </c>
      <c r="B84" s="28" t="str">
        <f>IF(OR($A84&gt;MAX(Trato_Diario!$A$4:$A$300),SUMIFS(Trato_Diario!$G$4:$G$300,Trato_Diario!$B$4:$B$300,1,Trato_Diario!$A$4:$A$300,$A84)=0),"",SUMIFS(Trato_Diario!$J$4:$J$300,Trato_Diario!$B$4:$B$300,1,Trato_Diario!$A$4:$A$300,$A84)/SUMIFS(Trato_Diario!$G$4:$G$300,Trato_Diario!$B$4:$B$300,1,Trato_Diario!$A$4:$A$300,$A84))</f>
        <v/>
      </c>
      <c r="C84" s="28" t="str">
        <f>IF(OR($A84&gt;MAX(Trato_Diario!$A$4:$A$300),SUMIFS(Trato_Diario!$G$4:$G$300,Trato_Diario!$B$4:$B$300,2,Trato_Diario!$A$4:$A$300,$A84)=0),"",SUMIFS(Trato_Diario!$J$4:$J$300,Trato_Diario!$B$4:$B$300,2,Trato_Diario!$A$4:$A$300,$A84)/SUMIFS(Trato_Diario!$G$4:$G$300,Trato_Diario!$B$4:$B$300,2,Trato_Diario!$A$4:$A$300,$A84))</f>
        <v/>
      </c>
      <c r="D84" s="28" t="str">
        <f>IF(OR($A84&gt;MAX(Trato_Diario!$A$4:$A$300),SUMIFS(Trato_Diario!$G$4:$G$300,Trato_Diario!$B$4:$B$300,3,Trato_Diario!$A$4:$A$300,$A84)=0),"",SUMIFS(Trato_Diario!$J$4:$J$300,Trato_Diario!$B$4:$B$300,3,Trato_Diario!$A$4:$A$300,$A84)/SUMIFS(Trato_Diario!$G$4:$G$300,Trato_Diario!$B$4:$B$300,3,Trato_Diario!$A$4:$A$300,$A84))</f>
        <v/>
      </c>
      <c r="E84" s="28" t="str">
        <f>IF(OR($A84&gt;MAX(Trato_Diario!$A$4:$A$300),SUMIFS(Trato_Diario!$G$4:$G$300,Trato_Diario!$B$4:$B$300,4,Trato_Diario!$A$4:$A$300,$A84)=0),"",SUMIFS(Trato_Diario!$J$4:$J$300,Trato_Diario!$B$4:$B$300,4,Trato_Diario!$A$4:$A$300,$A84)/SUMIFS(Trato_Diario!$G$4:$G$300,Trato_Diario!$B$4:$B$300,4,Trato_Diario!$A$4:$A$300,$A84))</f>
        <v/>
      </c>
      <c r="F84" s="28" t="str">
        <f>IF(OR($A84&gt;MAX(Trato_Diario!$A$4:$A$300),SUMIFS(Trato_Diario!$G$4:$G$300,Trato_Diario!$B$4:$B$300,5,Trato_Diario!$A$4:$A$300,$A84)=0),"",SUMIFS(Trato_Diario!$J$4:$J$300,Trato_Diario!$B$4:$B$300,5,Trato_Diario!$A$4:$A$300,$A84)/SUMIFS(Trato_Diario!$G$4:$G$300,Trato_Diario!$B$4:$B$300,5,Trato_Diario!$A$4:$A$300,$A84))</f>
        <v/>
      </c>
      <c r="G84" s="28" t="str">
        <f>IF(OR($A84&gt;MAX(Trato_Diario!$A$4:$A$300),SUMIFS(Trato_Diario!$G$4:$G$300,Trato_Diario!$B$4:$B$300,6,Trato_Diario!$A$4:$A$300,$A84)=0),"",SUMIFS(Trato_Diario!$J$4:$J$300,Trato_Diario!$B$4:$B$300,6,Trato_Diario!$A$4:$A$300,$A84)/SUMIFS(Trato_Diario!$G$4:$G$300,Trato_Diario!$B$4:$B$300,6,Trato_Diario!$A$4:$A$300,$A84))</f>
        <v/>
      </c>
      <c r="H84" s="28" t="str">
        <f>IF(OR($A84&gt;MAX(Trato_Diario!$A$4:$A$300),SUMIFS(Trato_Diario!$G$4:$G$300,Trato_Diario!$B$4:$B$300,7,Trato_Diario!$A$4:$A$300,$A84)=0),"",SUMIFS(Trato_Diario!$J$4:$J$300,Trato_Diario!$B$4:$B$300,7,Trato_Diario!$A$4:$A$300,$A84)/SUMIFS(Trato_Diario!$G$4:$G$300,Trato_Diario!$B$4:$B$300,7,Trato_Diario!$A$4:$A$300,$A84))</f>
        <v/>
      </c>
      <c r="I84" s="28" t="str">
        <f>IF(OR($A84&gt;MAX(Trato_Diario!$A$4:$A$300),SUMIFS(Trato_Diario!$G$4:$G$300,Trato_Diario!$B$4:$B$300,8,Trato_Diario!$A$4:$A$300,$A84)=0),"",SUMIFS(Trato_Diario!$J$4:$J$300,Trato_Diario!$B$4:$B$300,8,Trato_Diario!$A$4:$A$300,$A84)/SUMIFS(Trato_Diario!$G$4:$G$300,Trato_Diario!$B$4:$B$300,8,Trato_Diario!$A$4:$A$300,$A84))</f>
        <v/>
      </c>
      <c r="J84" s="28" t="str">
        <f>IF(OR($A84&gt;MAX(Trato_Diario!$A$4:$A$300),SUMIFS(Trato_Diario!$G$4:$G$300,Trato_Diario!$B$4:$B$300,9,Trato_Diario!$A$4:$A$300,$A84)=0),"",SUMIFS(Trato_Diario!$J$4:$J$300,Trato_Diario!$B$4:$B$300,9,Trato_Diario!$A$4:$A$300,$A84)/SUMIFS(Trato_Diario!$G$4:$G$300,Trato_Diario!$B$4:$B$300,9,Trato_Diario!$A$4:$A$300,$A84))</f>
        <v/>
      </c>
      <c r="K84" s="28" t="str">
        <f>IF(OR($A84&gt;MAX(Trato_Diario!$A$4:$A$300),SUMIFS(Trato_Diario!$G$4:$G$300,Trato_Diario!$B$4:$B$300,10,Trato_Diario!$A$4:$A$300,$A84)=0),"",SUMIFS(Trato_Diario!$J$4:$J$300,Trato_Diario!$B$4:$B$300,10,Trato_Diario!$A$4:$A$300,$A84)/SUMIFS(Trato_Diario!$G$4:$G$300,Trato_Diario!$B$4:$B$300,10,Trato_Diario!$A$4:$A$300,$A84))</f>
        <v/>
      </c>
      <c r="L84" s="76" t="str">
        <f>IF(OR($A84&gt;MAX(Trato_Diario!$A$4:$A$300),SUMIFS(Trato_Diario!$G$4:$G$300,Trato_Diario!$A$4:$A$300,$A84)=0),"",SUMIFS(Trato_Diario!$J$4:$J$300,Trato_Diario!$A$4:$A$300,$A84)/SUMIFS(Trato_Diario!$G$4:$G$300,Trato_Diario!$A$4:$A$300,$A84))</f>
        <v/>
      </c>
    </row>
    <row r="85" spans="1:12" ht="14.25" customHeight="1" x14ac:dyDescent="0.3">
      <c r="A85" s="85">
        <v>46294</v>
      </c>
      <c r="B85" s="26" t="str">
        <f>IF(OR($A85&gt;MAX(Trato_Diario!$A$4:$A$300),SUMIFS(Trato_Diario!$G$4:$G$300,Trato_Diario!$B$4:$B$300,1,Trato_Diario!$A$4:$A$300,$A85)=0),"",SUMIFS(Trato_Diario!$J$4:$J$300,Trato_Diario!$B$4:$B$300,1,Trato_Diario!$A$4:$A$300,$A85)/SUMIFS(Trato_Diario!$G$4:$G$300,Trato_Diario!$B$4:$B$300,1,Trato_Diario!$A$4:$A$300,$A85))</f>
        <v/>
      </c>
      <c r="C85" s="26" t="str">
        <f>IF(OR($A85&gt;MAX(Trato_Diario!$A$4:$A$300),SUMIFS(Trato_Diario!$G$4:$G$300,Trato_Diario!$B$4:$B$300,2,Trato_Diario!$A$4:$A$300,$A85)=0),"",SUMIFS(Trato_Diario!$J$4:$J$300,Trato_Diario!$B$4:$B$300,2,Trato_Diario!$A$4:$A$300,$A85)/SUMIFS(Trato_Diario!$G$4:$G$300,Trato_Diario!$B$4:$B$300,2,Trato_Diario!$A$4:$A$300,$A85))</f>
        <v/>
      </c>
      <c r="D85" s="26" t="str">
        <f>IF(OR($A85&gt;MAX(Trato_Diario!$A$4:$A$300),SUMIFS(Trato_Diario!$G$4:$G$300,Trato_Diario!$B$4:$B$300,3,Trato_Diario!$A$4:$A$300,$A85)=0),"",SUMIFS(Trato_Diario!$J$4:$J$300,Trato_Diario!$B$4:$B$300,3,Trato_Diario!$A$4:$A$300,$A85)/SUMIFS(Trato_Diario!$G$4:$G$300,Trato_Diario!$B$4:$B$300,3,Trato_Diario!$A$4:$A$300,$A85))</f>
        <v/>
      </c>
      <c r="E85" s="26" t="str">
        <f>IF(OR($A85&gt;MAX(Trato_Diario!$A$4:$A$300),SUMIFS(Trato_Diario!$G$4:$G$300,Trato_Diario!$B$4:$B$300,4,Trato_Diario!$A$4:$A$300,$A85)=0),"",SUMIFS(Trato_Diario!$J$4:$J$300,Trato_Diario!$B$4:$B$300,4,Trato_Diario!$A$4:$A$300,$A85)/SUMIFS(Trato_Diario!$G$4:$G$300,Trato_Diario!$B$4:$B$300,4,Trato_Diario!$A$4:$A$300,$A85))</f>
        <v/>
      </c>
      <c r="F85" s="26" t="str">
        <f>IF(OR($A85&gt;MAX(Trato_Diario!$A$4:$A$300),SUMIFS(Trato_Diario!$G$4:$G$300,Trato_Diario!$B$4:$B$300,5,Trato_Diario!$A$4:$A$300,$A85)=0),"",SUMIFS(Trato_Diario!$J$4:$J$300,Trato_Diario!$B$4:$B$300,5,Trato_Diario!$A$4:$A$300,$A85)/SUMIFS(Trato_Diario!$G$4:$G$300,Trato_Diario!$B$4:$B$300,5,Trato_Diario!$A$4:$A$300,$A85))</f>
        <v/>
      </c>
      <c r="G85" s="26" t="str">
        <f>IF(OR($A85&gt;MAX(Trato_Diario!$A$4:$A$300),SUMIFS(Trato_Diario!$G$4:$G$300,Trato_Diario!$B$4:$B$300,6,Trato_Diario!$A$4:$A$300,$A85)=0),"",SUMIFS(Trato_Diario!$J$4:$J$300,Trato_Diario!$B$4:$B$300,6,Trato_Diario!$A$4:$A$300,$A85)/SUMIFS(Trato_Diario!$G$4:$G$300,Trato_Diario!$B$4:$B$300,6,Trato_Diario!$A$4:$A$300,$A85))</f>
        <v/>
      </c>
      <c r="H85" s="26" t="str">
        <f>IF(OR($A85&gt;MAX(Trato_Diario!$A$4:$A$300),SUMIFS(Trato_Diario!$G$4:$G$300,Trato_Diario!$B$4:$B$300,7,Trato_Diario!$A$4:$A$300,$A85)=0),"",SUMIFS(Trato_Diario!$J$4:$J$300,Trato_Diario!$B$4:$B$300,7,Trato_Diario!$A$4:$A$300,$A85)/SUMIFS(Trato_Diario!$G$4:$G$300,Trato_Diario!$B$4:$B$300,7,Trato_Diario!$A$4:$A$300,$A85))</f>
        <v/>
      </c>
      <c r="I85" s="26" t="str">
        <f>IF(OR($A85&gt;MAX(Trato_Diario!$A$4:$A$300),SUMIFS(Trato_Diario!$G$4:$G$300,Trato_Diario!$B$4:$B$300,8,Trato_Diario!$A$4:$A$300,$A85)=0),"",SUMIFS(Trato_Diario!$J$4:$J$300,Trato_Diario!$B$4:$B$300,8,Trato_Diario!$A$4:$A$300,$A85)/SUMIFS(Trato_Diario!$G$4:$G$300,Trato_Diario!$B$4:$B$300,8,Trato_Diario!$A$4:$A$300,$A85))</f>
        <v/>
      </c>
      <c r="J85" s="26" t="str">
        <f>IF(OR($A85&gt;MAX(Trato_Diario!$A$4:$A$300),SUMIFS(Trato_Diario!$G$4:$G$300,Trato_Diario!$B$4:$B$300,9,Trato_Diario!$A$4:$A$300,$A85)=0),"",SUMIFS(Trato_Diario!$J$4:$J$300,Trato_Diario!$B$4:$B$300,9,Trato_Diario!$A$4:$A$300,$A85)/SUMIFS(Trato_Diario!$G$4:$G$300,Trato_Diario!$B$4:$B$300,9,Trato_Diario!$A$4:$A$300,$A85))</f>
        <v/>
      </c>
      <c r="K85" s="26" t="str">
        <f>IF(OR($A85&gt;MAX(Trato_Diario!$A$4:$A$300),SUMIFS(Trato_Diario!$G$4:$G$300,Trato_Diario!$B$4:$B$300,10,Trato_Diario!$A$4:$A$300,$A85)=0),"",SUMIFS(Trato_Diario!$J$4:$J$300,Trato_Diario!$B$4:$B$300,10,Trato_Diario!$A$4:$A$300,$A85)/SUMIFS(Trato_Diario!$G$4:$G$300,Trato_Diario!$B$4:$B$300,10,Trato_Diario!$A$4:$A$300,$A85))</f>
        <v/>
      </c>
      <c r="L85" s="74" t="str">
        <f>IF(OR($A85&gt;MAX(Trato_Diario!$A$4:$A$300),SUMIFS(Trato_Diario!$G$4:$G$300,Trato_Diario!$A$4:$A$300,$A85)=0),"",SUMIFS(Trato_Diario!$J$4:$J$300,Trato_Diario!$A$4:$A$300,$A85)/SUMIFS(Trato_Diario!$G$4:$G$300,Trato_Diario!$A$4:$A$300,$A85))</f>
        <v/>
      </c>
    </row>
    <row r="86" spans="1:12" ht="14.25" customHeight="1" x14ac:dyDescent="0.3">
      <c r="A86" s="86">
        <v>46295</v>
      </c>
      <c r="B86" s="28" t="str">
        <f>IF(OR($A86&gt;MAX(Trato_Diario!$A$4:$A$300),SUMIFS(Trato_Diario!$G$4:$G$300,Trato_Diario!$B$4:$B$300,1,Trato_Diario!$A$4:$A$300,$A86)=0),"",SUMIFS(Trato_Diario!$J$4:$J$300,Trato_Diario!$B$4:$B$300,1,Trato_Diario!$A$4:$A$300,$A86)/SUMIFS(Trato_Diario!$G$4:$G$300,Trato_Diario!$B$4:$B$300,1,Trato_Diario!$A$4:$A$300,$A86))</f>
        <v/>
      </c>
      <c r="C86" s="28" t="str">
        <f>IF(OR($A86&gt;MAX(Trato_Diario!$A$4:$A$300),SUMIFS(Trato_Diario!$G$4:$G$300,Trato_Diario!$B$4:$B$300,2,Trato_Diario!$A$4:$A$300,$A86)=0),"",SUMIFS(Trato_Diario!$J$4:$J$300,Trato_Diario!$B$4:$B$300,2,Trato_Diario!$A$4:$A$300,$A86)/SUMIFS(Trato_Diario!$G$4:$G$300,Trato_Diario!$B$4:$B$300,2,Trato_Diario!$A$4:$A$300,$A86))</f>
        <v/>
      </c>
      <c r="D86" s="28" t="str">
        <f>IF(OR($A86&gt;MAX(Trato_Diario!$A$4:$A$300),SUMIFS(Trato_Diario!$G$4:$G$300,Trato_Diario!$B$4:$B$300,3,Trato_Diario!$A$4:$A$300,$A86)=0),"",SUMIFS(Trato_Diario!$J$4:$J$300,Trato_Diario!$B$4:$B$300,3,Trato_Diario!$A$4:$A$300,$A86)/SUMIFS(Trato_Diario!$G$4:$G$300,Trato_Diario!$B$4:$B$300,3,Trato_Diario!$A$4:$A$300,$A86))</f>
        <v/>
      </c>
      <c r="E86" s="28" t="str">
        <f>IF(OR($A86&gt;MAX(Trato_Diario!$A$4:$A$300),SUMIFS(Trato_Diario!$G$4:$G$300,Trato_Diario!$B$4:$B$300,4,Trato_Diario!$A$4:$A$300,$A86)=0),"",SUMIFS(Trato_Diario!$J$4:$J$300,Trato_Diario!$B$4:$B$300,4,Trato_Diario!$A$4:$A$300,$A86)/SUMIFS(Trato_Diario!$G$4:$G$300,Trato_Diario!$B$4:$B$300,4,Trato_Diario!$A$4:$A$300,$A86))</f>
        <v/>
      </c>
      <c r="F86" s="28" t="str">
        <f>IF(OR($A86&gt;MAX(Trato_Diario!$A$4:$A$300),SUMIFS(Trato_Diario!$G$4:$G$300,Trato_Diario!$B$4:$B$300,5,Trato_Diario!$A$4:$A$300,$A86)=0),"",SUMIFS(Trato_Diario!$J$4:$J$300,Trato_Diario!$B$4:$B$300,5,Trato_Diario!$A$4:$A$300,$A86)/SUMIFS(Trato_Diario!$G$4:$G$300,Trato_Diario!$B$4:$B$300,5,Trato_Diario!$A$4:$A$300,$A86))</f>
        <v/>
      </c>
      <c r="G86" s="28" t="str">
        <f>IF(OR($A86&gt;MAX(Trato_Diario!$A$4:$A$300),SUMIFS(Trato_Diario!$G$4:$G$300,Trato_Diario!$B$4:$B$300,6,Trato_Diario!$A$4:$A$300,$A86)=0),"",SUMIFS(Trato_Diario!$J$4:$J$300,Trato_Diario!$B$4:$B$300,6,Trato_Diario!$A$4:$A$300,$A86)/SUMIFS(Trato_Diario!$G$4:$G$300,Trato_Diario!$B$4:$B$300,6,Trato_Diario!$A$4:$A$300,$A86))</f>
        <v/>
      </c>
      <c r="H86" s="28" t="str">
        <f>IF(OR($A86&gt;MAX(Trato_Diario!$A$4:$A$300),SUMIFS(Trato_Diario!$G$4:$G$300,Trato_Diario!$B$4:$B$300,7,Trato_Diario!$A$4:$A$300,$A86)=0),"",SUMIFS(Trato_Diario!$J$4:$J$300,Trato_Diario!$B$4:$B$300,7,Trato_Diario!$A$4:$A$300,$A86)/SUMIFS(Trato_Diario!$G$4:$G$300,Trato_Diario!$B$4:$B$300,7,Trato_Diario!$A$4:$A$300,$A86))</f>
        <v/>
      </c>
      <c r="I86" s="28" t="str">
        <f>IF(OR($A86&gt;MAX(Trato_Diario!$A$4:$A$300),SUMIFS(Trato_Diario!$G$4:$G$300,Trato_Diario!$B$4:$B$300,8,Trato_Diario!$A$4:$A$300,$A86)=0),"",SUMIFS(Trato_Diario!$J$4:$J$300,Trato_Diario!$B$4:$B$300,8,Trato_Diario!$A$4:$A$300,$A86)/SUMIFS(Trato_Diario!$G$4:$G$300,Trato_Diario!$B$4:$B$300,8,Trato_Diario!$A$4:$A$300,$A86))</f>
        <v/>
      </c>
      <c r="J86" s="28" t="str">
        <f>IF(OR($A86&gt;MAX(Trato_Diario!$A$4:$A$300),SUMIFS(Trato_Diario!$G$4:$G$300,Trato_Diario!$B$4:$B$300,9,Trato_Diario!$A$4:$A$300,$A86)=0),"",SUMIFS(Trato_Diario!$J$4:$J$300,Trato_Diario!$B$4:$B$300,9,Trato_Diario!$A$4:$A$300,$A86)/SUMIFS(Trato_Diario!$G$4:$G$300,Trato_Diario!$B$4:$B$300,9,Trato_Diario!$A$4:$A$300,$A86))</f>
        <v/>
      </c>
      <c r="K86" s="28" t="str">
        <f>IF(OR($A86&gt;MAX(Trato_Diario!$A$4:$A$300),SUMIFS(Trato_Diario!$G$4:$G$300,Trato_Diario!$B$4:$B$300,10,Trato_Diario!$A$4:$A$300,$A86)=0),"",SUMIFS(Trato_Diario!$J$4:$J$300,Trato_Diario!$B$4:$B$300,10,Trato_Diario!$A$4:$A$300,$A86)/SUMIFS(Trato_Diario!$G$4:$G$300,Trato_Diario!$B$4:$B$300,10,Trato_Diario!$A$4:$A$300,$A86))</f>
        <v/>
      </c>
      <c r="L86" s="76" t="str">
        <f>IF(OR($A86&gt;MAX(Trato_Diario!$A$4:$A$300),SUMIFS(Trato_Diario!$G$4:$G$300,Trato_Diario!$A$4:$A$300,$A86)=0),"",SUMIFS(Trato_Diario!$J$4:$J$300,Trato_Diario!$A$4:$A$300,$A86)/SUMIFS(Trato_Diario!$G$4:$G$300,Trato_Diario!$A$4:$A$300,$A86))</f>
        <v/>
      </c>
    </row>
    <row r="87" spans="1:12" ht="14.25" customHeight="1" x14ac:dyDescent="0.3">
      <c r="A87" s="85">
        <v>46296</v>
      </c>
      <c r="B87" s="26" t="str">
        <f>IF(OR($A87&gt;MAX(Trato_Diario!$A$4:$A$300),SUMIFS(Trato_Diario!$G$4:$G$300,Trato_Diario!$B$4:$B$300,1,Trato_Diario!$A$4:$A$300,$A87)=0),"",SUMIFS(Trato_Diario!$J$4:$J$300,Trato_Diario!$B$4:$B$300,1,Trato_Diario!$A$4:$A$300,$A87)/SUMIFS(Trato_Diario!$G$4:$G$300,Trato_Diario!$B$4:$B$300,1,Trato_Diario!$A$4:$A$300,$A87))</f>
        <v/>
      </c>
      <c r="C87" s="26" t="str">
        <f>IF(OR($A87&gt;MAX(Trato_Diario!$A$4:$A$300),SUMIFS(Trato_Diario!$G$4:$G$300,Trato_Diario!$B$4:$B$300,2,Trato_Diario!$A$4:$A$300,$A87)=0),"",SUMIFS(Trato_Diario!$J$4:$J$300,Trato_Diario!$B$4:$B$300,2,Trato_Diario!$A$4:$A$300,$A87)/SUMIFS(Trato_Diario!$G$4:$G$300,Trato_Diario!$B$4:$B$300,2,Trato_Diario!$A$4:$A$300,$A87))</f>
        <v/>
      </c>
      <c r="D87" s="26" t="str">
        <f>IF(OR($A87&gt;MAX(Trato_Diario!$A$4:$A$300),SUMIFS(Trato_Diario!$G$4:$G$300,Trato_Diario!$B$4:$B$300,3,Trato_Diario!$A$4:$A$300,$A87)=0),"",SUMIFS(Trato_Diario!$J$4:$J$300,Trato_Diario!$B$4:$B$300,3,Trato_Diario!$A$4:$A$300,$A87)/SUMIFS(Trato_Diario!$G$4:$G$300,Trato_Diario!$B$4:$B$300,3,Trato_Diario!$A$4:$A$300,$A87))</f>
        <v/>
      </c>
      <c r="E87" s="26" t="str">
        <f>IF(OR($A87&gt;MAX(Trato_Diario!$A$4:$A$300),SUMIFS(Trato_Diario!$G$4:$G$300,Trato_Diario!$B$4:$B$300,4,Trato_Diario!$A$4:$A$300,$A87)=0),"",SUMIFS(Trato_Diario!$J$4:$J$300,Trato_Diario!$B$4:$B$300,4,Trato_Diario!$A$4:$A$300,$A87)/SUMIFS(Trato_Diario!$G$4:$G$300,Trato_Diario!$B$4:$B$300,4,Trato_Diario!$A$4:$A$300,$A87))</f>
        <v/>
      </c>
      <c r="F87" s="26" t="str">
        <f>IF(OR($A87&gt;MAX(Trato_Diario!$A$4:$A$300),SUMIFS(Trato_Diario!$G$4:$G$300,Trato_Diario!$B$4:$B$300,5,Trato_Diario!$A$4:$A$300,$A87)=0),"",SUMIFS(Trato_Diario!$J$4:$J$300,Trato_Diario!$B$4:$B$300,5,Trato_Diario!$A$4:$A$300,$A87)/SUMIFS(Trato_Diario!$G$4:$G$300,Trato_Diario!$B$4:$B$300,5,Trato_Diario!$A$4:$A$300,$A87))</f>
        <v/>
      </c>
      <c r="G87" s="26" t="str">
        <f>IF(OR($A87&gt;MAX(Trato_Diario!$A$4:$A$300),SUMIFS(Trato_Diario!$G$4:$G$300,Trato_Diario!$B$4:$B$300,6,Trato_Diario!$A$4:$A$300,$A87)=0),"",SUMIFS(Trato_Diario!$J$4:$J$300,Trato_Diario!$B$4:$B$300,6,Trato_Diario!$A$4:$A$300,$A87)/SUMIFS(Trato_Diario!$G$4:$G$300,Trato_Diario!$B$4:$B$300,6,Trato_Diario!$A$4:$A$300,$A87))</f>
        <v/>
      </c>
      <c r="H87" s="26" t="str">
        <f>IF(OR($A87&gt;MAX(Trato_Diario!$A$4:$A$300),SUMIFS(Trato_Diario!$G$4:$G$300,Trato_Diario!$B$4:$B$300,7,Trato_Diario!$A$4:$A$300,$A87)=0),"",SUMIFS(Trato_Diario!$J$4:$J$300,Trato_Diario!$B$4:$B$300,7,Trato_Diario!$A$4:$A$300,$A87)/SUMIFS(Trato_Diario!$G$4:$G$300,Trato_Diario!$B$4:$B$300,7,Trato_Diario!$A$4:$A$300,$A87))</f>
        <v/>
      </c>
      <c r="I87" s="26" t="str">
        <f>IF(OR($A87&gt;MAX(Trato_Diario!$A$4:$A$300),SUMIFS(Trato_Diario!$G$4:$G$300,Trato_Diario!$B$4:$B$300,8,Trato_Diario!$A$4:$A$300,$A87)=0),"",SUMIFS(Trato_Diario!$J$4:$J$300,Trato_Diario!$B$4:$B$300,8,Trato_Diario!$A$4:$A$300,$A87)/SUMIFS(Trato_Diario!$G$4:$G$300,Trato_Diario!$B$4:$B$300,8,Trato_Diario!$A$4:$A$300,$A87))</f>
        <v/>
      </c>
      <c r="J87" s="26" t="str">
        <f>IF(OR($A87&gt;MAX(Trato_Diario!$A$4:$A$300),SUMIFS(Trato_Diario!$G$4:$G$300,Trato_Diario!$B$4:$B$300,9,Trato_Diario!$A$4:$A$300,$A87)=0),"",SUMIFS(Trato_Diario!$J$4:$J$300,Trato_Diario!$B$4:$B$300,9,Trato_Diario!$A$4:$A$300,$A87)/SUMIFS(Trato_Diario!$G$4:$G$300,Trato_Diario!$B$4:$B$300,9,Trato_Diario!$A$4:$A$300,$A87))</f>
        <v/>
      </c>
      <c r="K87" s="26" t="str">
        <f>IF(OR($A87&gt;MAX(Trato_Diario!$A$4:$A$300),SUMIFS(Trato_Diario!$G$4:$G$300,Trato_Diario!$B$4:$B$300,10,Trato_Diario!$A$4:$A$300,$A87)=0),"",SUMIFS(Trato_Diario!$J$4:$J$300,Trato_Diario!$B$4:$B$300,10,Trato_Diario!$A$4:$A$300,$A87)/SUMIFS(Trato_Diario!$G$4:$G$300,Trato_Diario!$B$4:$B$300,10,Trato_Diario!$A$4:$A$300,$A87))</f>
        <v/>
      </c>
      <c r="L87" s="74" t="str">
        <f>IF(OR($A87&gt;MAX(Trato_Diario!$A$4:$A$300),SUMIFS(Trato_Diario!$G$4:$G$300,Trato_Diario!$A$4:$A$300,$A87)=0),"",SUMIFS(Trato_Diario!$J$4:$J$300,Trato_Diario!$A$4:$A$300,$A87)/SUMIFS(Trato_Diario!$G$4:$G$300,Trato_Diario!$A$4:$A$300,$A87))</f>
        <v/>
      </c>
    </row>
    <row r="88" spans="1:12" ht="14.25" customHeight="1" x14ac:dyDescent="0.3">
      <c r="A88" s="86">
        <v>46297</v>
      </c>
      <c r="B88" s="28" t="str">
        <f>IF(OR($A88&gt;MAX(Trato_Diario!$A$4:$A$300),SUMIFS(Trato_Diario!$G$4:$G$300,Trato_Diario!$B$4:$B$300,1,Trato_Diario!$A$4:$A$300,$A88)=0),"",SUMIFS(Trato_Diario!$J$4:$J$300,Trato_Diario!$B$4:$B$300,1,Trato_Diario!$A$4:$A$300,$A88)/SUMIFS(Trato_Diario!$G$4:$G$300,Trato_Diario!$B$4:$B$300,1,Trato_Diario!$A$4:$A$300,$A88))</f>
        <v/>
      </c>
      <c r="C88" s="28" t="str">
        <f>IF(OR($A88&gt;MAX(Trato_Diario!$A$4:$A$300),SUMIFS(Trato_Diario!$G$4:$G$300,Trato_Diario!$B$4:$B$300,2,Trato_Diario!$A$4:$A$300,$A88)=0),"",SUMIFS(Trato_Diario!$J$4:$J$300,Trato_Diario!$B$4:$B$300,2,Trato_Diario!$A$4:$A$300,$A88)/SUMIFS(Trato_Diario!$G$4:$G$300,Trato_Diario!$B$4:$B$300,2,Trato_Diario!$A$4:$A$300,$A88))</f>
        <v/>
      </c>
      <c r="D88" s="28" t="str">
        <f>IF(OR($A88&gt;MAX(Trato_Diario!$A$4:$A$300),SUMIFS(Trato_Diario!$G$4:$G$300,Trato_Diario!$B$4:$B$300,3,Trato_Diario!$A$4:$A$300,$A88)=0),"",SUMIFS(Trato_Diario!$J$4:$J$300,Trato_Diario!$B$4:$B$300,3,Trato_Diario!$A$4:$A$300,$A88)/SUMIFS(Trato_Diario!$G$4:$G$300,Trato_Diario!$B$4:$B$300,3,Trato_Diario!$A$4:$A$300,$A88))</f>
        <v/>
      </c>
      <c r="E88" s="28" t="str">
        <f>IF(OR($A88&gt;MAX(Trato_Diario!$A$4:$A$300),SUMIFS(Trato_Diario!$G$4:$G$300,Trato_Diario!$B$4:$B$300,4,Trato_Diario!$A$4:$A$300,$A88)=0),"",SUMIFS(Trato_Diario!$J$4:$J$300,Trato_Diario!$B$4:$B$300,4,Trato_Diario!$A$4:$A$300,$A88)/SUMIFS(Trato_Diario!$G$4:$G$300,Trato_Diario!$B$4:$B$300,4,Trato_Diario!$A$4:$A$300,$A88))</f>
        <v/>
      </c>
      <c r="F88" s="28" t="str">
        <f>IF(OR($A88&gt;MAX(Trato_Diario!$A$4:$A$300),SUMIFS(Trato_Diario!$G$4:$G$300,Trato_Diario!$B$4:$B$300,5,Trato_Diario!$A$4:$A$300,$A88)=0),"",SUMIFS(Trato_Diario!$J$4:$J$300,Trato_Diario!$B$4:$B$300,5,Trato_Diario!$A$4:$A$300,$A88)/SUMIFS(Trato_Diario!$G$4:$G$300,Trato_Diario!$B$4:$B$300,5,Trato_Diario!$A$4:$A$300,$A88))</f>
        <v/>
      </c>
      <c r="G88" s="28" t="str">
        <f>IF(OR($A88&gt;MAX(Trato_Diario!$A$4:$A$300),SUMIFS(Trato_Diario!$G$4:$G$300,Trato_Diario!$B$4:$B$300,6,Trato_Diario!$A$4:$A$300,$A88)=0),"",SUMIFS(Trato_Diario!$J$4:$J$300,Trato_Diario!$B$4:$B$300,6,Trato_Diario!$A$4:$A$300,$A88)/SUMIFS(Trato_Diario!$G$4:$G$300,Trato_Diario!$B$4:$B$300,6,Trato_Diario!$A$4:$A$300,$A88))</f>
        <v/>
      </c>
      <c r="H88" s="28" t="str">
        <f>IF(OR($A88&gt;MAX(Trato_Diario!$A$4:$A$300),SUMIFS(Trato_Diario!$G$4:$G$300,Trato_Diario!$B$4:$B$300,7,Trato_Diario!$A$4:$A$300,$A88)=0),"",SUMIFS(Trato_Diario!$J$4:$J$300,Trato_Diario!$B$4:$B$300,7,Trato_Diario!$A$4:$A$300,$A88)/SUMIFS(Trato_Diario!$G$4:$G$300,Trato_Diario!$B$4:$B$300,7,Trato_Diario!$A$4:$A$300,$A88))</f>
        <v/>
      </c>
      <c r="I88" s="28" t="str">
        <f>IF(OR($A88&gt;MAX(Trato_Diario!$A$4:$A$300),SUMIFS(Trato_Diario!$G$4:$G$300,Trato_Diario!$B$4:$B$300,8,Trato_Diario!$A$4:$A$300,$A88)=0),"",SUMIFS(Trato_Diario!$J$4:$J$300,Trato_Diario!$B$4:$B$300,8,Trato_Diario!$A$4:$A$300,$A88)/SUMIFS(Trato_Diario!$G$4:$G$300,Trato_Diario!$B$4:$B$300,8,Trato_Diario!$A$4:$A$300,$A88))</f>
        <v/>
      </c>
      <c r="J88" s="28" t="str">
        <f>IF(OR($A88&gt;MAX(Trato_Diario!$A$4:$A$300),SUMIFS(Trato_Diario!$G$4:$G$300,Trato_Diario!$B$4:$B$300,9,Trato_Diario!$A$4:$A$300,$A88)=0),"",SUMIFS(Trato_Diario!$J$4:$J$300,Trato_Diario!$B$4:$B$300,9,Trato_Diario!$A$4:$A$300,$A88)/SUMIFS(Trato_Diario!$G$4:$G$300,Trato_Diario!$B$4:$B$300,9,Trato_Diario!$A$4:$A$300,$A88))</f>
        <v/>
      </c>
      <c r="K88" s="28" t="str">
        <f>IF(OR($A88&gt;MAX(Trato_Diario!$A$4:$A$300),SUMIFS(Trato_Diario!$G$4:$G$300,Trato_Diario!$B$4:$B$300,10,Trato_Diario!$A$4:$A$300,$A88)=0),"",SUMIFS(Trato_Diario!$J$4:$J$300,Trato_Diario!$B$4:$B$300,10,Trato_Diario!$A$4:$A$300,$A88)/SUMIFS(Trato_Diario!$G$4:$G$300,Trato_Diario!$B$4:$B$300,10,Trato_Diario!$A$4:$A$300,$A88))</f>
        <v/>
      </c>
      <c r="L88" s="76" t="str">
        <f>IF(OR($A88&gt;MAX(Trato_Diario!$A$4:$A$300),SUMIFS(Trato_Diario!$G$4:$G$300,Trato_Diario!$A$4:$A$300,$A88)=0),"",SUMIFS(Trato_Diario!$J$4:$J$300,Trato_Diario!$A$4:$A$300,$A88)/SUMIFS(Trato_Diario!$G$4:$G$300,Trato_Diario!$A$4:$A$300,$A88))</f>
        <v/>
      </c>
    </row>
    <row r="89" spans="1:12" ht="14.25" customHeight="1" x14ac:dyDescent="0.3">
      <c r="A89" s="85">
        <v>46298</v>
      </c>
      <c r="B89" s="26" t="str">
        <f>IF(OR($A89&gt;MAX(Trato_Diario!$A$4:$A$300),SUMIFS(Trato_Diario!$G$4:$G$300,Trato_Diario!$B$4:$B$300,1,Trato_Diario!$A$4:$A$300,$A89)=0),"",SUMIFS(Trato_Diario!$J$4:$J$300,Trato_Diario!$B$4:$B$300,1,Trato_Diario!$A$4:$A$300,$A89)/SUMIFS(Trato_Diario!$G$4:$G$300,Trato_Diario!$B$4:$B$300,1,Trato_Diario!$A$4:$A$300,$A89))</f>
        <v/>
      </c>
      <c r="C89" s="26" t="str">
        <f>IF(OR($A89&gt;MAX(Trato_Diario!$A$4:$A$300),SUMIFS(Trato_Diario!$G$4:$G$300,Trato_Diario!$B$4:$B$300,2,Trato_Diario!$A$4:$A$300,$A89)=0),"",SUMIFS(Trato_Diario!$J$4:$J$300,Trato_Diario!$B$4:$B$300,2,Trato_Diario!$A$4:$A$300,$A89)/SUMIFS(Trato_Diario!$G$4:$G$300,Trato_Diario!$B$4:$B$300,2,Trato_Diario!$A$4:$A$300,$A89))</f>
        <v/>
      </c>
      <c r="D89" s="26" t="str">
        <f>IF(OR($A89&gt;MAX(Trato_Diario!$A$4:$A$300),SUMIFS(Trato_Diario!$G$4:$G$300,Trato_Diario!$B$4:$B$300,3,Trato_Diario!$A$4:$A$300,$A89)=0),"",SUMIFS(Trato_Diario!$J$4:$J$300,Trato_Diario!$B$4:$B$300,3,Trato_Diario!$A$4:$A$300,$A89)/SUMIFS(Trato_Diario!$G$4:$G$300,Trato_Diario!$B$4:$B$300,3,Trato_Diario!$A$4:$A$300,$A89))</f>
        <v/>
      </c>
      <c r="E89" s="26" t="str">
        <f>IF(OR($A89&gt;MAX(Trato_Diario!$A$4:$A$300),SUMIFS(Trato_Diario!$G$4:$G$300,Trato_Diario!$B$4:$B$300,4,Trato_Diario!$A$4:$A$300,$A89)=0),"",SUMIFS(Trato_Diario!$J$4:$J$300,Trato_Diario!$B$4:$B$300,4,Trato_Diario!$A$4:$A$300,$A89)/SUMIFS(Trato_Diario!$G$4:$G$300,Trato_Diario!$B$4:$B$300,4,Trato_Diario!$A$4:$A$300,$A89))</f>
        <v/>
      </c>
      <c r="F89" s="26" t="str">
        <f>IF(OR($A89&gt;MAX(Trato_Diario!$A$4:$A$300),SUMIFS(Trato_Diario!$G$4:$G$300,Trato_Diario!$B$4:$B$300,5,Trato_Diario!$A$4:$A$300,$A89)=0),"",SUMIFS(Trato_Diario!$J$4:$J$300,Trato_Diario!$B$4:$B$300,5,Trato_Diario!$A$4:$A$300,$A89)/SUMIFS(Trato_Diario!$G$4:$G$300,Trato_Diario!$B$4:$B$300,5,Trato_Diario!$A$4:$A$300,$A89))</f>
        <v/>
      </c>
      <c r="G89" s="26" t="str">
        <f>IF(OR($A89&gt;MAX(Trato_Diario!$A$4:$A$300),SUMIFS(Trato_Diario!$G$4:$G$300,Trato_Diario!$B$4:$B$300,6,Trato_Diario!$A$4:$A$300,$A89)=0),"",SUMIFS(Trato_Diario!$J$4:$J$300,Trato_Diario!$B$4:$B$300,6,Trato_Diario!$A$4:$A$300,$A89)/SUMIFS(Trato_Diario!$G$4:$G$300,Trato_Diario!$B$4:$B$300,6,Trato_Diario!$A$4:$A$300,$A89))</f>
        <v/>
      </c>
      <c r="H89" s="26" t="str">
        <f>IF(OR($A89&gt;MAX(Trato_Diario!$A$4:$A$300),SUMIFS(Trato_Diario!$G$4:$G$300,Trato_Diario!$B$4:$B$300,7,Trato_Diario!$A$4:$A$300,$A89)=0),"",SUMIFS(Trato_Diario!$J$4:$J$300,Trato_Diario!$B$4:$B$300,7,Trato_Diario!$A$4:$A$300,$A89)/SUMIFS(Trato_Diario!$G$4:$G$300,Trato_Diario!$B$4:$B$300,7,Trato_Diario!$A$4:$A$300,$A89))</f>
        <v/>
      </c>
      <c r="I89" s="26" t="str">
        <f>IF(OR($A89&gt;MAX(Trato_Diario!$A$4:$A$300),SUMIFS(Trato_Diario!$G$4:$G$300,Trato_Diario!$B$4:$B$300,8,Trato_Diario!$A$4:$A$300,$A89)=0),"",SUMIFS(Trato_Diario!$J$4:$J$300,Trato_Diario!$B$4:$B$300,8,Trato_Diario!$A$4:$A$300,$A89)/SUMIFS(Trato_Diario!$G$4:$G$300,Trato_Diario!$B$4:$B$300,8,Trato_Diario!$A$4:$A$300,$A89))</f>
        <v/>
      </c>
      <c r="J89" s="26" t="str">
        <f>IF(OR($A89&gt;MAX(Trato_Diario!$A$4:$A$300),SUMIFS(Trato_Diario!$G$4:$G$300,Trato_Diario!$B$4:$B$300,9,Trato_Diario!$A$4:$A$300,$A89)=0),"",SUMIFS(Trato_Diario!$J$4:$J$300,Trato_Diario!$B$4:$B$300,9,Trato_Diario!$A$4:$A$300,$A89)/SUMIFS(Trato_Diario!$G$4:$G$300,Trato_Diario!$B$4:$B$300,9,Trato_Diario!$A$4:$A$300,$A89))</f>
        <v/>
      </c>
      <c r="K89" s="26" t="str">
        <f>IF(OR($A89&gt;MAX(Trato_Diario!$A$4:$A$300),SUMIFS(Trato_Diario!$G$4:$G$300,Trato_Diario!$B$4:$B$300,10,Trato_Diario!$A$4:$A$300,$A89)=0),"",SUMIFS(Trato_Diario!$J$4:$J$300,Trato_Diario!$B$4:$B$300,10,Trato_Diario!$A$4:$A$300,$A89)/SUMIFS(Trato_Diario!$G$4:$G$300,Trato_Diario!$B$4:$B$300,10,Trato_Diario!$A$4:$A$300,$A89))</f>
        <v/>
      </c>
      <c r="L89" s="74" t="str">
        <f>IF(OR($A89&gt;MAX(Trato_Diario!$A$4:$A$300),SUMIFS(Trato_Diario!$G$4:$G$300,Trato_Diario!$A$4:$A$300,$A89)=0),"",SUMIFS(Trato_Diario!$J$4:$J$300,Trato_Diario!$A$4:$A$300,$A89)/SUMIFS(Trato_Diario!$G$4:$G$300,Trato_Diario!$A$4:$A$300,$A89))</f>
        <v/>
      </c>
    </row>
    <row r="90" spans="1:12" ht="14.25" customHeight="1" x14ac:dyDescent="0.3">
      <c r="A90" s="86">
        <v>46299</v>
      </c>
      <c r="B90" s="28" t="str">
        <f>IF(OR($A90&gt;MAX(Trato_Diario!$A$4:$A$300),SUMIFS(Trato_Diario!$G$4:$G$300,Trato_Diario!$B$4:$B$300,1,Trato_Diario!$A$4:$A$300,$A90)=0),"",SUMIFS(Trato_Diario!$J$4:$J$300,Trato_Diario!$B$4:$B$300,1,Trato_Diario!$A$4:$A$300,$A90)/SUMIFS(Trato_Diario!$G$4:$G$300,Trato_Diario!$B$4:$B$300,1,Trato_Diario!$A$4:$A$300,$A90))</f>
        <v/>
      </c>
      <c r="C90" s="28" t="str">
        <f>IF(OR($A90&gt;MAX(Trato_Diario!$A$4:$A$300),SUMIFS(Trato_Diario!$G$4:$G$300,Trato_Diario!$B$4:$B$300,2,Trato_Diario!$A$4:$A$300,$A90)=0),"",SUMIFS(Trato_Diario!$J$4:$J$300,Trato_Diario!$B$4:$B$300,2,Trato_Diario!$A$4:$A$300,$A90)/SUMIFS(Trato_Diario!$G$4:$G$300,Trato_Diario!$B$4:$B$300,2,Trato_Diario!$A$4:$A$300,$A90))</f>
        <v/>
      </c>
      <c r="D90" s="28" t="str">
        <f>IF(OR($A90&gt;MAX(Trato_Diario!$A$4:$A$300),SUMIFS(Trato_Diario!$G$4:$G$300,Trato_Diario!$B$4:$B$300,3,Trato_Diario!$A$4:$A$300,$A90)=0),"",SUMIFS(Trato_Diario!$J$4:$J$300,Trato_Diario!$B$4:$B$300,3,Trato_Diario!$A$4:$A$300,$A90)/SUMIFS(Trato_Diario!$G$4:$G$300,Trato_Diario!$B$4:$B$300,3,Trato_Diario!$A$4:$A$300,$A90))</f>
        <v/>
      </c>
      <c r="E90" s="28" t="str">
        <f>IF(OR($A90&gt;MAX(Trato_Diario!$A$4:$A$300),SUMIFS(Trato_Diario!$G$4:$G$300,Trato_Diario!$B$4:$B$300,4,Trato_Diario!$A$4:$A$300,$A90)=0),"",SUMIFS(Trato_Diario!$J$4:$J$300,Trato_Diario!$B$4:$B$300,4,Trato_Diario!$A$4:$A$300,$A90)/SUMIFS(Trato_Diario!$G$4:$G$300,Trato_Diario!$B$4:$B$300,4,Trato_Diario!$A$4:$A$300,$A90))</f>
        <v/>
      </c>
      <c r="F90" s="28" t="str">
        <f>IF(OR($A90&gt;MAX(Trato_Diario!$A$4:$A$300),SUMIFS(Trato_Diario!$G$4:$G$300,Trato_Diario!$B$4:$B$300,5,Trato_Diario!$A$4:$A$300,$A90)=0),"",SUMIFS(Trato_Diario!$J$4:$J$300,Trato_Diario!$B$4:$B$300,5,Trato_Diario!$A$4:$A$300,$A90)/SUMIFS(Trato_Diario!$G$4:$G$300,Trato_Diario!$B$4:$B$300,5,Trato_Diario!$A$4:$A$300,$A90))</f>
        <v/>
      </c>
      <c r="G90" s="28" t="str">
        <f>IF(OR($A90&gt;MAX(Trato_Diario!$A$4:$A$300),SUMIFS(Trato_Diario!$G$4:$G$300,Trato_Diario!$B$4:$B$300,6,Trato_Diario!$A$4:$A$300,$A90)=0),"",SUMIFS(Trato_Diario!$J$4:$J$300,Trato_Diario!$B$4:$B$300,6,Trato_Diario!$A$4:$A$300,$A90)/SUMIFS(Trato_Diario!$G$4:$G$300,Trato_Diario!$B$4:$B$300,6,Trato_Diario!$A$4:$A$300,$A90))</f>
        <v/>
      </c>
      <c r="H90" s="28" t="str">
        <f>IF(OR($A90&gt;MAX(Trato_Diario!$A$4:$A$300),SUMIFS(Trato_Diario!$G$4:$G$300,Trato_Diario!$B$4:$B$300,7,Trato_Diario!$A$4:$A$300,$A90)=0),"",SUMIFS(Trato_Diario!$J$4:$J$300,Trato_Diario!$B$4:$B$300,7,Trato_Diario!$A$4:$A$300,$A90)/SUMIFS(Trato_Diario!$G$4:$G$300,Trato_Diario!$B$4:$B$300,7,Trato_Diario!$A$4:$A$300,$A90))</f>
        <v/>
      </c>
      <c r="I90" s="28" t="str">
        <f>IF(OR($A90&gt;MAX(Trato_Diario!$A$4:$A$300),SUMIFS(Trato_Diario!$G$4:$G$300,Trato_Diario!$B$4:$B$300,8,Trato_Diario!$A$4:$A$300,$A90)=0),"",SUMIFS(Trato_Diario!$J$4:$J$300,Trato_Diario!$B$4:$B$300,8,Trato_Diario!$A$4:$A$300,$A90)/SUMIFS(Trato_Diario!$G$4:$G$300,Trato_Diario!$B$4:$B$300,8,Trato_Diario!$A$4:$A$300,$A90))</f>
        <v/>
      </c>
      <c r="J90" s="28" t="str">
        <f>IF(OR($A90&gt;MAX(Trato_Diario!$A$4:$A$300),SUMIFS(Trato_Diario!$G$4:$G$300,Trato_Diario!$B$4:$B$300,9,Trato_Diario!$A$4:$A$300,$A90)=0),"",SUMIFS(Trato_Diario!$J$4:$J$300,Trato_Diario!$B$4:$B$300,9,Trato_Diario!$A$4:$A$300,$A90)/SUMIFS(Trato_Diario!$G$4:$G$300,Trato_Diario!$B$4:$B$300,9,Trato_Diario!$A$4:$A$300,$A90))</f>
        <v/>
      </c>
      <c r="K90" s="28" t="str">
        <f>IF(OR($A90&gt;MAX(Trato_Diario!$A$4:$A$300),SUMIFS(Trato_Diario!$G$4:$G$300,Trato_Diario!$B$4:$B$300,10,Trato_Diario!$A$4:$A$300,$A90)=0),"",SUMIFS(Trato_Diario!$J$4:$J$300,Trato_Diario!$B$4:$B$300,10,Trato_Diario!$A$4:$A$300,$A90)/SUMIFS(Trato_Diario!$G$4:$G$300,Trato_Diario!$B$4:$B$300,10,Trato_Diario!$A$4:$A$300,$A90))</f>
        <v/>
      </c>
      <c r="L90" s="76" t="str">
        <f>IF(OR($A90&gt;MAX(Trato_Diario!$A$4:$A$300),SUMIFS(Trato_Diario!$G$4:$G$300,Trato_Diario!$A$4:$A$300,$A90)=0),"",SUMIFS(Trato_Diario!$J$4:$J$300,Trato_Diario!$A$4:$A$300,$A90)/SUMIFS(Trato_Diario!$G$4:$G$300,Trato_Diario!$A$4:$A$300,$A90))</f>
        <v/>
      </c>
    </row>
    <row r="91" spans="1:12" ht="14.25" customHeight="1" x14ac:dyDescent="0.3">
      <c r="A91" s="85">
        <v>46300</v>
      </c>
      <c r="B91" s="26" t="str">
        <f>IF(OR($A91&gt;MAX(Trato_Diario!$A$4:$A$300),SUMIFS(Trato_Diario!$G$4:$G$300,Trato_Diario!$B$4:$B$300,1,Trato_Diario!$A$4:$A$300,$A91)=0),"",SUMIFS(Trato_Diario!$J$4:$J$300,Trato_Diario!$B$4:$B$300,1,Trato_Diario!$A$4:$A$300,$A91)/SUMIFS(Trato_Diario!$G$4:$G$300,Trato_Diario!$B$4:$B$300,1,Trato_Diario!$A$4:$A$300,$A91))</f>
        <v/>
      </c>
      <c r="C91" s="26" t="str">
        <f>IF(OR($A91&gt;MAX(Trato_Diario!$A$4:$A$300),SUMIFS(Trato_Diario!$G$4:$G$300,Trato_Diario!$B$4:$B$300,2,Trato_Diario!$A$4:$A$300,$A91)=0),"",SUMIFS(Trato_Diario!$J$4:$J$300,Trato_Diario!$B$4:$B$300,2,Trato_Diario!$A$4:$A$300,$A91)/SUMIFS(Trato_Diario!$G$4:$G$300,Trato_Diario!$B$4:$B$300,2,Trato_Diario!$A$4:$A$300,$A91))</f>
        <v/>
      </c>
      <c r="D91" s="26" t="str">
        <f>IF(OR($A91&gt;MAX(Trato_Diario!$A$4:$A$300),SUMIFS(Trato_Diario!$G$4:$G$300,Trato_Diario!$B$4:$B$300,3,Trato_Diario!$A$4:$A$300,$A91)=0),"",SUMIFS(Trato_Diario!$J$4:$J$300,Trato_Diario!$B$4:$B$300,3,Trato_Diario!$A$4:$A$300,$A91)/SUMIFS(Trato_Diario!$G$4:$G$300,Trato_Diario!$B$4:$B$300,3,Trato_Diario!$A$4:$A$300,$A91))</f>
        <v/>
      </c>
      <c r="E91" s="26" t="str">
        <f>IF(OR($A91&gt;MAX(Trato_Diario!$A$4:$A$300),SUMIFS(Trato_Diario!$G$4:$G$300,Trato_Diario!$B$4:$B$300,4,Trato_Diario!$A$4:$A$300,$A91)=0),"",SUMIFS(Trato_Diario!$J$4:$J$300,Trato_Diario!$B$4:$B$300,4,Trato_Diario!$A$4:$A$300,$A91)/SUMIFS(Trato_Diario!$G$4:$G$300,Trato_Diario!$B$4:$B$300,4,Trato_Diario!$A$4:$A$300,$A91))</f>
        <v/>
      </c>
      <c r="F91" s="26" t="str">
        <f>IF(OR($A91&gt;MAX(Trato_Diario!$A$4:$A$300),SUMIFS(Trato_Diario!$G$4:$G$300,Trato_Diario!$B$4:$B$300,5,Trato_Diario!$A$4:$A$300,$A91)=0),"",SUMIFS(Trato_Diario!$J$4:$J$300,Trato_Diario!$B$4:$B$300,5,Trato_Diario!$A$4:$A$300,$A91)/SUMIFS(Trato_Diario!$G$4:$G$300,Trato_Diario!$B$4:$B$300,5,Trato_Diario!$A$4:$A$300,$A91))</f>
        <v/>
      </c>
      <c r="G91" s="26" t="str">
        <f>IF(OR($A91&gt;MAX(Trato_Diario!$A$4:$A$300),SUMIFS(Trato_Diario!$G$4:$G$300,Trato_Diario!$B$4:$B$300,6,Trato_Diario!$A$4:$A$300,$A91)=0),"",SUMIFS(Trato_Diario!$J$4:$J$300,Trato_Diario!$B$4:$B$300,6,Trato_Diario!$A$4:$A$300,$A91)/SUMIFS(Trato_Diario!$G$4:$G$300,Trato_Diario!$B$4:$B$300,6,Trato_Diario!$A$4:$A$300,$A91))</f>
        <v/>
      </c>
      <c r="H91" s="26" t="str">
        <f>IF(OR($A91&gt;MAX(Trato_Diario!$A$4:$A$300),SUMIFS(Trato_Diario!$G$4:$G$300,Trato_Diario!$B$4:$B$300,7,Trato_Diario!$A$4:$A$300,$A91)=0),"",SUMIFS(Trato_Diario!$J$4:$J$300,Trato_Diario!$B$4:$B$300,7,Trato_Diario!$A$4:$A$300,$A91)/SUMIFS(Trato_Diario!$G$4:$G$300,Trato_Diario!$B$4:$B$300,7,Trato_Diario!$A$4:$A$300,$A91))</f>
        <v/>
      </c>
      <c r="I91" s="26" t="str">
        <f>IF(OR($A91&gt;MAX(Trato_Diario!$A$4:$A$300),SUMIFS(Trato_Diario!$G$4:$G$300,Trato_Diario!$B$4:$B$300,8,Trato_Diario!$A$4:$A$300,$A91)=0),"",SUMIFS(Trato_Diario!$J$4:$J$300,Trato_Diario!$B$4:$B$300,8,Trato_Diario!$A$4:$A$300,$A91)/SUMIFS(Trato_Diario!$G$4:$G$300,Trato_Diario!$B$4:$B$300,8,Trato_Diario!$A$4:$A$300,$A91))</f>
        <v/>
      </c>
      <c r="J91" s="26" t="str">
        <f>IF(OR($A91&gt;MAX(Trato_Diario!$A$4:$A$300),SUMIFS(Trato_Diario!$G$4:$G$300,Trato_Diario!$B$4:$B$300,9,Trato_Diario!$A$4:$A$300,$A91)=0),"",SUMIFS(Trato_Diario!$J$4:$J$300,Trato_Diario!$B$4:$B$300,9,Trato_Diario!$A$4:$A$300,$A91)/SUMIFS(Trato_Diario!$G$4:$G$300,Trato_Diario!$B$4:$B$300,9,Trato_Diario!$A$4:$A$300,$A91))</f>
        <v/>
      </c>
      <c r="K91" s="26" t="str">
        <f>IF(OR($A91&gt;MAX(Trato_Diario!$A$4:$A$300),SUMIFS(Trato_Diario!$G$4:$G$300,Trato_Diario!$B$4:$B$300,10,Trato_Diario!$A$4:$A$300,$A91)=0),"",SUMIFS(Trato_Diario!$J$4:$J$300,Trato_Diario!$B$4:$B$300,10,Trato_Diario!$A$4:$A$300,$A91)/SUMIFS(Trato_Diario!$G$4:$G$300,Trato_Diario!$B$4:$B$300,10,Trato_Diario!$A$4:$A$300,$A91))</f>
        <v/>
      </c>
      <c r="L91" s="74" t="str">
        <f>IF(OR($A91&gt;MAX(Trato_Diario!$A$4:$A$300),SUMIFS(Trato_Diario!$G$4:$G$300,Trato_Diario!$A$4:$A$300,$A91)=0),"",SUMIFS(Trato_Diario!$J$4:$J$300,Trato_Diario!$A$4:$A$300,$A91)/SUMIFS(Trato_Diario!$G$4:$G$300,Trato_Diario!$A$4:$A$300,$A91))</f>
        <v/>
      </c>
    </row>
    <row r="92" spans="1:12" ht="14.25" customHeight="1" x14ac:dyDescent="0.3">
      <c r="A92" s="86">
        <v>46301</v>
      </c>
      <c r="B92" s="28" t="str">
        <f>IF(OR($A92&gt;MAX(Trato_Diario!$A$4:$A$300),SUMIFS(Trato_Diario!$G$4:$G$300,Trato_Diario!$B$4:$B$300,1,Trato_Diario!$A$4:$A$300,$A92)=0),"",SUMIFS(Trato_Diario!$J$4:$J$300,Trato_Diario!$B$4:$B$300,1,Trato_Diario!$A$4:$A$300,$A92)/SUMIFS(Trato_Diario!$G$4:$G$300,Trato_Diario!$B$4:$B$300,1,Trato_Diario!$A$4:$A$300,$A92))</f>
        <v/>
      </c>
      <c r="C92" s="28" t="str">
        <f>IF(OR($A92&gt;MAX(Trato_Diario!$A$4:$A$300),SUMIFS(Trato_Diario!$G$4:$G$300,Trato_Diario!$B$4:$B$300,2,Trato_Diario!$A$4:$A$300,$A92)=0),"",SUMIFS(Trato_Diario!$J$4:$J$300,Trato_Diario!$B$4:$B$300,2,Trato_Diario!$A$4:$A$300,$A92)/SUMIFS(Trato_Diario!$G$4:$G$300,Trato_Diario!$B$4:$B$300,2,Trato_Diario!$A$4:$A$300,$A92))</f>
        <v/>
      </c>
      <c r="D92" s="28" t="str">
        <f>IF(OR($A92&gt;MAX(Trato_Diario!$A$4:$A$300),SUMIFS(Trato_Diario!$G$4:$G$300,Trato_Diario!$B$4:$B$300,3,Trato_Diario!$A$4:$A$300,$A92)=0),"",SUMIFS(Trato_Diario!$J$4:$J$300,Trato_Diario!$B$4:$B$300,3,Trato_Diario!$A$4:$A$300,$A92)/SUMIFS(Trato_Diario!$G$4:$G$300,Trato_Diario!$B$4:$B$300,3,Trato_Diario!$A$4:$A$300,$A92))</f>
        <v/>
      </c>
      <c r="E92" s="28" t="str">
        <f>IF(OR($A92&gt;MAX(Trato_Diario!$A$4:$A$300),SUMIFS(Trato_Diario!$G$4:$G$300,Trato_Diario!$B$4:$B$300,4,Trato_Diario!$A$4:$A$300,$A92)=0),"",SUMIFS(Trato_Diario!$J$4:$J$300,Trato_Diario!$B$4:$B$300,4,Trato_Diario!$A$4:$A$300,$A92)/SUMIFS(Trato_Diario!$G$4:$G$300,Trato_Diario!$B$4:$B$300,4,Trato_Diario!$A$4:$A$300,$A92))</f>
        <v/>
      </c>
      <c r="F92" s="28" t="str">
        <f>IF(OR($A92&gt;MAX(Trato_Diario!$A$4:$A$300),SUMIFS(Trato_Diario!$G$4:$G$300,Trato_Diario!$B$4:$B$300,5,Trato_Diario!$A$4:$A$300,$A92)=0),"",SUMIFS(Trato_Diario!$J$4:$J$300,Trato_Diario!$B$4:$B$300,5,Trato_Diario!$A$4:$A$300,$A92)/SUMIFS(Trato_Diario!$G$4:$G$300,Trato_Diario!$B$4:$B$300,5,Trato_Diario!$A$4:$A$300,$A92))</f>
        <v/>
      </c>
      <c r="G92" s="28" t="str">
        <f>IF(OR($A92&gt;MAX(Trato_Diario!$A$4:$A$300),SUMIFS(Trato_Diario!$G$4:$G$300,Trato_Diario!$B$4:$B$300,6,Trato_Diario!$A$4:$A$300,$A92)=0),"",SUMIFS(Trato_Diario!$J$4:$J$300,Trato_Diario!$B$4:$B$300,6,Trato_Diario!$A$4:$A$300,$A92)/SUMIFS(Trato_Diario!$G$4:$G$300,Trato_Diario!$B$4:$B$300,6,Trato_Diario!$A$4:$A$300,$A92))</f>
        <v/>
      </c>
      <c r="H92" s="28" t="str">
        <f>IF(OR($A92&gt;MAX(Trato_Diario!$A$4:$A$300),SUMIFS(Trato_Diario!$G$4:$G$300,Trato_Diario!$B$4:$B$300,7,Trato_Diario!$A$4:$A$300,$A92)=0),"",SUMIFS(Trato_Diario!$J$4:$J$300,Trato_Diario!$B$4:$B$300,7,Trato_Diario!$A$4:$A$300,$A92)/SUMIFS(Trato_Diario!$G$4:$G$300,Trato_Diario!$B$4:$B$300,7,Trato_Diario!$A$4:$A$300,$A92))</f>
        <v/>
      </c>
      <c r="I92" s="28" t="str">
        <f>IF(OR($A92&gt;MAX(Trato_Diario!$A$4:$A$300),SUMIFS(Trato_Diario!$G$4:$G$300,Trato_Diario!$B$4:$B$300,8,Trato_Diario!$A$4:$A$300,$A92)=0),"",SUMIFS(Trato_Diario!$J$4:$J$300,Trato_Diario!$B$4:$B$300,8,Trato_Diario!$A$4:$A$300,$A92)/SUMIFS(Trato_Diario!$G$4:$G$300,Trato_Diario!$B$4:$B$300,8,Trato_Diario!$A$4:$A$300,$A92))</f>
        <v/>
      </c>
      <c r="J92" s="28" t="str">
        <f>IF(OR($A92&gt;MAX(Trato_Diario!$A$4:$A$300),SUMIFS(Trato_Diario!$G$4:$G$300,Trato_Diario!$B$4:$B$300,9,Trato_Diario!$A$4:$A$300,$A92)=0),"",SUMIFS(Trato_Diario!$J$4:$J$300,Trato_Diario!$B$4:$B$300,9,Trato_Diario!$A$4:$A$300,$A92)/SUMIFS(Trato_Diario!$G$4:$G$300,Trato_Diario!$B$4:$B$300,9,Trato_Diario!$A$4:$A$300,$A92))</f>
        <v/>
      </c>
      <c r="K92" s="28" t="str">
        <f>IF(OR($A92&gt;MAX(Trato_Diario!$A$4:$A$300),SUMIFS(Trato_Diario!$G$4:$G$300,Trato_Diario!$B$4:$B$300,10,Trato_Diario!$A$4:$A$300,$A92)=0),"",SUMIFS(Trato_Diario!$J$4:$J$300,Trato_Diario!$B$4:$B$300,10,Trato_Diario!$A$4:$A$300,$A92)/SUMIFS(Trato_Diario!$G$4:$G$300,Trato_Diario!$B$4:$B$300,10,Trato_Diario!$A$4:$A$300,$A92))</f>
        <v/>
      </c>
      <c r="L92" s="76" t="str">
        <f>IF(OR($A92&gt;MAX(Trato_Diario!$A$4:$A$300),SUMIFS(Trato_Diario!$G$4:$G$300,Trato_Diario!$A$4:$A$300,$A92)=0),"",SUMIFS(Trato_Diario!$J$4:$J$300,Trato_Diario!$A$4:$A$300,$A92)/SUMIFS(Trato_Diario!$G$4:$G$300,Trato_Diario!$A$4:$A$300,$A92))</f>
        <v/>
      </c>
    </row>
    <row r="93" spans="1:12" ht="14.25" customHeight="1" x14ac:dyDescent="0.3">
      <c r="A93" s="85">
        <v>46302</v>
      </c>
      <c r="B93" s="26" t="str">
        <f>IF(OR($A93&gt;MAX(Trato_Diario!$A$4:$A$300),SUMIFS(Trato_Diario!$G$4:$G$300,Trato_Diario!$B$4:$B$300,1,Trato_Diario!$A$4:$A$300,$A93)=0),"",SUMIFS(Trato_Diario!$J$4:$J$300,Trato_Diario!$B$4:$B$300,1,Trato_Diario!$A$4:$A$300,$A93)/SUMIFS(Trato_Diario!$G$4:$G$300,Trato_Diario!$B$4:$B$300,1,Trato_Diario!$A$4:$A$300,$A93))</f>
        <v/>
      </c>
      <c r="C93" s="26" t="str">
        <f>IF(OR($A93&gt;MAX(Trato_Diario!$A$4:$A$300),SUMIFS(Trato_Diario!$G$4:$G$300,Trato_Diario!$B$4:$B$300,2,Trato_Diario!$A$4:$A$300,$A93)=0),"",SUMIFS(Trato_Diario!$J$4:$J$300,Trato_Diario!$B$4:$B$300,2,Trato_Diario!$A$4:$A$300,$A93)/SUMIFS(Trato_Diario!$G$4:$G$300,Trato_Diario!$B$4:$B$300,2,Trato_Diario!$A$4:$A$300,$A93))</f>
        <v/>
      </c>
      <c r="D93" s="26" t="str">
        <f>IF(OR($A93&gt;MAX(Trato_Diario!$A$4:$A$300),SUMIFS(Trato_Diario!$G$4:$G$300,Trato_Diario!$B$4:$B$300,3,Trato_Diario!$A$4:$A$300,$A93)=0),"",SUMIFS(Trato_Diario!$J$4:$J$300,Trato_Diario!$B$4:$B$300,3,Trato_Diario!$A$4:$A$300,$A93)/SUMIFS(Trato_Diario!$G$4:$G$300,Trato_Diario!$B$4:$B$300,3,Trato_Diario!$A$4:$A$300,$A93))</f>
        <v/>
      </c>
      <c r="E93" s="26" t="str">
        <f>IF(OR($A93&gt;MAX(Trato_Diario!$A$4:$A$300),SUMIFS(Trato_Diario!$G$4:$G$300,Trato_Diario!$B$4:$B$300,4,Trato_Diario!$A$4:$A$300,$A93)=0),"",SUMIFS(Trato_Diario!$J$4:$J$300,Trato_Diario!$B$4:$B$300,4,Trato_Diario!$A$4:$A$300,$A93)/SUMIFS(Trato_Diario!$G$4:$G$300,Trato_Diario!$B$4:$B$300,4,Trato_Diario!$A$4:$A$300,$A93))</f>
        <v/>
      </c>
      <c r="F93" s="26" t="str">
        <f>IF(OR($A93&gt;MAX(Trato_Diario!$A$4:$A$300),SUMIFS(Trato_Diario!$G$4:$G$300,Trato_Diario!$B$4:$B$300,5,Trato_Diario!$A$4:$A$300,$A93)=0),"",SUMIFS(Trato_Diario!$J$4:$J$300,Trato_Diario!$B$4:$B$300,5,Trato_Diario!$A$4:$A$300,$A93)/SUMIFS(Trato_Diario!$G$4:$G$300,Trato_Diario!$B$4:$B$300,5,Trato_Diario!$A$4:$A$300,$A93))</f>
        <v/>
      </c>
      <c r="G93" s="26" t="str">
        <f>IF(OR($A93&gt;MAX(Trato_Diario!$A$4:$A$300),SUMIFS(Trato_Diario!$G$4:$G$300,Trato_Diario!$B$4:$B$300,6,Trato_Diario!$A$4:$A$300,$A93)=0),"",SUMIFS(Trato_Diario!$J$4:$J$300,Trato_Diario!$B$4:$B$300,6,Trato_Diario!$A$4:$A$300,$A93)/SUMIFS(Trato_Diario!$G$4:$G$300,Trato_Diario!$B$4:$B$300,6,Trato_Diario!$A$4:$A$300,$A93))</f>
        <v/>
      </c>
      <c r="H93" s="26" t="str">
        <f>IF(OR($A93&gt;MAX(Trato_Diario!$A$4:$A$300),SUMIFS(Trato_Diario!$G$4:$G$300,Trato_Diario!$B$4:$B$300,7,Trato_Diario!$A$4:$A$300,$A93)=0),"",SUMIFS(Trato_Diario!$J$4:$J$300,Trato_Diario!$B$4:$B$300,7,Trato_Diario!$A$4:$A$300,$A93)/SUMIFS(Trato_Diario!$G$4:$G$300,Trato_Diario!$B$4:$B$300,7,Trato_Diario!$A$4:$A$300,$A93))</f>
        <v/>
      </c>
      <c r="I93" s="26" t="str">
        <f>IF(OR($A93&gt;MAX(Trato_Diario!$A$4:$A$300),SUMIFS(Trato_Diario!$G$4:$G$300,Trato_Diario!$B$4:$B$300,8,Trato_Diario!$A$4:$A$300,$A93)=0),"",SUMIFS(Trato_Diario!$J$4:$J$300,Trato_Diario!$B$4:$B$300,8,Trato_Diario!$A$4:$A$300,$A93)/SUMIFS(Trato_Diario!$G$4:$G$300,Trato_Diario!$B$4:$B$300,8,Trato_Diario!$A$4:$A$300,$A93))</f>
        <v/>
      </c>
      <c r="J93" s="26" t="str">
        <f>IF(OR($A93&gt;MAX(Trato_Diario!$A$4:$A$300),SUMIFS(Trato_Diario!$G$4:$G$300,Trato_Diario!$B$4:$B$300,9,Trato_Diario!$A$4:$A$300,$A93)=0),"",SUMIFS(Trato_Diario!$J$4:$J$300,Trato_Diario!$B$4:$B$300,9,Trato_Diario!$A$4:$A$300,$A93)/SUMIFS(Trato_Diario!$G$4:$G$300,Trato_Diario!$B$4:$B$300,9,Trato_Diario!$A$4:$A$300,$A93))</f>
        <v/>
      </c>
      <c r="K93" s="26" t="str">
        <f>IF(OR($A93&gt;MAX(Trato_Diario!$A$4:$A$300),SUMIFS(Trato_Diario!$G$4:$G$300,Trato_Diario!$B$4:$B$300,10,Trato_Diario!$A$4:$A$300,$A93)=0),"",SUMIFS(Trato_Diario!$J$4:$J$300,Trato_Diario!$B$4:$B$300,10,Trato_Diario!$A$4:$A$300,$A93)/SUMIFS(Trato_Diario!$G$4:$G$300,Trato_Diario!$B$4:$B$300,10,Trato_Diario!$A$4:$A$300,$A93))</f>
        <v/>
      </c>
      <c r="L93" s="74" t="str">
        <f>IF(OR($A93&gt;MAX(Trato_Diario!$A$4:$A$300),SUMIFS(Trato_Diario!$G$4:$G$300,Trato_Diario!$A$4:$A$300,$A93)=0),"",SUMIFS(Trato_Diario!$J$4:$J$300,Trato_Diario!$A$4:$A$300,$A93)/SUMIFS(Trato_Diario!$G$4:$G$300,Trato_Diario!$A$4:$A$300,$A93))</f>
        <v/>
      </c>
    </row>
    <row r="94" spans="1:12" ht="14.25" customHeight="1" x14ac:dyDescent="0.3">
      <c r="A94" s="86">
        <v>46303</v>
      </c>
      <c r="B94" s="28" t="str">
        <f>IF(OR($A94&gt;MAX(Trato_Diario!$A$4:$A$300),SUMIFS(Trato_Diario!$G$4:$G$300,Trato_Diario!$B$4:$B$300,1,Trato_Diario!$A$4:$A$300,$A94)=0),"",SUMIFS(Trato_Diario!$J$4:$J$300,Trato_Diario!$B$4:$B$300,1,Trato_Diario!$A$4:$A$300,$A94)/SUMIFS(Trato_Diario!$G$4:$G$300,Trato_Diario!$B$4:$B$300,1,Trato_Diario!$A$4:$A$300,$A94))</f>
        <v/>
      </c>
      <c r="C94" s="28" t="str">
        <f>IF(OR($A94&gt;MAX(Trato_Diario!$A$4:$A$300),SUMIFS(Trato_Diario!$G$4:$G$300,Trato_Diario!$B$4:$B$300,2,Trato_Diario!$A$4:$A$300,$A94)=0),"",SUMIFS(Trato_Diario!$J$4:$J$300,Trato_Diario!$B$4:$B$300,2,Trato_Diario!$A$4:$A$300,$A94)/SUMIFS(Trato_Diario!$G$4:$G$300,Trato_Diario!$B$4:$B$300,2,Trato_Diario!$A$4:$A$300,$A94))</f>
        <v/>
      </c>
      <c r="D94" s="28" t="str">
        <f>IF(OR($A94&gt;MAX(Trato_Diario!$A$4:$A$300),SUMIFS(Trato_Diario!$G$4:$G$300,Trato_Diario!$B$4:$B$300,3,Trato_Diario!$A$4:$A$300,$A94)=0),"",SUMIFS(Trato_Diario!$J$4:$J$300,Trato_Diario!$B$4:$B$300,3,Trato_Diario!$A$4:$A$300,$A94)/SUMIFS(Trato_Diario!$G$4:$G$300,Trato_Diario!$B$4:$B$300,3,Trato_Diario!$A$4:$A$300,$A94))</f>
        <v/>
      </c>
      <c r="E94" s="28" t="str">
        <f>IF(OR($A94&gt;MAX(Trato_Diario!$A$4:$A$300),SUMIFS(Trato_Diario!$G$4:$G$300,Trato_Diario!$B$4:$B$300,4,Trato_Diario!$A$4:$A$300,$A94)=0),"",SUMIFS(Trato_Diario!$J$4:$J$300,Trato_Diario!$B$4:$B$300,4,Trato_Diario!$A$4:$A$300,$A94)/SUMIFS(Trato_Diario!$G$4:$G$300,Trato_Diario!$B$4:$B$300,4,Trato_Diario!$A$4:$A$300,$A94))</f>
        <v/>
      </c>
      <c r="F94" s="28" t="str">
        <f>IF(OR($A94&gt;MAX(Trato_Diario!$A$4:$A$300),SUMIFS(Trato_Diario!$G$4:$G$300,Trato_Diario!$B$4:$B$300,5,Trato_Diario!$A$4:$A$300,$A94)=0),"",SUMIFS(Trato_Diario!$J$4:$J$300,Trato_Diario!$B$4:$B$300,5,Trato_Diario!$A$4:$A$300,$A94)/SUMIFS(Trato_Diario!$G$4:$G$300,Trato_Diario!$B$4:$B$300,5,Trato_Diario!$A$4:$A$300,$A94))</f>
        <v/>
      </c>
      <c r="G94" s="28" t="str">
        <f>IF(OR($A94&gt;MAX(Trato_Diario!$A$4:$A$300),SUMIFS(Trato_Diario!$G$4:$G$300,Trato_Diario!$B$4:$B$300,6,Trato_Diario!$A$4:$A$300,$A94)=0),"",SUMIFS(Trato_Diario!$J$4:$J$300,Trato_Diario!$B$4:$B$300,6,Trato_Diario!$A$4:$A$300,$A94)/SUMIFS(Trato_Diario!$G$4:$G$300,Trato_Diario!$B$4:$B$300,6,Trato_Diario!$A$4:$A$300,$A94))</f>
        <v/>
      </c>
      <c r="H94" s="28" t="str">
        <f>IF(OR($A94&gt;MAX(Trato_Diario!$A$4:$A$300),SUMIFS(Trato_Diario!$G$4:$G$300,Trato_Diario!$B$4:$B$300,7,Trato_Diario!$A$4:$A$300,$A94)=0),"",SUMIFS(Trato_Diario!$J$4:$J$300,Trato_Diario!$B$4:$B$300,7,Trato_Diario!$A$4:$A$300,$A94)/SUMIFS(Trato_Diario!$G$4:$G$300,Trato_Diario!$B$4:$B$300,7,Trato_Diario!$A$4:$A$300,$A94))</f>
        <v/>
      </c>
      <c r="I94" s="28" t="str">
        <f>IF(OR($A94&gt;MAX(Trato_Diario!$A$4:$A$300),SUMIFS(Trato_Diario!$G$4:$G$300,Trato_Diario!$B$4:$B$300,8,Trato_Diario!$A$4:$A$300,$A94)=0),"",SUMIFS(Trato_Diario!$J$4:$J$300,Trato_Diario!$B$4:$B$300,8,Trato_Diario!$A$4:$A$300,$A94)/SUMIFS(Trato_Diario!$G$4:$G$300,Trato_Diario!$B$4:$B$300,8,Trato_Diario!$A$4:$A$300,$A94))</f>
        <v/>
      </c>
      <c r="J94" s="28" t="str">
        <f>IF(OR($A94&gt;MAX(Trato_Diario!$A$4:$A$300),SUMIFS(Trato_Diario!$G$4:$G$300,Trato_Diario!$B$4:$B$300,9,Trato_Diario!$A$4:$A$300,$A94)=0),"",SUMIFS(Trato_Diario!$J$4:$J$300,Trato_Diario!$B$4:$B$300,9,Trato_Diario!$A$4:$A$300,$A94)/SUMIFS(Trato_Diario!$G$4:$G$300,Trato_Diario!$B$4:$B$300,9,Trato_Diario!$A$4:$A$300,$A94))</f>
        <v/>
      </c>
      <c r="K94" s="28" t="str">
        <f>IF(OR($A94&gt;MAX(Trato_Diario!$A$4:$A$300),SUMIFS(Trato_Diario!$G$4:$G$300,Trato_Diario!$B$4:$B$300,10,Trato_Diario!$A$4:$A$300,$A94)=0),"",SUMIFS(Trato_Diario!$J$4:$J$300,Trato_Diario!$B$4:$B$300,10,Trato_Diario!$A$4:$A$300,$A94)/SUMIFS(Trato_Diario!$G$4:$G$300,Trato_Diario!$B$4:$B$300,10,Trato_Diario!$A$4:$A$300,$A94))</f>
        <v/>
      </c>
      <c r="L94" s="76" t="str">
        <f>IF(OR($A94&gt;MAX(Trato_Diario!$A$4:$A$300),SUMIFS(Trato_Diario!$G$4:$G$300,Trato_Diario!$A$4:$A$300,$A94)=0),"",SUMIFS(Trato_Diario!$J$4:$J$300,Trato_Diario!$A$4:$A$300,$A94)/SUMIFS(Trato_Diario!$G$4:$G$300,Trato_Diario!$A$4:$A$300,$A94))</f>
        <v/>
      </c>
    </row>
    <row r="95" spans="1:12" ht="14.25" customHeight="1" x14ac:dyDescent="0.3">
      <c r="A95" s="85">
        <v>46304</v>
      </c>
      <c r="B95" s="26" t="str">
        <f>IF(OR($A95&gt;MAX(Trato_Diario!$A$4:$A$300),SUMIFS(Trato_Diario!$G$4:$G$300,Trato_Diario!$B$4:$B$300,1,Trato_Diario!$A$4:$A$300,$A95)=0),"",SUMIFS(Trato_Diario!$J$4:$J$300,Trato_Diario!$B$4:$B$300,1,Trato_Diario!$A$4:$A$300,$A95)/SUMIFS(Trato_Diario!$G$4:$G$300,Trato_Diario!$B$4:$B$300,1,Trato_Diario!$A$4:$A$300,$A95))</f>
        <v/>
      </c>
      <c r="C95" s="26" t="str">
        <f>IF(OR($A95&gt;MAX(Trato_Diario!$A$4:$A$300),SUMIFS(Trato_Diario!$G$4:$G$300,Trato_Diario!$B$4:$B$300,2,Trato_Diario!$A$4:$A$300,$A95)=0),"",SUMIFS(Trato_Diario!$J$4:$J$300,Trato_Diario!$B$4:$B$300,2,Trato_Diario!$A$4:$A$300,$A95)/SUMIFS(Trato_Diario!$G$4:$G$300,Trato_Diario!$B$4:$B$300,2,Trato_Diario!$A$4:$A$300,$A95))</f>
        <v/>
      </c>
      <c r="D95" s="26" t="str">
        <f>IF(OR($A95&gt;MAX(Trato_Diario!$A$4:$A$300),SUMIFS(Trato_Diario!$G$4:$G$300,Trato_Diario!$B$4:$B$300,3,Trato_Diario!$A$4:$A$300,$A95)=0),"",SUMIFS(Trato_Diario!$J$4:$J$300,Trato_Diario!$B$4:$B$300,3,Trato_Diario!$A$4:$A$300,$A95)/SUMIFS(Trato_Diario!$G$4:$G$300,Trato_Diario!$B$4:$B$300,3,Trato_Diario!$A$4:$A$300,$A95))</f>
        <v/>
      </c>
      <c r="E95" s="26" t="str">
        <f>IF(OR($A95&gt;MAX(Trato_Diario!$A$4:$A$300),SUMIFS(Trato_Diario!$G$4:$G$300,Trato_Diario!$B$4:$B$300,4,Trato_Diario!$A$4:$A$300,$A95)=0),"",SUMIFS(Trato_Diario!$J$4:$J$300,Trato_Diario!$B$4:$B$300,4,Trato_Diario!$A$4:$A$300,$A95)/SUMIFS(Trato_Diario!$G$4:$G$300,Trato_Diario!$B$4:$B$300,4,Trato_Diario!$A$4:$A$300,$A95))</f>
        <v/>
      </c>
      <c r="F95" s="26" t="str">
        <f>IF(OR($A95&gt;MAX(Trato_Diario!$A$4:$A$300),SUMIFS(Trato_Diario!$G$4:$G$300,Trato_Diario!$B$4:$B$300,5,Trato_Diario!$A$4:$A$300,$A95)=0),"",SUMIFS(Trato_Diario!$J$4:$J$300,Trato_Diario!$B$4:$B$300,5,Trato_Diario!$A$4:$A$300,$A95)/SUMIFS(Trato_Diario!$G$4:$G$300,Trato_Diario!$B$4:$B$300,5,Trato_Diario!$A$4:$A$300,$A95))</f>
        <v/>
      </c>
      <c r="G95" s="26" t="str">
        <f>IF(OR($A95&gt;MAX(Trato_Diario!$A$4:$A$300),SUMIFS(Trato_Diario!$G$4:$G$300,Trato_Diario!$B$4:$B$300,6,Trato_Diario!$A$4:$A$300,$A95)=0),"",SUMIFS(Trato_Diario!$J$4:$J$300,Trato_Diario!$B$4:$B$300,6,Trato_Diario!$A$4:$A$300,$A95)/SUMIFS(Trato_Diario!$G$4:$G$300,Trato_Diario!$B$4:$B$300,6,Trato_Diario!$A$4:$A$300,$A95))</f>
        <v/>
      </c>
      <c r="H95" s="26" t="str">
        <f>IF(OR($A95&gt;MAX(Trato_Diario!$A$4:$A$300),SUMIFS(Trato_Diario!$G$4:$G$300,Trato_Diario!$B$4:$B$300,7,Trato_Diario!$A$4:$A$300,$A95)=0),"",SUMIFS(Trato_Diario!$J$4:$J$300,Trato_Diario!$B$4:$B$300,7,Trato_Diario!$A$4:$A$300,$A95)/SUMIFS(Trato_Diario!$G$4:$G$300,Trato_Diario!$B$4:$B$300,7,Trato_Diario!$A$4:$A$300,$A95))</f>
        <v/>
      </c>
      <c r="I95" s="26" t="str">
        <f>IF(OR($A95&gt;MAX(Trato_Diario!$A$4:$A$300),SUMIFS(Trato_Diario!$G$4:$G$300,Trato_Diario!$B$4:$B$300,8,Trato_Diario!$A$4:$A$300,$A95)=0),"",SUMIFS(Trato_Diario!$J$4:$J$300,Trato_Diario!$B$4:$B$300,8,Trato_Diario!$A$4:$A$300,$A95)/SUMIFS(Trato_Diario!$G$4:$G$300,Trato_Diario!$B$4:$B$300,8,Trato_Diario!$A$4:$A$300,$A95))</f>
        <v/>
      </c>
      <c r="J95" s="26" t="str">
        <f>IF(OR($A95&gt;MAX(Trato_Diario!$A$4:$A$300),SUMIFS(Trato_Diario!$G$4:$G$300,Trato_Diario!$B$4:$B$300,9,Trato_Diario!$A$4:$A$300,$A95)=0),"",SUMIFS(Trato_Diario!$J$4:$J$300,Trato_Diario!$B$4:$B$300,9,Trato_Diario!$A$4:$A$300,$A95)/SUMIFS(Trato_Diario!$G$4:$G$300,Trato_Diario!$B$4:$B$300,9,Trato_Diario!$A$4:$A$300,$A95))</f>
        <v/>
      </c>
      <c r="K95" s="26" t="str">
        <f>IF(OR($A95&gt;MAX(Trato_Diario!$A$4:$A$300),SUMIFS(Trato_Diario!$G$4:$G$300,Trato_Diario!$B$4:$B$300,10,Trato_Diario!$A$4:$A$300,$A95)=0),"",SUMIFS(Trato_Diario!$J$4:$J$300,Trato_Diario!$B$4:$B$300,10,Trato_Diario!$A$4:$A$300,$A95)/SUMIFS(Trato_Diario!$G$4:$G$300,Trato_Diario!$B$4:$B$300,10,Trato_Diario!$A$4:$A$300,$A95))</f>
        <v/>
      </c>
      <c r="L95" s="74" t="str">
        <f>IF(OR($A95&gt;MAX(Trato_Diario!$A$4:$A$300),SUMIFS(Trato_Diario!$G$4:$G$300,Trato_Diario!$A$4:$A$300,$A95)=0),"",SUMIFS(Trato_Diario!$J$4:$J$300,Trato_Diario!$A$4:$A$300,$A95)/SUMIFS(Trato_Diario!$G$4:$G$300,Trato_Diario!$A$4:$A$300,$A95))</f>
        <v/>
      </c>
    </row>
    <row r="96" spans="1:12" ht="14.25" customHeight="1" x14ac:dyDescent="0.3">
      <c r="A96" s="86">
        <v>46305</v>
      </c>
      <c r="B96" s="28" t="str">
        <f>IF(OR($A96&gt;MAX(Trato_Diario!$A$4:$A$300),SUMIFS(Trato_Diario!$G$4:$G$300,Trato_Diario!$B$4:$B$300,1,Trato_Diario!$A$4:$A$300,$A96)=0),"",SUMIFS(Trato_Diario!$J$4:$J$300,Trato_Diario!$B$4:$B$300,1,Trato_Diario!$A$4:$A$300,$A96)/SUMIFS(Trato_Diario!$G$4:$G$300,Trato_Diario!$B$4:$B$300,1,Trato_Diario!$A$4:$A$300,$A96))</f>
        <v/>
      </c>
      <c r="C96" s="28" t="str">
        <f>IF(OR($A96&gt;MAX(Trato_Diario!$A$4:$A$300),SUMIFS(Trato_Diario!$G$4:$G$300,Trato_Diario!$B$4:$B$300,2,Trato_Diario!$A$4:$A$300,$A96)=0),"",SUMIFS(Trato_Diario!$J$4:$J$300,Trato_Diario!$B$4:$B$300,2,Trato_Diario!$A$4:$A$300,$A96)/SUMIFS(Trato_Diario!$G$4:$G$300,Trato_Diario!$B$4:$B$300,2,Trato_Diario!$A$4:$A$300,$A96))</f>
        <v/>
      </c>
      <c r="D96" s="28" t="str">
        <f>IF(OR($A96&gt;MAX(Trato_Diario!$A$4:$A$300),SUMIFS(Trato_Diario!$G$4:$G$300,Trato_Diario!$B$4:$B$300,3,Trato_Diario!$A$4:$A$300,$A96)=0),"",SUMIFS(Trato_Diario!$J$4:$J$300,Trato_Diario!$B$4:$B$300,3,Trato_Diario!$A$4:$A$300,$A96)/SUMIFS(Trato_Diario!$G$4:$G$300,Trato_Diario!$B$4:$B$300,3,Trato_Diario!$A$4:$A$300,$A96))</f>
        <v/>
      </c>
      <c r="E96" s="28" t="str">
        <f>IF(OR($A96&gt;MAX(Trato_Diario!$A$4:$A$300),SUMIFS(Trato_Diario!$G$4:$G$300,Trato_Diario!$B$4:$B$300,4,Trato_Diario!$A$4:$A$300,$A96)=0),"",SUMIFS(Trato_Diario!$J$4:$J$300,Trato_Diario!$B$4:$B$300,4,Trato_Diario!$A$4:$A$300,$A96)/SUMIFS(Trato_Diario!$G$4:$G$300,Trato_Diario!$B$4:$B$300,4,Trato_Diario!$A$4:$A$300,$A96))</f>
        <v/>
      </c>
      <c r="F96" s="28" t="str">
        <f>IF(OR($A96&gt;MAX(Trato_Diario!$A$4:$A$300),SUMIFS(Trato_Diario!$G$4:$G$300,Trato_Diario!$B$4:$B$300,5,Trato_Diario!$A$4:$A$300,$A96)=0),"",SUMIFS(Trato_Diario!$J$4:$J$300,Trato_Diario!$B$4:$B$300,5,Trato_Diario!$A$4:$A$300,$A96)/SUMIFS(Trato_Diario!$G$4:$G$300,Trato_Diario!$B$4:$B$300,5,Trato_Diario!$A$4:$A$300,$A96))</f>
        <v/>
      </c>
      <c r="G96" s="28" t="str">
        <f>IF(OR($A96&gt;MAX(Trato_Diario!$A$4:$A$300),SUMIFS(Trato_Diario!$G$4:$G$300,Trato_Diario!$B$4:$B$300,6,Trato_Diario!$A$4:$A$300,$A96)=0),"",SUMIFS(Trato_Diario!$J$4:$J$300,Trato_Diario!$B$4:$B$300,6,Trato_Diario!$A$4:$A$300,$A96)/SUMIFS(Trato_Diario!$G$4:$G$300,Trato_Diario!$B$4:$B$300,6,Trato_Diario!$A$4:$A$300,$A96))</f>
        <v/>
      </c>
      <c r="H96" s="28" t="str">
        <f>IF(OR($A96&gt;MAX(Trato_Diario!$A$4:$A$300),SUMIFS(Trato_Diario!$G$4:$G$300,Trato_Diario!$B$4:$B$300,7,Trato_Diario!$A$4:$A$300,$A96)=0),"",SUMIFS(Trato_Diario!$J$4:$J$300,Trato_Diario!$B$4:$B$300,7,Trato_Diario!$A$4:$A$300,$A96)/SUMIFS(Trato_Diario!$G$4:$G$300,Trato_Diario!$B$4:$B$300,7,Trato_Diario!$A$4:$A$300,$A96))</f>
        <v/>
      </c>
      <c r="I96" s="28" t="str">
        <f>IF(OR($A96&gt;MAX(Trato_Diario!$A$4:$A$300),SUMIFS(Trato_Diario!$G$4:$G$300,Trato_Diario!$B$4:$B$300,8,Trato_Diario!$A$4:$A$300,$A96)=0),"",SUMIFS(Trato_Diario!$J$4:$J$300,Trato_Diario!$B$4:$B$300,8,Trato_Diario!$A$4:$A$300,$A96)/SUMIFS(Trato_Diario!$G$4:$G$300,Trato_Diario!$B$4:$B$300,8,Trato_Diario!$A$4:$A$300,$A96))</f>
        <v/>
      </c>
      <c r="J96" s="28" t="str">
        <f>IF(OR($A96&gt;MAX(Trato_Diario!$A$4:$A$300),SUMIFS(Trato_Diario!$G$4:$G$300,Trato_Diario!$B$4:$B$300,9,Trato_Diario!$A$4:$A$300,$A96)=0),"",SUMIFS(Trato_Diario!$J$4:$J$300,Trato_Diario!$B$4:$B$300,9,Trato_Diario!$A$4:$A$300,$A96)/SUMIFS(Trato_Diario!$G$4:$G$300,Trato_Diario!$B$4:$B$300,9,Trato_Diario!$A$4:$A$300,$A96))</f>
        <v/>
      </c>
      <c r="K96" s="28" t="str">
        <f>IF(OR($A96&gt;MAX(Trato_Diario!$A$4:$A$300),SUMIFS(Trato_Diario!$G$4:$G$300,Trato_Diario!$B$4:$B$300,10,Trato_Diario!$A$4:$A$300,$A96)=0),"",SUMIFS(Trato_Diario!$J$4:$J$300,Trato_Diario!$B$4:$B$300,10,Trato_Diario!$A$4:$A$300,$A96)/SUMIFS(Trato_Diario!$G$4:$G$300,Trato_Diario!$B$4:$B$300,10,Trato_Diario!$A$4:$A$300,$A96))</f>
        <v/>
      </c>
      <c r="L96" s="76" t="str">
        <f>IF(OR($A96&gt;MAX(Trato_Diario!$A$4:$A$300),SUMIFS(Trato_Diario!$G$4:$G$300,Trato_Diario!$A$4:$A$300,$A96)=0),"",SUMIFS(Trato_Diario!$J$4:$J$300,Trato_Diario!$A$4:$A$300,$A96)/SUMIFS(Trato_Diario!$G$4:$G$300,Trato_Diario!$A$4:$A$300,$A96))</f>
        <v/>
      </c>
    </row>
    <row r="97" spans="1:12" ht="14.25" customHeight="1" x14ac:dyDescent="0.3">
      <c r="A97" s="85">
        <v>46306</v>
      </c>
      <c r="B97" s="26" t="str">
        <f>IF(OR($A97&gt;MAX(Trato_Diario!$A$4:$A$300),SUMIFS(Trato_Diario!$G$4:$G$300,Trato_Diario!$B$4:$B$300,1,Trato_Diario!$A$4:$A$300,$A97)=0),"",SUMIFS(Trato_Diario!$J$4:$J$300,Trato_Diario!$B$4:$B$300,1,Trato_Diario!$A$4:$A$300,$A97)/SUMIFS(Trato_Diario!$G$4:$G$300,Trato_Diario!$B$4:$B$300,1,Trato_Diario!$A$4:$A$300,$A97))</f>
        <v/>
      </c>
      <c r="C97" s="26" t="str">
        <f>IF(OR($A97&gt;MAX(Trato_Diario!$A$4:$A$300),SUMIFS(Trato_Diario!$G$4:$G$300,Trato_Diario!$B$4:$B$300,2,Trato_Diario!$A$4:$A$300,$A97)=0),"",SUMIFS(Trato_Diario!$J$4:$J$300,Trato_Diario!$B$4:$B$300,2,Trato_Diario!$A$4:$A$300,$A97)/SUMIFS(Trato_Diario!$G$4:$G$300,Trato_Diario!$B$4:$B$300,2,Trato_Diario!$A$4:$A$300,$A97))</f>
        <v/>
      </c>
      <c r="D97" s="26" t="str">
        <f>IF(OR($A97&gt;MAX(Trato_Diario!$A$4:$A$300),SUMIFS(Trato_Diario!$G$4:$G$300,Trato_Diario!$B$4:$B$300,3,Trato_Diario!$A$4:$A$300,$A97)=0),"",SUMIFS(Trato_Diario!$J$4:$J$300,Trato_Diario!$B$4:$B$300,3,Trato_Diario!$A$4:$A$300,$A97)/SUMIFS(Trato_Diario!$G$4:$G$300,Trato_Diario!$B$4:$B$300,3,Trato_Diario!$A$4:$A$300,$A97))</f>
        <v/>
      </c>
      <c r="E97" s="26" t="str">
        <f>IF(OR($A97&gt;MAX(Trato_Diario!$A$4:$A$300),SUMIFS(Trato_Diario!$G$4:$G$300,Trato_Diario!$B$4:$B$300,4,Trato_Diario!$A$4:$A$300,$A97)=0),"",SUMIFS(Trato_Diario!$J$4:$J$300,Trato_Diario!$B$4:$B$300,4,Trato_Diario!$A$4:$A$300,$A97)/SUMIFS(Trato_Diario!$G$4:$G$300,Trato_Diario!$B$4:$B$300,4,Trato_Diario!$A$4:$A$300,$A97))</f>
        <v/>
      </c>
      <c r="F97" s="26" t="str">
        <f>IF(OR($A97&gt;MAX(Trato_Diario!$A$4:$A$300),SUMIFS(Trato_Diario!$G$4:$G$300,Trato_Diario!$B$4:$B$300,5,Trato_Diario!$A$4:$A$300,$A97)=0),"",SUMIFS(Trato_Diario!$J$4:$J$300,Trato_Diario!$B$4:$B$300,5,Trato_Diario!$A$4:$A$300,$A97)/SUMIFS(Trato_Diario!$G$4:$G$300,Trato_Diario!$B$4:$B$300,5,Trato_Diario!$A$4:$A$300,$A97))</f>
        <v/>
      </c>
      <c r="G97" s="26" t="str">
        <f>IF(OR($A97&gt;MAX(Trato_Diario!$A$4:$A$300),SUMIFS(Trato_Diario!$G$4:$G$300,Trato_Diario!$B$4:$B$300,6,Trato_Diario!$A$4:$A$300,$A97)=0),"",SUMIFS(Trato_Diario!$J$4:$J$300,Trato_Diario!$B$4:$B$300,6,Trato_Diario!$A$4:$A$300,$A97)/SUMIFS(Trato_Diario!$G$4:$G$300,Trato_Diario!$B$4:$B$300,6,Trato_Diario!$A$4:$A$300,$A97))</f>
        <v/>
      </c>
      <c r="H97" s="26" t="str">
        <f>IF(OR($A97&gt;MAX(Trato_Diario!$A$4:$A$300),SUMIFS(Trato_Diario!$G$4:$G$300,Trato_Diario!$B$4:$B$300,7,Trato_Diario!$A$4:$A$300,$A97)=0),"",SUMIFS(Trato_Diario!$J$4:$J$300,Trato_Diario!$B$4:$B$300,7,Trato_Diario!$A$4:$A$300,$A97)/SUMIFS(Trato_Diario!$G$4:$G$300,Trato_Diario!$B$4:$B$300,7,Trato_Diario!$A$4:$A$300,$A97))</f>
        <v/>
      </c>
      <c r="I97" s="26" t="str">
        <f>IF(OR($A97&gt;MAX(Trato_Diario!$A$4:$A$300),SUMIFS(Trato_Diario!$G$4:$G$300,Trato_Diario!$B$4:$B$300,8,Trato_Diario!$A$4:$A$300,$A97)=0),"",SUMIFS(Trato_Diario!$J$4:$J$300,Trato_Diario!$B$4:$B$300,8,Trato_Diario!$A$4:$A$300,$A97)/SUMIFS(Trato_Diario!$G$4:$G$300,Trato_Diario!$B$4:$B$300,8,Trato_Diario!$A$4:$A$300,$A97))</f>
        <v/>
      </c>
      <c r="J97" s="26" t="str">
        <f>IF(OR($A97&gt;MAX(Trato_Diario!$A$4:$A$300),SUMIFS(Trato_Diario!$G$4:$G$300,Trato_Diario!$B$4:$B$300,9,Trato_Diario!$A$4:$A$300,$A97)=0),"",SUMIFS(Trato_Diario!$J$4:$J$300,Trato_Diario!$B$4:$B$300,9,Trato_Diario!$A$4:$A$300,$A97)/SUMIFS(Trato_Diario!$G$4:$G$300,Trato_Diario!$B$4:$B$300,9,Trato_Diario!$A$4:$A$300,$A97))</f>
        <v/>
      </c>
      <c r="K97" s="26" t="str">
        <f>IF(OR($A97&gt;MAX(Trato_Diario!$A$4:$A$300),SUMIFS(Trato_Diario!$G$4:$G$300,Trato_Diario!$B$4:$B$300,10,Trato_Diario!$A$4:$A$300,$A97)=0),"",SUMIFS(Trato_Diario!$J$4:$J$300,Trato_Diario!$B$4:$B$300,10,Trato_Diario!$A$4:$A$300,$A97)/SUMIFS(Trato_Diario!$G$4:$G$300,Trato_Diario!$B$4:$B$300,10,Trato_Diario!$A$4:$A$300,$A97))</f>
        <v/>
      </c>
      <c r="L97" s="74" t="str">
        <f>IF(OR($A97&gt;MAX(Trato_Diario!$A$4:$A$300),SUMIFS(Trato_Diario!$G$4:$G$300,Trato_Diario!$A$4:$A$300,$A97)=0),"",SUMIFS(Trato_Diario!$J$4:$J$300,Trato_Diario!$A$4:$A$300,$A97)/SUMIFS(Trato_Diario!$G$4:$G$300,Trato_Diario!$A$4:$A$300,$A97))</f>
        <v/>
      </c>
    </row>
    <row r="98" spans="1:12" ht="14.25" customHeight="1" x14ac:dyDescent="0.3">
      <c r="A98" s="86">
        <v>46307</v>
      </c>
      <c r="B98" s="28" t="str">
        <f>IF(OR($A98&gt;MAX(Trato_Diario!$A$4:$A$300),SUMIFS(Trato_Diario!$G$4:$G$300,Trato_Diario!$B$4:$B$300,1,Trato_Diario!$A$4:$A$300,$A98)=0),"",SUMIFS(Trato_Diario!$J$4:$J$300,Trato_Diario!$B$4:$B$300,1,Trato_Diario!$A$4:$A$300,$A98)/SUMIFS(Trato_Diario!$G$4:$G$300,Trato_Diario!$B$4:$B$300,1,Trato_Diario!$A$4:$A$300,$A98))</f>
        <v/>
      </c>
      <c r="C98" s="28" t="str">
        <f>IF(OR($A98&gt;MAX(Trato_Diario!$A$4:$A$300),SUMIFS(Trato_Diario!$G$4:$G$300,Trato_Diario!$B$4:$B$300,2,Trato_Diario!$A$4:$A$300,$A98)=0),"",SUMIFS(Trato_Diario!$J$4:$J$300,Trato_Diario!$B$4:$B$300,2,Trato_Diario!$A$4:$A$300,$A98)/SUMIFS(Trato_Diario!$G$4:$G$300,Trato_Diario!$B$4:$B$300,2,Trato_Diario!$A$4:$A$300,$A98))</f>
        <v/>
      </c>
      <c r="D98" s="28" t="str">
        <f>IF(OR($A98&gt;MAX(Trato_Diario!$A$4:$A$300),SUMIFS(Trato_Diario!$G$4:$G$300,Trato_Diario!$B$4:$B$300,3,Trato_Diario!$A$4:$A$300,$A98)=0),"",SUMIFS(Trato_Diario!$J$4:$J$300,Trato_Diario!$B$4:$B$300,3,Trato_Diario!$A$4:$A$300,$A98)/SUMIFS(Trato_Diario!$G$4:$G$300,Trato_Diario!$B$4:$B$300,3,Trato_Diario!$A$4:$A$300,$A98))</f>
        <v/>
      </c>
      <c r="E98" s="28" t="str">
        <f>IF(OR($A98&gt;MAX(Trato_Diario!$A$4:$A$300),SUMIFS(Trato_Diario!$G$4:$G$300,Trato_Diario!$B$4:$B$300,4,Trato_Diario!$A$4:$A$300,$A98)=0),"",SUMIFS(Trato_Diario!$J$4:$J$300,Trato_Diario!$B$4:$B$300,4,Trato_Diario!$A$4:$A$300,$A98)/SUMIFS(Trato_Diario!$G$4:$G$300,Trato_Diario!$B$4:$B$300,4,Trato_Diario!$A$4:$A$300,$A98))</f>
        <v/>
      </c>
      <c r="F98" s="28" t="str">
        <f>IF(OR($A98&gt;MAX(Trato_Diario!$A$4:$A$300),SUMIFS(Trato_Diario!$G$4:$G$300,Trato_Diario!$B$4:$B$300,5,Trato_Diario!$A$4:$A$300,$A98)=0),"",SUMIFS(Trato_Diario!$J$4:$J$300,Trato_Diario!$B$4:$B$300,5,Trato_Diario!$A$4:$A$300,$A98)/SUMIFS(Trato_Diario!$G$4:$G$300,Trato_Diario!$B$4:$B$300,5,Trato_Diario!$A$4:$A$300,$A98))</f>
        <v/>
      </c>
      <c r="G98" s="28" t="str">
        <f>IF(OR($A98&gt;MAX(Trato_Diario!$A$4:$A$300),SUMIFS(Trato_Diario!$G$4:$G$300,Trato_Diario!$B$4:$B$300,6,Trato_Diario!$A$4:$A$300,$A98)=0),"",SUMIFS(Trato_Diario!$J$4:$J$300,Trato_Diario!$B$4:$B$300,6,Trato_Diario!$A$4:$A$300,$A98)/SUMIFS(Trato_Diario!$G$4:$G$300,Trato_Diario!$B$4:$B$300,6,Trato_Diario!$A$4:$A$300,$A98))</f>
        <v/>
      </c>
      <c r="H98" s="28" t="str">
        <f>IF(OR($A98&gt;MAX(Trato_Diario!$A$4:$A$300),SUMIFS(Trato_Diario!$G$4:$G$300,Trato_Diario!$B$4:$B$300,7,Trato_Diario!$A$4:$A$300,$A98)=0),"",SUMIFS(Trato_Diario!$J$4:$J$300,Trato_Diario!$B$4:$B$300,7,Trato_Diario!$A$4:$A$300,$A98)/SUMIFS(Trato_Diario!$G$4:$G$300,Trato_Diario!$B$4:$B$300,7,Trato_Diario!$A$4:$A$300,$A98))</f>
        <v/>
      </c>
      <c r="I98" s="28" t="str">
        <f>IF(OR($A98&gt;MAX(Trato_Diario!$A$4:$A$300),SUMIFS(Trato_Diario!$G$4:$G$300,Trato_Diario!$B$4:$B$300,8,Trato_Diario!$A$4:$A$300,$A98)=0),"",SUMIFS(Trato_Diario!$J$4:$J$300,Trato_Diario!$B$4:$B$300,8,Trato_Diario!$A$4:$A$300,$A98)/SUMIFS(Trato_Diario!$G$4:$G$300,Trato_Diario!$B$4:$B$300,8,Trato_Diario!$A$4:$A$300,$A98))</f>
        <v/>
      </c>
      <c r="J98" s="28" t="str">
        <f>IF(OR($A98&gt;MAX(Trato_Diario!$A$4:$A$300),SUMIFS(Trato_Diario!$G$4:$G$300,Trato_Diario!$B$4:$B$300,9,Trato_Diario!$A$4:$A$300,$A98)=0),"",SUMIFS(Trato_Diario!$J$4:$J$300,Trato_Diario!$B$4:$B$300,9,Trato_Diario!$A$4:$A$300,$A98)/SUMIFS(Trato_Diario!$G$4:$G$300,Trato_Diario!$B$4:$B$300,9,Trato_Diario!$A$4:$A$300,$A98))</f>
        <v/>
      </c>
      <c r="K98" s="28" t="str">
        <f>IF(OR($A98&gt;MAX(Trato_Diario!$A$4:$A$300),SUMIFS(Trato_Diario!$G$4:$G$300,Trato_Diario!$B$4:$B$300,10,Trato_Diario!$A$4:$A$300,$A98)=0),"",SUMIFS(Trato_Diario!$J$4:$J$300,Trato_Diario!$B$4:$B$300,10,Trato_Diario!$A$4:$A$300,$A98)/SUMIFS(Trato_Diario!$G$4:$G$300,Trato_Diario!$B$4:$B$300,10,Trato_Diario!$A$4:$A$300,$A98))</f>
        <v/>
      </c>
      <c r="L98" s="76" t="str">
        <f>IF(OR($A98&gt;MAX(Trato_Diario!$A$4:$A$300),SUMIFS(Trato_Diario!$G$4:$G$300,Trato_Diario!$A$4:$A$300,$A98)=0),"",SUMIFS(Trato_Diario!$J$4:$J$300,Trato_Diario!$A$4:$A$300,$A98)/SUMIFS(Trato_Diario!$G$4:$G$300,Trato_Diario!$A$4:$A$300,$A98))</f>
        <v/>
      </c>
    </row>
    <row r="99" spans="1:12" ht="14.25" customHeight="1" x14ac:dyDescent="0.3">
      <c r="A99" s="85">
        <v>46308</v>
      </c>
      <c r="B99" s="26" t="str">
        <f>IF(OR($A99&gt;MAX(Trato_Diario!$A$4:$A$300),SUMIFS(Trato_Diario!$G$4:$G$300,Trato_Diario!$B$4:$B$300,1,Trato_Diario!$A$4:$A$300,$A99)=0),"",SUMIFS(Trato_Diario!$J$4:$J$300,Trato_Diario!$B$4:$B$300,1,Trato_Diario!$A$4:$A$300,$A99)/SUMIFS(Trato_Diario!$G$4:$G$300,Trato_Diario!$B$4:$B$300,1,Trato_Diario!$A$4:$A$300,$A99))</f>
        <v/>
      </c>
      <c r="C99" s="26" t="str">
        <f>IF(OR($A99&gt;MAX(Trato_Diario!$A$4:$A$300),SUMIFS(Trato_Diario!$G$4:$G$300,Trato_Diario!$B$4:$B$300,2,Trato_Diario!$A$4:$A$300,$A99)=0),"",SUMIFS(Trato_Diario!$J$4:$J$300,Trato_Diario!$B$4:$B$300,2,Trato_Diario!$A$4:$A$300,$A99)/SUMIFS(Trato_Diario!$G$4:$G$300,Trato_Diario!$B$4:$B$300,2,Trato_Diario!$A$4:$A$300,$A99))</f>
        <v/>
      </c>
      <c r="D99" s="26" t="str">
        <f>IF(OR($A99&gt;MAX(Trato_Diario!$A$4:$A$300),SUMIFS(Trato_Diario!$G$4:$G$300,Trato_Diario!$B$4:$B$300,3,Trato_Diario!$A$4:$A$300,$A99)=0),"",SUMIFS(Trato_Diario!$J$4:$J$300,Trato_Diario!$B$4:$B$300,3,Trato_Diario!$A$4:$A$300,$A99)/SUMIFS(Trato_Diario!$G$4:$G$300,Trato_Diario!$B$4:$B$300,3,Trato_Diario!$A$4:$A$300,$A99))</f>
        <v/>
      </c>
      <c r="E99" s="26" t="str">
        <f>IF(OR($A99&gt;MAX(Trato_Diario!$A$4:$A$300),SUMIFS(Trato_Diario!$G$4:$G$300,Trato_Diario!$B$4:$B$300,4,Trato_Diario!$A$4:$A$300,$A99)=0),"",SUMIFS(Trato_Diario!$J$4:$J$300,Trato_Diario!$B$4:$B$300,4,Trato_Diario!$A$4:$A$300,$A99)/SUMIFS(Trato_Diario!$G$4:$G$300,Trato_Diario!$B$4:$B$300,4,Trato_Diario!$A$4:$A$300,$A99))</f>
        <v/>
      </c>
      <c r="F99" s="26" t="str">
        <f>IF(OR($A99&gt;MAX(Trato_Diario!$A$4:$A$300),SUMIFS(Trato_Diario!$G$4:$G$300,Trato_Diario!$B$4:$B$300,5,Trato_Diario!$A$4:$A$300,$A99)=0),"",SUMIFS(Trato_Diario!$J$4:$J$300,Trato_Diario!$B$4:$B$300,5,Trato_Diario!$A$4:$A$300,$A99)/SUMIFS(Trato_Diario!$G$4:$G$300,Trato_Diario!$B$4:$B$300,5,Trato_Diario!$A$4:$A$300,$A99))</f>
        <v/>
      </c>
      <c r="G99" s="26" t="str">
        <f>IF(OR($A99&gt;MAX(Trato_Diario!$A$4:$A$300),SUMIFS(Trato_Diario!$G$4:$G$300,Trato_Diario!$B$4:$B$300,6,Trato_Diario!$A$4:$A$300,$A99)=0),"",SUMIFS(Trato_Diario!$J$4:$J$300,Trato_Diario!$B$4:$B$300,6,Trato_Diario!$A$4:$A$300,$A99)/SUMIFS(Trato_Diario!$G$4:$G$300,Trato_Diario!$B$4:$B$300,6,Trato_Diario!$A$4:$A$300,$A99))</f>
        <v/>
      </c>
      <c r="H99" s="26" t="str">
        <f>IF(OR($A99&gt;MAX(Trato_Diario!$A$4:$A$300),SUMIFS(Trato_Diario!$G$4:$G$300,Trato_Diario!$B$4:$B$300,7,Trato_Diario!$A$4:$A$300,$A99)=0),"",SUMIFS(Trato_Diario!$J$4:$J$300,Trato_Diario!$B$4:$B$300,7,Trato_Diario!$A$4:$A$300,$A99)/SUMIFS(Trato_Diario!$G$4:$G$300,Trato_Diario!$B$4:$B$300,7,Trato_Diario!$A$4:$A$300,$A99))</f>
        <v/>
      </c>
      <c r="I99" s="26" t="str">
        <f>IF(OR($A99&gt;MAX(Trato_Diario!$A$4:$A$300),SUMIFS(Trato_Diario!$G$4:$G$300,Trato_Diario!$B$4:$B$300,8,Trato_Diario!$A$4:$A$300,$A99)=0),"",SUMIFS(Trato_Diario!$J$4:$J$300,Trato_Diario!$B$4:$B$300,8,Trato_Diario!$A$4:$A$300,$A99)/SUMIFS(Trato_Diario!$G$4:$G$300,Trato_Diario!$B$4:$B$300,8,Trato_Diario!$A$4:$A$300,$A99))</f>
        <v/>
      </c>
      <c r="J99" s="26" t="str">
        <f>IF(OR($A99&gt;MAX(Trato_Diario!$A$4:$A$300),SUMIFS(Trato_Diario!$G$4:$G$300,Trato_Diario!$B$4:$B$300,9,Trato_Diario!$A$4:$A$300,$A99)=0),"",SUMIFS(Trato_Diario!$J$4:$J$300,Trato_Diario!$B$4:$B$300,9,Trato_Diario!$A$4:$A$300,$A99)/SUMIFS(Trato_Diario!$G$4:$G$300,Trato_Diario!$B$4:$B$300,9,Trato_Diario!$A$4:$A$300,$A99))</f>
        <v/>
      </c>
      <c r="K99" s="26" t="str">
        <f>IF(OR($A99&gt;MAX(Trato_Diario!$A$4:$A$300),SUMIFS(Trato_Diario!$G$4:$G$300,Trato_Diario!$B$4:$B$300,10,Trato_Diario!$A$4:$A$300,$A99)=0),"",SUMIFS(Trato_Diario!$J$4:$J$300,Trato_Diario!$B$4:$B$300,10,Trato_Diario!$A$4:$A$300,$A99)/SUMIFS(Trato_Diario!$G$4:$G$300,Trato_Diario!$B$4:$B$300,10,Trato_Diario!$A$4:$A$300,$A99))</f>
        <v/>
      </c>
      <c r="L99" s="74" t="str">
        <f>IF(OR($A99&gt;MAX(Trato_Diario!$A$4:$A$300),SUMIFS(Trato_Diario!$G$4:$G$300,Trato_Diario!$A$4:$A$300,$A99)=0),"",SUMIFS(Trato_Diario!$J$4:$J$300,Trato_Diario!$A$4:$A$300,$A99)/SUMIFS(Trato_Diario!$G$4:$G$300,Trato_Diario!$A$4:$A$300,$A99))</f>
        <v/>
      </c>
    </row>
    <row r="100" spans="1:12" ht="14.25" customHeight="1" x14ac:dyDescent="0.3">
      <c r="A100" s="86">
        <v>46309</v>
      </c>
      <c r="B100" s="28" t="str">
        <f>IF(OR($A100&gt;MAX(Trato_Diario!$A$4:$A$300),SUMIFS(Trato_Diario!$G$4:$G$300,Trato_Diario!$B$4:$B$300,1,Trato_Diario!$A$4:$A$300,$A100)=0),"",SUMIFS(Trato_Diario!$J$4:$J$300,Trato_Diario!$B$4:$B$300,1,Trato_Diario!$A$4:$A$300,$A100)/SUMIFS(Trato_Diario!$G$4:$G$300,Trato_Diario!$B$4:$B$300,1,Trato_Diario!$A$4:$A$300,$A100))</f>
        <v/>
      </c>
      <c r="C100" s="28" t="str">
        <f>IF(OR($A100&gt;MAX(Trato_Diario!$A$4:$A$300),SUMIFS(Trato_Diario!$G$4:$G$300,Trato_Diario!$B$4:$B$300,2,Trato_Diario!$A$4:$A$300,$A100)=0),"",SUMIFS(Trato_Diario!$J$4:$J$300,Trato_Diario!$B$4:$B$300,2,Trato_Diario!$A$4:$A$300,$A100)/SUMIFS(Trato_Diario!$G$4:$G$300,Trato_Diario!$B$4:$B$300,2,Trato_Diario!$A$4:$A$300,$A100))</f>
        <v/>
      </c>
      <c r="D100" s="28" t="str">
        <f>IF(OR($A100&gt;MAX(Trato_Diario!$A$4:$A$300),SUMIFS(Trato_Diario!$G$4:$G$300,Trato_Diario!$B$4:$B$300,3,Trato_Diario!$A$4:$A$300,$A100)=0),"",SUMIFS(Trato_Diario!$J$4:$J$300,Trato_Diario!$B$4:$B$300,3,Trato_Diario!$A$4:$A$300,$A100)/SUMIFS(Trato_Diario!$G$4:$G$300,Trato_Diario!$B$4:$B$300,3,Trato_Diario!$A$4:$A$300,$A100))</f>
        <v/>
      </c>
      <c r="E100" s="28" t="str">
        <f>IF(OR($A100&gt;MAX(Trato_Diario!$A$4:$A$300),SUMIFS(Trato_Diario!$G$4:$G$300,Trato_Diario!$B$4:$B$300,4,Trato_Diario!$A$4:$A$300,$A100)=0),"",SUMIFS(Trato_Diario!$J$4:$J$300,Trato_Diario!$B$4:$B$300,4,Trato_Diario!$A$4:$A$300,$A100)/SUMIFS(Trato_Diario!$G$4:$G$300,Trato_Diario!$B$4:$B$300,4,Trato_Diario!$A$4:$A$300,$A100))</f>
        <v/>
      </c>
      <c r="F100" s="28" t="str">
        <f>IF(OR($A100&gt;MAX(Trato_Diario!$A$4:$A$300),SUMIFS(Trato_Diario!$G$4:$G$300,Trato_Diario!$B$4:$B$300,5,Trato_Diario!$A$4:$A$300,$A100)=0),"",SUMIFS(Trato_Diario!$J$4:$J$300,Trato_Diario!$B$4:$B$300,5,Trato_Diario!$A$4:$A$300,$A100)/SUMIFS(Trato_Diario!$G$4:$G$300,Trato_Diario!$B$4:$B$300,5,Trato_Diario!$A$4:$A$300,$A100))</f>
        <v/>
      </c>
      <c r="G100" s="28" t="str">
        <f>IF(OR($A100&gt;MAX(Trato_Diario!$A$4:$A$300),SUMIFS(Trato_Diario!$G$4:$G$300,Trato_Diario!$B$4:$B$300,6,Trato_Diario!$A$4:$A$300,$A100)=0),"",SUMIFS(Trato_Diario!$J$4:$J$300,Trato_Diario!$B$4:$B$300,6,Trato_Diario!$A$4:$A$300,$A100)/SUMIFS(Trato_Diario!$G$4:$G$300,Trato_Diario!$B$4:$B$300,6,Trato_Diario!$A$4:$A$300,$A100))</f>
        <v/>
      </c>
      <c r="H100" s="28" t="str">
        <f>IF(OR($A100&gt;MAX(Trato_Diario!$A$4:$A$300),SUMIFS(Trato_Diario!$G$4:$G$300,Trato_Diario!$B$4:$B$300,7,Trato_Diario!$A$4:$A$300,$A100)=0),"",SUMIFS(Trato_Diario!$J$4:$J$300,Trato_Diario!$B$4:$B$300,7,Trato_Diario!$A$4:$A$300,$A100)/SUMIFS(Trato_Diario!$G$4:$G$300,Trato_Diario!$B$4:$B$300,7,Trato_Diario!$A$4:$A$300,$A100))</f>
        <v/>
      </c>
      <c r="I100" s="28" t="str">
        <f>IF(OR($A100&gt;MAX(Trato_Diario!$A$4:$A$300),SUMIFS(Trato_Diario!$G$4:$G$300,Trato_Diario!$B$4:$B$300,8,Trato_Diario!$A$4:$A$300,$A100)=0),"",SUMIFS(Trato_Diario!$J$4:$J$300,Trato_Diario!$B$4:$B$300,8,Trato_Diario!$A$4:$A$300,$A100)/SUMIFS(Trato_Diario!$G$4:$G$300,Trato_Diario!$B$4:$B$300,8,Trato_Diario!$A$4:$A$300,$A100))</f>
        <v/>
      </c>
      <c r="J100" s="28" t="str">
        <f>IF(OR($A100&gt;MAX(Trato_Diario!$A$4:$A$300),SUMIFS(Trato_Diario!$G$4:$G$300,Trato_Diario!$B$4:$B$300,9,Trato_Diario!$A$4:$A$300,$A100)=0),"",SUMIFS(Trato_Diario!$J$4:$J$300,Trato_Diario!$B$4:$B$300,9,Trato_Diario!$A$4:$A$300,$A100)/SUMIFS(Trato_Diario!$G$4:$G$300,Trato_Diario!$B$4:$B$300,9,Trato_Diario!$A$4:$A$300,$A100))</f>
        <v/>
      </c>
      <c r="K100" s="28" t="str">
        <f>IF(OR($A100&gt;MAX(Trato_Diario!$A$4:$A$300),SUMIFS(Trato_Diario!$G$4:$G$300,Trato_Diario!$B$4:$B$300,10,Trato_Diario!$A$4:$A$300,$A100)=0),"",SUMIFS(Trato_Diario!$J$4:$J$300,Trato_Diario!$B$4:$B$300,10,Trato_Diario!$A$4:$A$300,$A100)/SUMIFS(Trato_Diario!$G$4:$G$300,Trato_Diario!$B$4:$B$300,10,Trato_Diario!$A$4:$A$300,$A100))</f>
        <v/>
      </c>
      <c r="L100" s="76" t="str">
        <f>IF(OR($A100&gt;MAX(Trato_Diario!$A$4:$A$300),SUMIFS(Trato_Diario!$G$4:$G$300,Trato_Diario!$A$4:$A$300,$A100)=0),"",SUMIFS(Trato_Diario!$J$4:$J$300,Trato_Diario!$A$4:$A$300,$A100)/SUMIFS(Trato_Diario!$G$4:$G$300,Trato_Diario!$A$4:$A$300,$A100))</f>
        <v/>
      </c>
    </row>
    <row r="101" spans="1:12" ht="14.25" customHeight="1" x14ac:dyDescent="0.3">
      <c r="A101" s="85">
        <v>46310</v>
      </c>
      <c r="B101" s="26" t="str">
        <f>IF(OR($A101&gt;MAX(Trato_Diario!$A$4:$A$300),SUMIFS(Trato_Diario!$G$4:$G$300,Trato_Diario!$B$4:$B$300,1,Trato_Diario!$A$4:$A$300,$A101)=0),"",SUMIFS(Trato_Diario!$J$4:$J$300,Trato_Diario!$B$4:$B$300,1,Trato_Diario!$A$4:$A$300,$A101)/SUMIFS(Trato_Diario!$G$4:$G$300,Trato_Diario!$B$4:$B$300,1,Trato_Diario!$A$4:$A$300,$A101))</f>
        <v/>
      </c>
      <c r="C101" s="26" t="str">
        <f>IF(OR($A101&gt;MAX(Trato_Diario!$A$4:$A$300),SUMIFS(Trato_Diario!$G$4:$G$300,Trato_Diario!$B$4:$B$300,2,Trato_Diario!$A$4:$A$300,$A101)=0),"",SUMIFS(Trato_Diario!$J$4:$J$300,Trato_Diario!$B$4:$B$300,2,Trato_Diario!$A$4:$A$300,$A101)/SUMIFS(Trato_Diario!$G$4:$G$300,Trato_Diario!$B$4:$B$300,2,Trato_Diario!$A$4:$A$300,$A101))</f>
        <v/>
      </c>
      <c r="D101" s="26" t="str">
        <f>IF(OR($A101&gt;MAX(Trato_Diario!$A$4:$A$300),SUMIFS(Trato_Diario!$G$4:$G$300,Trato_Diario!$B$4:$B$300,3,Trato_Diario!$A$4:$A$300,$A101)=0),"",SUMIFS(Trato_Diario!$J$4:$J$300,Trato_Diario!$B$4:$B$300,3,Trato_Diario!$A$4:$A$300,$A101)/SUMIFS(Trato_Diario!$G$4:$G$300,Trato_Diario!$B$4:$B$300,3,Trato_Diario!$A$4:$A$300,$A101))</f>
        <v/>
      </c>
      <c r="E101" s="26" t="str">
        <f>IF(OR($A101&gt;MAX(Trato_Diario!$A$4:$A$300),SUMIFS(Trato_Diario!$G$4:$G$300,Trato_Diario!$B$4:$B$300,4,Trato_Diario!$A$4:$A$300,$A101)=0),"",SUMIFS(Trato_Diario!$J$4:$J$300,Trato_Diario!$B$4:$B$300,4,Trato_Diario!$A$4:$A$300,$A101)/SUMIFS(Trato_Diario!$G$4:$G$300,Trato_Diario!$B$4:$B$300,4,Trato_Diario!$A$4:$A$300,$A101))</f>
        <v/>
      </c>
      <c r="F101" s="26" t="str">
        <f>IF(OR($A101&gt;MAX(Trato_Diario!$A$4:$A$300),SUMIFS(Trato_Diario!$G$4:$G$300,Trato_Diario!$B$4:$B$300,5,Trato_Diario!$A$4:$A$300,$A101)=0),"",SUMIFS(Trato_Diario!$J$4:$J$300,Trato_Diario!$B$4:$B$300,5,Trato_Diario!$A$4:$A$300,$A101)/SUMIFS(Trato_Diario!$G$4:$G$300,Trato_Diario!$B$4:$B$300,5,Trato_Diario!$A$4:$A$300,$A101))</f>
        <v/>
      </c>
      <c r="G101" s="26" t="str">
        <f>IF(OR($A101&gt;MAX(Trato_Diario!$A$4:$A$300),SUMIFS(Trato_Diario!$G$4:$G$300,Trato_Diario!$B$4:$B$300,6,Trato_Diario!$A$4:$A$300,$A101)=0),"",SUMIFS(Trato_Diario!$J$4:$J$300,Trato_Diario!$B$4:$B$300,6,Trato_Diario!$A$4:$A$300,$A101)/SUMIFS(Trato_Diario!$G$4:$G$300,Trato_Diario!$B$4:$B$300,6,Trato_Diario!$A$4:$A$300,$A101))</f>
        <v/>
      </c>
      <c r="H101" s="26" t="str">
        <f>IF(OR($A101&gt;MAX(Trato_Diario!$A$4:$A$300),SUMIFS(Trato_Diario!$G$4:$G$300,Trato_Diario!$B$4:$B$300,7,Trato_Diario!$A$4:$A$300,$A101)=0),"",SUMIFS(Trato_Diario!$J$4:$J$300,Trato_Diario!$B$4:$B$300,7,Trato_Diario!$A$4:$A$300,$A101)/SUMIFS(Trato_Diario!$G$4:$G$300,Trato_Diario!$B$4:$B$300,7,Trato_Diario!$A$4:$A$300,$A101))</f>
        <v/>
      </c>
      <c r="I101" s="26" t="str">
        <f>IF(OR($A101&gt;MAX(Trato_Diario!$A$4:$A$300),SUMIFS(Trato_Diario!$G$4:$G$300,Trato_Diario!$B$4:$B$300,8,Trato_Diario!$A$4:$A$300,$A101)=0),"",SUMIFS(Trato_Diario!$J$4:$J$300,Trato_Diario!$B$4:$B$300,8,Trato_Diario!$A$4:$A$300,$A101)/SUMIFS(Trato_Diario!$G$4:$G$300,Trato_Diario!$B$4:$B$300,8,Trato_Diario!$A$4:$A$300,$A101))</f>
        <v/>
      </c>
      <c r="J101" s="26" t="str">
        <f>IF(OR($A101&gt;MAX(Trato_Diario!$A$4:$A$300),SUMIFS(Trato_Diario!$G$4:$G$300,Trato_Diario!$B$4:$B$300,9,Trato_Diario!$A$4:$A$300,$A101)=0),"",SUMIFS(Trato_Diario!$J$4:$J$300,Trato_Diario!$B$4:$B$300,9,Trato_Diario!$A$4:$A$300,$A101)/SUMIFS(Trato_Diario!$G$4:$G$300,Trato_Diario!$B$4:$B$300,9,Trato_Diario!$A$4:$A$300,$A101))</f>
        <v/>
      </c>
      <c r="K101" s="26" t="str">
        <f>IF(OR($A101&gt;MAX(Trato_Diario!$A$4:$A$300),SUMIFS(Trato_Diario!$G$4:$G$300,Trato_Diario!$B$4:$B$300,10,Trato_Diario!$A$4:$A$300,$A101)=0),"",SUMIFS(Trato_Diario!$J$4:$J$300,Trato_Diario!$B$4:$B$300,10,Trato_Diario!$A$4:$A$300,$A101)/SUMIFS(Trato_Diario!$G$4:$G$300,Trato_Diario!$B$4:$B$300,10,Trato_Diario!$A$4:$A$300,$A101))</f>
        <v/>
      </c>
      <c r="L101" s="74" t="str">
        <f>IF(OR($A101&gt;MAX(Trato_Diario!$A$4:$A$300),SUMIFS(Trato_Diario!$G$4:$G$300,Trato_Diario!$A$4:$A$300,$A101)=0),"",SUMIFS(Trato_Diario!$J$4:$J$300,Trato_Diario!$A$4:$A$300,$A101)/SUMIFS(Trato_Diario!$G$4:$G$300,Trato_Diario!$A$4:$A$300,$A101))</f>
        <v/>
      </c>
    </row>
    <row r="102" spans="1:12" ht="14.25" customHeight="1" x14ac:dyDescent="0.3">
      <c r="A102" s="86">
        <v>46311</v>
      </c>
      <c r="B102" s="28" t="str">
        <f>IF(OR($A102&gt;MAX(Trato_Diario!$A$4:$A$300),SUMIFS(Trato_Diario!$G$4:$G$300,Trato_Diario!$B$4:$B$300,1,Trato_Diario!$A$4:$A$300,$A102)=0),"",SUMIFS(Trato_Diario!$J$4:$J$300,Trato_Diario!$B$4:$B$300,1,Trato_Diario!$A$4:$A$300,$A102)/SUMIFS(Trato_Diario!$G$4:$G$300,Trato_Diario!$B$4:$B$300,1,Trato_Diario!$A$4:$A$300,$A102))</f>
        <v/>
      </c>
      <c r="C102" s="28" t="str">
        <f>IF(OR($A102&gt;MAX(Trato_Diario!$A$4:$A$300),SUMIFS(Trato_Diario!$G$4:$G$300,Trato_Diario!$B$4:$B$300,2,Trato_Diario!$A$4:$A$300,$A102)=0),"",SUMIFS(Trato_Diario!$J$4:$J$300,Trato_Diario!$B$4:$B$300,2,Trato_Diario!$A$4:$A$300,$A102)/SUMIFS(Trato_Diario!$G$4:$G$300,Trato_Diario!$B$4:$B$300,2,Trato_Diario!$A$4:$A$300,$A102))</f>
        <v/>
      </c>
      <c r="D102" s="28" t="str">
        <f>IF(OR($A102&gt;MAX(Trato_Diario!$A$4:$A$300),SUMIFS(Trato_Diario!$G$4:$G$300,Trato_Diario!$B$4:$B$300,3,Trato_Diario!$A$4:$A$300,$A102)=0),"",SUMIFS(Trato_Diario!$J$4:$J$300,Trato_Diario!$B$4:$B$300,3,Trato_Diario!$A$4:$A$300,$A102)/SUMIFS(Trato_Diario!$G$4:$G$300,Trato_Diario!$B$4:$B$300,3,Trato_Diario!$A$4:$A$300,$A102))</f>
        <v/>
      </c>
      <c r="E102" s="28" t="str">
        <f>IF(OR($A102&gt;MAX(Trato_Diario!$A$4:$A$300),SUMIFS(Trato_Diario!$G$4:$G$300,Trato_Diario!$B$4:$B$300,4,Trato_Diario!$A$4:$A$300,$A102)=0),"",SUMIFS(Trato_Diario!$J$4:$J$300,Trato_Diario!$B$4:$B$300,4,Trato_Diario!$A$4:$A$300,$A102)/SUMIFS(Trato_Diario!$G$4:$G$300,Trato_Diario!$B$4:$B$300,4,Trato_Diario!$A$4:$A$300,$A102))</f>
        <v/>
      </c>
      <c r="F102" s="28" t="str">
        <f>IF(OR($A102&gt;MAX(Trato_Diario!$A$4:$A$300),SUMIFS(Trato_Diario!$G$4:$G$300,Trato_Diario!$B$4:$B$300,5,Trato_Diario!$A$4:$A$300,$A102)=0),"",SUMIFS(Trato_Diario!$J$4:$J$300,Trato_Diario!$B$4:$B$300,5,Trato_Diario!$A$4:$A$300,$A102)/SUMIFS(Trato_Diario!$G$4:$G$300,Trato_Diario!$B$4:$B$300,5,Trato_Diario!$A$4:$A$300,$A102))</f>
        <v/>
      </c>
      <c r="G102" s="28" t="str">
        <f>IF(OR($A102&gt;MAX(Trato_Diario!$A$4:$A$300),SUMIFS(Trato_Diario!$G$4:$G$300,Trato_Diario!$B$4:$B$300,6,Trato_Diario!$A$4:$A$300,$A102)=0),"",SUMIFS(Trato_Diario!$J$4:$J$300,Trato_Diario!$B$4:$B$300,6,Trato_Diario!$A$4:$A$300,$A102)/SUMIFS(Trato_Diario!$G$4:$G$300,Trato_Diario!$B$4:$B$300,6,Trato_Diario!$A$4:$A$300,$A102))</f>
        <v/>
      </c>
      <c r="H102" s="28" t="str">
        <f>IF(OR($A102&gt;MAX(Trato_Diario!$A$4:$A$300),SUMIFS(Trato_Diario!$G$4:$G$300,Trato_Diario!$B$4:$B$300,7,Trato_Diario!$A$4:$A$300,$A102)=0),"",SUMIFS(Trato_Diario!$J$4:$J$300,Trato_Diario!$B$4:$B$300,7,Trato_Diario!$A$4:$A$300,$A102)/SUMIFS(Trato_Diario!$G$4:$G$300,Trato_Diario!$B$4:$B$300,7,Trato_Diario!$A$4:$A$300,$A102))</f>
        <v/>
      </c>
      <c r="I102" s="28" t="str">
        <f>IF(OR($A102&gt;MAX(Trato_Diario!$A$4:$A$300),SUMIFS(Trato_Diario!$G$4:$G$300,Trato_Diario!$B$4:$B$300,8,Trato_Diario!$A$4:$A$300,$A102)=0),"",SUMIFS(Trato_Diario!$J$4:$J$300,Trato_Diario!$B$4:$B$300,8,Trato_Diario!$A$4:$A$300,$A102)/SUMIFS(Trato_Diario!$G$4:$G$300,Trato_Diario!$B$4:$B$300,8,Trato_Diario!$A$4:$A$300,$A102))</f>
        <v/>
      </c>
      <c r="J102" s="28" t="str">
        <f>IF(OR($A102&gt;MAX(Trato_Diario!$A$4:$A$300),SUMIFS(Trato_Diario!$G$4:$G$300,Trato_Diario!$B$4:$B$300,9,Trato_Diario!$A$4:$A$300,$A102)=0),"",SUMIFS(Trato_Diario!$J$4:$J$300,Trato_Diario!$B$4:$B$300,9,Trato_Diario!$A$4:$A$300,$A102)/SUMIFS(Trato_Diario!$G$4:$G$300,Trato_Diario!$B$4:$B$300,9,Trato_Diario!$A$4:$A$300,$A102))</f>
        <v/>
      </c>
      <c r="K102" s="28" t="str">
        <f>IF(OR($A102&gt;MAX(Trato_Diario!$A$4:$A$300),SUMIFS(Trato_Diario!$G$4:$G$300,Trato_Diario!$B$4:$B$300,10,Trato_Diario!$A$4:$A$300,$A102)=0),"",SUMIFS(Trato_Diario!$J$4:$J$300,Trato_Diario!$B$4:$B$300,10,Trato_Diario!$A$4:$A$300,$A102)/SUMIFS(Trato_Diario!$G$4:$G$300,Trato_Diario!$B$4:$B$300,10,Trato_Diario!$A$4:$A$300,$A102))</f>
        <v/>
      </c>
      <c r="L102" s="76" t="str">
        <f>IF(OR($A102&gt;MAX(Trato_Diario!$A$4:$A$300),SUMIFS(Trato_Diario!$G$4:$G$300,Trato_Diario!$A$4:$A$300,$A102)=0),"",SUMIFS(Trato_Diario!$J$4:$J$300,Trato_Diario!$A$4:$A$300,$A102)/SUMIFS(Trato_Diario!$G$4:$G$300,Trato_Diario!$A$4:$A$300,$A102))</f>
        <v/>
      </c>
    </row>
    <row r="103" spans="1:12" ht="14.25" customHeight="1" x14ac:dyDescent="0.3">
      <c r="A103" s="85">
        <v>46312</v>
      </c>
      <c r="B103" s="26" t="str">
        <f>IF(OR($A103&gt;MAX(Trato_Diario!$A$4:$A$300),SUMIFS(Trato_Diario!$G$4:$G$300,Trato_Diario!$B$4:$B$300,1,Trato_Diario!$A$4:$A$300,$A103)=0),"",SUMIFS(Trato_Diario!$J$4:$J$300,Trato_Diario!$B$4:$B$300,1,Trato_Diario!$A$4:$A$300,$A103)/SUMIFS(Trato_Diario!$G$4:$G$300,Trato_Diario!$B$4:$B$300,1,Trato_Diario!$A$4:$A$300,$A103))</f>
        <v/>
      </c>
      <c r="C103" s="26" t="str">
        <f>IF(OR($A103&gt;MAX(Trato_Diario!$A$4:$A$300),SUMIFS(Trato_Diario!$G$4:$G$300,Trato_Diario!$B$4:$B$300,2,Trato_Diario!$A$4:$A$300,$A103)=0),"",SUMIFS(Trato_Diario!$J$4:$J$300,Trato_Diario!$B$4:$B$300,2,Trato_Diario!$A$4:$A$300,$A103)/SUMIFS(Trato_Diario!$G$4:$G$300,Trato_Diario!$B$4:$B$300,2,Trato_Diario!$A$4:$A$300,$A103))</f>
        <v/>
      </c>
      <c r="D103" s="26" t="str">
        <f>IF(OR($A103&gt;MAX(Trato_Diario!$A$4:$A$300),SUMIFS(Trato_Diario!$G$4:$G$300,Trato_Diario!$B$4:$B$300,3,Trato_Diario!$A$4:$A$300,$A103)=0),"",SUMIFS(Trato_Diario!$J$4:$J$300,Trato_Diario!$B$4:$B$300,3,Trato_Diario!$A$4:$A$300,$A103)/SUMIFS(Trato_Diario!$G$4:$G$300,Trato_Diario!$B$4:$B$300,3,Trato_Diario!$A$4:$A$300,$A103))</f>
        <v/>
      </c>
      <c r="E103" s="26" t="str">
        <f>IF(OR($A103&gt;MAX(Trato_Diario!$A$4:$A$300),SUMIFS(Trato_Diario!$G$4:$G$300,Trato_Diario!$B$4:$B$300,4,Trato_Diario!$A$4:$A$300,$A103)=0),"",SUMIFS(Trato_Diario!$J$4:$J$300,Trato_Diario!$B$4:$B$300,4,Trato_Diario!$A$4:$A$300,$A103)/SUMIFS(Trato_Diario!$G$4:$G$300,Trato_Diario!$B$4:$B$300,4,Trato_Diario!$A$4:$A$300,$A103))</f>
        <v/>
      </c>
      <c r="F103" s="26" t="str">
        <f>IF(OR($A103&gt;MAX(Trato_Diario!$A$4:$A$300),SUMIFS(Trato_Diario!$G$4:$G$300,Trato_Diario!$B$4:$B$300,5,Trato_Diario!$A$4:$A$300,$A103)=0),"",SUMIFS(Trato_Diario!$J$4:$J$300,Trato_Diario!$B$4:$B$300,5,Trato_Diario!$A$4:$A$300,$A103)/SUMIFS(Trato_Diario!$G$4:$G$300,Trato_Diario!$B$4:$B$300,5,Trato_Diario!$A$4:$A$300,$A103))</f>
        <v/>
      </c>
      <c r="G103" s="26" t="str">
        <f>IF(OR($A103&gt;MAX(Trato_Diario!$A$4:$A$300),SUMIFS(Trato_Diario!$G$4:$G$300,Trato_Diario!$B$4:$B$300,6,Trato_Diario!$A$4:$A$300,$A103)=0),"",SUMIFS(Trato_Diario!$J$4:$J$300,Trato_Diario!$B$4:$B$300,6,Trato_Diario!$A$4:$A$300,$A103)/SUMIFS(Trato_Diario!$G$4:$G$300,Trato_Diario!$B$4:$B$300,6,Trato_Diario!$A$4:$A$300,$A103))</f>
        <v/>
      </c>
      <c r="H103" s="26" t="str">
        <f>IF(OR($A103&gt;MAX(Trato_Diario!$A$4:$A$300),SUMIFS(Trato_Diario!$G$4:$G$300,Trato_Diario!$B$4:$B$300,7,Trato_Diario!$A$4:$A$300,$A103)=0),"",SUMIFS(Trato_Diario!$J$4:$J$300,Trato_Diario!$B$4:$B$300,7,Trato_Diario!$A$4:$A$300,$A103)/SUMIFS(Trato_Diario!$G$4:$G$300,Trato_Diario!$B$4:$B$300,7,Trato_Diario!$A$4:$A$300,$A103))</f>
        <v/>
      </c>
      <c r="I103" s="26" t="str">
        <f>IF(OR($A103&gt;MAX(Trato_Diario!$A$4:$A$300),SUMIFS(Trato_Diario!$G$4:$G$300,Trato_Diario!$B$4:$B$300,8,Trato_Diario!$A$4:$A$300,$A103)=0),"",SUMIFS(Trato_Diario!$J$4:$J$300,Trato_Diario!$B$4:$B$300,8,Trato_Diario!$A$4:$A$300,$A103)/SUMIFS(Trato_Diario!$G$4:$G$300,Trato_Diario!$B$4:$B$300,8,Trato_Diario!$A$4:$A$300,$A103))</f>
        <v/>
      </c>
      <c r="J103" s="26" t="str">
        <f>IF(OR($A103&gt;MAX(Trato_Diario!$A$4:$A$300),SUMIFS(Trato_Diario!$G$4:$G$300,Trato_Diario!$B$4:$B$300,9,Trato_Diario!$A$4:$A$300,$A103)=0),"",SUMIFS(Trato_Diario!$J$4:$J$300,Trato_Diario!$B$4:$B$300,9,Trato_Diario!$A$4:$A$300,$A103)/SUMIFS(Trato_Diario!$G$4:$G$300,Trato_Diario!$B$4:$B$300,9,Trato_Diario!$A$4:$A$300,$A103))</f>
        <v/>
      </c>
      <c r="K103" s="26" t="str">
        <f>IF(OR($A103&gt;MAX(Trato_Diario!$A$4:$A$300),SUMIFS(Trato_Diario!$G$4:$G$300,Trato_Diario!$B$4:$B$300,10,Trato_Diario!$A$4:$A$300,$A103)=0),"",SUMIFS(Trato_Diario!$J$4:$J$300,Trato_Diario!$B$4:$B$300,10,Trato_Diario!$A$4:$A$300,$A103)/SUMIFS(Trato_Diario!$G$4:$G$300,Trato_Diario!$B$4:$B$300,10,Trato_Diario!$A$4:$A$300,$A103))</f>
        <v/>
      </c>
      <c r="L103" s="74" t="str">
        <f>IF(OR($A103&gt;MAX(Trato_Diario!$A$4:$A$300),SUMIFS(Trato_Diario!$G$4:$G$300,Trato_Diario!$A$4:$A$300,$A103)=0),"",SUMIFS(Trato_Diario!$J$4:$J$300,Trato_Diario!$A$4:$A$300,$A103)/SUMIFS(Trato_Diario!$G$4:$G$300,Trato_Diario!$A$4:$A$300,$A103))</f>
        <v/>
      </c>
    </row>
    <row r="104" spans="1:12" ht="14.25" customHeight="1" x14ac:dyDescent="0.3">
      <c r="A104" s="86">
        <v>46313</v>
      </c>
      <c r="B104" s="28" t="str">
        <f>IF(OR($A104&gt;MAX(Trato_Diario!$A$4:$A$300),SUMIFS(Trato_Diario!$G$4:$G$300,Trato_Diario!$B$4:$B$300,1,Trato_Diario!$A$4:$A$300,$A104)=0),"",SUMIFS(Trato_Diario!$J$4:$J$300,Trato_Diario!$B$4:$B$300,1,Trato_Diario!$A$4:$A$300,$A104)/SUMIFS(Trato_Diario!$G$4:$G$300,Trato_Diario!$B$4:$B$300,1,Trato_Diario!$A$4:$A$300,$A104))</f>
        <v/>
      </c>
      <c r="C104" s="28" t="str">
        <f>IF(OR($A104&gt;MAX(Trato_Diario!$A$4:$A$300),SUMIFS(Trato_Diario!$G$4:$G$300,Trato_Diario!$B$4:$B$300,2,Trato_Diario!$A$4:$A$300,$A104)=0),"",SUMIFS(Trato_Diario!$J$4:$J$300,Trato_Diario!$B$4:$B$300,2,Trato_Diario!$A$4:$A$300,$A104)/SUMIFS(Trato_Diario!$G$4:$G$300,Trato_Diario!$B$4:$B$300,2,Trato_Diario!$A$4:$A$300,$A104))</f>
        <v/>
      </c>
      <c r="D104" s="28" t="str">
        <f>IF(OR($A104&gt;MAX(Trato_Diario!$A$4:$A$300),SUMIFS(Trato_Diario!$G$4:$G$300,Trato_Diario!$B$4:$B$300,3,Trato_Diario!$A$4:$A$300,$A104)=0),"",SUMIFS(Trato_Diario!$J$4:$J$300,Trato_Diario!$B$4:$B$300,3,Trato_Diario!$A$4:$A$300,$A104)/SUMIFS(Trato_Diario!$G$4:$G$300,Trato_Diario!$B$4:$B$300,3,Trato_Diario!$A$4:$A$300,$A104))</f>
        <v/>
      </c>
      <c r="E104" s="28" t="str">
        <f>IF(OR($A104&gt;MAX(Trato_Diario!$A$4:$A$300),SUMIFS(Trato_Diario!$G$4:$G$300,Trato_Diario!$B$4:$B$300,4,Trato_Diario!$A$4:$A$300,$A104)=0),"",SUMIFS(Trato_Diario!$J$4:$J$300,Trato_Diario!$B$4:$B$300,4,Trato_Diario!$A$4:$A$300,$A104)/SUMIFS(Trato_Diario!$G$4:$G$300,Trato_Diario!$B$4:$B$300,4,Trato_Diario!$A$4:$A$300,$A104))</f>
        <v/>
      </c>
      <c r="F104" s="28" t="str">
        <f>IF(OR($A104&gt;MAX(Trato_Diario!$A$4:$A$300),SUMIFS(Trato_Diario!$G$4:$G$300,Trato_Diario!$B$4:$B$300,5,Trato_Diario!$A$4:$A$300,$A104)=0),"",SUMIFS(Trato_Diario!$J$4:$J$300,Trato_Diario!$B$4:$B$300,5,Trato_Diario!$A$4:$A$300,$A104)/SUMIFS(Trato_Diario!$G$4:$G$300,Trato_Diario!$B$4:$B$300,5,Trato_Diario!$A$4:$A$300,$A104))</f>
        <v/>
      </c>
      <c r="G104" s="28" t="str">
        <f>IF(OR($A104&gt;MAX(Trato_Diario!$A$4:$A$300),SUMIFS(Trato_Diario!$G$4:$G$300,Trato_Diario!$B$4:$B$300,6,Trato_Diario!$A$4:$A$300,$A104)=0),"",SUMIFS(Trato_Diario!$J$4:$J$300,Trato_Diario!$B$4:$B$300,6,Trato_Diario!$A$4:$A$300,$A104)/SUMIFS(Trato_Diario!$G$4:$G$300,Trato_Diario!$B$4:$B$300,6,Trato_Diario!$A$4:$A$300,$A104))</f>
        <v/>
      </c>
      <c r="H104" s="28" t="str">
        <f>IF(OR($A104&gt;MAX(Trato_Diario!$A$4:$A$300),SUMIFS(Trato_Diario!$G$4:$G$300,Trato_Diario!$B$4:$B$300,7,Trato_Diario!$A$4:$A$300,$A104)=0),"",SUMIFS(Trato_Diario!$J$4:$J$300,Trato_Diario!$B$4:$B$300,7,Trato_Diario!$A$4:$A$300,$A104)/SUMIFS(Trato_Diario!$G$4:$G$300,Trato_Diario!$B$4:$B$300,7,Trato_Diario!$A$4:$A$300,$A104))</f>
        <v/>
      </c>
      <c r="I104" s="28" t="str">
        <f>IF(OR($A104&gt;MAX(Trato_Diario!$A$4:$A$300),SUMIFS(Trato_Diario!$G$4:$G$300,Trato_Diario!$B$4:$B$300,8,Trato_Diario!$A$4:$A$300,$A104)=0),"",SUMIFS(Trato_Diario!$J$4:$J$300,Trato_Diario!$B$4:$B$300,8,Trato_Diario!$A$4:$A$300,$A104)/SUMIFS(Trato_Diario!$G$4:$G$300,Trato_Diario!$B$4:$B$300,8,Trato_Diario!$A$4:$A$300,$A104))</f>
        <v/>
      </c>
      <c r="J104" s="28" t="str">
        <f>IF(OR($A104&gt;MAX(Trato_Diario!$A$4:$A$300),SUMIFS(Trato_Diario!$G$4:$G$300,Trato_Diario!$B$4:$B$300,9,Trato_Diario!$A$4:$A$300,$A104)=0),"",SUMIFS(Trato_Diario!$J$4:$J$300,Trato_Diario!$B$4:$B$300,9,Trato_Diario!$A$4:$A$300,$A104)/SUMIFS(Trato_Diario!$G$4:$G$300,Trato_Diario!$B$4:$B$300,9,Trato_Diario!$A$4:$A$300,$A104))</f>
        <v/>
      </c>
      <c r="K104" s="28" t="str">
        <f>IF(OR($A104&gt;MAX(Trato_Diario!$A$4:$A$300),SUMIFS(Trato_Diario!$G$4:$G$300,Trato_Diario!$B$4:$B$300,10,Trato_Diario!$A$4:$A$300,$A104)=0),"",SUMIFS(Trato_Diario!$J$4:$J$300,Trato_Diario!$B$4:$B$300,10,Trato_Diario!$A$4:$A$300,$A104)/SUMIFS(Trato_Diario!$G$4:$G$300,Trato_Diario!$B$4:$B$300,10,Trato_Diario!$A$4:$A$300,$A104))</f>
        <v/>
      </c>
      <c r="L104" s="76" t="str">
        <f>IF(OR($A104&gt;MAX(Trato_Diario!$A$4:$A$300),SUMIFS(Trato_Diario!$G$4:$G$300,Trato_Diario!$A$4:$A$300,$A104)=0),"",SUMIFS(Trato_Diario!$J$4:$J$300,Trato_Diario!$A$4:$A$300,$A104)/SUMIFS(Trato_Diario!$G$4:$G$300,Trato_Diario!$A$4:$A$300,$A104))</f>
        <v/>
      </c>
    </row>
    <row r="105" spans="1:12" ht="14.25" customHeight="1" x14ac:dyDescent="0.3">
      <c r="A105" s="85">
        <v>46314</v>
      </c>
      <c r="B105" s="26" t="str">
        <f>IF(OR($A105&gt;MAX(Trato_Diario!$A$4:$A$300),SUMIFS(Trato_Diario!$G$4:$G$300,Trato_Diario!$B$4:$B$300,1,Trato_Diario!$A$4:$A$300,$A105)=0),"",SUMIFS(Trato_Diario!$J$4:$J$300,Trato_Diario!$B$4:$B$300,1,Trato_Diario!$A$4:$A$300,$A105)/SUMIFS(Trato_Diario!$G$4:$G$300,Trato_Diario!$B$4:$B$300,1,Trato_Diario!$A$4:$A$300,$A105))</f>
        <v/>
      </c>
      <c r="C105" s="26" t="str">
        <f>IF(OR($A105&gt;MAX(Trato_Diario!$A$4:$A$300),SUMIFS(Trato_Diario!$G$4:$G$300,Trato_Diario!$B$4:$B$300,2,Trato_Diario!$A$4:$A$300,$A105)=0),"",SUMIFS(Trato_Diario!$J$4:$J$300,Trato_Diario!$B$4:$B$300,2,Trato_Diario!$A$4:$A$300,$A105)/SUMIFS(Trato_Diario!$G$4:$G$300,Trato_Diario!$B$4:$B$300,2,Trato_Diario!$A$4:$A$300,$A105))</f>
        <v/>
      </c>
      <c r="D105" s="26" t="str">
        <f>IF(OR($A105&gt;MAX(Trato_Diario!$A$4:$A$300),SUMIFS(Trato_Diario!$G$4:$G$300,Trato_Diario!$B$4:$B$300,3,Trato_Diario!$A$4:$A$300,$A105)=0),"",SUMIFS(Trato_Diario!$J$4:$J$300,Trato_Diario!$B$4:$B$300,3,Trato_Diario!$A$4:$A$300,$A105)/SUMIFS(Trato_Diario!$G$4:$G$300,Trato_Diario!$B$4:$B$300,3,Trato_Diario!$A$4:$A$300,$A105))</f>
        <v/>
      </c>
      <c r="E105" s="26" t="str">
        <f>IF(OR($A105&gt;MAX(Trato_Diario!$A$4:$A$300),SUMIFS(Trato_Diario!$G$4:$G$300,Trato_Diario!$B$4:$B$300,4,Trato_Diario!$A$4:$A$300,$A105)=0),"",SUMIFS(Trato_Diario!$J$4:$J$300,Trato_Diario!$B$4:$B$300,4,Trato_Diario!$A$4:$A$300,$A105)/SUMIFS(Trato_Diario!$G$4:$G$300,Trato_Diario!$B$4:$B$300,4,Trato_Diario!$A$4:$A$300,$A105))</f>
        <v/>
      </c>
      <c r="F105" s="26" t="str">
        <f>IF(OR($A105&gt;MAX(Trato_Diario!$A$4:$A$300),SUMIFS(Trato_Diario!$G$4:$G$300,Trato_Diario!$B$4:$B$300,5,Trato_Diario!$A$4:$A$300,$A105)=0),"",SUMIFS(Trato_Diario!$J$4:$J$300,Trato_Diario!$B$4:$B$300,5,Trato_Diario!$A$4:$A$300,$A105)/SUMIFS(Trato_Diario!$G$4:$G$300,Trato_Diario!$B$4:$B$300,5,Trato_Diario!$A$4:$A$300,$A105))</f>
        <v/>
      </c>
      <c r="G105" s="26" t="str">
        <f>IF(OR($A105&gt;MAX(Trato_Diario!$A$4:$A$300),SUMIFS(Trato_Diario!$G$4:$G$300,Trato_Diario!$B$4:$B$300,6,Trato_Diario!$A$4:$A$300,$A105)=0),"",SUMIFS(Trato_Diario!$J$4:$J$300,Trato_Diario!$B$4:$B$300,6,Trato_Diario!$A$4:$A$300,$A105)/SUMIFS(Trato_Diario!$G$4:$G$300,Trato_Diario!$B$4:$B$300,6,Trato_Diario!$A$4:$A$300,$A105))</f>
        <v/>
      </c>
      <c r="H105" s="26" t="str">
        <f>IF(OR($A105&gt;MAX(Trato_Diario!$A$4:$A$300),SUMIFS(Trato_Diario!$G$4:$G$300,Trato_Diario!$B$4:$B$300,7,Trato_Diario!$A$4:$A$300,$A105)=0),"",SUMIFS(Trato_Diario!$J$4:$J$300,Trato_Diario!$B$4:$B$300,7,Trato_Diario!$A$4:$A$300,$A105)/SUMIFS(Trato_Diario!$G$4:$G$300,Trato_Diario!$B$4:$B$300,7,Trato_Diario!$A$4:$A$300,$A105))</f>
        <v/>
      </c>
      <c r="I105" s="26" t="str">
        <f>IF(OR($A105&gt;MAX(Trato_Diario!$A$4:$A$300),SUMIFS(Trato_Diario!$G$4:$G$300,Trato_Diario!$B$4:$B$300,8,Trato_Diario!$A$4:$A$300,$A105)=0),"",SUMIFS(Trato_Diario!$J$4:$J$300,Trato_Diario!$B$4:$B$300,8,Trato_Diario!$A$4:$A$300,$A105)/SUMIFS(Trato_Diario!$G$4:$G$300,Trato_Diario!$B$4:$B$300,8,Trato_Diario!$A$4:$A$300,$A105))</f>
        <v/>
      </c>
      <c r="J105" s="26" t="str">
        <f>IF(OR($A105&gt;MAX(Trato_Diario!$A$4:$A$300),SUMIFS(Trato_Diario!$G$4:$G$300,Trato_Diario!$B$4:$B$300,9,Trato_Diario!$A$4:$A$300,$A105)=0),"",SUMIFS(Trato_Diario!$J$4:$J$300,Trato_Diario!$B$4:$B$300,9,Trato_Diario!$A$4:$A$300,$A105)/SUMIFS(Trato_Diario!$G$4:$G$300,Trato_Diario!$B$4:$B$300,9,Trato_Diario!$A$4:$A$300,$A105))</f>
        <v/>
      </c>
      <c r="K105" s="26" t="str">
        <f>IF(OR($A105&gt;MAX(Trato_Diario!$A$4:$A$300),SUMIFS(Trato_Diario!$G$4:$G$300,Trato_Diario!$B$4:$B$300,10,Trato_Diario!$A$4:$A$300,$A105)=0),"",SUMIFS(Trato_Diario!$J$4:$J$300,Trato_Diario!$B$4:$B$300,10,Trato_Diario!$A$4:$A$300,$A105)/SUMIFS(Trato_Diario!$G$4:$G$300,Trato_Diario!$B$4:$B$300,10,Trato_Diario!$A$4:$A$300,$A105))</f>
        <v/>
      </c>
      <c r="L105" s="74" t="str">
        <f>IF(OR($A105&gt;MAX(Trato_Diario!$A$4:$A$300),SUMIFS(Trato_Diario!$G$4:$G$300,Trato_Diario!$A$4:$A$300,$A105)=0),"",SUMIFS(Trato_Diario!$J$4:$J$300,Trato_Diario!$A$4:$A$300,$A105)/SUMIFS(Trato_Diario!$G$4:$G$300,Trato_Diario!$A$4:$A$300,$A105))</f>
        <v/>
      </c>
    </row>
    <row r="106" spans="1:12" ht="14.25" customHeight="1" x14ac:dyDescent="0.3">
      <c r="A106" s="86">
        <v>46315</v>
      </c>
      <c r="B106" s="28" t="str">
        <f>IF(OR($A106&gt;MAX(Trato_Diario!$A$4:$A$300),SUMIFS(Trato_Diario!$G$4:$G$300,Trato_Diario!$B$4:$B$300,1,Trato_Diario!$A$4:$A$300,$A106)=0),"",SUMIFS(Trato_Diario!$J$4:$J$300,Trato_Diario!$B$4:$B$300,1,Trato_Diario!$A$4:$A$300,$A106)/SUMIFS(Trato_Diario!$G$4:$G$300,Trato_Diario!$B$4:$B$300,1,Trato_Diario!$A$4:$A$300,$A106))</f>
        <v/>
      </c>
      <c r="C106" s="28" t="str">
        <f>IF(OR($A106&gt;MAX(Trato_Diario!$A$4:$A$300),SUMIFS(Trato_Diario!$G$4:$G$300,Trato_Diario!$B$4:$B$300,2,Trato_Diario!$A$4:$A$300,$A106)=0),"",SUMIFS(Trato_Diario!$J$4:$J$300,Trato_Diario!$B$4:$B$300,2,Trato_Diario!$A$4:$A$300,$A106)/SUMIFS(Trato_Diario!$G$4:$G$300,Trato_Diario!$B$4:$B$300,2,Trato_Diario!$A$4:$A$300,$A106))</f>
        <v/>
      </c>
      <c r="D106" s="28" t="str">
        <f>IF(OR($A106&gt;MAX(Trato_Diario!$A$4:$A$300),SUMIFS(Trato_Diario!$G$4:$G$300,Trato_Diario!$B$4:$B$300,3,Trato_Diario!$A$4:$A$300,$A106)=0),"",SUMIFS(Trato_Diario!$J$4:$J$300,Trato_Diario!$B$4:$B$300,3,Trato_Diario!$A$4:$A$300,$A106)/SUMIFS(Trato_Diario!$G$4:$G$300,Trato_Diario!$B$4:$B$300,3,Trato_Diario!$A$4:$A$300,$A106))</f>
        <v/>
      </c>
      <c r="E106" s="28" t="str">
        <f>IF(OR($A106&gt;MAX(Trato_Diario!$A$4:$A$300),SUMIFS(Trato_Diario!$G$4:$G$300,Trato_Diario!$B$4:$B$300,4,Trato_Diario!$A$4:$A$300,$A106)=0),"",SUMIFS(Trato_Diario!$J$4:$J$300,Trato_Diario!$B$4:$B$300,4,Trato_Diario!$A$4:$A$300,$A106)/SUMIFS(Trato_Diario!$G$4:$G$300,Trato_Diario!$B$4:$B$300,4,Trato_Diario!$A$4:$A$300,$A106))</f>
        <v/>
      </c>
      <c r="F106" s="28" t="str">
        <f>IF(OR($A106&gt;MAX(Trato_Diario!$A$4:$A$300),SUMIFS(Trato_Diario!$G$4:$G$300,Trato_Diario!$B$4:$B$300,5,Trato_Diario!$A$4:$A$300,$A106)=0),"",SUMIFS(Trato_Diario!$J$4:$J$300,Trato_Diario!$B$4:$B$300,5,Trato_Diario!$A$4:$A$300,$A106)/SUMIFS(Trato_Diario!$G$4:$G$300,Trato_Diario!$B$4:$B$300,5,Trato_Diario!$A$4:$A$300,$A106))</f>
        <v/>
      </c>
      <c r="G106" s="28" t="str">
        <f>IF(OR($A106&gt;MAX(Trato_Diario!$A$4:$A$300),SUMIFS(Trato_Diario!$G$4:$G$300,Trato_Diario!$B$4:$B$300,6,Trato_Diario!$A$4:$A$300,$A106)=0),"",SUMIFS(Trato_Diario!$J$4:$J$300,Trato_Diario!$B$4:$B$300,6,Trato_Diario!$A$4:$A$300,$A106)/SUMIFS(Trato_Diario!$G$4:$G$300,Trato_Diario!$B$4:$B$300,6,Trato_Diario!$A$4:$A$300,$A106))</f>
        <v/>
      </c>
      <c r="H106" s="28" t="str">
        <f>IF(OR($A106&gt;MAX(Trato_Diario!$A$4:$A$300),SUMIFS(Trato_Diario!$G$4:$G$300,Trato_Diario!$B$4:$B$300,7,Trato_Diario!$A$4:$A$300,$A106)=0),"",SUMIFS(Trato_Diario!$J$4:$J$300,Trato_Diario!$B$4:$B$300,7,Trato_Diario!$A$4:$A$300,$A106)/SUMIFS(Trato_Diario!$G$4:$G$300,Trato_Diario!$B$4:$B$300,7,Trato_Diario!$A$4:$A$300,$A106))</f>
        <v/>
      </c>
      <c r="I106" s="28" t="str">
        <f>IF(OR($A106&gt;MAX(Trato_Diario!$A$4:$A$300),SUMIFS(Trato_Diario!$G$4:$G$300,Trato_Diario!$B$4:$B$300,8,Trato_Diario!$A$4:$A$300,$A106)=0),"",SUMIFS(Trato_Diario!$J$4:$J$300,Trato_Diario!$B$4:$B$300,8,Trato_Diario!$A$4:$A$300,$A106)/SUMIFS(Trato_Diario!$G$4:$G$300,Trato_Diario!$B$4:$B$300,8,Trato_Diario!$A$4:$A$300,$A106))</f>
        <v/>
      </c>
      <c r="J106" s="28" t="str">
        <f>IF(OR($A106&gt;MAX(Trato_Diario!$A$4:$A$300),SUMIFS(Trato_Diario!$G$4:$G$300,Trato_Diario!$B$4:$B$300,9,Trato_Diario!$A$4:$A$300,$A106)=0),"",SUMIFS(Trato_Diario!$J$4:$J$300,Trato_Diario!$B$4:$B$300,9,Trato_Diario!$A$4:$A$300,$A106)/SUMIFS(Trato_Diario!$G$4:$G$300,Trato_Diario!$B$4:$B$300,9,Trato_Diario!$A$4:$A$300,$A106))</f>
        <v/>
      </c>
      <c r="K106" s="28" t="str">
        <f>IF(OR($A106&gt;MAX(Trato_Diario!$A$4:$A$300),SUMIFS(Trato_Diario!$G$4:$G$300,Trato_Diario!$B$4:$B$300,10,Trato_Diario!$A$4:$A$300,$A106)=0),"",SUMIFS(Trato_Diario!$J$4:$J$300,Trato_Diario!$B$4:$B$300,10,Trato_Diario!$A$4:$A$300,$A106)/SUMIFS(Trato_Diario!$G$4:$G$300,Trato_Diario!$B$4:$B$300,10,Trato_Diario!$A$4:$A$300,$A106))</f>
        <v/>
      </c>
      <c r="L106" s="76" t="str">
        <f>IF(OR($A106&gt;MAX(Trato_Diario!$A$4:$A$300),SUMIFS(Trato_Diario!$G$4:$G$300,Trato_Diario!$A$4:$A$300,$A106)=0),"",SUMIFS(Trato_Diario!$J$4:$J$300,Trato_Diario!$A$4:$A$300,$A106)/SUMIFS(Trato_Diario!$G$4:$G$300,Trato_Diario!$A$4:$A$300,$A106))</f>
        <v/>
      </c>
    </row>
    <row r="107" spans="1:12" ht="14.25" customHeight="1" x14ac:dyDescent="0.3">
      <c r="A107" s="85">
        <v>46316</v>
      </c>
      <c r="B107" s="26" t="str">
        <f>IF(OR($A107&gt;MAX(Trato_Diario!$A$4:$A$300),SUMIFS(Trato_Diario!$G$4:$G$300,Trato_Diario!$B$4:$B$300,1,Trato_Diario!$A$4:$A$300,$A107)=0),"",SUMIFS(Trato_Diario!$J$4:$J$300,Trato_Diario!$B$4:$B$300,1,Trato_Diario!$A$4:$A$300,$A107)/SUMIFS(Trato_Diario!$G$4:$G$300,Trato_Diario!$B$4:$B$300,1,Trato_Diario!$A$4:$A$300,$A107))</f>
        <v/>
      </c>
      <c r="C107" s="26" t="str">
        <f>IF(OR($A107&gt;MAX(Trato_Diario!$A$4:$A$300),SUMIFS(Trato_Diario!$G$4:$G$300,Trato_Diario!$B$4:$B$300,2,Trato_Diario!$A$4:$A$300,$A107)=0),"",SUMIFS(Trato_Diario!$J$4:$J$300,Trato_Diario!$B$4:$B$300,2,Trato_Diario!$A$4:$A$300,$A107)/SUMIFS(Trato_Diario!$G$4:$G$300,Trato_Diario!$B$4:$B$300,2,Trato_Diario!$A$4:$A$300,$A107))</f>
        <v/>
      </c>
      <c r="D107" s="26" t="str">
        <f>IF(OR($A107&gt;MAX(Trato_Diario!$A$4:$A$300),SUMIFS(Trato_Diario!$G$4:$G$300,Trato_Diario!$B$4:$B$300,3,Trato_Diario!$A$4:$A$300,$A107)=0),"",SUMIFS(Trato_Diario!$J$4:$J$300,Trato_Diario!$B$4:$B$300,3,Trato_Diario!$A$4:$A$300,$A107)/SUMIFS(Trato_Diario!$G$4:$G$300,Trato_Diario!$B$4:$B$300,3,Trato_Diario!$A$4:$A$300,$A107))</f>
        <v/>
      </c>
      <c r="E107" s="26" t="str">
        <f>IF(OR($A107&gt;MAX(Trato_Diario!$A$4:$A$300),SUMIFS(Trato_Diario!$G$4:$G$300,Trato_Diario!$B$4:$B$300,4,Trato_Diario!$A$4:$A$300,$A107)=0),"",SUMIFS(Trato_Diario!$J$4:$J$300,Trato_Diario!$B$4:$B$300,4,Trato_Diario!$A$4:$A$300,$A107)/SUMIFS(Trato_Diario!$G$4:$G$300,Trato_Diario!$B$4:$B$300,4,Trato_Diario!$A$4:$A$300,$A107))</f>
        <v/>
      </c>
      <c r="F107" s="26" t="str">
        <f>IF(OR($A107&gt;MAX(Trato_Diario!$A$4:$A$300),SUMIFS(Trato_Diario!$G$4:$G$300,Trato_Diario!$B$4:$B$300,5,Trato_Diario!$A$4:$A$300,$A107)=0),"",SUMIFS(Trato_Diario!$J$4:$J$300,Trato_Diario!$B$4:$B$300,5,Trato_Diario!$A$4:$A$300,$A107)/SUMIFS(Trato_Diario!$G$4:$G$300,Trato_Diario!$B$4:$B$300,5,Trato_Diario!$A$4:$A$300,$A107))</f>
        <v/>
      </c>
      <c r="G107" s="26" t="str">
        <f>IF(OR($A107&gt;MAX(Trato_Diario!$A$4:$A$300),SUMIFS(Trato_Diario!$G$4:$G$300,Trato_Diario!$B$4:$B$300,6,Trato_Diario!$A$4:$A$300,$A107)=0),"",SUMIFS(Trato_Diario!$J$4:$J$300,Trato_Diario!$B$4:$B$300,6,Trato_Diario!$A$4:$A$300,$A107)/SUMIFS(Trato_Diario!$G$4:$G$300,Trato_Diario!$B$4:$B$300,6,Trato_Diario!$A$4:$A$300,$A107))</f>
        <v/>
      </c>
      <c r="H107" s="26" t="str">
        <f>IF(OR($A107&gt;MAX(Trato_Diario!$A$4:$A$300),SUMIFS(Trato_Diario!$G$4:$G$300,Trato_Diario!$B$4:$B$300,7,Trato_Diario!$A$4:$A$300,$A107)=0),"",SUMIFS(Trato_Diario!$J$4:$J$300,Trato_Diario!$B$4:$B$300,7,Trato_Diario!$A$4:$A$300,$A107)/SUMIFS(Trato_Diario!$G$4:$G$300,Trato_Diario!$B$4:$B$300,7,Trato_Diario!$A$4:$A$300,$A107))</f>
        <v/>
      </c>
      <c r="I107" s="26" t="str">
        <f>IF(OR($A107&gt;MAX(Trato_Diario!$A$4:$A$300),SUMIFS(Trato_Diario!$G$4:$G$300,Trato_Diario!$B$4:$B$300,8,Trato_Diario!$A$4:$A$300,$A107)=0),"",SUMIFS(Trato_Diario!$J$4:$J$300,Trato_Diario!$B$4:$B$300,8,Trato_Diario!$A$4:$A$300,$A107)/SUMIFS(Trato_Diario!$G$4:$G$300,Trato_Diario!$B$4:$B$300,8,Trato_Diario!$A$4:$A$300,$A107))</f>
        <v/>
      </c>
      <c r="J107" s="26" t="str">
        <f>IF(OR($A107&gt;MAX(Trato_Diario!$A$4:$A$300),SUMIFS(Trato_Diario!$G$4:$G$300,Trato_Diario!$B$4:$B$300,9,Trato_Diario!$A$4:$A$300,$A107)=0),"",SUMIFS(Trato_Diario!$J$4:$J$300,Trato_Diario!$B$4:$B$300,9,Trato_Diario!$A$4:$A$300,$A107)/SUMIFS(Trato_Diario!$G$4:$G$300,Trato_Diario!$B$4:$B$300,9,Trato_Diario!$A$4:$A$300,$A107))</f>
        <v/>
      </c>
      <c r="K107" s="26" t="str">
        <f>IF(OR($A107&gt;MAX(Trato_Diario!$A$4:$A$300),SUMIFS(Trato_Diario!$G$4:$G$300,Trato_Diario!$B$4:$B$300,10,Trato_Diario!$A$4:$A$300,$A107)=0),"",SUMIFS(Trato_Diario!$J$4:$J$300,Trato_Diario!$B$4:$B$300,10,Trato_Diario!$A$4:$A$300,$A107)/SUMIFS(Trato_Diario!$G$4:$G$300,Trato_Diario!$B$4:$B$300,10,Trato_Diario!$A$4:$A$300,$A107))</f>
        <v/>
      </c>
      <c r="L107" s="74" t="str">
        <f>IF(OR($A107&gt;MAX(Trato_Diario!$A$4:$A$300),SUMIFS(Trato_Diario!$G$4:$G$300,Trato_Diario!$A$4:$A$300,$A107)=0),"",SUMIFS(Trato_Diario!$J$4:$J$300,Trato_Diario!$A$4:$A$300,$A107)/SUMIFS(Trato_Diario!$G$4:$G$300,Trato_Diario!$A$4:$A$300,$A107))</f>
        <v/>
      </c>
    </row>
    <row r="108" spans="1:12" ht="14.25" customHeight="1" x14ac:dyDescent="0.3">
      <c r="A108" s="86">
        <v>46317</v>
      </c>
      <c r="B108" s="28" t="str">
        <f>IF(OR($A108&gt;MAX(Trato_Diario!$A$4:$A$300),SUMIFS(Trato_Diario!$G$4:$G$300,Trato_Diario!$B$4:$B$300,1,Trato_Diario!$A$4:$A$300,$A108)=0),"",SUMIFS(Trato_Diario!$J$4:$J$300,Trato_Diario!$B$4:$B$300,1,Trato_Diario!$A$4:$A$300,$A108)/SUMIFS(Trato_Diario!$G$4:$G$300,Trato_Diario!$B$4:$B$300,1,Trato_Diario!$A$4:$A$300,$A108))</f>
        <v/>
      </c>
      <c r="C108" s="28" t="str">
        <f>IF(OR($A108&gt;MAX(Trato_Diario!$A$4:$A$300),SUMIFS(Trato_Diario!$G$4:$G$300,Trato_Diario!$B$4:$B$300,2,Trato_Diario!$A$4:$A$300,$A108)=0),"",SUMIFS(Trato_Diario!$J$4:$J$300,Trato_Diario!$B$4:$B$300,2,Trato_Diario!$A$4:$A$300,$A108)/SUMIFS(Trato_Diario!$G$4:$G$300,Trato_Diario!$B$4:$B$300,2,Trato_Diario!$A$4:$A$300,$A108))</f>
        <v/>
      </c>
      <c r="D108" s="28" t="str">
        <f>IF(OR($A108&gt;MAX(Trato_Diario!$A$4:$A$300),SUMIFS(Trato_Diario!$G$4:$G$300,Trato_Diario!$B$4:$B$300,3,Trato_Diario!$A$4:$A$300,$A108)=0),"",SUMIFS(Trato_Diario!$J$4:$J$300,Trato_Diario!$B$4:$B$300,3,Trato_Diario!$A$4:$A$300,$A108)/SUMIFS(Trato_Diario!$G$4:$G$300,Trato_Diario!$B$4:$B$300,3,Trato_Diario!$A$4:$A$300,$A108))</f>
        <v/>
      </c>
      <c r="E108" s="28" t="str">
        <f>IF(OR($A108&gt;MAX(Trato_Diario!$A$4:$A$300),SUMIFS(Trato_Diario!$G$4:$G$300,Trato_Diario!$B$4:$B$300,4,Trato_Diario!$A$4:$A$300,$A108)=0),"",SUMIFS(Trato_Diario!$J$4:$J$300,Trato_Diario!$B$4:$B$300,4,Trato_Diario!$A$4:$A$300,$A108)/SUMIFS(Trato_Diario!$G$4:$G$300,Trato_Diario!$B$4:$B$300,4,Trato_Diario!$A$4:$A$300,$A108))</f>
        <v/>
      </c>
      <c r="F108" s="28" t="str">
        <f>IF(OR($A108&gt;MAX(Trato_Diario!$A$4:$A$300),SUMIFS(Trato_Diario!$G$4:$G$300,Trato_Diario!$B$4:$B$300,5,Trato_Diario!$A$4:$A$300,$A108)=0),"",SUMIFS(Trato_Diario!$J$4:$J$300,Trato_Diario!$B$4:$B$300,5,Trato_Diario!$A$4:$A$300,$A108)/SUMIFS(Trato_Diario!$G$4:$G$300,Trato_Diario!$B$4:$B$300,5,Trato_Diario!$A$4:$A$300,$A108))</f>
        <v/>
      </c>
      <c r="G108" s="28" t="str">
        <f>IF(OR($A108&gt;MAX(Trato_Diario!$A$4:$A$300),SUMIFS(Trato_Diario!$G$4:$G$300,Trato_Diario!$B$4:$B$300,6,Trato_Diario!$A$4:$A$300,$A108)=0),"",SUMIFS(Trato_Diario!$J$4:$J$300,Trato_Diario!$B$4:$B$300,6,Trato_Diario!$A$4:$A$300,$A108)/SUMIFS(Trato_Diario!$G$4:$G$300,Trato_Diario!$B$4:$B$300,6,Trato_Diario!$A$4:$A$300,$A108))</f>
        <v/>
      </c>
      <c r="H108" s="28" t="str">
        <f>IF(OR($A108&gt;MAX(Trato_Diario!$A$4:$A$300),SUMIFS(Trato_Diario!$G$4:$G$300,Trato_Diario!$B$4:$B$300,7,Trato_Diario!$A$4:$A$300,$A108)=0),"",SUMIFS(Trato_Diario!$J$4:$J$300,Trato_Diario!$B$4:$B$300,7,Trato_Diario!$A$4:$A$300,$A108)/SUMIFS(Trato_Diario!$G$4:$G$300,Trato_Diario!$B$4:$B$300,7,Trato_Diario!$A$4:$A$300,$A108))</f>
        <v/>
      </c>
      <c r="I108" s="28" t="str">
        <f>IF(OR($A108&gt;MAX(Trato_Diario!$A$4:$A$300),SUMIFS(Trato_Diario!$G$4:$G$300,Trato_Diario!$B$4:$B$300,8,Trato_Diario!$A$4:$A$300,$A108)=0),"",SUMIFS(Trato_Diario!$J$4:$J$300,Trato_Diario!$B$4:$B$300,8,Trato_Diario!$A$4:$A$300,$A108)/SUMIFS(Trato_Diario!$G$4:$G$300,Trato_Diario!$B$4:$B$300,8,Trato_Diario!$A$4:$A$300,$A108))</f>
        <v/>
      </c>
      <c r="J108" s="28" t="str">
        <f>IF(OR($A108&gt;MAX(Trato_Diario!$A$4:$A$300),SUMIFS(Trato_Diario!$G$4:$G$300,Trato_Diario!$B$4:$B$300,9,Trato_Diario!$A$4:$A$300,$A108)=0),"",SUMIFS(Trato_Diario!$J$4:$J$300,Trato_Diario!$B$4:$B$300,9,Trato_Diario!$A$4:$A$300,$A108)/SUMIFS(Trato_Diario!$G$4:$G$300,Trato_Diario!$B$4:$B$300,9,Trato_Diario!$A$4:$A$300,$A108))</f>
        <v/>
      </c>
      <c r="K108" s="28" t="str">
        <f>IF(OR($A108&gt;MAX(Trato_Diario!$A$4:$A$300),SUMIFS(Trato_Diario!$G$4:$G$300,Trato_Diario!$B$4:$B$300,10,Trato_Diario!$A$4:$A$300,$A108)=0),"",SUMIFS(Trato_Diario!$J$4:$J$300,Trato_Diario!$B$4:$B$300,10,Trato_Diario!$A$4:$A$300,$A108)/SUMIFS(Trato_Diario!$G$4:$G$300,Trato_Diario!$B$4:$B$300,10,Trato_Diario!$A$4:$A$300,$A108))</f>
        <v/>
      </c>
      <c r="L108" s="76" t="str">
        <f>IF(OR($A108&gt;MAX(Trato_Diario!$A$4:$A$300),SUMIFS(Trato_Diario!$G$4:$G$300,Trato_Diario!$A$4:$A$300,$A108)=0),"",SUMIFS(Trato_Diario!$J$4:$J$300,Trato_Diario!$A$4:$A$300,$A108)/SUMIFS(Trato_Diario!$G$4:$G$300,Trato_Diario!$A$4:$A$300,$A108))</f>
        <v/>
      </c>
    </row>
    <row r="109" spans="1:12" ht="14.25" customHeight="1" x14ac:dyDescent="0.3">
      <c r="A109" s="85">
        <v>46318</v>
      </c>
      <c r="B109" s="26" t="str">
        <f>IF(OR($A109&gt;MAX(Trato_Diario!$A$4:$A$300),SUMIFS(Trato_Diario!$G$4:$G$300,Trato_Diario!$B$4:$B$300,1,Trato_Diario!$A$4:$A$300,$A109)=0),"",SUMIFS(Trato_Diario!$J$4:$J$300,Trato_Diario!$B$4:$B$300,1,Trato_Diario!$A$4:$A$300,$A109)/SUMIFS(Trato_Diario!$G$4:$G$300,Trato_Diario!$B$4:$B$300,1,Trato_Diario!$A$4:$A$300,$A109))</f>
        <v/>
      </c>
      <c r="C109" s="26" t="str">
        <f>IF(OR($A109&gt;MAX(Trato_Diario!$A$4:$A$300),SUMIFS(Trato_Diario!$G$4:$G$300,Trato_Diario!$B$4:$B$300,2,Trato_Diario!$A$4:$A$300,$A109)=0),"",SUMIFS(Trato_Diario!$J$4:$J$300,Trato_Diario!$B$4:$B$300,2,Trato_Diario!$A$4:$A$300,$A109)/SUMIFS(Trato_Diario!$G$4:$G$300,Trato_Diario!$B$4:$B$300,2,Trato_Diario!$A$4:$A$300,$A109))</f>
        <v/>
      </c>
      <c r="D109" s="26" t="str">
        <f>IF(OR($A109&gt;MAX(Trato_Diario!$A$4:$A$300),SUMIFS(Trato_Diario!$G$4:$G$300,Trato_Diario!$B$4:$B$300,3,Trato_Diario!$A$4:$A$300,$A109)=0),"",SUMIFS(Trato_Diario!$J$4:$J$300,Trato_Diario!$B$4:$B$300,3,Trato_Diario!$A$4:$A$300,$A109)/SUMIFS(Trato_Diario!$G$4:$G$300,Trato_Diario!$B$4:$B$300,3,Trato_Diario!$A$4:$A$300,$A109))</f>
        <v/>
      </c>
      <c r="E109" s="26" t="str">
        <f>IF(OR($A109&gt;MAX(Trato_Diario!$A$4:$A$300),SUMIFS(Trato_Diario!$G$4:$G$300,Trato_Diario!$B$4:$B$300,4,Trato_Diario!$A$4:$A$300,$A109)=0),"",SUMIFS(Trato_Diario!$J$4:$J$300,Trato_Diario!$B$4:$B$300,4,Trato_Diario!$A$4:$A$300,$A109)/SUMIFS(Trato_Diario!$G$4:$G$300,Trato_Diario!$B$4:$B$300,4,Trato_Diario!$A$4:$A$300,$A109))</f>
        <v/>
      </c>
      <c r="F109" s="26" t="str">
        <f>IF(OR($A109&gt;MAX(Trato_Diario!$A$4:$A$300),SUMIFS(Trato_Diario!$G$4:$G$300,Trato_Diario!$B$4:$B$300,5,Trato_Diario!$A$4:$A$300,$A109)=0),"",SUMIFS(Trato_Diario!$J$4:$J$300,Trato_Diario!$B$4:$B$300,5,Trato_Diario!$A$4:$A$300,$A109)/SUMIFS(Trato_Diario!$G$4:$G$300,Trato_Diario!$B$4:$B$300,5,Trato_Diario!$A$4:$A$300,$A109))</f>
        <v/>
      </c>
      <c r="G109" s="26" t="str">
        <f>IF(OR($A109&gt;MAX(Trato_Diario!$A$4:$A$300),SUMIFS(Trato_Diario!$G$4:$G$300,Trato_Diario!$B$4:$B$300,6,Trato_Diario!$A$4:$A$300,$A109)=0),"",SUMIFS(Trato_Diario!$J$4:$J$300,Trato_Diario!$B$4:$B$300,6,Trato_Diario!$A$4:$A$300,$A109)/SUMIFS(Trato_Diario!$G$4:$G$300,Trato_Diario!$B$4:$B$300,6,Trato_Diario!$A$4:$A$300,$A109))</f>
        <v/>
      </c>
      <c r="H109" s="26" t="str">
        <f>IF(OR($A109&gt;MAX(Trato_Diario!$A$4:$A$300),SUMIFS(Trato_Diario!$G$4:$G$300,Trato_Diario!$B$4:$B$300,7,Trato_Diario!$A$4:$A$300,$A109)=0),"",SUMIFS(Trato_Diario!$J$4:$J$300,Trato_Diario!$B$4:$B$300,7,Trato_Diario!$A$4:$A$300,$A109)/SUMIFS(Trato_Diario!$G$4:$G$300,Trato_Diario!$B$4:$B$300,7,Trato_Diario!$A$4:$A$300,$A109))</f>
        <v/>
      </c>
      <c r="I109" s="26" t="str">
        <f>IF(OR($A109&gt;MAX(Trato_Diario!$A$4:$A$300),SUMIFS(Trato_Diario!$G$4:$G$300,Trato_Diario!$B$4:$B$300,8,Trato_Diario!$A$4:$A$300,$A109)=0),"",SUMIFS(Trato_Diario!$J$4:$J$300,Trato_Diario!$B$4:$B$300,8,Trato_Diario!$A$4:$A$300,$A109)/SUMIFS(Trato_Diario!$G$4:$G$300,Trato_Diario!$B$4:$B$300,8,Trato_Diario!$A$4:$A$300,$A109))</f>
        <v/>
      </c>
      <c r="J109" s="26" t="str">
        <f>IF(OR($A109&gt;MAX(Trato_Diario!$A$4:$A$300),SUMIFS(Trato_Diario!$G$4:$G$300,Trato_Diario!$B$4:$B$300,9,Trato_Diario!$A$4:$A$300,$A109)=0),"",SUMIFS(Trato_Diario!$J$4:$J$300,Trato_Diario!$B$4:$B$300,9,Trato_Diario!$A$4:$A$300,$A109)/SUMIFS(Trato_Diario!$G$4:$G$300,Trato_Diario!$B$4:$B$300,9,Trato_Diario!$A$4:$A$300,$A109))</f>
        <v/>
      </c>
      <c r="K109" s="26" t="str">
        <f>IF(OR($A109&gt;MAX(Trato_Diario!$A$4:$A$300),SUMIFS(Trato_Diario!$G$4:$G$300,Trato_Diario!$B$4:$B$300,10,Trato_Diario!$A$4:$A$300,$A109)=0),"",SUMIFS(Trato_Diario!$J$4:$J$300,Trato_Diario!$B$4:$B$300,10,Trato_Diario!$A$4:$A$300,$A109)/SUMIFS(Trato_Diario!$G$4:$G$300,Trato_Diario!$B$4:$B$300,10,Trato_Diario!$A$4:$A$300,$A109))</f>
        <v/>
      </c>
      <c r="L109" s="74" t="str">
        <f>IF(OR($A109&gt;MAX(Trato_Diario!$A$4:$A$300),SUMIFS(Trato_Diario!$G$4:$G$300,Trato_Diario!$A$4:$A$300,$A109)=0),"",SUMIFS(Trato_Diario!$J$4:$J$300,Trato_Diario!$A$4:$A$300,$A109)/SUMIFS(Trato_Diario!$G$4:$G$300,Trato_Diario!$A$4:$A$300,$A109))</f>
        <v/>
      </c>
    </row>
    <row r="110" spans="1:12" ht="14.25" customHeight="1" x14ac:dyDescent="0.3">
      <c r="A110" s="86">
        <v>46319</v>
      </c>
      <c r="B110" s="28" t="str">
        <f>IF(OR($A110&gt;MAX(Trato_Diario!$A$4:$A$300),SUMIFS(Trato_Diario!$G$4:$G$300,Trato_Diario!$B$4:$B$300,1,Trato_Diario!$A$4:$A$300,$A110)=0),"",SUMIFS(Trato_Diario!$J$4:$J$300,Trato_Diario!$B$4:$B$300,1,Trato_Diario!$A$4:$A$300,$A110)/SUMIFS(Trato_Diario!$G$4:$G$300,Trato_Diario!$B$4:$B$300,1,Trato_Diario!$A$4:$A$300,$A110))</f>
        <v/>
      </c>
      <c r="C110" s="28" t="str">
        <f>IF(OR($A110&gt;MAX(Trato_Diario!$A$4:$A$300),SUMIFS(Trato_Diario!$G$4:$G$300,Trato_Diario!$B$4:$B$300,2,Trato_Diario!$A$4:$A$300,$A110)=0),"",SUMIFS(Trato_Diario!$J$4:$J$300,Trato_Diario!$B$4:$B$300,2,Trato_Diario!$A$4:$A$300,$A110)/SUMIFS(Trato_Diario!$G$4:$G$300,Trato_Diario!$B$4:$B$300,2,Trato_Diario!$A$4:$A$300,$A110))</f>
        <v/>
      </c>
      <c r="D110" s="28" t="str">
        <f>IF(OR($A110&gt;MAX(Trato_Diario!$A$4:$A$300),SUMIFS(Trato_Diario!$G$4:$G$300,Trato_Diario!$B$4:$B$300,3,Trato_Diario!$A$4:$A$300,$A110)=0),"",SUMIFS(Trato_Diario!$J$4:$J$300,Trato_Diario!$B$4:$B$300,3,Trato_Diario!$A$4:$A$300,$A110)/SUMIFS(Trato_Diario!$G$4:$G$300,Trato_Diario!$B$4:$B$300,3,Trato_Diario!$A$4:$A$300,$A110))</f>
        <v/>
      </c>
      <c r="E110" s="28" t="str">
        <f>IF(OR($A110&gt;MAX(Trato_Diario!$A$4:$A$300),SUMIFS(Trato_Diario!$G$4:$G$300,Trato_Diario!$B$4:$B$300,4,Trato_Diario!$A$4:$A$300,$A110)=0),"",SUMIFS(Trato_Diario!$J$4:$J$300,Trato_Diario!$B$4:$B$300,4,Trato_Diario!$A$4:$A$300,$A110)/SUMIFS(Trato_Diario!$G$4:$G$300,Trato_Diario!$B$4:$B$300,4,Trato_Diario!$A$4:$A$300,$A110))</f>
        <v/>
      </c>
      <c r="F110" s="28" t="str">
        <f>IF(OR($A110&gt;MAX(Trato_Diario!$A$4:$A$300),SUMIFS(Trato_Diario!$G$4:$G$300,Trato_Diario!$B$4:$B$300,5,Trato_Diario!$A$4:$A$300,$A110)=0),"",SUMIFS(Trato_Diario!$J$4:$J$300,Trato_Diario!$B$4:$B$300,5,Trato_Diario!$A$4:$A$300,$A110)/SUMIFS(Trato_Diario!$G$4:$G$300,Trato_Diario!$B$4:$B$300,5,Trato_Diario!$A$4:$A$300,$A110))</f>
        <v/>
      </c>
      <c r="G110" s="28" t="str">
        <f>IF(OR($A110&gt;MAX(Trato_Diario!$A$4:$A$300),SUMIFS(Trato_Diario!$G$4:$G$300,Trato_Diario!$B$4:$B$300,6,Trato_Diario!$A$4:$A$300,$A110)=0),"",SUMIFS(Trato_Diario!$J$4:$J$300,Trato_Diario!$B$4:$B$300,6,Trato_Diario!$A$4:$A$300,$A110)/SUMIFS(Trato_Diario!$G$4:$G$300,Trato_Diario!$B$4:$B$300,6,Trato_Diario!$A$4:$A$300,$A110))</f>
        <v/>
      </c>
      <c r="H110" s="28" t="str">
        <f>IF(OR($A110&gt;MAX(Trato_Diario!$A$4:$A$300),SUMIFS(Trato_Diario!$G$4:$G$300,Trato_Diario!$B$4:$B$300,7,Trato_Diario!$A$4:$A$300,$A110)=0),"",SUMIFS(Trato_Diario!$J$4:$J$300,Trato_Diario!$B$4:$B$300,7,Trato_Diario!$A$4:$A$300,$A110)/SUMIFS(Trato_Diario!$G$4:$G$300,Trato_Diario!$B$4:$B$300,7,Trato_Diario!$A$4:$A$300,$A110))</f>
        <v/>
      </c>
      <c r="I110" s="28" t="str">
        <f>IF(OR($A110&gt;MAX(Trato_Diario!$A$4:$A$300),SUMIFS(Trato_Diario!$G$4:$G$300,Trato_Diario!$B$4:$B$300,8,Trato_Diario!$A$4:$A$300,$A110)=0),"",SUMIFS(Trato_Diario!$J$4:$J$300,Trato_Diario!$B$4:$B$300,8,Trato_Diario!$A$4:$A$300,$A110)/SUMIFS(Trato_Diario!$G$4:$G$300,Trato_Diario!$B$4:$B$300,8,Trato_Diario!$A$4:$A$300,$A110))</f>
        <v/>
      </c>
      <c r="J110" s="28" t="str">
        <f>IF(OR($A110&gt;MAX(Trato_Diario!$A$4:$A$300),SUMIFS(Trato_Diario!$G$4:$G$300,Trato_Diario!$B$4:$B$300,9,Trato_Diario!$A$4:$A$300,$A110)=0),"",SUMIFS(Trato_Diario!$J$4:$J$300,Trato_Diario!$B$4:$B$300,9,Trato_Diario!$A$4:$A$300,$A110)/SUMIFS(Trato_Diario!$G$4:$G$300,Trato_Diario!$B$4:$B$300,9,Trato_Diario!$A$4:$A$300,$A110))</f>
        <v/>
      </c>
      <c r="K110" s="28" t="str">
        <f>IF(OR($A110&gt;MAX(Trato_Diario!$A$4:$A$300),SUMIFS(Trato_Diario!$G$4:$G$300,Trato_Diario!$B$4:$B$300,10,Trato_Diario!$A$4:$A$300,$A110)=0),"",SUMIFS(Trato_Diario!$J$4:$J$300,Trato_Diario!$B$4:$B$300,10,Trato_Diario!$A$4:$A$300,$A110)/SUMIFS(Trato_Diario!$G$4:$G$300,Trato_Diario!$B$4:$B$300,10,Trato_Diario!$A$4:$A$300,$A110))</f>
        <v/>
      </c>
      <c r="L110" s="76" t="str">
        <f>IF(OR($A110&gt;MAX(Trato_Diario!$A$4:$A$300),SUMIFS(Trato_Diario!$G$4:$G$300,Trato_Diario!$A$4:$A$300,$A110)=0),"",SUMIFS(Trato_Diario!$J$4:$J$300,Trato_Diario!$A$4:$A$300,$A110)/SUMIFS(Trato_Diario!$G$4:$G$300,Trato_Diario!$A$4:$A$300,$A110))</f>
        <v/>
      </c>
    </row>
    <row r="111" spans="1:12" ht="14.25" customHeight="1" x14ac:dyDescent="0.3">
      <c r="A111" s="85">
        <v>46320</v>
      </c>
      <c r="B111" s="26" t="str">
        <f>IF(OR($A111&gt;MAX(Trato_Diario!$A$4:$A$300),SUMIFS(Trato_Diario!$G$4:$G$300,Trato_Diario!$B$4:$B$300,1,Trato_Diario!$A$4:$A$300,$A111)=0),"",SUMIFS(Trato_Diario!$J$4:$J$300,Trato_Diario!$B$4:$B$300,1,Trato_Diario!$A$4:$A$300,$A111)/SUMIFS(Trato_Diario!$G$4:$G$300,Trato_Diario!$B$4:$B$300,1,Trato_Diario!$A$4:$A$300,$A111))</f>
        <v/>
      </c>
      <c r="C111" s="26" t="str">
        <f>IF(OR($A111&gt;MAX(Trato_Diario!$A$4:$A$300),SUMIFS(Trato_Diario!$G$4:$G$300,Trato_Diario!$B$4:$B$300,2,Trato_Diario!$A$4:$A$300,$A111)=0),"",SUMIFS(Trato_Diario!$J$4:$J$300,Trato_Diario!$B$4:$B$300,2,Trato_Diario!$A$4:$A$300,$A111)/SUMIFS(Trato_Diario!$G$4:$G$300,Trato_Diario!$B$4:$B$300,2,Trato_Diario!$A$4:$A$300,$A111))</f>
        <v/>
      </c>
      <c r="D111" s="26" t="str">
        <f>IF(OR($A111&gt;MAX(Trato_Diario!$A$4:$A$300),SUMIFS(Trato_Diario!$G$4:$G$300,Trato_Diario!$B$4:$B$300,3,Trato_Diario!$A$4:$A$300,$A111)=0),"",SUMIFS(Trato_Diario!$J$4:$J$300,Trato_Diario!$B$4:$B$300,3,Trato_Diario!$A$4:$A$300,$A111)/SUMIFS(Trato_Diario!$G$4:$G$300,Trato_Diario!$B$4:$B$300,3,Trato_Diario!$A$4:$A$300,$A111))</f>
        <v/>
      </c>
      <c r="E111" s="26" t="str">
        <f>IF(OR($A111&gt;MAX(Trato_Diario!$A$4:$A$300),SUMIFS(Trato_Diario!$G$4:$G$300,Trato_Diario!$B$4:$B$300,4,Trato_Diario!$A$4:$A$300,$A111)=0),"",SUMIFS(Trato_Diario!$J$4:$J$300,Trato_Diario!$B$4:$B$300,4,Trato_Diario!$A$4:$A$300,$A111)/SUMIFS(Trato_Diario!$G$4:$G$300,Trato_Diario!$B$4:$B$300,4,Trato_Diario!$A$4:$A$300,$A111))</f>
        <v/>
      </c>
      <c r="F111" s="26" t="str">
        <f>IF(OR($A111&gt;MAX(Trato_Diario!$A$4:$A$300),SUMIFS(Trato_Diario!$G$4:$G$300,Trato_Diario!$B$4:$B$300,5,Trato_Diario!$A$4:$A$300,$A111)=0),"",SUMIFS(Trato_Diario!$J$4:$J$300,Trato_Diario!$B$4:$B$300,5,Trato_Diario!$A$4:$A$300,$A111)/SUMIFS(Trato_Diario!$G$4:$G$300,Trato_Diario!$B$4:$B$300,5,Trato_Diario!$A$4:$A$300,$A111))</f>
        <v/>
      </c>
      <c r="G111" s="26" t="str">
        <f>IF(OR($A111&gt;MAX(Trato_Diario!$A$4:$A$300),SUMIFS(Trato_Diario!$G$4:$G$300,Trato_Diario!$B$4:$B$300,6,Trato_Diario!$A$4:$A$300,$A111)=0),"",SUMIFS(Trato_Diario!$J$4:$J$300,Trato_Diario!$B$4:$B$300,6,Trato_Diario!$A$4:$A$300,$A111)/SUMIFS(Trato_Diario!$G$4:$G$300,Trato_Diario!$B$4:$B$300,6,Trato_Diario!$A$4:$A$300,$A111))</f>
        <v/>
      </c>
      <c r="H111" s="26" t="str">
        <f>IF(OR($A111&gt;MAX(Trato_Diario!$A$4:$A$300),SUMIFS(Trato_Diario!$G$4:$G$300,Trato_Diario!$B$4:$B$300,7,Trato_Diario!$A$4:$A$300,$A111)=0),"",SUMIFS(Trato_Diario!$J$4:$J$300,Trato_Diario!$B$4:$B$300,7,Trato_Diario!$A$4:$A$300,$A111)/SUMIFS(Trato_Diario!$G$4:$G$300,Trato_Diario!$B$4:$B$300,7,Trato_Diario!$A$4:$A$300,$A111))</f>
        <v/>
      </c>
      <c r="I111" s="26" t="str">
        <f>IF(OR($A111&gt;MAX(Trato_Diario!$A$4:$A$300),SUMIFS(Trato_Diario!$G$4:$G$300,Trato_Diario!$B$4:$B$300,8,Trato_Diario!$A$4:$A$300,$A111)=0),"",SUMIFS(Trato_Diario!$J$4:$J$300,Trato_Diario!$B$4:$B$300,8,Trato_Diario!$A$4:$A$300,$A111)/SUMIFS(Trato_Diario!$G$4:$G$300,Trato_Diario!$B$4:$B$300,8,Trato_Diario!$A$4:$A$300,$A111))</f>
        <v/>
      </c>
      <c r="J111" s="26" t="str">
        <f>IF(OR($A111&gt;MAX(Trato_Diario!$A$4:$A$300),SUMIFS(Trato_Diario!$G$4:$G$300,Trato_Diario!$B$4:$B$300,9,Trato_Diario!$A$4:$A$300,$A111)=0),"",SUMIFS(Trato_Diario!$J$4:$J$300,Trato_Diario!$B$4:$B$300,9,Trato_Diario!$A$4:$A$300,$A111)/SUMIFS(Trato_Diario!$G$4:$G$300,Trato_Diario!$B$4:$B$300,9,Trato_Diario!$A$4:$A$300,$A111))</f>
        <v/>
      </c>
      <c r="K111" s="26" t="str">
        <f>IF(OR($A111&gt;MAX(Trato_Diario!$A$4:$A$300),SUMIFS(Trato_Diario!$G$4:$G$300,Trato_Diario!$B$4:$B$300,10,Trato_Diario!$A$4:$A$300,$A111)=0),"",SUMIFS(Trato_Diario!$J$4:$J$300,Trato_Diario!$B$4:$B$300,10,Trato_Diario!$A$4:$A$300,$A111)/SUMIFS(Trato_Diario!$G$4:$G$300,Trato_Diario!$B$4:$B$300,10,Trato_Diario!$A$4:$A$300,$A111))</f>
        <v/>
      </c>
      <c r="L111" s="74" t="str">
        <f>IF(OR($A111&gt;MAX(Trato_Diario!$A$4:$A$300),SUMIFS(Trato_Diario!$G$4:$G$300,Trato_Diario!$A$4:$A$300,$A111)=0),"",SUMIFS(Trato_Diario!$J$4:$J$300,Trato_Diario!$A$4:$A$300,$A111)/SUMIFS(Trato_Diario!$G$4:$G$300,Trato_Diario!$A$4:$A$300,$A111))</f>
        <v/>
      </c>
    </row>
    <row r="112" spans="1:12" ht="14.25" customHeight="1" x14ac:dyDescent="0.3">
      <c r="A112" s="86">
        <v>46321</v>
      </c>
      <c r="B112" s="28" t="str">
        <f>IF(OR($A112&gt;MAX(Trato_Diario!$A$4:$A$300),SUMIFS(Trato_Diario!$G$4:$G$300,Trato_Diario!$B$4:$B$300,1,Trato_Diario!$A$4:$A$300,$A112)=0),"",SUMIFS(Trato_Diario!$J$4:$J$300,Trato_Diario!$B$4:$B$300,1,Trato_Diario!$A$4:$A$300,$A112)/SUMIFS(Trato_Diario!$G$4:$G$300,Trato_Diario!$B$4:$B$300,1,Trato_Diario!$A$4:$A$300,$A112))</f>
        <v/>
      </c>
      <c r="C112" s="28" t="str">
        <f>IF(OR($A112&gt;MAX(Trato_Diario!$A$4:$A$300),SUMIFS(Trato_Diario!$G$4:$G$300,Trato_Diario!$B$4:$B$300,2,Trato_Diario!$A$4:$A$300,$A112)=0),"",SUMIFS(Trato_Diario!$J$4:$J$300,Trato_Diario!$B$4:$B$300,2,Trato_Diario!$A$4:$A$300,$A112)/SUMIFS(Trato_Diario!$G$4:$G$300,Trato_Diario!$B$4:$B$300,2,Trato_Diario!$A$4:$A$300,$A112))</f>
        <v/>
      </c>
      <c r="D112" s="28" t="str">
        <f>IF(OR($A112&gt;MAX(Trato_Diario!$A$4:$A$300),SUMIFS(Trato_Diario!$G$4:$G$300,Trato_Diario!$B$4:$B$300,3,Trato_Diario!$A$4:$A$300,$A112)=0),"",SUMIFS(Trato_Diario!$J$4:$J$300,Trato_Diario!$B$4:$B$300,3,Trato_Diario!$A$4:$A$300,$A112)/SUMIFS(Trato_Diario!$G$4:$G$300,Trato_Diario!$B$4:$B$300,3,Trato_Diario!$A$4:$A$300,$A112))</f>
        <v/>
      </c>
      <c r="E112" s="28" t="str">
        <f>IF(OR($A112&gt;MAX(Trato_Diario!$A$4:$A$300),SUMIFS(Trato_Diario!$G$4:$G$300,Trato_Diario!$B$4:$B$300,4,Trato_Diario!$A$4:$A$300,$A112)=0),"",SUMIFS(Trato_Diario!$J$4:$J$300,Trato_Diario!$B$4:$B$300,4,Trato_Diario!$A$4:$A$300,$A112)/SUMIFS(Trato_Diario!$G$4:$G$300,Trato_Diario!$B$4:$B$300,4,Trato_Diario!$A$4:$A$300,$A112))</f>
        <v/>
      </c>
      <c r="F112" s="28" t="str">
        <f>IF(OR($A112&gt;MAX(Trato_Diario!$A$4:$A$300),SUMIFS(Trato_Diario!$G$4:$G$300,Trato_Diario!$B$4:$B$300,5,Trato_Diario!$A$4:$A$300,$A112)=0),"",SUMIFS(Trato_Diario!$J$4:$J$300,Trato_Diario!$B$4:$B$300,5,Trato_Diario!$A$4:$A$300,$A112)/SUMIFS(Trato_Diario!$G$4:$G$300,Trato_Diario!$B$4:$B$300,5,Trato_Diario!$A$4:$A$300,$A112))</f>
        <v/>
      </c>
      <c r="G112" s="28" t="str">
        <f>IF(OR($A112&gt;MAX(Trato_Diario!$A$4:$A$300),SUMIFS(Trato_Diario!$G$4:$G$300,Trato_Diario!$B$4:$B$300,6,Trato_Diario!$A$4:$A$300,$A112)=0),"",SUMIFS(Trato_Diario!$J$4:$J$300,Trato_Diario!$B$4:$B$300,6,Trato_Diario!$A$4:$A$300,$A112)/SUMIFS(Trato_Diario!$G$4:$G$300,Trato_Diario!$B$4:$B$300,6,Trato_Diario!$A$4:$A$300,$A112))</f>
        <v/>
      </c>
      <c r="H112" s="28" t="str">
        <f>IF(OR($A112&gt;MAX(Trato_Diario!$A$4:$A$300),SUMIFS(Trato_Diario!$G$4:$G$300,Trato_Diario!$B$4:$B$300,7,Trato_Diario!$A$4:$A$300,$A112)=0),"",SUMIFS(Trato_Diario!$J$4:$J$300,Trato_Diario!$B$4:$B$300,7,Trato_Diario!$A$4:$A$300,$A112)/SUMIFS(Trato_Diario!$G$4:$G$300,Trato_Diario!$B$4:$B$300,7,Trato_Diario!$A$4:$A$300,$A112))</f>
        <v/>
      </c>
      <c r="I112" s="28" t="str">
        <f>IF(OR($A112&gt;MAX(Trato_Diario!$A$4:$A$300),SUMIFS(Trato_Diario!$G$4:$G$300,Trato_Diario!$B$4:$B$300,8,Trato_Diario!$A$4:$A$300,$A112)=0),"",SUMIFS(Trato_Diario!$J$4:$J$300,Trato_Diario!$B$4:$B$300,8,Trato_Diario!$A$4:$A$300,$A112)/SUMIFS(Trato_Diario!$G$4:$G$300,Trato_Diario!$B$4:$B$300,8,Trato_Diario!$A$4:$A$300,$A112))</f>
        <v/>
      </c>
      <c r="J112" s="28" t="str">
        <f>IF(OR($A112&gt;MAX(Trato_Diario!$A$4:$A$300),SUMIFS(Trato_Diario!$G$4:$G$300,Trato_Diario!$B$4:$B$300,9,Trato_Diario!$A$4:$A$300,$A112)=0),"",SUMIFS(Trato_Diario!$J$4:$J$300,Trato_Diario!$B$4:$B$300,9,Trato_Diario!$A$4:$A$300,$A112)/SUMIFS(Trato_Diario!$G$4:$G$300,Trato_Diario!$B$4:$B$300,9,Trato_Diario!$A$4:$A$300,$A112))</f>
        <v/>
      </c>
      <c r="K112" s="28" t="str">
        <f>IF(OR($A112&gt;MAX(Trato_Diario!$A$4:$A$300),SUMIFS(Trato_Diario!$G$4:$G$300,Trato_Diario!$B$4:$B$300,10,Trato_Diario!$A$4:$A$300,$A112)=0),"",SUMIFS(Trato_Diario!$J$4:$J$300,Trato_Diario!$B$4:$B$300,10,Trato_Diario!$A$4:$A$300,$A112)/SUMIFS(Trato_Diario!$G$4:$G$300,Trato_Diario!$B$4:$B$300,10,Trato_Diario!$A$4:$A$300,$A112))</f>
        <v/>
      </c>
      <c r="L112" s="76" t="str">
        <f>IF(OR($A112&gt;MAX(Trato_Diario!$A$4:$A$300),SUMIFS(Trato_Diario!$G$4:$G$300,Trato_Diario!$A$4:$A$300,$A112)=0),"",SUMIFS(Trato_Diario!$J$4:$J$300,Trato_Diario!$A$4:$A$300,$A112)/SUMIFS(Trato_Diario!$G$4:$G$300,Trato_Diario!$A$4:$A$300,$A112))</f>
        <v/>
      </c>
    </row>
    <row r="113" spans="1:12" ht="14.25" customHeight="1" x14ac:dyDescent="0.3">
      <c r="A113" s="85">
        <v>46322</v>
      </c>
      <c r="B113" s="26" t="str">
        <f>IF(OR($A113&gt;MAX(Trato_Diario!$A$4:$A$300),SUMIFS(Trato_Diario!$G$4:$G$300,Trato_Diario!$B$4:$B$300,1,Trato_Diario!$A$4:$A$300,$A113)=0),"",SUMIFS(Trato_Diario!$J$4:$J$300,Trato_Diario!$B$4:$B$300,1,Trato_Diario!$A$4:$A$300,$A113)/SUMIFS(Trato_Diario!$G$4:$G$300,Trato_Diario!$B$4:$B$300,1,Trato_Diario!$A$4:$A$300,$A113))</f>
        <v/>
      </c>
      <c r="C113" s="26" t="str">
        <f>IF(OR($A113&gt;MAX(Trato_Diario!$A$4:$A$300),SUMIFS(Trato_Diario!$G$4:$G$300,Trato_Diario!$B$4:$B$300,2,Trato_Diario!$A$4:$A$300,$A113)=0),"",SUMIFS(Trato_Diario!$J$4:$J$300,Trato_Diario!$B$4:$B$300,2,Trato_Diario!$A$4:$A$300,$A113)/SUMIFS(Trato_Diario!$G$4:$G$300,Trato_Diario!$B$4:$B$300,2,Trato_Diario!$A$4:$A$300,$A113))</f>
        <v/>
      </c>
      <c r="D113" s="26" t="str">
        <f>IF(OR($A113&gt;MAX(Trato_Diario!$A$4:$A$300),SUMIFS(Trato_Diario!$G$4:$G$300,Trato_Diario!$B$4:$B$300,3,Trato_Diario!$A$4:$A$300,$A113)=0),"",SUMIFS(Trato_Diario!$J$4:$J$300,Trato_Diario!$B$4:$B$300,3,Trato_Diario!$A$4:$A$300,$A113)/SUMIFS(Trato_Diario!$G$4:$G$300,Trato_Diario!$B$4:$B$300,3,Trato_Diario!$A$4:$A$300,$A113))</f>
        <v/>
      </c>
      <c r="E113" s="26" t="str">
        <f>IF(OR($A113&gt;MAX(Trato_Diario!$A$4:$A$300),SUMIFS(Trato_Diario!$G$4:$G$300,Trato_Diario!$B$4:$B$300,4,Trato_Diario!$A$4:$A$300,$A113)=0),"",SUMIFS(Trato_Diario!$J$4:$J$300,Trato_Diario!$B$4:$B$300,4,Trato_Diario!$A$4:$A$300,$A113)/SUMIFS(Trato_Diario!$G$4:$G$300,Trato_Diario!$B$4:$B$300,4,Trato_Diario!$A$4:$A$300,$A113))</f>
        <v/>
      </c>
      <c r="F113" s="26" t="str">
        <f>IF(OR($A113&gt;MAX(Trato_Diario!$A$4:$A$300),SUMIFS(Trato_Diario!$G$4:$G$300,Trato_Diario!$B$4:$B$300,5,Trato_Diario!$A$4:$A$300,$A113)=0),"",SUMIFS(Trato_Diario!$J$4:$J$300,Trato_Diario!$B$4:$B$300,5,Trato_Diario!$A$4:$A$300,$A113)/SUMIFS(Trato_Diario!$G$4:$G$300,Trato_Diario!$B$4:$B$300,5,Trato_Diario!$A$4:$A$300,$A113))</f>
        <v/>
      </c>
      <c r="G113" s="26" t="str">
        <f>IF(OR($A113&gt;MAX(Trato_Diario!$A$4:$A$300),SUMIFS(Trato_Diario!$G$4:$G$300,Trato_Diario!$B$4:$B$300,6,Trato_Diario!$A$4:$A$300,$A113)=0),"",SUMIFS(Trato_Diario!$J$4:$J$300,Trato_Diario!$B$4:$B$300,6,Trato_Diario!$A$4:$A$300,$A113)/SUMIFS(Trato_Diario!$G$4:$G$300,Trato_Diario!$B$4:$B$300,6,Trato_Diario!$A$4:$A$300,$A113))</f>
        <v/>
      </c>
      <c r="H113" s="26" t="str">
        <f>IF(OR($A113&gt;MAX(Trato_Diario!$A$4:$A$300),SUMIFS(Trato_Diario!$G$4:$G$300,Trato_Diario!$B$4:$B$300,7,Trato_Diario!$A$4:$A$300,$A113)=0),"",SUMIFS(Trato_Diario!$J$4:$J$300,Trato_Diario!$B$4:$B$300,7,Trato_Diario!$A$4:$A$300,$A113)/SUMIFS(Trato_Diario!$G$4:$G$300,Trato_Diario!$B$4:$B$300,7,Trato_Diario!$A$4:$A$300,$A113))</f>
        <v/>
      </c>
      <c r="I113" s="26" t="str">
        <f>IF(OR($A113&gt;MAX(Trato_Diario!$A$4:$A$300),SUMIFS(Trato_Diario!$G$4:$G$300,Trato_Diario!$B$4:$B$300,8,Trato_Diario!$A$4:$A$300,$A113)=0),"",SUMIFS(Trato_Diario!$J$4:$J$300,Trato_Diario!$B$4:$B$300,8,Trato_Diario!$A$4:$A$300,$A113)/SUMIFS(Trato_Diario!$G$4:$G$300,Trato_Diario!$B$4:$B$300,8,Trato_Diario!$A$4:$A$300,$A113))</f>
        <v/>
      </c>
      <c r="J113" s="26" t="str">
        <f>IF(OR($A113&gt;MAX(Trato_Diario!$A$4:$A$300),SUMIFS(Trato_Diario!$G$4:$G$300,Trato_Diario!$B$4:$B$300,9,Trato_Diario!$A$4:$A$300,$A113)=0),"",SUMIFS(Trato_Diario!$J$4:$J$300,Trato_Diario!$B$4:$B$300,9,Trato_Diario!$A$4:$A$300,$A113)/SUMIFS(Trato_Diario!$G$4:$G$300,Trato_Diario!$B$4:$B$300,9,Trato_Diario!$A$4:$A$300,$A113))</f>
        <v/>
      </c>
      <c r="K113" s="26" t="str">
        <f>IF(OR($A113&gt;MAX(Trato_Diario!$A$4:$A$300),SUMIFS(Trato_Diario!$G$4:$G$300,Trato_Diario!$B$4:$B$300,10,Trato_Diario!$A$4:$A$300,$A113)=0),"",SUMIFS(Trato_Diario!$J$4:$J$300,Trato_Diario!$B$4:$B$300,10,Trato_Diario!$A$4:$A$300,$A113)/SUMIFS(Trato_Diario!$G$4:$G$300,Trato_Diario!$B$4:$B$300,10,Trato_Diario!$A$4:$A$300,$A113))</f>
        <v/>
      </c>
      <c r="L113" s="74" t="str">
        <f>IF(OR($A113&gt;MAX(Trato_Diario!$A$4:$A$300),SUMIFS(Trato_Diario!$G$4:$G$300,Trato_Diario!$A$4:$A$300,$A113)=0),"",SUMIFS(Trato_Diario!$J$4:$J$300,Trato_Diario!$A$4:$A$300,$A113)/SUMIFS(Trato_Diario!$G$4:$G$300,Trato_Diario!$A$4:$A$300,$A113))</f>
        <v/>
      </c>
    </row>
    <row r="114" spans="1:12" ht="14.25" customHeight="1" x14ac:dyDescent="0.3">
      <c r="A114" s="86">
        <v>46323</v>
      </c>
      <c r="B114" s="28" t="str">
        <f>IF(OR($A114&gt;MAX(Trato_Diario!$A$4:$A$300),SUMIFS(Trato_Diario!$G$4:$G$300,Trato_Diario!$B$4:$B$300,1,Trato_Diario!$A$4:$A$300,$A114)=0),"",SUMIFS(Trato_Diario!$J$4:$J$300,Trato_Diario!$B$4:$B$300,1,Trato_Diario!$A$4:$A$300,$A114)/SUMIFS(Trato_Diario!$G$4:$G$300,Trato_Diario!$B$4:$B$300,1,Trato_Diario!$A$4:$A$300,$A114))</f>
        <v/>
      </c>
      <c r="C114" s="28" t="str">
        <f>IF(OR($A114&gt;MAX(Trato_Diario!$A$4:$A$300),SUMIFS(Trato_Diario!$G$4:$G$300,Trato_Diario!$B$4:$B$300,2,Trato_Diario!$A$4:$A$300,$A114)=0),"",SUMIFS(Trato_Diario!$J$4:$J$300,Trato_Diario!$B$4:$B$300,2,Trato_Diario!$A$4:$A$300,$A114)/SUMIFS(Trato_Diario!$G$4:$G$300,Trato_Diario!$B$4:$B$300,2,Trato_Diario!$A$4:$A$300,$A114))</f>
        <v/>
      </c>
      <c r="D114" s="28" t="str">
        <f>IF(OR($A114&gt;MAX(Trato_Diario!$A$4:$A$300),SUMIFS(Trato_Diario!$G$4:$G$300,Trato_Diario!$B$4:$B$300,3,Trato_Diario!$A$4:$A$300,$A114)=0),"",SUMIFS(Trato_Diario!$J$4:$J$300,Trato_Diario!$B$4:$B$300,3,Trato_Diario!$A$4:$A$300,$A114)/SUMIFS(Trato_Diario!$G$4:$G$300,Trato_Diario!$B$4:$B$300,3,Trato_Diario!$A$4:$A$300,$A114))</f>
        <v/>
      </c>
      <c r="E114" s="28" t="str">
        <f>IF(OR($A114&gt;MAX(Trato_Diario!$A$4:$A$300),SUMIFS(Trato_Diario!$G$4:$G$300,Trato_Diario!$B$4:$B$300,4,Trato_Diario!$A$4:$A$300,$A114)=0),"",SUMIFS(Trato_Diario!$J$4:$J$300,Trato_Diario!$B$4:$B$300,4,Trato_Diario!$A$4:$A$300,$A114)/SUMIFS(Trato_Diario!$G$4:$G$300,Trato_Diario!$B$4:$B$300,4,Trato_Diario!$A$4:$A$300,$A114))</f>
        <v/>
      </c>
      <c r="F114" s="28" t="str">
        <f>IF(OR($A114&gt;MAX(Trato_Diario!$A$4:$A$300),SUMIFS(Trato_Diario!$G$4:$G$300,Trato_Diario!$B$4:$B$300,5,Trato_Diario!$A$4:$A$300,$A114)=0),"",SUMIFS(Trato_Diario!$J$4:$J$300,Trato_Diario!$B$4:$B$300,5,Trato_Diario!$A$4:$A$300,$A114)/SUMIFS(Trato_Diario!$G$4:$G$300,Trato_Diario!$B$4:$B$300,5,Trato_Diario!$A$4:$A$300,$A114))</f>
        <v/>
      </c>
      <c r="G114" s="28" t="str">
        <f>IF(OR($A114&gt;MAX(Trato_Diario!$A$4:$A$300),SUMIFS(Trato_Diario!$G$4:$G$300,Trato_Diario!$B$4:$B$300,6,Trato_Diario!$A$4:$A$300,$A114)=0),"",SUMIFS(Trato_Diario!$J$4:$J$300,Trato_Diario!$B$4:$B$300,6,Trato_Diario!$A$4:$A$300,$A114)/SUMIFS(Trato_Diario!$G$4:$G$300,Trato_Diario!$B$4:$B$300,6,Trato_Diario!$A$4:$A$300,$A114))</f>
        <v/>
      </c>
      <c r="H114" s="28" t="str">
        <f>IF(OR($A114&gt;MAX(Trato_Diario!$A$4:$A$300),SUMIFS(Trato_Diario!$G$4:$G$300,Trato_Diario!$B$4:$B$300,7,Trato_Diario!$A$4:$A$300,$A114)=0),"",SUMIFS(Trato_Diario!$J$4:$J$300,Trato_Diario!$B$4:$B$300,7,Trato_Diario!$A$4:$A$300,$A114)/SUMIFS(Trato_Diario!$G$4:$G$300,Trato_Diario!$B$4:$B$300,7,Trato_Diario!$A$4:$A$300,$A114))</f>
        <v/>
      </c>
      <c r="I114" s="28" t="str">
        <f>IF(OR($A114&gt;MAX(Trato_Diario!$A$4:$A$300),SUMIFS(Trato_Diario!$G$4:$G$300,Trato_Diario!$B$4:$B$300,8,Trato_Diario!$A$4:$A$300,$A114)=0),"",SUMIFS(Trato_Diario!$J$4:$J$300,Trato_Diario!$B$4:$B$300,8,Trato_Diario!$A$4:$A$300,$A114)/SUMIFS(Trato_Diario!$G$4:$G$300,Trato_Diario!$B$4:$B$300,8,Trato_Diario!$A$4:$A$300,$A114))</f>
        <v/>
      </c>
      <c r="J114" s="28" t="str">
        <f>IF(OR($A114&gt;MAX(Trato_Diario!$A$4:$A$300),SUMIFS(Trato_Diario!$G$4:$G$300,Trato_Diario!$B$4:$B$300,9,Trato_Diario!$A$4:$A$300,$A114)=0),"",SUMIFS(Trato_Diario!$J$4:$J$300,Trato_Diario!$B$4:$B$300,9,Trato_Diario!$A$4:$A$300,$A114)/SUMIFS(Trato_Diario!$G$4:$G$300,Trato_Diario!$B$4:$B$300,9,Trato_Diario!$A$4:$A$300,$A114))</f>
        <v/>
      </c>
      <c r="K114" s="28" t="str">
        <f>IF(OR($A114&gt;MAX(Trato_Diario!$A$4:$A$300),SUMIFS(Trato_Diario!$G$4:$G$300,Trato_Diario!$B$4:$B$300,10,Trato_Diario!$A$4:$A$300,$A114)=0),"",SUMIFS(Trato_Diario!$J$4:$J$300,Trato_Diario!$B$4:$B$300,10,Trato_Diario!$A$4:$A$300,$A114)/SUMIFS(Trato_Diario!$G$4:$G$300,Trato_Diario!$B$4:$B$300,10,Trato_Diario!$A$4:$A$300,$A114))</f>
        <v/>
      </c>
      <c r="L114" s="76" t="str">
        <f>IF(OR($A114&gt;MAX(Trato_Diario!$A$4:$A$300),SUMIFS(Trato_Diario!$G$4:$G$300,Trato_Diario!$A$4:$A$300,$A114)=0),"",SUMIFS(Trato_Diario!$J$4:$J$300,Trato_Diario!$A$4:$A$300,$A114)/SUMIFS(Trato_Diario!$G$4:$G$300,Trato_Diario!$A$4:$A$300,$A114))</f>
        <v/>
      </c>
    </row>
    <row r="115" spans="1:12" ht="14.25" customHeight="1" x14ac:dyDescent="0.3">
      <c r="A115" s="85">
        <v>46324</v>
      </c>
      <c r="B115" s="26" t="str">
        <f>IF(OR($A115&gt;MAX(Trato_Diario!$A$4:$A$300),SUMIFS(Trato_Diario!$G$4:$G$300,Trato_Diario!$B$4:$B$300,1,Trato_Diario!$A$4:$A$300,$A115)=0),"",SUMIFS(Trato_Diario!$J$4:$J$300,Trato_Diario!$B$4:$B$300,1,Trato_Diario!$A$4:$A$300,$A115)/SUMIFS(Trato_Diario!$G$4:$G$300,Trato_Diario!$B$4:$B$300,1,Trato_Diario!$A$4:$A$300,$A115))</f>
        <v/>
      </c>
      <c r="C115" s="26" t="str">
        <f>IF(OR($A115&gt;MAX(Trato_Diario!$A$4:$A$300),SUMIFS(Trato_Diario!$G$4:$G$300,Trato_Diario!$B$4:$B$300,2,Trato_Diario!$A$4:$A$300,$A115)=0),"",SUMIFS(Trato_Diario!$J$4:$J$300,Trato_Diario!$B$4:$B$300,2,Trato_Diario!$A$4:$A$300,$A115)/SUMIFS(Trato_Diario!$G$4:$G$300,Trato_Diario!$B$4:$B$300,2,Trato_Diario!$A$4:$A$300,$A115))</f>
        <v/>
      </c>
      <c r="D115" s="26" t="str">
        <f>IF(OR($A115&gt;MAX(Trato_Diario!$A$4:$A$300),SUMIFS(Trato_Diario!$G$4:$G$300,Trato_Diario!$B$4:$B$300,3,Trato_Diario!$A$4:$A$300,$A115)=0),"",SUMIFS(Trato_Diario!$J$4:$J$300,Trato_Diario!$B$4:$B$300,3,Trato_Diario!$A$4:$A$300,$A115)/SUMIFS(Trato_Diario!$G$4:$G$300,Trato_Diario!$B$4:$B$300,3,Trato_Diario!$A$4:$A$300,$A115))</f>
        <v/>
      </c>
      <c r="E115" s="26" t="str">
        <f>IF(OR($A115&gt;MAX(Trato_Diario!$A$4:$A$300),SUMIFS(Trato_Diario!$G$4:$G$300,Trato_Diario!$B$4:$B$300,4,Trato_Diario!$A$4:$A$300,$A115)=0),"",SUMIFS(Trato_Diario!$J$4:$J$300,Trato_Diario!$B$4:$B$300,4,Trato_Diario!$A$4:$A$300,$A115)/SUMIFS(Trato_Diario!$G$4:$G$300,Trato_Diario!$B$4:$B$300,4,Trato_Diario!$A$4:$A$300,$A115))</f>
        <v/>
      </c>
      <c r="F115" s="26" t="str">
        <f>IF(OR($A115&gt;MAX(Trato_Diario!$A$4:$A$300),SUMIFS(Trato_Diario!$G$4:$G$300,Trato_Diario!$B$4:$B$300,5,Trato_Diario!$A$4:$A$300,$A115)=0),"",SUMIFS(Trato_Diario!$J$4:$J$300,Trato_Diario!$B$4:$B$300,5,Trato_Diario!$A$4:$A$300,$A115)/SUMIFS(Trato_Diario!$G$4:$G$300,Trato_Diario!$B$4:$B$300,5,Trato_Diario!$A$4:$A$300,$A115))</f>
        <v/>
      </c>
      <c r="G115" s="26" t="str">
        <f>IF(OR($A115&gt;MAX(Trato_Diario!$A$4:$A$300),SUMIFS(Trato_Diario!$G$4:$G$300,Trato_Diario!$B$4:$B$300,6,Trato_Diario!$A$4:$A$300,$A115)=0),"",SUMIFS(Trato_Diario!$J$4:$J$300,Trato_Diario!$B$4:$B$300,6,Trato_Diario!$A$4:$A$300,$A115)/SUMIFS(Trato_Diario!$G$4:$G$300,Trato_Diario!$B$4:$B$300,6,Trato_Diario!$A$4:$A$300,$A115))</f>
        <v/>
      </c>
      <c r="H115" s="26" t="str">
        <f>IF(OR($A115&gt;MAX(Trato_Diario!$A$4:$A$300),SUMIFS(Trato_Diario!$G$4:$G$300,Trato_Diario!$B$4:$B$300,7,Trato_Diario!$A$4:$A$300,$A115)=0),"",SUMIFS(Trato_Diario!$J$4:$J$300,Trato_Diario!$B$4:$B$300,7,Trato_Diario!$A$4:$A$300,$A115)/SUMIFS(Trato_Diario!$G$4:$G$300,Trato_Diario!$B$4:$B$300,7,Trato_Diario!$A$4:$A$300,$A115))</f>
        <v/>
      </c>
      <c r="I115" s="26" t="str">
        <f>IF(OR($A115&gt;MAX(Trato_Diario!$A$4:$A$300),SUMIFS(Trato_Diario!$G$4:$G$300,Trato_Diario!$B$4:$B$300,8,Trato_Diario!$A$4:$A$300,$A115)=0),"",SUMIFS(Trato_Diario!$J$4:$J$300,Trato_Diario!$B$4:$B$300,8,Trato_Diario!$A$4:$A$300,$A115)/SUMIFS(Trato_Diario!$G$4:$G$300,Trato_Diario!$B$4:$B$300,8,Trato_Diario!$A$4:$A$300,$A115))</f>
        <v/>
      </c>
      <c r="J115" s="26" t="str">
        <f>IF(OR($A115&gt;MAX(Trato_Diario!$A$4:$A$300),SUMIFS(Trato_Diario!$G$4:$G$300,Trato_Diario!$B$4:$B$300,9,Trato_Diario!$A$4:$A$300,$A115)=0),"",SUMIFS(Trato_Diario!$J$4:$J$300,Trato_Diario!$B$4:$B$300,9,Trato_Diario!$A$4:$A$300,$A115)/SUMIFS(Trato_Diario!$G$4:$G$300,Trato_Diario!$B$4:$B$300,9,Trato_Diario!$A$4:$A$300,$A115))</f>
        <v/>
      </c>
      <c r="K115" s="26" t="str">
        <f>IF(OR($A115&gt;MAX(Trato_Diario!$A$4:$A$300),SUMIFS(Trato_Diario!$G$4:$G$300,Trato_Diario!$B$4:$B$300,10,Trato_Diario!$A$4:$A$300,$A115)=0),"",SUMIFS(Trato_Diario!$J$4:$J$300,Trato_Diario!$B$4:$B$300,10,Trato_Diario!$A$4:$A$300,$A115)/SUMIFS(Trato_Diario!$G$4:$G$300,Trato_Diario!$B$4:$B$300,10,Trato_Diario!$A$4:$A$300,$A115))</f>
        <v/>
      </c>
      <c r="L115" s="74" t="str">
        <f>IF(OR($A115&gt;MAX(Trato_Diario!$A$4:$A$300),SUMIFS(Trato_Diario!$G$4:$G$300,Trato_Diario!$A$4:$A$300,$A115)=0),"",SUMIFS(Trato_Diario!$J$4:$J$300,Trato_Diario!$A$4:$A$300,$A115)/SUMIFS(Trato_Diario!$G$4:$G$300,Trato_Diario!$A$4:$A$300,$A115))</f>
        <v/>
      </c>
    </row>
    <row r="116" spans="1:12" ht="14.25" customHeight="1" x14ac:dyDescent="0.3">
      <c r="A116" s="86">
        <v>46325</v>
      </c>
      <c r="B116" s="28" t="str">
        <f>IF(OR($A116&gt;MAX(Trato_Diario!$A$4:$A$300),SUMIFS(Trato_Diario!$G$4:$G$300,Trato_Diario!$B$4:$B$300,1,Trato_Diario!$A$4:$A$300,$A116)=0),"",SUMIFS(Trato_Diario!$J$4:$J$300,Trato_Diario!$B$4:$B$300,1,Trato_Diario!$A$4:$A$300,$A116)/SUMIFS(Trato_Diario!$G$4:$G$300,Trato_Diario!$B$4:$B$300,1,Trato_Diario!$A$4:$A$300,$A116))</f>
        <v/>
      </c>
      <c r="C116" s="28" t="str">
        <f>IF(OR($A116&gt;MAX(Trato_Diario!$A$4:$A$300),SUMIFS(Trato_Diario!$G$4:$G$300,Trato_Diario!$B$4:$B$300,2,Trato_Diario!$A$4:$A$300,$A116)=0),"",SUMIFS(Trato_Diario!$J$4:$J$300,Trato_Diario!$B$4:$B$300,2,Trato_Diario!$A$4:$A$300,$A116)/SUMIFS(Trato_Diario!$G$4:$G$300,Trato_Diario!$B$4:$B$300,2,Trato_Diario!$A$4:$A$300,$A116))</f>
        <v/>
      </c>
      <c r="D116" s="28" t="str">
        <f>IF(OR($A116&gt;MAX(Trato_Diario!$A$4:$A$300),SUMIFS(Trato_Diario!$G$4:$G$300,Trato_Diario!$B$4:$B$300,3,Trato_Diario!$A$4:$A$300,$A116)=0),"",SUMIFS(Trato_Diario!$J$4:$J$300,Trato_Diario!$B$4:$B$300,3,Trato_Diario!$A$4:$A$300,$A116)/SUMIFS(Trato_Diario!$G$4:$G$300,Trato_Diario!$B$4:$B$300,3,Trato_Diario!$A$4:$A$300,$A116))</f>
        <v/>
      </c>
      <c r="E116" s="28" t="str">
        <f>IF(OR($A116&gt;MAX(Trato_Diario!$A$4:$A$300),SUMIFS(Trato_Diario!$G$4:$G$300,Trato_Diario!$B$4:$B$300,4,Trato_Diario!$A$4:$A$300,$A116)=0),"",SUMIFS(Trato_Diario!$J$4:$J$300,Trato_Diario!$B$4:$B$300,4,Trato_Diario!$A$4:$A$300,$A116)/SUMIFS(Trato_Diario!$G$4:$G$300,Trato_Diario!$B$4:$B$300,4,Trato_Diario!$A$4:$A$300,$A116))</f>
        <v/>
      </c>
      <c r="F116" s="28" t="str">
        <f>IF(OR($A116&gt;MAX(Trato_Diario!$A$4:$A$300),SUMIFS(Trato_Diario!$G$4:$G$300,Trato_Diario!$B$4:$B$300,5,Trato_Diario!$A$4:$A$300,$A116)=0),"",SUMIFS(Trato_Diario!$J$4:$J$300,Trato_Diario!$B$4:$B$300,5,Trato_Diario!$A$4:$A$300,$A116)/SUMIFS(Trato_Diario!$G$4:$G$300,Trato_Diario!$B$4:$B$300,5,Trato_Diario!$A$4:$A$300,$A116))</f>
        <v/>
      </c>
      <c r="G116" s="28" t="str">
        <f>IF(OR($A116&gt;MAX(Trato_Diario!$A$4:$A$300),SUMIFS(Trato_Diario!$G$4:$G$300,Trato_Diario!$B$4:$B$300,6,Trato_Diario!$A$4:$A$300,$A116)=0),"",SUMIFS(Trato_Diario!$J$4:$J$300,Trato_Diario!$B$4:$B$300,6,Trato_Diario!$A$4:$A$300,$A116)/SUMIFS(Trato_Diario!$G$4:$G$300,Trato_Diario!$B$4:$B$300,6,Trato_Diario!$A$4:$A$300,$A116))</f>
        <v/>
      </c>
      <c r="H116" s="28" t="str">
        <f>IF(OR($A116&gt;MAX(Trato_Diario!$A$4:$A$300),SUMIFS(Trato_Diario!$G$4:$G$300,Trato_Diario!$B$4:$B$300,7,Trato_Diario!$A$4:$A$300,$A116)=0),"",SUMIFS(Trato_Diario!$J$4:$J$300,Trato_Diario!$B$4:$B$300,7,Trato_Diario!$A$4:$A$300,$A116)/SUMIFS(Trato_Diario!$G$4:$G$300,Trato_Diario!$B$4:$B$300,7,Trato_Diario!$A$4:$A$300,$A116))</f>
        <v/>
      </c>
      <c r="I116" s="28" t="str">
        <f>IF(OR($A116&gt;MAX(Trato_Diario!$A$4:$A$300),SUMIFS(Trato_Diario!$G$4:$G$300,Trato_Diario!$B$4:$B$300,8,Trato_Diario!$A$4:$A$300,$A116)=0),"",SUMIFS(Trato_Diario!$J$4:$J$300,Trato_Diario!$B$4:$B$300,8,Trato_Diario!$A$4:$A$300,$A116)/SUMIFS(Trato_Diario!$G$4:$G$300,Trato_Diario!$B$4:$B$300,8,Trato_Diario!$A$4:$A$300,$A116))</f>
        <v/>
      </c>
      <c r="J116" s="28" t="str">
        <f>IF(OR($A116&gt;MAX(Trato_Diario!$A$4:$A$300),SUMIFS(Trato_Diario!$G$4:$G$300,Trato_Diario!$B$4:$B$300,9,Trato_Diario!$A$4:$A$300,$A116)=0),"",SUMIFS(Trato_Diario!$J$4:$J$300,Trato_Diario!$B$4:$B$300,9,Trato_Diario!$A$4:$A$300,$A116)/SUMIFS(Trato_Diario!$G$4:$G$300,Trato_Diario!$B$4:$B$300,9,Trato_Diario!$A$4:$A$300,$A116))</f>
        <v/>
      </c>
      <c r="K116" s="28" t="str">
        <f>IF(OR($A116&gt;MAX(Trato_Diario!$A$4:$A$300),SUMIFS(Trato_Diario!$G$4:$G$300,Trato_Diario!$B$4:$B$300,10,Trato_Diario!$A$4:$A$300,$A116)=0),"",SUMIFS(Trato_Diario!$J$4:$J$300,Trato_Diario!$B$4:$B$300,10,Trato_Diario!$A$4:$A$300,$A116)/SUMIFS(Trato_Diario!$G$4:$G$300,Trato_Diario!$B$4:$B$300,10,Trato_Diario!$A$4:$A$300,$A116))</f>
        <v/>
      </c>
      <c r="L116" s="76" t="str">
        <f>IF(OR($A116&gt;MAX(Trato_Diario!$A$4:$A$300),SUMIFS(Trato_Diario!$G$4:$G$300,Trato_Diario!$A$4:$A$300,$A116)=0),"",SUMIFS(Trato_Diario!$J$4:$J$300,Trato_Diario!$A$4:$A$300,$A116)/SUMIFS(Trato_Diario!$G$4:$G$300,Trato_Diario!$A$4:$A$300,$A116))</f>
        <v/>
      </c>
    </row>
    <row r="117" spans="1:12" ht="14.25" customHeight="1" x14ac:dyDescent="0.3">
      <c r="A117" s="85">
        <v>46326</v>
      </c>
      <c r="B117" s="26" t="str">
        <f>IF(OR($A117&gt;MAX(Trato_Diario!$A$4:$A$300),SUMIFS(Trato_Diario!$G$4:$G$300,Trato_Diario!$B$4:$B$300,1,Trato_Diario!$A$4:$A$300,$A117)=0),"",SUMIFS(Trato_Diario!$J$4:$J$300,Trato_Diario!$B$4:$B$300,1,Trato_Diario!$A$4:$A$300,$A117)/SUMIFS(Trato_Diario!$G$4:$G$300,Trato_Diario!$B$4:$B$300,1,Trato_Diario!$A$4:$A$300,$A117))</f>
        <v/>
      </c>
      <c r="C117" s="26" t="str">
        <f>IF(OR($A117&gt;MAX(Trato_Diario!$A$4:$A$300),SUMIFS(Trato_Diario!$G$4:$G$300,Trato_Diario!$B$4:$B$300,2,Trato_Diario!$A$4:$A$300,$A117)=0),"",SUMIFS(Trato_Diario!$J$4:$J$300,Trato_Diario!$B$4:$B$300,2,Trato_Diario!$A$4:$A$300,$A117)/SUMIFS(Trato_Diario!$G$4:$G$300,Trato_Diario!$B$4:$B$300,2,Trato_Diario!$A$4:$A$300,$A117))</f>
        <v/>
      </c>
      <c r="D117" s="26" t="str">
        <f>IF(OR($A117&gt;MAX(Trato_Diario!$A$4:$A$300),SUMIFS(Trato_Diario!$G$4:$G$300,Trato_Diario!$B$4:$B$300,3,Trato_Diario!$A$4:$A$300,$A117)=0),"",SUMIFS(Trato_Diario!$J$4:$J$300,Trato_Diario!$B$4:$B$300,3,Trato_Diario!$A$4:$A$300,$A117)/SUMIFS(Trato_Diario!$G$4:$G$300,Trato_Diario!$B$4:$B$300,3,Trato_Diario!$A$4:$A$300,$A117))</f>
        <v/>
      </c>
      <c r="E117" s="26" t="str">
        <f>IF(OR($A117&gt;MAX(Trato_Diario!$A$4:$A$300),SUMIFS(Trato_Diario!$G$4:$G$300,Trato_Diario!$B$4:$B$300,4,Trato_Diario!$A$4:$A$300,$A117)=0),"",SUMIFS(Trato_Diario!$J$4:$J$300,Trato_Diario!$B$4:$B$300,4,Trato_Diario!$A$4:$A$300,$A117)/SUMIFS(Trato_Diario!$G$4:$G$300,Trato_Diario!$B$4:$B$300,4,Trato_Diario!$A$4:$A$300,$A117))</f>
        <v/>
      </c>
      <c r="F117" s="26" t="str">
        <f>IF(OR($A117&gt;MAX(Trato_Diario!$A$4:$A$300),SUMIFS(Trato_Diario!$G$4:$G$300,Trato_Diario!$B$4:$B$300,5,Trato_Diario!$A$4:$A$300,$A117)=0),"",SUMIFS(Trato_Diario!$J$4:$J$300,Trato_Diario!$B$4:$B$300,5,Trato_Diario!$A$4:$A$300,$A117)/SUMIFS(Trato_Diario!$G$4:$G$300,Trato_Diario!$B$4:$B$300,5,Trato_Diario!$A$4:$A$300,$A117))</f>
        <v/>
      </c>
      <c r="G117" s="26" t="str">
        <f>IF(OR($A117&gt;MAX(Trato_Diario!$A$4:$A$300),SUMIFS(Trato_Diario!$G$4:$G$300,Trato_Diario!$B$4:$B$300,6,Trato_Diario!$A$4:$A$300,$A117)=0),"",SUMIFS(Trato_Diario!$J$4:$J$300,Trato_Diario!$B$4:$B$300,6,Trato_Diario!$A$4:$A$300,$A117)/SUMIFS(Trato_Diario!$G$4:$G$300,Trato_Diario!$B$4:$B$300,6,Trato_Diario!$A$4:$A$300,$A117))</f>
        <v/>
      </c>
      <c r="H117" s="26" t="str">
        <f>IF(OR($A117&gt;MAX(Trato_Diario!$A$4:$A$300),SUMIFS(Trato_Diario!$G$4:$G$300,Trato_Diario!$B$4:$B$300,7,Trato_Diario!$A$4:$A$300,$A117)=0),"",SUMIFS(Trato_Diario!$J$4:$J$300,Trato_Diario!$B$4:$B$300,7,Trato_Diario!$A$4:$A$300,$A117)/SUMIFS(Trato_Diario!$G$4:$G$300,Trato_Diario!$B$4:$B$300,7,Trato_Diario!$A$4:$A$300,$A117))</f>
        <v/>
      </c>
      <c r="I117" s="26" t="str">
        <f>IF(OR($A117&gt;MAX(Trato_Diario!$A$4:$A$300),SUMIFS(Trato_Diario!$G$4:$G$300,Trato_Diario!$B$4:$B$300,8,Trato_Diario!$A$4:$A$300,$A117)=0),"",SUMIFS(Trato_Diario!$J$4:$J$300,Trato_Diario!$B$4:$B$300,8,Trato_Diario!$A$4:$A$300,$A117)/SUMIFS(Trato_Diario!$G$4:$G$300,Trato_Diario!$B$4:$B$300,8,Trato_Diario!$A$4:$A$300,$A117))</f>
        <v/>
      </c>
      <c r="J117" s="26" t="str">
        <f>IF(OR($A117&gt;MAX(Trato_Diario!$A$4:$A$300),SUMIFS(Trato_Diario!$G$4:$G$300,Trato_Diario!$B$4:$B$300,9,Trato_Diario!$A$4:$A$300,$A117)=0),"",SUMIFS(Trato_Diario!$J$4:$J$300,Trato_Diario!$B$4:$B$300,9,Trato_Diario!$A$4:$A$300,$A117)/SUMIFS(Trato_Diario!$G$4:$G$300,Trato_Diario!$B$4:$B$300,9,Trato_Diario!$A$4:$A$300,$A117))</f>
        <v/>
      </c>
      <c r="K117" s="26" t="str">
        <f>IF(OR($A117&gt;MAX(Trato_Diario!$A$4:$A$300),SUMIFS(Trato_Diario!$G$4:$G$300,Trato_Diario!$B$4:$B$300,10,Trato_Diario!$A$4:$A$300,$A117)=0),"",SUMIFS(Trato_Diario!$J$4:$J$300,Trato_Diario!$B$4:$B$300,10,Trato_Diario!$A$4:$A$300,$A117)/SUMIFS(Trato_Diario!$G$4:$G$300,Trato_Diario!$B$4:$B$300,10,Trato_Diario!$A$4:$A$300,$A117))</f>
        <v/>
      </c>
      <c r="L117" s="74" t="str">
        <f>IF(OR($A117&gt;MAX(Trato_Diario!$A$4:$A$300),SUMIFS(Trato_Diario!$G$4:$G$300,Trato_Diario!$A$4:$A$300,$A117)=0),"",SUMIFS(Trato_Diario!$J$4:$J$300,Trato_Diario!$A$4:$A$300,$A117)/SUMIFS(Trato_Diario!$G$4:$G$300,Trato_Diario!$A$4:$A$300,$A117))</f>
        <v/>
      </c>
    </row>
    <row r="118" spans="1:12" ht="14.25" customHeight="1" x14ac:dyDescent="0.3">
      <c r="A118" s="86">
        <v>46327</v>
      </c>
      <c r="B118" s="28" t="str">
        <f>IF(OR($A118&gt;MAX(Trato_Diario!$A$4:$A$300),SUMIFS(Trato_Diario!$G$4:$G$300,Trato_Diario!$B$4:$B$300,1,Trato_Diario!$A$4:$A$300,$A118)=0),"",SUMIFS(Trato_Diario!$J$4:$J$300,Trato_Diario!$B$4:$B$300,1,Trato_Diario!$A$4:$A$300,$A118)/SUMIFS(Trato_Diario!$G$4:$G$300,Trato_Diario!$B$4:$B$300,1,Trato_Diario!$A$4:$A$300,$A118))</f>
        <v/>
      </c>
      <c r="C118" s="28" t="str">
        <f>IF(OR($A118&gt;MAX(Trato_Diario!$A$4:$A$300),SUMIFS(Trato_Diario!$G$4:$G$300,Trato_Diario!$B$4:$B$300,2,Trato_Diario!$A$4:$A$300,$A118)=0),"",SUMIFS(Trato_Diario!$J$4:$J$300,Trato_Diario!$B$4:$B$300,2,Trato_Diario!$A$4:$A$300,$A118)/SUMIFS(Trato_Diario!$G$4:$G$300,Trato_Diario!$B$4:$B$300,2,Trato_Diario!$A$4:$A$300,$A118))</f>
        <v/>
      </c>
      <c r="D118" s="28" t="str">
        <f>IF(OR($A118&gt;MAX(Trato_Diario!$A$4:$A$300),SUMIFS(Trato_Diario!$G$4:$G$300,Trato_Diario!$B$4:$B$300,3,Trato_Diario!$A$4:$A$300,$A118)=0),"",SUMIFS(Trato_Diario!$J$4:$J$300,Trato_Diario!$B$4:$B$300,3,Trato_Diario!$A$4:$A$300,$A118)/SUMIFS(Trato_Diario!$G$4:$G$300,Trato_Diario!$B$4:$B$300,3,Trato_Diario!$A$4:$A$300,$A118))</f>
        <v/>
      </c>
      <c r="E118" s="28" t="str">
        <f>IF(OR($A118&gt;MAX(Trato_Diario!$A$4:$A$300),SUMIFS(Trato_Diario!$G$4:$G$300,Trato_Diario!$B$4:$B$300,4,Trato_Diario!$A$4:$A$300,$A118)=0),"",SUMIFS(Trato_Diario!$J$4:$J$300,Trato_Diario!$B$4:$B$300,4,Trato_Diario!$A$4:$A$300,$A118)/SUMIFS(Trato_Diario!$G$4:$G$300,Trato_Diario!$B$4:$B$300,4,Trato_Diario!$A$4:$A$300,$A118))</f>
        <v/>
      </c>
      <c r="F118" s="28" t="str">
        <f>IF(OR($A118&gt;MAX(Trato_Diario!$A$4:$A$300),SUMIFS(Trato_Diario!$G$4:$G$300,Trato_Diario!$B$4:$B$300,5,Trato_Diario!$A$4:$A$300,$A118)=0),"",SUMIFS(Trato_Diario!$J$4:$J$300,Trato_Diario!$B$4:$B$300,5,Trato_Diario!$A$4:$A$300,$A118)/SUMIFS(Trato_Diario!$G$4:$G$300,Trato_Diario!$B$4:$B$300,5,Trato_Diario!$A$4:$A$300,$A118))</f>
        <v/>
      </c>
      <c r="G118" s="28" t="str">
        <f>IF(OR($A118&gt;MAX(Trato_Diario!$A$4:$A$300),SUMIFS(Trato_Diario!$G$4:$G$300,Trato_Diario!$B$4:$B$300,6,Trato_Diario!$A$4:$A$300,$A118)=0),"",SUMIFS(Trato_Diario!$J$4:$J$300,Trato_Diario!$B$4:$B$300,6,Trato_Diario!$A$4:$A$300,$A118)/SUMIFS(Trato_Diario!$G$4:$G$300,Trato_Diario!$B$4:$B$300,6,Trato_Diario!$A$4:$A$300,$A118))</f>
        <v/>
      </c>
      <c r="H118" s="28" t="str">
        <f>IF(OR($A118&gt;MAX(Trato_Diario!$A$4:$A$300),SUMIFS(Trato_Diario!$G$4:$G$300,Trato_Diario!$B$4:$B$300,7,Trato_Diario!$A$4:$A$300,$A118)=0),"",SUMIFS(Trato_Diario!$J$4:$J$300,Trato_Diario!$B$4:$B$300,7,Trato_Diario!$A$4:$A$300,$A118)/SUMIFS(Trato_Diario!$G$4:$G$300,Trato_Diario!$B$4:$B$300,7,Trato_Diario!$A$4:$A$300,$A118))</f>
        <v/>
      </c>
      <c r="I118" s="28" t="str">
        <f>IF(OR($A118&gt;MAX(Trato_Diario!$A$4:$A$300),SUMIFS(Trato_Diario!$G$4:$G$300,Trato_Diario!$B$4:$B$300,8,Trato_Diario!$A$4:$A$300,$A118)=0),"",SUMIFS(Trato_Diario!$J$4:$J$300,Trato_Diario!$B$4:$B$300,8,Trato_Diario!$A$4:$A$300,$A118)/SUMIFS(Trato_Diario!$G$4:$G$300,Trato_Diario!$B$4:$B$300,8,Trato_Diario!$A$4:$A$300,$A118))</f>
        <v/>
      </c>
      <c r="J118" s="28" t="str">
        <f>IF(OR($A118&gt;MAX(Trato_Diario!$A$4:$A$300),SUMIFS(Trato_Diario!$G$4:$G$300,Trato_Diario!$B$4:$B$300,9,Trato_Diario!$A$4:$A$300,$A118)=0),"",SUMIFS(Trato_Diario!$J$4:$J$300,Trato_Diario!$B$4:$B$300,9,Trato_Diario!$A$4:$A$300,$A118)/SUMIFS(Trato_Diario!$G$4:$G$300,Trato_Diario!$B$4:$B$300,9,Trato_Diario!$A$4:$A$300,$A118))</f>
        <v/>
      </c>
      <c r="K118" s="28" t="str">
        <f>IF(OR($A118&gt;MAX(Trato_Diario!$A$4:$A$300),SUMIFS(Trato_Diario!$G$4:$G$300,Trato_Diario!$B$4:$B$300,10,Trato_Diario!$A$4:$A$300,$A118)=0),"",SUMIFS(Trato_Diario!$J$4:$J$300,Trato_Diario!$B$4:$B$300,10,Trato_Diario!$A$4:$A$300,$A118)/SUMIFS(Trato_Diario!$G$4:$G$300,Trato_Diario!$B$4:$B$300,10,Trato_Diario!$A$4:$A$300,$A118))</f>
        <v/>
      </c>
      <c r="L118" s="76" t="str">
        <f>IF(OR($A118&gt;MAX(Trato_Diario!$A$4:$A$300),SUMIFS(Trato_Diario!$G$4:$G$300,Trato_Diario!$A$4:$A$300,$A118)=0),"",SUMIFS(Trato_Diario!$J$4:$J$300,Trato_Diario!$A$4:$A$300,$A118)/SUMIFS(Trato_Diario!$G$4:$G$300,Trato_Diario!$A$4:$A$300,$A118))</f>
        <v/>
      </c>
    </row>
    <row r="119" spans="1:12" ht="14.25" customHeight="1" x14ac:dyDescent="0.3">
      <c r="A119" s="85">
        <v>46328</v>
      </c>
      <c r="B119" s="26" t="str">
        <f>IF(OR($A119&gt;MAX(Trato_Diario!$A$4:$A$300),SUMIFS(Trato_Diario!$G$4:$G$300,Trato_Diario!$B$4:$B$300,1,Trato_Diario!$A$4:$A$300,$A119)=0),"",SUMIFS(Trato_Diario!$J$4:$J$300,Trato_Diario!$B$4:$B$300,1,Trato_Diario!$A$4:$A$300,$A119)/SUMIFS(Trato_Diario!$G$4:$G$300,Trato_Diario!$B$4:$B$300,1,Trato_Diario!$A$4:$A$300,$A119))</f>
        <v/>
      </c>
      <c r="C119" s="26" t="str">
        <f>IF(OR($A119&gt;MAX(Trato_Diario!$A$4:$A$300),SUMIFS(Trato_Diario!$G$4:$G$300,Trato_Diario!$B$4:$B$300,2,Trato_Diario!$A$4:$A$300,$A119)=0),"",SUMIFS(Trato_Diario!$J$4:$J$300,Trato_Diario!$B$4:$B$300,2,Trato_Diario!$A$4:$A$300,$A119)/SUMIFS(Trato_Diario!$G$4:$G$300,Trato_Diario!$B$4:$B$300,2,Trato_Diario!$A$4:$A$300,$A119))</f>
        <v/>
      </c>
      <c r="D119" s="26" t="str">
        <f>IF(OR($A119&gt;MAX(Trato_Diario!$A$4:$A$300),SUMIFS(Trato_Diario!$G$4:$G$300,Trato_Diario!$B$4:$B$300,3,Trato_Diario!$A$4:$A$300,$A119)=0),"",SUMIFS(Trato_Diario!$J$4:$J$300,Trato_Diario!$B$4:$B$300,3,Trato_Diario!$A$4:$A$300,$A119)/SUMIFS(Trato_Diario!$G$4:$G$300,Trato_Diario!$B$4:$B$300,3,Trato_Diario!$A$4:$A$300,$A119))</f>
        <v/>
      </c>
      <c r="E119" s="26" t="str">
        <f>IF(OR($A119&gt;MAX(Trato_Diario!$A$4:$A$300),SUMIFS(Trato_Diario!$G$4:$G$300,Trato_Diario!$B$4:$B$300,4,Trato_Diario!$A$4:$A$300,$A119)=0),"",SUMIFS(Trato_Diario!$J$4:$J$300,Trato_Diario!$B$4:$B$300,4,Trato_Diario!$A$4:$A$300,$A119)/SUMIFS(Trato_Diario!$G$4:$G$300,Trato_Diario!$B$4:$B$300,4,Trato_Diario!$A$4:$A$300,$A119))</f>
        <v/>
      </c>
      <c r="F119" s="26" t="str">
        <f>IF(OR($A119&gt;MAX(Trato_Diario!$A$4:$A$300),SUMIFS(Trato_Diario!$G$4:$G$300,Trato_Diario!$B$4:$B$300,5,Trato_Diario!$A$4:$A$300,$A119)=0),"",SUMIFS(Trato_Diario!$J$4:$J$300,Trato_Diario!$B$4:$B$300,5,Trato_Diario!$A$4:$A$300,$A119)/SUMIFS(Trato_Diario!$G$4:$G$300,Trato_Diario!$B$4:$B$300,5,Trato_Diario!$A$4:$A$300,$A119))</f>
        <v/>
      </c>
      <c r="G119" s="26" t="str">
        <f>IF(OR($A119&gt;MAX(Trato_Diario!$A$4:$A$300),SUMIFS(Trato_Diario!$G$4:$G$300,Trato_Diario!$B$4:$B$300,6,Trato_Diario!$A$4:$A$300,$A119)=0),"",SUMIFS(Trato_Diario!$J$4:$J$300,Trato_Diario!$B$4:$B$300,6,Trato_Diario!$A$4:$A$300,$A119)/SUMIFS(Trato_Diario!$G$4:$G$300,Trato_Diario!$B$4:$B$300,6,Trato_Diario!$A$4:$A$300,$A119))</f>
        <v/>
      </c>
      <c r="H119" s="26" t="str">
        <f>IF(OR($A119&gt;MAX(Trato_Diario!$A$4:$A$300),SUMIFS(Trato_Diario!$G$4:$G$300,Trato_Diario!$B$4:$B$300,7,Trato_Diario!$A$4:$A$300,$A119)=0),"",SUMIFS(Trato_Diario!$J$4:$J$300,Trato_Diario!$B$4:$B$300,7,Trato_Diario!$A$4:$A$300,$A119)/SUMIFS(Trato_Diario!$G$4:$G$300,Trato_Diario!$B$4:$B$300,7,Trato_Diario!$A$4:$A$300,$A119))</f>
        <v/>
      </c>
      <c r="I119" s="26" t="str">
        <f>IF(OR($A119&gt;MAX(Trato_Diario!$A$4:$A$300),SUMIFS(Trato_Diario!$G$4:$G$300,Trato_Diario!$B$4:$B$300,8,Trato_Diario!$A$4:$A$300,$A119)=0),"",SUMIFS(Trato_Diario!$J$4:$J$300,Trato_Diario!$B$4:$B$300,8,Trato_Diario!$A$4:$A$300,$A119)/SUMIFS(Trato_Diario!$G$4:$G$300,Trato_Diario!$B$4:$B$300,8,Trato_Diario!$A$4:$A$300,$A119))</f>
        <v/>
      </c>
      <c r="J119" s="26" t="str">
        <f>IF(OR($A119&gt;MAX(Trato_Diario!$A$4:$A$300),SUMIFS(Trato_Diario!$G$4:$G$300,Trato_Diario!$B$4:$B$300,9,Trato_Diario!$A$4:$A$300,$A119)=0),"",SUMIFS(Trato_Diario!$J$4:$J$300,Trato_Diario!$B$4:$B$300,9,Trato_Diario!$A$4:$A$300,$A119)/SUMIFS(Trato_Diario!$G$4:$G$300,Trato_Diario!$B$4:$B$300,9,Trato_Diario!$A$4:$A$300,$A119))</f>
        <v/>
      </c>
      <c r="K119" s="26" t="str">
        <f>IF(OR($A119&gt;MAX(Trato_Diario!$A$4:$A$300),SUMIFS(Trato_Diario!$G$4:$G$300,Trato_Diario!$B$4:$B$300,10,Trato_Diario!$A$4:$A$300,$A119)=0),"",SUMIFS(Trato_Diario!$J$4:$J$300,Trato_Diario!$B$4:$B$300,10,Trato_Diario!$A$4:$A$300,$A119)/SUMIFS(Trato_Diario!$G$4:$G$300,Trato_Diario!$B$4:$B$300,10,Trato_Diario!$A$4:$A$300,$A119))</f>
        <v/>
      </c>
      <c r="L119" s="74" t="str">
        <f>IF(OR($A119&gt;MAX(Trato_Diario!$A$4:$A$300),SUMIFS(Trato_Diario!$G$4:$G$300,Trato_Diario!$A$4:$A$300,$A119)=0),"",SUMIFS(Trato_Diario!$J$4:$J$300,Trato_Diario!$A$4:$A$300,$A119)/SUMIFS(Trato_Diario!$G$4:$G$300,Trato_Diario!$A$4:$A$300,$A119))</f>
        <v/>
      </c>
    </row>
    <row r="120" spans="1:12" ht="14.25" customHeight="1" x14ac:dyDescent="0.3">
      <c r="A120" s="86">
        <v>46329</v>
      </c>
      <c r="B120" s="28" t="str">
        <f>IF(OR($A120&gt;MAX(Trato_Diario!$A$4:$A$300),SUMIFS(Trato_Diario!$G$4:$G$300,Trato_Diario!$B$4:$B$300,1,Trato_Diario!$A$4:$A$300,$A120)=0),"",SUMIFS(Trato_Diario!$J$4:$J$300,Trato_Diario!$B$4:$B$300,1,Trato_Diario!$A$4:$A$300,$A120)/SUMIFS(Trato_Diario!$G$4:$G$300,Trato_Diario!$B$4:$B$300,1,Trato_Diario!$A$4:$A$300,$A120))</f>
        <v/>
      </c>
      <c r="C120" s="28" t="str">
        <f>IF(OR($A120&gt;MAX(Trato_Diario!$A$4:$A$300),SUMIFS(Trato_Diario!$G$4:$G$300,Trato_Diario!$B$4:$B$300,2,Trato_Diario!$A$4:$A$300,$A120)=0),"",SUMIFS(Trato_Diario!$J$4:$J$300,Trato_Diario!$B$4:$B$300,2,Trato_Diario!$A$4:$A$300,$A120)/SUMIFS(Trato_Diario!$G$4:$G$300,Trato_Diario!$B$4:$B$300,2,Trato_Diario!$A$4:$A$300,$A120))</f>
        <v/>
      </c>
      <c r="D120" s="28" t="str">
        <f>IF(OR($A120&gt;MAX(Trato_Diario!$A$4:$A$300),SUMIFS(Trato_Diario!$G$4:$G$300,Trato_Diario!$B$4:$B$300,3,Trato_Diario!$A$4:$A$300,$A120)=0),"",SUMIFS(Trato_Diario!$J$4:$J$300,Trato_Diario!$B$4:$B$300,3,Trato_Diario!$A$4:$A$300,$A120)/SUMIFS(Trato_Diario!$G$4:$G$300,Trato_Diario!$B$4:$B$300,3,Trato_Diario!$A$4:$A$300,$A120))</f>
        <v/>
      </c>
      <c r="E120" s="28" t="str">
        <f>IF(OR($A120&gt;MAX(Trato_Diario!$A$4:$A$300),SUMIFS(Trato_Diario!$G$4:$G$300,Trato_Diario!$B$4:$B$300,4,Trato_Diario!$A$4:$A$300,$A120)=0),"",SUMIFS(Trato_Diario!$J$4:$J$300,Trato_Diario!$B$4:$B$300,4,Trato_Diario!$A$4:$A$300,$A120)/SUMIFS(Trato_Diario!$G$4:$G$300,Trato_Diario!$B$4:$B$300,4,Trato_Diario!$A$4:$A$300,$A120))</f>
        <v/>
      </c>
      <c r="F120" s="28" t="str">
        <f>IF(OR($A120&gt;MAX(Trato_Diario!$A$4:$A$300),SUMIFS(Trato_Diario!$G$4:$G$300,Trato_Diario!$B$4:$B$300,5,Trato_Diario!$A$4:$A$300,$A120)=0),"",SUMIFS(Trato_Diario!$J$4:$J$300,Trato_Diario!$B$4:$B$300,5,Trato_Diario!$A$4:$A$300,$A120)/SUMIFS(Trato_Diario!$G$4:$G$300,Trato_Diario!$B$4:$B$300,5,Trato_Diario!$A$4:$A$300,$A120))</f>
        <v/>
      </c>
      <c r="G120" s="28" t="str">
        <f>IF(OR($A120&gt;MAX(Trato_Diario!$A$4:$A$300),SUMIFS(Trato_Diario!$G$4:$G$300,Trato_Diario!$B$4:$B$300,6,Trato_Diario!$A$4:$A$300,$A120)=0),"",SUMIFS(Trato_Diario!$J$4:$J$300,Trato_Diario!$B$4:$B$300,6,Trato_Diario!$A$4:$A$300,$A120)/SUMIFS(Trato_Diario!$G$4:$G$300,Trato_Diario!$B$4:$B$300,6,Trato_Diario!$A$4:$A$300,$A120))</f>
        <v/>
      </c>
      <c r="H120" s="28" t="str">
        <f>IF(OR($A120&gt;MAX(Trato_Diario!$A$4:$A$300),SUMIFS(Trato_Diario!$G$4:$G$300,Trato_Diario!$B$4:$B$300,7,Trato_Diario!$A$4:$A$300,$A120)=0),"",SUMIFS(Trato_Diario!$J$4:$J$300,Trato_Diario!$B$4:$B$300,7,Trato_Diario!$A$4:$A$300,$A120)/SUMIFS(Trato_Diario!$G$4:$G$300,Trato_Diario!$B$4:$B$300,7,Trato_Diario!$A$4:$A$300,$A120))</f>
        <v/>
      </c>
      <c r="I120" s="28" t="str">
        <f>IF(OR($A120&gt;MAX(Trato_Diario!$A$4:$A$300),SUMIFS(Trato_Diario!$G$4:$G$300,Trato_Diario!$B$4:$B$300,8,Trato_Diario!$A$4:$A$300,$A120)=0),"",SUMIFS(Trato_Diario!$J$4:$J$300,Trato_Diario!$B$4:$B$300,8,Trato_Diario!$A$4:$A$300,$A120)/SUMIFS(Trato_Diario!$G$4:$G$300,Trato_Diario!$B$4:$B$300,8,Trato_Diario!$A$4:$A$300,$A120))</f>
        <v/>
      </c>
      <c r="J120" s="28" t="str">
        <f>IF(OR($A120&gt;MAX(Trato_Diario!$A$4:$A$300),SUMIFS(Trato_Diario!$G$4:$G$300,Trato_Diario!$B$4:$B$300,9,Trato_Diario!$A$4:$A$300,$A120)=0),"",SUMIFS(Trato_Diario!$J$4:$J$300,Trato_Diario!$B$4:$B$300,9,Trato_Diario!$A$4:$A$300,$A120)/SUMIFS(Trato_Diario!$G$4:$G$300,Trato_Diario!$B$4:$B$300,9,Trato_Diario!$A$4:$A$300,$A120))</f>
        <v/>
      </c>
      <c r="K120" s="28" t="str">
        <f>IF(OR($A120&gt;MAX(Trato_Diario!$A$4:$A$300),SUMIFS(Trato_Diario!$G$4:$G$300,Trato_Diario!$B$4:$B$300,10,Trato_Diario!$A$4:$A$300,$A120)=0),"",SUMIFS(Trato_Diario!$J$4:$J$300,Trato_Diario!$B$4:$B$300,10,Trato_Diario!$A$4:$A$300,$A120)/SUMIFS(Trato_Diario!$G$4:$G$300,Trato_Diario!$B$4:$B$300,10,Trato_Diario!$A$4:$A$300,$A120))</f>
        <v/>
      </c>
      <c r="L120" s="76" t="str">
        <f>IF(OR($A120&gt;MAX(Trato_Diario!$A$4:$A$300),SUMIFS(Trato_Diario!$G$4:$G$300,Trato_Diario!$A$4:$A$300,$A120)=0),"",SUMIFS(Trato_Diario!$J$4:$J$300,Trato_Diario!$A$4:$A$300,$A120)/SUMIFS(Trato_Diario!$G$4:$G$300,Trato_Diario!$A$4:$A$300,$A120))</f>
        <v/>
      </c>
    </row>
    <row r="121" spans="1:12" ht="14.25" customHeight="1" x14ac:dyDescent="0.3">
      <c r="A121" s="85">
        <v>46330</v>
      </c>
      <c r="B121" s="26" t="str">
        <f>IF(OR($A121&gt;MAX(Trato_Diario!$A$4:$A$300),SUMIFS(Trato_Diario!$G$4:$G$300,Trato_Diario!$B$4:$B$300,1,Trato_Diario!$A$4:$A$300,$A121)=0),"",SUMIFS(Trato_Diario!$J$4:$J$300,Trato_Diario!$B$4:$B$300,1,Trato_Diario!$A$4:$A$300,$A121)/SUMIFS(Trato_Diario!$G$4:$G$300,Trato_Diario!$B$4:$B$300,1,Trato_Diario!$A$4:$A$300,$A121))</f>
        <v/>
      </c>
      <c r="C121" s="26" t="str">
        <f>IF(OR($A121&gt;MAX(Trato_Diario!$A$4:$A$300),SUMIFS(Trato_Diario!$G$4:$G$300,Trato_Diario!$B$4:$B$300,2,Trato_Diario!$A$4:$A$300,$A121)=0),"",SUMIFS(Trato_Diario!$J$4:$J$300,Trato_Diario!$B$4:$B$300,2,Trato_Diario!$A$4:$A$300,$A121)/SUMIFS(Trato_Diario!$G$4:$G$300,Trato_Diario!$B$4:$B$300,2,Trato_Diario!$A$4:$A$300,$A121))</f>
        <v/>
      </c>
      <c r="D121" s="26" t="str">
        <f>IF(OR($A121&gt;MAX(Trato_Diario!$A$4:$A$300),SUMIFS(Trato_Diario!$G$4:$G$300,Trato_Diario!$B$4:$B$300,3,Trato_Diario!$A$4:$A$300,$A121)=0),"",SUMIFS(Trato_Diario!$J$4:$J$300,Trato_Diario!$B$4:$B$300,3,Trato_Diario!$A$4:$A$300,$A121)/SUMIFS(Trato_Diario!$G$4:$G$300,Trato_Diario!$B$4:$B$300,3,Trato_Diario!$A$4:$A$300,$A121))</f>
        <v/>
      </c>
      <c r="E121" s="26" t="str">
        <f>IF(OR($A121&gt;MAX(Trato_Diario!$A$4:$A$300),SUMIFS(Trato_Diario!$G$4:$G$300,Trato_Diario!$B$4:$B$300,4,Trato_Diario!$A$4:$A$300,$A121)=0),"",SUMIFS(Trato_Diario!$J$4:$J$300,Trato_Diario!$B$4:$B$300,4,Trato_Diario!$A$4:$A$300,$A121)/SUMIFS(Trato_Diario!$G$4:$G$300,Trato_Diario!$B$4:$B$300,4,Trato_Diario!$A$4:$A$300,$A121))</f>
        <v/>
      </c>
      <c r="F121" s="26" t="str">
        <f>IF(OR($A121&gt;MAX(Trato_Diario!$A$4:$A$300),SUMIFS(Trato_Diario!$G$4:$G$300,Trato_Diario!$B$4:$B$300,5,Trato_Diario!$A$4:$A$300,$A121)=0),"",SUMIFS(Trato_Diario!$J$4:$J$300,Trato_Diario!$B$4:$B$300,5,Trato_Diario!$A$4:$A$300,$A121)/SUMIFS(Trato_Diario!$G$4:$G$300,Trato_Diario!$B$4:$B$300,5,Trato_Diario!$A$4:$A$300,$A121))</f>
        <v/>
      </c>
      <c r="G121" s="26" t="str">
        <f>IF(OR($A121&gt;MAX(Trato_Diario!$A$4:$A$300),SUMIFS(Trato_Diario!$G$4:$G$300,Trato_Diario!$B$4:$B$300,6,Trato_Diario!$A$4:$A$300,$A121)=0),"",SUMIFS(Trato_Diario!$J$4:$J$300,Trato_Diario!$B$4:$B$300,6,Trato_Diario!$A$4:$A$300,$A121)/SUMIFS(Trato_Diario!$G$4:$G$300,Trato_Diario!$B$4:$B$300,6,Trato_Diario!$A$4:$A$300,$A121))</f>
        <v/>
      </c>
      <c r="H121" s="26" t="str">
        <f>IF(OR($A121&gt;MAX(Trato_Diario!$A$4:$A$300),SUMIFS(Trato_Diario!$G$4:$G$300,Trato_Diario!$B$4:$B$300,7,Trato_Diario!$A$4:$A$300,$A121)=0),"",SUMIFS(Trato_Diario!$J$4:$J$300,Trato_Diario!$B$4:$B$300,7,Trato_Diario!$A$4:$A$300,$A121)/SUMIFS(Trato_Diario!$G$4:$G$300,Trato_Diario!$B$4:$B$300,7,Trato_Diario!$A$4:$A$300,$A121))</f>
        <v/>
      </c>
      <c r="I121" s="26" t="str">
        <f>IF(OR($A121&gt;MAX(Trato_Diario!$A$4:$A$300),SUMIFS(Trato_Diario!$G$4:$G$300,Trato_Diario!$B$4:$B$300,8,Trato_Diario!$A$4:$A$300,$A121)=0),"",SUMIFS(Trato_Diario!$J$4:$J$300,Trato_Diario!$B$4:$B$300,8,Trato_Diario!$A$4:$A$300,$A121)/SUMIFS(Trato_Diario!$G$4:$G$300,Trato_Diario!$B$4:$B$300,8,Trato_Diario!$A$4:$A$300,$A121))</f>
        <v/>
      </c>
      <c r="J121" s="26" t="str">
        <f>IF(OR($A121&gt;MAX(Trato_Diario!$A$4:$A$300),SUMIFS(Trato_Diario!$G$4:$G$300,Trato_Diario!$B$4:$B$300,9,Trato_Diario!$A$4:$A$300,$A121)=0),"",SUMIFS(Trato_Diario!$J$4:$J$300,Trato_Diario!$B$4:$B$300,9,Trato_Diario!$A$4:$A$300,$A121)/SUMIFS(Trato_Diario!$G$4:$G$300,Trato_Diario!$B$4:$B$300,9,Trato_Diario!$A$4:$A$300,$A121))</f>
        <v/>
      </c>
      <c r="K121" s="26" t="str">
        <f>IF(OR($A121&gt;MAX(Trato_Diario!$A$4:$A$300),SUMIFS(Trato_Diario!$G$4:$G$300,Trato_Diario!$B$4:$B$300,10,Trato_Diario!$A$4:$A$300,$A121)=0),"",SUMIFS(Trato_Diario!$J$4:$J$300,Trato_Diario!$B$4:$B$300,10,Trato_Diario!$A$4:$A$300,$A121)/SUMIFS(Trato_Diario!$G$4:$G$300,Trato_Diario!$B$4:$B$300,10,Trato_Diario!$A$4:$A$300,$A121))</f>
        <v/>
      </c>
      <c r="L121" s="74" t="str">
        <f>IF(OR($A121&gt;MAX(Trato_Diario!$A$4:$A$300),SUMIFS(Trato_Diario!$G$4:$G$300,Trato_Diario!$A$4:$A$300,$A121)=0),"",SUMIFS(Trato_Diario!$J$4:$J$300,Trato_Diario!$A$4:$A$300,$A121)/SUMIFS(Trato_Diario!$G$4:$G$300,Trato_Diario!$A$4:$A$300,$A121))</f>
        <v/>
      </c>
    </row>
    <row r="122" spans="1:12" ht="14.25" customHeight="1" x14ac:dyDescent="0.3">
      <c r="A122" s="86">
        <v>46331</v>
      </c>
      <c r="B122" s="28" t="str">
        <f>IF(OR($A122&gt;MAX(Trato_Diario!$A$4:$A$300),SUMIFS(Trato_Diario!$G$4:$G$300,Trato_Diario!$B$4:$B$300,1,Trato_Diario!$A$4:$A$300,$A122)=0),"",SUMIFS(Trato_Diario!$J$4:$J$300,Trato_Diario!$B$4:$B$300,1,Trato_Diario!$A$4:$A$300,$A122)/SUMIFS(Trato_Diario!$G$4:$G$300,Trato_Diario!$B$4:$B$300,1,Trato_Diario!$A$4:$A$300,$A122))</f>
        <v/>
      </c>
      <c r="C122" s="28" t="str">
        <f>IF(OR($A122&gt;MAX(Trato_Diario!$A$4:$A$300),SUMIFS(Trato_Diario!$G$4:$G$300,Trato_Diario!$B$4:$B$300,2,Trato_Diario!$A$4:$A$300,$A122)=0),"",SUMIFS(Trato_Diario!$J$4:$J$300,Trato_Diario!$B$4:$B$300,2,Trato_Diario!$A$4:$A$300,$A122)/SUMIFS(Trato_Diario!$G$4:$G$300,Trato_Diario!$B$4:$B$300,2,Trato_Diario!$A$4:$A$300,$A122))</f>
        <v/>
      </c>
      <c r="D122" s="28" t="str">
        <f>IF(OR($A122&gt;MAX(Trato_Diario!$A$4:$A$300),SUMIFS(Trato_Diario!$G$4:$G$300,Trato_Diario!$B$4:$B$300,3,Trato_Diario!$A$4:$A$300,$A122)=0),"",SUMIFS(Trato_Diario!$J$4:$J$300,Trato_Diario!$B$4:$B$300,3,Trato_Diario!$A$4:$A$300,$A122)/SUMIFS(Trato_Diario!$G$4:$G$300,Trato_Diario!$B$4:$B$300,3,Trato_Diario!$A$4:$A$300,$A122))</f>
        <v/>
      </c>
      <c r="E122" s="28" t="str">
        <f>IF(OR($A122&gt;MAX(Trato_Diario!$A$4:$A$300),SUMIFS(Trato_Diario!$G$4:$G$300,Trato_Diario!$B$4:$B$300,4,Trato_Diario!$A$4:$A$300,$A122)=0),"",SUMIFS(Trato_Diario!$J$4:$J$300,Trato_Diario!$B$4:$B$300,4,Trato_Diario!$A$4:$A$300,$A122)/SUMIFS(Trato_Diario!$G$4:$G$300,Trato_Diario!$B$4:$B$300,4,Trato_Diario!$A$4:$A$300,$A122))</f>
        <v/>
      </c>
      <c r="F122" s="28" t="str">
        <f>IF(OR($A122&gt;MAX(Trato_Diario!$A$4:$A$300),SUMIFS(Trato_Diario!$G$4:$G$300,Trato_Diario!$B$4:$B$300,5,Trato_Diario!$A$4:$A$300,$A122)=0),"",SUMIFS(Trato_Diario!$J$4:$J$300,Trato_Diario!$B$4:$B$300,5,Trato_Diario!$A$4:$A$300,$A122)/SUMIFS(Trato_Diario!$G$4:$G$300,Trato_Diario!$B$4:$B$300,5,Trato_Diario!$A$4:$A$300,$A122))</f>
        <v/>
      </c>
      <c r="G122" s="28" t="str">
        <f>IF(OR($A122&gt;MAX(Trato_Diario!$A$4:$A$300),SUMIFS(Trato_Diario!$G$4:$G$300,Trato_Diario!$B$4:$B$300,6,Trato_Diario!$A$4:$A$300,$A122)=0),"",SUMIFS(Trato_Diario!$J$4:$J$300,Trato_Diario!$B$4:$B$300,6,Trato_Diario!$A$4:$A$300,$A122)/SUMIFS(Trato_Diario!$G$4:$G$300,Trato_Diario!$B$4:$B$300,6,Trato_Diario!$A$4:$A$300,$A122))</f>
        <v/>
      </c>
      <c r="H122" s="28" t="str">
        <f>IF(OR($A122&gt;MAX(Trato_Diario!$A$4:$A$300),SUMIFS(Trato_Diario!$G$4:$G$300,Trato_Diario!$B$4:$B$300,7,Trato_Diario!$A$4:$A$300,$A122)=0),"",SUMIFS(Trato_Diario!$J$4:$J$300,Trato_Diario!$B$4:$B$300,7,Trato_Diario!$A$4:$A$300,$A122)/SUMIFS(Trato_Diario!$G$4:$G$300,Trato_Diario!$B$4:$B$300,7,Trato_Diario!$A$4:$A$300,$A122))</f>
        <v/>
      </c>
      <c r="I122" s="28" t="str">
        <f>IF(OR($A122&gt;MAX(Trato_Diario!$A$4:$A$300),SUMIFS(Trato_Diario!$G$4:$G$300,Trato_Diario!$B$4:$B$300,8,Trato_Diario!$A$4:$A$300,$A122)=0),"",SUMIFS(Trato_Diario!$J$4:$J$300,Trato_Diario!$B$4:$B$300,8,Trato_Diario!$A$4:$A$300,$A122)/SUMIFS(Trato_Diario!$G$4:$G$300,Trato_Diario!$B$4:$B$300,8,Trato_Diario!$A$4:$A$300,$A122))</f>
        <v/>
      </c>
      <c r="J122" s="28" t="str">
        <f>IF(OR($A122&gt;MAX(Trato_Diario!$A$4:$A$300),SUMIFS(Trato_Diario!$G$4:$G$300,Trato_Diario!$B$4:$B$300,9,Trato_Diario!$A$4:$A$300,$A122)=0),"",SUMIFS(Trato_Diario!$J$4:$J$300,Trato_Diario!$B$4:$B$300,9,Trato_Diario!$A$4:$A$300,$A122)/SUMIFS(Trato_Diario!$G$4:$G$300,Trato_Diario!$B$4:$B$300,9,Trato_Diario!$A$4:$A$300,$A122))</f>
        <v/>
      </c>
      <c r="K122" s="28" t="str">
        <f>IF(OR($A122&gt;MAX(Trato_Diario!$A$4:$A$300),SUMIFS(Trato_Diario!$G$4:$G$300,Trato_Diario!$B$4:$B$300,10,Trato_Diario!$A$4:$A$300,$A122)=0),"",SUMIFS(Trato_Diario!$J$4:$J$300,Trato_Diario!$B$4:$B$300,10,Trato_Diario!$A$4:$A$300,$A122)/SUMIFS(Trato_Diario!$G$4:$G$300,Trato_Diario!$B$4:$B$300,10,Trato_Diario!$A$4:$A$300,$A122))</f>
        <v/>
      </c>
      <c r="L122" s="76" t="str">
        <f>IF(OR($A122&gt;MAX(Trato_Diario!$A$4:$A$300),SUMIFS(Trato_Diario!$G$4:$G$300,Trato_Diario!$A$4:$A$300,$A122)=0),"",SUMIFS(Trato_Diario!$J$4:$J$300,Trato_Diario!$A$4:$A$300,$A122)/SUMIFS(Trato_Diario!$G$4:$G$300,Trato_Diario!$A$4:$A$300,$A122))</f>
        <v/>
      </c>
    </row>
    <row r="123" spans="1:12" ht="14.25" customHeight="1" x14ac:dyDescent="0.3">
      <c r="A123" s="85">
        <v>46332</v>
      </c>
      <c r="B123" s="26" t="str">
        <f>IF(OR($A123&gt;MAX(Trato_Diario!$A$4:$A$300),SUMIFS(Trato_Diario!$G$4:$G$300,Trato_Diario!$B$4:$B$300,1,Trato_Diario!$A$4:$A$300,$A123)=0),"",SUMIFS(Trato_Diario!$J$4:$J$300,Trato_Diario!$B$4:$B$300,1,Trato_Diario!$A$4:$A$300,$A123)/SUMIFS(Trato_Diario!$G$4:$G$300,Trato_Diario!$B$4:$B$300,1,Trato_Diario!$A$4:$A$300,$A123))</f>
        <v/>
      </c>
      <c r="C123" s="26" t="str">
        <f>IF(OR($A123&gt;MAX(Trato_Diario!$A$4:$A$300),SUMIFS(Trato_Diario!$G$4:$G$300,Trato_Diario!$B$4:$B$300,2,Trato_Diario!$A$4:$A$300,$A123)=0),"",SUMIFS(Trato_Diario!$J$4:$J$300,Trato_Diario!$B$4:$B$300,2,Trato_Diario!$A$4:$A$300,$A123)/SUMIFS(Trato_Diario!$G$4:$G$300,Trato_Diario!$B$4:$B$300,2,Trato_Diario!$A$4:$A$300,$A123))</f>
        <v/>
      </c>
      <c r="D123" s="26" t="str">
        <f>IF(OR($A123&gt;MAX(Trato_Diario!$A$4:$A$300),SUMIFS(Trato_Diario!$G$4:$G$300,Trato_Diario!$B$4:$B$300,3,Trato_Diario!$A$4:$A$300,$A123)=0),"",SUMIFS(Trato_Diario!$J$4:$J$300,Trato_Diario!$B$4:$B$300,3,Trato_Diario!$A$4:$A$300,$A123)/SUMIFS(Trato_Diario!$G$4:$G$300,Trato_Diario!$B$4:$B$300,3,Trato_Diario!$A$4:$A$300,$A123))</f>
        <v/>
      </c>
      <c r="E123" s="26" t="str">
        <f>IF(OR($A123&gt;MAX(Trato_Diario!$A$4:$A$300),SUMIFS(Trato_Diario!$G$4:$G$300,Trato_Diario!$B$4:$B$300,4,Trato_Diario!$A$4:$A$300,$A123)=0),"",SUMIFS(Trato_Diario!$J$4:$J$300,Trato_Diario!$B$4:$B$300,4,Trato_Diario!$A$4:$A$300,$A123)/SUMIFS(Trato_Diario!$G$4:$G$300,Trato_Diario!$B$4:$B$300,4,Trato_Diario!$A$4:$A$300,$A123))</f>
        <v/>
      </c>
      <c r="F123" s="26" t="str">
        <f>IF(OR($A123&gt;MAX(Trato_Diario!$A$4:$A$300),SUMIFS(Trato_Diario!$G$4:$G$300,Trato_Diario!$B$4:$B$300,5,Trato_Diario!$A$4:$A$300,$A123)=0),"",SUMIFS(Trato_Diario!$J$4:$J$300,Trato_Diario!$B$4:$B$300,5,Trato_Diario!$A$4:$A$300,$A123)/SUMIFS(Trato_Diario!$G$4:$G$300,Trato_Diario!$B$4:$B$300,5,Trato_Diario!$A$4:$A$300,$A123))</f>
        <v/>
      </c>
      <c r="G123" s="26" t="str">
        <f>IF(OR($A123&gt;MAX(Trato_Diario!$A$4:$A$300),SUMIFS(Trato_Diario!$G$4:$G$300,Trato_Diario!$B$4:$B$300,6,Trato_Diario!$A$4:$A$300,$A123)=0),"",SUMIFS(Trato_Diario!$J$4:$J$300,Trato_Diario!$B$4:$B$300,6,Trato_Diario!$A$4:$A$300,$A123)/SUMIFS(Trato_Diario!$G$4:$G$300,Trato_Diario!$B$4:$B$300,6,Trato_Diario!$A$4:$A$300,$A123))</f>
        <v/>
      </c>
      <c r="H123" s="26" t="str">
        <f>IF(OR($A123&gt;MAX(Trato_Diario!$A$4:$A$300),SUMIFS(Trato_Diario!$G$4:$G$300,Trato_Diario!$B$4:$B$300,7,Trato_Diario!$A$4:$A$300,$A123)=0),"",SUMIFS(Trato_Diario!$J$4:$J$300,Trato_Diario!$B$4:$B$300,7,Trato_Diario!$A$4:$A$300,$A123)/SUMIFS(Trato_Diario!$G$4:$G$300,Trato_Diario!$B$4:$B$300,7,Trato_Diario!$A$4:$A$300,$A123))</f>
        <v/>
      </c>
      <c r="I123" s="26" t="str">
        <f>IF(OR($A123&gt;MAX(Trato_Diario!$A$4:$A$300),SUMIFS(Trato_Diario!$G$4:$G$300,Trato_Diario!$B$4:$B$300,8,Trato_Diario!$A$4:$A$300,$A123)=0),"",SUMIFS(Trato_Diario!$J$4:$J$300,Trato_Diario!$B$4:$B$300,8,Trato_Diario!$A$4:$A$300,$A123)/SUMIFS(Trato_Diario!$G$4:$G$300,Trato_Diario!$B$4:$B$300,8,Trato_Diario!$A$4:$A$300,$A123))</f>
        <v/>
      </c>
      <c r="J123" s="26" t="str">
        <f>IF(OR($A123&gt;MAX(Trato_Diario!$A$4:$A$300),SUMIFS(Trato_Diario!$G$4:$G$300,Trato_Diario!$B$4:$B$300,9,Trato_Diario!$A$4:$A$300,$A123)=0),"",SUMIFS(Trato_Diario!$J$4:$J$300,Trato_Diario!$B$4:$B$300,9,Trato_Diario!$A$4:$A$300,$A123)/SUMIFS(Trato_Diario!$G$4:$G$300,Trato_Diario!$B$4:$B$300,9,Trato_Diario!$A$4:$A$300,$A123))</f>
        <v/>
      </c>
      <c r="K123" s="26" t="str">
        <f>IF(OR($A123&gt;MAX(Trato_Diario!$A$4:$A$300),SUMIFS(Trato_Diario!$G$4:$G$300,Trato_Diario!$B$4:$B$300,10,Trato_Diario!$A$4:$A$300,$A123)=0),"",SUMIFS(Trato_Diario!$J$4:$J$300,Trato_Diario!$B$4:$B$300,10,Trato_Diario!$A$4:$A$300,$A123)/SUMIFS(Trato_Diario!$G$4:$G$300,Trato_Diario!$B$4:$B$300,10,Trato_Diario!$A$4:$A$300,$A123))</f>
        <v/>
      </c>
      <c r="L123" s="74" t="str">
        <f>IF(OR($A123&gt;MAX(Trato_Diario!$A$4:$A$300),SUMIFS(Trato_Diario!$G$4:$G$300,Trato_Diario!$A$4:$A$300,$A123)=0),"",SUMIFS(Trato_Diario!$J$4:$J$300,Trato_Diario!$A$4:$A$300,$A123)/SUMIFS(Trato_Diario!$G$4:$G$300,Trato_Diario!$A$4:$A$300,$A123))</f>
        <v/>
      </c>
    </row>
    <row r="124" spans="1:12" ht="14.25" customHeight="1" x14ac:dyDescent="0.3">
      <c r="A124" s="86">
        <v>46333</v>
      </c>
      <c r="B124" s="28" t="str">
        <f>IF(OR($A124&gt;MAX(Trato_Diario!$A$4:$A$300),SUMIFS(Trato_Diario!$G$4:$G$300,Trato_Diario!$B$4:$B$300,1,Trato_Diario!$A$4:$A$300,$A124)=0),"",SUMIFS(Trato_Diario!$J$4:$J$300,Trato_Diario!$B$4:$B$300,1,Trato_Diario!$A$4:$A$300,$A124)/SUMIFS(Trato_Diario!$G$4:$G$300,Trato_Diario!$B$4:$B$300,1,Trato_Diario!$A$4:$A$300,$A124))</f>
        <v/>
      </c>
      <c r="C124" s="28" t="str">
        <f>IF(OR($A124&gt;MAX(Trato_Diario!$A$4:$A$300),SUMIFS(Trato_Diario!$G$4:$G$300,Trato_Diario!$B$4:$B$300,2,Trato_Diario!$A$4:$A$300,$A124)=0),"",SUMIFS(Trato_Diario!$J$4:$J$300,Trato_Diario!$B$4:$B$300,2,Trato_Diario!$A$4:$A$300,$A124)/SUMIFS(Trato_Diario!$G$4:$G$300,Trato_Diario!$B$4:$B$300,2,Trato_Diario!$A$4:$A$300,$A124))</f>
        <v/>
      </c>
      <c r="D124" s="28" t="str">
        <f>IF(OR($A124&gt;MAX(Trato_Diario!$A$4:$A$300),SUMIFS(Trato_Diario!$G$4:$G$300,Trato_Diario!$B$4:$B$300,3,Trato_Diario!$A$4:$A$300,$A124)=0),"",SUMIFS(Trato_Diario!$J$4:$J$300,Trato_Diario!$B$4:$B$300,3,Trato_Diario!$A$4:$A$300,$A124)/SUMIFS(Trato_Diario!$G$4:$G$300,Trato_Diario!$B$4:$B$300,3,Trato_Diario!$A$4:$A$300,$A124))</f>
        <v/>
      </c>
      <c r="E124" s="28" t="str">
        <f>IF(OR($A124&gt;MAX(Trato_Diario!$A$4:$A$300),SUMIFS(Trato_Diario!$G$4:$G$300,Trato_Diario!$B$4:$B$300,4,Trato_Diario!$A$4:$A$300,$A124)=0),"",SUMIFS(Trato_Diario!$J$4:$J$300,Trato_Diario!$B$4:$B$300,4,Trato_Diario!$A$4:$A$300,$A124)/SUMIFS(Trato_Diario!$G$4:$G$300,Trato_Diario!$B$4:$B$300,4,Trato_Diario!$A$4:$A$300,$A124))</f>
        <v/>
      </c>
      <c r="F124" s="28" t="str">
        <f>IF(OR($A124&gt;MAX(Trato_Diario!$A$4:$A$300),SUMIFS(Trato_Diario!$G$4:$G$300,Trato_Diario!$B$4:$B$300,5,Trato_Diario!$A$4:$A$300,$A124)=0),"",SUMIFS(Trato_Diario!$J$4:$J$300,Trato_Diario!$B$4:$B$300,5,Trato_Diario!$A$4:$A$300,$A124)/SUMIFS(Trato_Diario!$G$4:$G$300,Trato_Diario!$B$4:$B$300,5,Trato_Diario!$A$4:$A$300,$A124))</f>
        <v/>
      </c>
      <c r="G124" s="28" t="str">
        <f>IF(OR($A124&gt;MAX(Trato_Diario!$A$4:$A$300),SUMIFS(Trato_Diario!$G$4:$G$300,Trato_Diario!$B$4:$B$300,6,Trato_Diario!$A$4:$A$300,$A124)=0),"",SUMIFS(Trato_Diario!$J$4:$J$300,Trato_Diario!$B$4:$B$300,6,Trato_Diario!$A$4:$A$300,$A124)/SUMIFS(Trato_Diario!$G$4:$G$300,Trato_Diario!$B$4:$B$300,6,Trato_Diario!$A$4:$A$300,$A124))</f>
        <v/>
      </c>
      <c r="H124" s="28" t="str">
        <f>IF(OR($A124&gt;MAX(Trato_Diario!$A$4:$A$300),SUMIFS(Trato_Diario!$G$4:$G$300,Trato_Diario!$B$4:$B$300,7,Trato_Diario!$A$4:$A$300,$A124)=0),"",SUMIFS(Trato_Diario!$J$4:$J$300,Trato_Diario!$B$4:$B$300,7,Trato_Diario!$A$4:$A$300,$A124)/SUMIFS(Trato_Diario!$G$4:$G$300,Trato_Diario!$B$4:$B$300,7,Trato_Diario!$A$4:$A$300,$A124))</f>
        <v/>
      </c>
      <c r="I124" s="28" t="str">
        <f>IF(OR($A124&gt;MAX(Trato_Diario!$A$4:$A$300),SUMIFS(Trato_Diario!$G$4:$G$300,Trato_Diario!$B$4:$B$300,8,Trato_Diario!$A$4:$A$300,$A124)=0),"",SUMIFS(Trato_Diario!$J$4:$J$300,Trato_Diario!$B$4:$B$300,8,Trato_Diario!$A$4:$A$300,$A124)/SUMIFS(Trato_Diario!$G$4:$G$300,Trato_Diario!$B$4:$B$300,8,Trato_Diario!$A$4:$A$300,$A124))</f>
        <v/>
      </c>
      <c r="J124" s="28" t="str">
        <f>IF(OR($A124&gt;MAX(Trato_Diario!$A$4:$A$300),SUMIFS(Trato_Diario!$G$4:$G$300,Trato_Diario!$B$4:$B$300,9,Trato_Diario!$A$4:$A$300,$A124)=0),"",SUMIFS(Trato_Diario!$J$4:$J$300,Trato_Diario!$B$4:$B$300,9,Trato_Diario!$A$4:$A$300,$A124)/SUMIFS(Trato_Diario!$G$4:$G$300,Trato_Diario!$B$4:$B$300,9,Trato_Diario!$A$4:$A$300,$A124))</f>
        <v/>
      </c>
      <c r="K124" s="28" t="str">
        <f>IF(OR($A124&gt;MAX(Trato_Diario!$A$4:$A$300),SUMIFS(Trato_Diario!$G$4:$G$300,Trato_Diario!$B$4:$B$300,10,Trato_Diario!$A$4:$A$300,$A124)=0),"",SUMIFS(Trato_Diario!$J$4:$J$300,Trato_Diario!$B$4:$B$300,10,Trato_Diario!$A$4:$A$300,$A124)/SUMIFS(Trato_Diario!$G$4:$G$300,Trato_Diario!$B$4:$B$300,10,Trato_Diario!$A$4:$A$300,$A124))</f>
        <v/>
      </c>
      <c r="L124" s="76" t="str">
        <f>IF(OR($A124&gt;MAX(Trato_Diario!$A$4:$A$300),SUMIFS(Trato_Diario!$G$4:$G$300,Trato_Diario!$A$4:$A$300,$A124)=0),"",SUMIFS(Trato_Diario!$J$4:$J$300,Trato_Diario!$A$4:$A$300,$A124)/SUMIFS(Trato_Diario!$G$4:$G$300,Trato_Diario!$A$4:$A$300,$A124))</f>
        <v/>
      </c>
    </row>
    <row r="125" spans="1:12" ht="14.25" customHeight="1" x14ac:dyDescent="0.3">
      <c r="A125" s="85">
        <v>46334</v>
      </c>
      <c r="B125" s="26" t="str">
        <f>IF(OR($A125&gt;MAX(Trato_Diario!$A$4:$A$300),SUMIFS(Trato_Diario!$G$4:$G$300,Trato_Diario!$B$4:$B$300,1,Trato_Diario!$A$4:$A$300,$A125)=0),"",SUMIFS(Trato_Diario!$J$4:$J$300,Trato_Diario!$B$4:$B$300,1,Trato_Diario!$A$4:$A$300,$A125)/SUMIFS(Trato_Diario!$G$4:$G$300,Trato_Diario!$B$4:$B$300,1,Trato_Diario!$A$4:$A$300,$A125))</f>
        <v/>
      </c>
      <c r="C125" s="26" t="str">
        <f>IF(OR($A125&gt;MAX(Trato_Diario!$A$4:$A$300),SUMIFS(Trato_Diario!$G$4:$G$300,Trato_Diario!$B$4:$B$300,2,Trato_Diario!$A$4:$A$300,$A125)=0),"",SUMIFS(Trato_Diario!$J$4:$J$300,Trato_Diario!$B$4:$B$300,2,Trato_Diario!$A$4:$A$300,$A125)/SUMIFS(Trato_Diario!$G$4:$G$300,Trato_Diario!$B$4:$B$300,2,Trato_Diario!$A$4:$A$300,$A125))</f>
        <v/>
      </c>
      <c r="D125" s="26" t="str">
        <f>IF(OR($A125&gt;MAX(Trato_Diario!$A$4:$A$300),SUMIFS(Trato_Diario!$G$4:$G$300,Trato_Diario!$B$4:$B$300,3,Trato_Diario!$A$4:$A$300,$A125)=0),"",SUMIFS(Trato_Diario!$J$4:$J$300,Trato_Diario!$B$4:$B$300,3,Trato_Diario!$A$4:$A$300,$A125)/SUMIFS(Trato_Diario!$G$4:$G$300,Trato_Diario!$B$4:$B$300,3,Trato_Diario!$A$4:$A$300,$A125))</f>
        <v/>
      </c>
      <c r="E125" s="26" t="str">
        <f>IF(OR($A125&gt;MAX(Trato_Diario!$A$4:$A$300),SUMIFS(Trato_Diario!$G$4:$G$300,Trato_Diario!$B$4:$B$300,4,Trato_Diario!$A$4:$A$300,$A125)=0),"",SUMIFS(Trato_Diario!$J$4:$J$300,Trato_Diario!$B$4:$B$300,4,Trato_Diario!$A$4:$A$300,$A125)/SUMIFS(Trato_Diario!$G$4:$G$300,Trato_Diario!$B$4:$B$300,4,Trato_Diario!$A$4:$A$300,$A125))</f>
        <v/>
      </c>
      <c r="F125" s="26" t="str">
        <f>IF(OR($A125&gt;MAX(Trato_Diario!$A$4:$A$300),SUMIFS(Trato_Diario!$G$4:$G$300,Trato_Diario!$B$4:$B$300,5,Trato_Diario!$A$4:$A$300,$A125)=0),"",SUMIFS(Trato_Diario!$J$4:$J$300,Trato_Diario!$B$4:$B$300,5,Trato_Diario!$A$4:$A$300,$A125)/SUMIFS(Trato_Diario!$G$4:$G$300,Trato_Diario!$B$4:$B$300,5,Trato_Diario!$A$4:$A$300,$A125))</f>
        <v/>
      </c>
      <c r="G125" s="26" t="str">
        <f>IF(OR($A125&gt;MAX(Trato_Diario!$A$4:$A$300),SUMIFS(Trato_Diario!$G$4:$G$300,Trato_Diario!$B$4:$B$300,6,Trato_Diario!$A$4:$A$300,$A125)=0),"",SUMIFS(Trato_Diario!$J$4:$J$300,Trato_Diario!$B$4:$B$300,6,Trato_Diario!$A$4:$A$300,$A125)/SUMIFS(Trato_Diario!$G$4:$G$300,Trato_Diario!$B$4:$B$300,6,Trato_Diario!$A$4:$A$300,$A125))</f>
        <v/>
      </c>
      <c r="H125" s="26" t="str">
        <f>IF(OR($A125&gt;MAX(Trato_Diario!$A$4:$A$300),SUMIFS(Trato_Diario!$G$4:$G$300,Trato_Diario!$B$4:$B$300,7,Trato_Diario!$A$4:$A$300,$A125)=0),"",SUMIFS(Trato_Diario!$J$4:$J$300,Trato_Diario!$B$4:$B$300,7,Trato_Diario!$A$4:$A$300,$A125)/SUMIFS(Trato_Diario!$G$4:$G$300,Trato_Diario!$B$4:$B$300,7,Trato_Diario!$A$4:$A$300,$A125))</f>
        <v/>
      </c>
      <c r="I125" s="26" t="str">
        <f>IF(OR($A125&gt;MAX(Trato_Diario!$A$4:$A$300),SUMIFS(Trato_Diario!$G$4:$G$300,Trato_Diario!$B$4:$B$300,8,Trato_Diario!$A$4:$A$300,$A125)=0),"",SUMIFS(Trato_Diario!$J$4:$J$300,Trato_Diario!$B$4:$B$300,8,Trato_Diario!$A$4:$A$300,$A125)/SUMIFS(Trato_Diario!$G$4:$G$300,Trato_Diario!$B$4:$B$300,8,Trato_Diario!$A$4:$A$300,$A125))</f>
        <v/>
      </c>
      <c r="J125" s="26" t="str">
        <f>IF(OR($A125&gt;MAX(Trato_Diario!$A$4:$A$300),SUMIFS(Trato_Diario!$G$4:$G$300,Trato_Diario!$B$4:$B$300,9,Trato_Diario!$A$4:$A$300,$A125)=0),"",SUMIFS(Trato_Diario!$J$4:$J$300,Trato_Diario!$B$4:$B$300,9,Trato_Diario!$A$4:$A$300,$A125)/SUMIFS(Trato_Diario!$G$4:$G$300,Trato_Diario!$B$4:$B$300,9,Trato_Diario!$A$4:$A$300,$A125))</f>
        <v/>
      </c>
      <c r="K125" s="26" t="str">
        <f>IF(OR($A125&gt;MAX(Trato_Diario!$A$4:$A$300),SUMIFS(Trato_Diario!$G$4:$G$300,Trato_Diario!$B$4:$B$300,10,Trato_Diario!$A$4:$A$300,$A125)=0),"",SUMIFS(Trato_Diario!$J$4:$J$300,Trato_Diario!$B$4:$B$300,10,Trato_Diario!$A$4:$A$300,$A125)/SUMIFS(Trato_Diario!$G$4:$G$300,Trato_Diario!$B$4:$B$300,10,Trato_Diario!$A$4:$A$300,$A125))</f>
        <v/>
      </c>
      <c r="L125" s="74" t="str">
        <f>IF(OR($A125&gt;MAX(Trato_Diario!$A$4:$A$300),SUMIFS(Trato_Diario!$G$4:$G$300,Trato_Diario!$A$4:$A$300,$A125)=0),"",SUMIFS(Trato_Diario!$J$4:$J$300,Trato_Diario!$A$4:$A$300,$A125)/SUMIFS(Trato_Diario!$G$4:$G$300,Trato_Diario!$A$4:$A$300,$A125))</f>
        <v/>
      </c>
    </row>
    <row r="126" spans="1:12" ht="14.25" customHeight="1" x14ac:dyDescent="0.3">
      <c r="A126" s="86">
        <v>46335</v>
      </c>
      <c r="B126" s="28" t="str">
        <f>IF(OR($A126&gt;MAX(Trato_Diario!$A$4:$A$300),SUMIFS(Trato_Diario!$G$4:$G$300,Trato_Diario!$B$4:$B$300,1,Trato_Diario!$A$4:$A$300,$A126)=0),"",SUMIFS(Trato_Diario!$J$4:$J$300,Trato_Diario!$B$4:$B$300,1,Trato_Diario!$A$4:$A$300,$A126)/SUMIFS(Trato_Diario!$G$4:$G$300,Trato_Diario!$B$4:$B$300,1,Trato_Diario!$A$4:$A$300,$A126))</f>
        <v/>
      </c>
      <c r="C126" s="28" t="str">
        <f>IF(OR($A126&gt;MAX(Trato_Diario!$A$4:$A$300),SUMIFS(Trato_Diario!$G$4:$G$300,Trato_Diario!$B$4:$B$300,2,Trato_Diario!$A$4:$A$300,$A126)=0),"",SUMIFS(Trato_Diario!$J$4:$J$300,Trato_Diario!$B$4:$B$300,2,Trato_Diario!$A$4:$A$300,$A126)/SUMIFS(Trato_Diario!$G$4:$G$300,Trato_Diario!$B$4:$B$300,2,Trato_Diario!$A$4:$A$300,$A126))</f>
        <v/>
      </c>
      <c r="D126" s="28" t="str">
        <f>IF(OR($A126&gt;MAX(Trato_Diario!$A$4:$A$300),SUMIFS(Trato_Diario!$G$4:$G$300,Trato_Diario!$B$4:$B$300,3,Trato_Diario!$A$4:$A$300,$A126)=0),"",SUMIFS(Trato_Diario!$J$4:$J$300,Trato_Diario!$B$4:$B$300,3,Trato_Diario!$A$4:$A$300,$A126)/SUMIFS(Trato_Diario!$G$4:$G$300,Trato_Diario!$B$4:$B$300,3,Trato_Diario!$A$4:$A$300,$A126))</f>
        <v/>
      </c>
      <c r="E126" s="28" t="str">
        <f>IF(OR($A126&gt;MAX(Trato_Diario!$A$4:$A$300),SUMIFS(Trato_Diario!$G$4:$G$300,Trato_Diario!$B$4:$B$300,4,Trato_Diario!$A$4:$A$300,$A126)=0),"",SUMIFS(Trato_Diario!$J$4:$J$300,Trato_Diario!$B$4:$B$300,4,Trato_Diario!$A$4:$A$300,$A126)/SUMIFS(Trato_Diario!$G$4:$G$300,Trato_Diario!$B$4:$B$300,4,Trato_Diario!$A$4:$A$300,$A126))</f>
        <v/>
      </c>
      <c r="F126" s="28" t="str">
        <f>IF(OR($A126&gt;MAX(Trato_Diario!$A$4:$A$300),SUMIFS(Trato_Diario!$G$4:$G$300,Trato_Diario!$B$4:$B$300,5,Trato_Diario!$A$4:$A$300,$A126)=0),"",SUMIFS(Trato_Diario!$J$4:$J$300,Trato_Diario!$B$4:$B$300,5,Trato_Diario!$A$4:$A$300,$A126)/SUMIFS(Trato_Diario!$G$4:$G$300,Trato_Diario!$B$4:$B$300,5,Trato_Diario!$A$4:$A$300,$A126))</f>
        <v/>
      </c>
      <c r="G126" s="28" t="str">
        <f>IF(OR($A126&gt;MAX(Trato_Diario!$A$4:$A$300),SUMIFS(Trato_Diario!$G$4:$G$300,Trato_Diario!$B$4:$B$300,6,Trato_Diario!$A$4:$A$300,$A126)=0),"",SUMIFS(Trato_Diario!$J$4:$J$300,Trato_Diario!$B$4:$B$300,6,Trato_Diario!$A$4:$A$300,$A126)/SUMIFS(Trato_Diario!$G$4:$G$300,Trato_Diario!$B$4:$B$300,6,Trato_Diario!$A$4:$A$300,$A126))</f>
        <v/>
      </c>
      <c r="H126" s="28" t="str">
        <f>IF(OR($A126&gt;MAX(Trato_Diario!$A$4:$A$300),SUMIFS(Trato_Diario!$G$4:$G$300,Trato_Diario!$B$4:$B$300,7,Trato_Diario!$A$4:$A$300,$A126)=0),"",SUMIFS(Trato_Diario!$J$4:$J$300,Trato_Diario!$B$4:$B$300,7,Trato_Diario!$A$4:$A$300,$A126)/SUMIFS(Trato_Diario!$G$4:$G$300,Trato_Diario!$B$4:$B$300,7,Trato_Diario!$A$4:$A$300,$A126))</f>
        <v/>
      </c>
      <c r="I126" s="28" t="str">
        <f>IF(OR($A126&gt;MAX(Trato_Diario!$A$4:$A$300),SUMIFS(Trato_Diario!$G$4:$G$300,Trato_Diario!$B$4:$B$300,8,Trato_Diario!$A$4:$A$300,$A126)=0),"",SUMIFS(Trato_Diario!$J$4:$J$300,Trato_Diario!$B$4:$B$300,8,Trato_Diario!$A$4:$A$300,$A126)/SUMIFS(Trato_Diario!$G$4:$G$300,Trato_Diario!$B$4:$B$300,8,Trato_Diario!$A$4:$A$300,$A126))</f>
        <v/>
      </c>
      <c r="J126" s="28" t="str">
        <f>IF(OR($A126&gt;MAX(Trato_Diario!$A$4:$A$300),SUMIFS(Trato_Diario!$G$4:$G$300,Trato_Diario!$B$4:$B$300,9,Trato_Diario!$A$4:$A$300,$A126)=0),"",SUMIFS(Trato_Diario!$J$4:$J$300,Trato_Diario!$B$4:$B$300,9,Trato_Diario!$A$4:$A$300,$A126)/SUMIFS(Trato_Diario!$G$4:$G$300,Trato_Diario!$B$4:$B$300,9,Trato_Diario!$A$4:$A$300,$A126))</f>
        <v/>
      </c>
      <c r="K126" s="28" t="str">
        <f>IF(OR($A126&gt;MAX(Trato_Diario!$A$4:$A$300),SUMIFS(Trato_Diario!$G$4:$G$300,Trato_Diario!$B$4:$B$300,10,Trato_Diario!$A$4:$A$300,$A126)=0),"",SUMIFS(Trato_Diario!$J$4:$J$300,Trato_Diario!$B$4:$B$300,10,Trato_Diario!$A$4:$A$300,$A126)/SUMIFS(Trato_Diario!$G$4:$G$300,Trato_Diario!$B$4:$B$300,10,Trato_Diario!$A$4:$A$300,$A126))</f>
        <v/>
      </c>
      <c r="L126" s="76" t="str">
        <f>IF(OR($A126&gt;MAX(Trato_Diario!$A$4:$A$300),SUMIFS(Trato_Diario!$G$4:$G$300,Trato_Diario!$A$4:$A$300,$A126)=0),"",SUMIFS(Trato_Diario!$J$4:$J$300,Trato_Diario!$A$4:$A$300,$A126)/SUMIFS(Trato_Diario!$G$4:$G$300,Trato_Diario!$A$4:$A$300,$A126))</f>
        <v/>
      </c>
    </row>
    <row r="127" spans="1:12" ht="14.25" customHeight="1" x14ac:dyDescent="0.3">
      <c r="A127" s="85">
        <v>46336</v>
      </c>
      <c r="B127" s="26" t="str">
        <f>IF(OR($A127&gt;MAX(Trato_Diario!$A$4:$A$300),SUMIFS(Trato_Diario!$G$4:$G$300,Trato_Diario!$B$4:$B$300,1,Trato_Diario!$A$4:$A$300,$A127)=0),"",SUMIFS(Trato_Diario!$J$4:$J$300,Trato_Diario!$B$4:$B$300,1,Trato_Diario!$A$4:$A$300,$A127)/SUMIFS(Trato_Diario!$G$4:$G$300,Trato_Diario!$B$4:$B$300,1,Trato_Diario!$A$4:$A$300,$A127))</f>
        <v/>
      </c>
      <c r="C127" s="26" t="str">
        <f>IF(OR($A127&gt;MAX(Trato_Diario!$A$4:$A$300),SUMIFS(Trato_Diario!$G$4:$G$300,Trato_Diario!$B$4:$B$300,2,Trato_Diario!$A$4:$A$300,$A127)=0),"",SUMIFS(Trato_Diario!$J$4:$J$300,Trato_Diario!$B$4:$B$300,2,Trato_Diario!$A$4:$A$300,$A127)/SUMIFS(Trato_Diario!$G$4:$G$300,Trato_Diario!$B$4:$B$300,2,Trato_Diario!$A$4:$A$300,$A127))</f>
        <v/>
      </c>
      <c r="D127" s="26" t="str">
        <f>IF(OR($A127&gt;MAX(Trato_Diario!$A$4:$A$300),SUMIFS(Trato_Diario!$G$4:$G$300,Trato_Diario!$B$4:$B$300,3,Trato_Diario!$A$4:$A$300,$A127)=0),"",SUMIFS(Trato_Diario!$J$4:$J$300,Trato_Diario!$B$4:$B$300,3,Trato_Diario!$A$4:$A$300,$A127)/SUMIFS(Trato_Diario!$G$4:$G$300,Trato_Diario!$B$4:$B$300,3,Trato_Diario!$A$4:$A$300,$A127))</f>
        <v/>
      </c>
      <c r="E127" s="26" t="str">
        <f>IF(OR($A127&gt;MAX(Trato_Diario!$A$4:$A$300),SUMIFS(Trato_Diario!$G$4:$G$300,Trato_Diario!$B$4:$B$300,4,Trato_Diario!$A$4:$A$300,$A127)=0),"",SUMIFS(Trato_Diario!$J$4:$J$300,Trato_Diario!$B$4:$B$300,4,Trato_Diario!$A$4:$A$300,$A127)/SUMIFS(Trato_Diario!$G$4:$G$300,Trato_Diario!$B$4:$B$300,4,Trato_Diario!$A$4:$A$300,$A127))</f>
        <v/>
      </c>
      <c r="F127" s="26" t="str">
        <f>IF(OR($A127&gt;MAX(Trato_Diario!$A$4:$A$300),SUMIFS(Trato_Diario!$G$4:$G$300,Trato_Diario!$B$4:$B$300,5,Trato_Diario!$A$4:$A$300,$A127)=0),"",SUMIFS(Trato_Diario!$J$4:$J$300,Trato_Diario!$B$4:$B$300,5,Trato_Diario!$A$4:$A$300,$A127)/SUMIFS(Trato_Diario!$G$4:$G$300,Trato_Diario!$B$4:$B$300,5,Trato_Diario!$A$4:$A$300,$A127))</f>
        <v/>
      </c>
      <c r="G127" s="26" t="str">
        <f>IF(OR($A127&gt;MAX(Trato_Diario!$A$4:$A$300),SUMIFS(Trato_Diario!$G$4:$G$300,Trato_Diario!$B$4:$B$300,6,Trato_Diario!$A$4:$A$300,$A127)=0),"",SUMIFS(Trato_Diario!$J$4:$J$300,Trato_Diario!$B$4:$B$300,6,Trato_Diario!$A$4:$A$300,$A127)/SUMIFS(Trato_Diario!$G$4:$G$300,Trato_Diario!$B$4:$B$300,6,Trato_Diario!$A$4:$A$300,$A127))</f>
        <v/>
      </c>
      <c r="H127" s="26" t="str">
        <f>IF(OR($A127&gt;MAX(Trato_Diario!$A$4:$A$300),SUMIFS(Trato_Diario!$G$4:$G$300,Trato_Diario!$B$4:$B$300,7,Trato_Diario!$A$4:$A$300,$A127)=0),"",SUMIFS(Trato_Diario!$J$4:$J$300,Trato_Diario!$B$4:$B$300,7,Trato_Diario!$A$4:$A$300,$A127)/SUMIFS(Trato_Diario!$G$4:$G$300,Trato_Diario!$B$4:$B$300,7,Trato_Diario!$A$4:$A$300,$A127))</f>
        <v/>
      </c>
      <c r="I127" s="26" t="str">
        <f>IF(OR($A127&gt;MAX(Trato_Diario!$A$4:$A$300),SUMIFS(Trato_Diario!$G$4:$G$300,Trato_Diario!$B$4:$B$300,8,Trato_Diario!$A$4:$A$300,$A127)=0),"",SUMIFS(Trato_Diario!$J$4:$J$300,Trato_Diario!$B$4:$B$300,8,Trato_Diario!$A$4:$A$300,$A127)/SUMIFS(Trato_Diario!$G$4:$G$300,Trato_Diario!$B$4:$B$300,8,Trato_Diario!$A$4:$A$300,$A127))</f>
        <v/>
      </c>
      <c r="J127" s="26" t="str">
        <f>IF(OR($A127&gt;MAX(Trato_Diario!$A$4:$A$300),SUMIFS(Trato_Diario!$G$4:$G$300,Trato_Diario!$B$4:$B$300,9,Trato_Diario!$A$4:$A$300,$A127)=0),"",SUMIFS(Trato_Diario!$J$4:$J$300,Trato_Diario!$B$4:$B$300,9,Trato_Diario!$A$4:$A$300,$A127)/SUMIFS(Trato_Diario!$G$4:$G$300,Trato_Diario!$B$4:$B$300,9,Trato_Diario!$A$4:$A$300,$A127))</f>
        <v/>
      </c>
      <c r="K127" s="26" t="str">
        <f>IF(OR($A127&gt;MAX(Trato_Diario!$A$4:$A$300),SUMIFS(Trato_Diario!$G$4:$G$300,Trato_Diario!$B$4:$B$300,10,Trato_Diario!$A$4:$A$300,$A127)=0),"",SUMIFS(Trato_Diario!$J$4:$J$300,Trato_Diario!$B$4:$B$300,10,Trato_Diario!$A$4:$A$300,$A127)/SUMIFS(Trato_Diario!$G$4:$G$300,Trato_Diario!$B$4:$B$300,10,Trato_Diario!$A$4:$A$300,$A127))</f>
        <v/>
      </c>
      <c r="L127" s="74" t="str">
        <f>IF(OR($A127&gt;MAX(Trato_Diario!$A$4:$A$300),SUMIFS(Trato_Diario!$G$4:$G$300,Trato_Diario!$A$4:$A$300,$A127)=0),"",SUMIFS(Trato_Diario!$J$4:$J$300,Trato_Diario!$A$4:$A$300,$A127)/SUMIFS(Trato_Diario!$G$4:$G$300,Trato_Diario!$A$4:$A$300,$A127))</f>
        <v/>
      </c>
    </row>
    <row r="128" spans="1:12" ht="14.25" customHeight="1" x14ac:dyDescent="0.3">
      <c r="A128" s="86">
        <v>46337</v>
      </c>
      <c r="B128" s="28" t="str">
        <f>IF(OR($A128&gt;MAX(Trato_Diario!$A$4:$A$300),SUMIFS(Trato_Diario!$G$4:$G$300,Trato_Diario!$B$4:$B$300,1,Trato_Diario!$A$4:$A$300,$A128)=0),"",SUMIFS(Trato_Diario!$J$4:$J$300,Trato_Diario!$B$4:$B$300,1,Trato_Diario!$A$4:$A$300,$A128)/SUMIFS(Trato_Diario!$G$4:$G$300,Trato_Diario!$B$4:$B$300,1,Trato_Diario!$A$4:$A$300,$A128))</f>
        <v/>
      </c>
      <c r="C128" s="28" t="str">
        <f>IF(OR($A128&gt;MAX(Trato_Diario!$A$4:$A$300),SUMIFS(Trato_Diario!$G$4:$G$300,Trato_Diario!$B$4:$B$300,2,Trato_Diario!$A$4:$A$300,$A128)=0),"",SUMIFS(Trato_Diario!$J$4:$J$300,Trato_Diario!$B$4:$B$300,2,Trato_Diario!$A$4:$A$300,$A128)/SUMIFS(Trato_Diario!$G$4:$G$300,Trato_Diario!$B$4:$B$300,2,Trato_Diario!$A$4:$A$300,$A128))</f>
        <v/>
      </c>
      <c r="D128" s="28" t="str">
        <f>IF(OR($A128&gt;MAX(Trato_Diario!$A$4:$A$300),SUMIFS(Trato_Diario!$G$4:$G$300,Trato_Diario!$B$4:$B$300,3,Trato_Diario!$A$4:$A$300,$A128)=0),"",SUMIFS(Trato_Diario!$J$4:$J$300,Trato_Diario!$B$4:$B$300,3,Trato_Diario!$A$4:$A$300,$A128)/SUMIFS(Trato_Diario!$G$4:$G$300,Trato_Diario!$B$4:$B$300,3,Trato_Diario!$A$4:$A$300,$A128))</f>
        <v/>
      </c>
      <c r="E128" s="28" t="str">
        <f>IF(OR($A128&gt;MAX(Trato_Diario!$A$4:$A$300),SUMIFS(Trato_Diario!$G$4:$G$300,Trato_Diario!$B$4:$B$300,4,Trato_Diario!$A$4:$A$300,$A128)=0),"",SUMIFS(Trato_Diario!$J$4:$J$300,Trato_Diario!$B$4:$B$300,4,Trato_Diario!$A$4:$A$300,$A128)/SUMIFS(Trato_Diario!$G$4:$G$300,Trato_Diario!$B$4:$B$300,4,Trato_Diario!$A$4:$A$300,$A128))</f>
        <v/>
      </c>
      <c r="F128" s="28" t="str">
        <f>IF(OR($A128&gt;MAX(Trato_Diario!$A$4:$A$300),SUMIFS(Trato_Diario!$G$4:$G$300,Trato_Diario!$B$4:$B$300,5,Trato_Diario!$A$4:$A$300,$A128)=0),"",SUMIFS(Trato_Diario!$J$4:$J$300,Trato_Diario!$B$4:$B$300,5,Trato_Diario!$A$4:$A$300,$A128)/SUMIFS(Trato_Diario!$G$4:$G$300,Trato_Diario!$B$4:$B$300,5,Trato_Diario!$A$4:$A$300,$A128))</f>
        <v/>
      </c>
      <c r="G128" s="28" t="str">
        <f>IF(OR($A128&gt;MAX(Trato_Diario!$A$4:$A$300),SUMIFS(Trato_Diario!$G$4:$G$300,Trato_Diario!$B$4:$B$300,6,Trato_Diario!$A$4:$A$300,$A128)=0),"",SUMIFS(Trato_Diario!$J$4:$J$300,Trato_Diario!$B$4:$B$300,6,Trato_Diario!$A$4:$A$300,$A128)/SUMIFS(Trato_Diario!$G$4:$G$300,Trato_Diario!$B$4:$B$300,6,Trato_Diario!$A$4:$A$300,$A128))</f>
        <v/>
      </c>
      <c r="H128" s="28" t="str">
        <f>IF(OR($A128&gt;MAX(Trato_Diario!$A$4:$A$300),SUMIFS(Trato_Diario!$G$4:$G$300,Trato_Diario!$B$4:$B$300,7,Trato_Diario!$A$4:$A$300,$A128)=0),"",SUMIFS(Trato_Diario!$J$4:$J$300,Trato_Diario!$B$4:$B$300,7,Trato_Diario!$A$4:$A$300,$A128)/SUMIFS(Trato_Diario!$G$4:$G$300,Trato_Diario!$B$4:$B$300,7,Trato_Diario!$A$4:$A$300,$A128))</f>
        <v/>
      </c>
      <c r="I128" s="28" t="str">
        <f>IF(OR($A128&gt;MAX(Trato_Diario!$A$4:$A$300),SUMIFS(Trato_Diario!$G$4:$G$300,Trato_Diario!$B$4:$B$300,8,Trato_Diario!$A$4:$A$300,$A128)=0),"",SUMIFS(Trato_Diario!$J$4:$J$300,Trato_Diario!$B$4:$B$300,8,Trato_Diario!$A$4:$A$300,$A128)/SUMIFS(Trato_Diario!$G$4:$G$300,Trato_Diario!$B$4:$B$300,8,Trato_Diario!$A$4:$A$300,$A128))</f>
        <v/>
      </c>
      <c r="J128" s="28" t="str">
        <f>IF(OR($A128&gt;MAX(Trato_Diario!$A$4:$A$300),SUMIFS(Trato_Diario!$G$4:$G$300,Trato_Diario!$B$4:$B$300,9,Trato_Diario!$A$4:$A$300,$A128)=0),"",SUMIFS(Trato_Diario!$J$4:$J$300,Trato_Diario!$B$4:$B$300,9,Trato_Diario!$A$4:$A$300,$A128)/SUMIFS(Trato_Diario!$G$4:$G$300,Trato_Diario!$B$4:$B$300,9,Trato_Diario!$A$4:$A$300,$A128))</f>
        <v/>
      </c>
      <c r="K128" s="28" t="str">
        <f>IF(OR($A128&gt;MAX(Trato_Diario!$A$4:$A$300),SUMIFS(Trato_Diario!$G$4:$G$300,Trato_Diario!$B$4:$B$300,10,Trato_Diario!$A$4:$A$300,$A128)=0),"",SUMIFS(Trato_Diario!$J$4:$J$300,Trato_Diario!$B$4:$B$300,10,Trato_Diario!$A$4:$A$300,$A128)/SUMIFS(Trato_Diario!$G$4:$G$300,Trato_Diario!$B$4:$B$300,10,Trato_Diario!$A$4:$A$300,$A128))</f>
        <v/>
      </c>
      <c r="L128" s="76" t="str">
        <f>IF(OR($A128&gt;MAX(Trato_Diario!$A$4:$A$300),SUMIFS(Trato_Diario!$G$4:$G$300,Trato_Diario!$A$4:$A$300,$A128)=0),"",SUMIFS(Trato_Diario!$J$4:$J$300,Trato_Diario!$A$4:$A$300,$A128)/SUMIFS(Trato_Diario!$G$4:$G$300,Trato_Diario!$A$4:$A$300,$A128))</f>
        <v/>
      </c>
    </row>
    <row r="129" spans="1:12" ht="14.25" customHeight="1" x14ac:dyDescent="0.3">
      <c r="A129" s="85">
        <v>46338</v>
      </c>
      <c r="B129" s="26" t="str">
        <f>IF(OR($A129&gt;MAX(Trato_Diario!$A$4:$A$300),SUMIFS(Trato_Diario!$G$4:$G$300,Trato_Diario!$B$4:$B$300,1,Trato_Diario!$A$4:$A$300,$A129)=0),"",SUMIFS(Trato_Diario!$J$4:$J$300,Trato_Diario!$B$4:$B$300,1,Trato_Diario!$A$4:$A$300,$A129)/SUMIFS(Trato_Diario!$G$4:$G$300,Trato_Diario!$B$4:$B$300,1,Trato_Diario!$A$4:$A$300,$A129))</f>
        <v/>
      </c>
      <c r="C129" s="26" t="str">
        <f>IF(OR($A129&gt;MAX(Trato_Diario!$A$4:$A$300),SUMIFS(Trato_Diario!$G$4:$G$300,Trato_Diario!$B$4:$B$300,2,Trato_Diario!$A$4:$A$300,$A129)=0),"",SUMIFS(Trato_Diario!$J$4:$J$300,Trato_Diario!$B$4:$B$300,2,Trato_Diario!$A$4:$A$300,$A129)/SUMIFS(Trato_Diario!$G$4:$G$300,Trato_Diario!$B$4:$B$300,2,Trato_Diario!$A$4:$A$300,$A129))</f>
        <v/>
      </c>
      <c r="D129" s="26" t="str">
        <f>IF(OR($A129&gt;MAX(Trato_Diario!$A$4:$A$300),SUMIFS(Trato_Diario!$G$4:$G$300,Trato_Diario!$B$4:$B$300,3,Trato_Diario!$A$4:$A$300,$A129)=0),"",SUMIFS(Trato_Diario!$J$4:$J$300,Trato_Diario!$B$4:$B$300,3,Trato_Diario!$A$4:$A$300,$A129)/SUMIFS(Trato_Diario!$G$4:$G$300,Trato_Diario!$B$4:$B$300,3,Trato_Diario!$A$4:$A$300,$A129))</f>
        <v/>
      </c>
      <c r="E129" s="26" t="str">
        <f>IF(OR($A129&gt;MAX(Trato_Diario!$A$4:$A$300),SUMIFS(Trato_Diario!$G$4:$G$300,Trato_Diario!$B$4:$B$300,4,Trato_Diario!$A$4:$A$300,$A129)=0),"",SUMIFS(Trato_Diario!$J$4:$J$300,Trato_Diario!$B$4:$B$300,4,Trato_Diario!$A$4:$A$300,$A129)/SUMIFS(Trato_Diario!$G$4:$G$300,Trato_Diario!$B$4:$B$300,4,Trato_Diario!$A$4:$A$300,$A129))</f>
        <v/>
      </c>
      <c r="F129" s="26" t="str">
        <f>IF(OR($A129&gt;MAX(Trato_Diario!$A$4:$A$300),SUMIFS(Trato_Diario!$G$4:$G$300,Trato_Diario!$B$4:$B$300,5,Trato_Diario!$A$4:$A$300,$A129)=0),"",SUMIFS(Trato_Diario!$J$4:$J$300,Trato_Diario!$B$4:$B$300,5,Trato_Diario!$A$4:$A$300,$A129)/SUMIFS(Trato_Diario!$G$4:$G$300,Trato_Diario!$B$4:$B$300,5,Trato_Diario!$A$4:$A$300,$A129))</f>
        <v/>
      </c>
      <c r="G129" s="26" t="str">
        <f>IF(OR($A129&gt;MAX(Trato_Diario!$A$4:$A$300),SUMIFS(Trato_Diario!$G$4:$G$300,Trato_Diario!$B$4:$B$300,6,Trato_Diario!$A$4:$A$300,$A129)=0),"",SUMIFS(Trato_Diario!$J$4:$J$300,Trato_Diario!$B$4:$B$300,6,Trato_Diario!$A$4:$A$300,$A129)/SUMIFS(Trato_Diario!$G$4:$G$300,Trato_Diario!$B$4:$B$300,6,Trato_Diario!$A$4:$A$300,$A129))</f>
        <v/>
      </c>
      <c r="H129" s="26" t="str">
        <f>IF(OR($A129&gt;MAX(Trato_Diario!$A$4:$A$300),SUMIFS(Trato_Diario!$G$4:$G$300,Trato_Diario!$B$4:$B$300,7,Trato_Diario!$A$4:$A$300,$A129)=0),"",SUMIFS(Trato_Diario!$J$4:$J$300,Trato_Diario!$B$4:$B$300,7,Trato_Diario!$A$4:$A$300,$A129)/SUMIFS(Trato_Diario!$G$4:$G$300,Trato_Diario!$B$4:$B$300,7,Trato_Diario!$A$4:$A$300,$A129))</f>
        <v/>
      </c>
      <c r="I129" s="26" t="str">
        <f>IF(OR($A129&gt;MAX(Trato_Diario!$A$4:$A$300),SUMIFS(Trato_Diario!$G$4:$G$300,Trato_Diario!$B$4:$B$300,8,Trato_Diario!$A$4:$A$300,$A129)=0),"",SUMIFS(Trato_Diario!$J$4:$J$300,Trato_Diario!$B$4:$B$300,8,Trato_Diario!$A$4:$A$300,$A129)/SUMIFS(Trato_Diario!$G$4:$G$300,Trato_Diario!$B$4:$B$300,8,Trato_Diario!$A$4:$A$300,$A129))</f>
        <v/>
      </c>
      <c r="J129" s="26" t="str">
        <f>IF(OR($A129&gt;MAX(Trato_Diario!$A$4:$A$300),SUMIFS(Trato_Diario!$G$4:$G$300,Trato_Diario!$B$4:$B$300,9,Trato_Diario!$A$4:$A$300,$A129)=0),"",SUMIFS(Trato_Diario!$J$4:$J$300,Trato_Diario!$B$4:$B$300,9,Trato_Diario!$A$4:$A$300,$A129)/SUMIFS(Trato_Diario!$G$4:$G$300,Trato_Diario!$B$4:$B$300,9,Trato_Diario!$A$4:$A$300,$A129))</f>
        <v/>
      </c>
      <c r="K129" s="26" t="str">
        <f>IF(OR($A129&gt;MAX(Trato_Diario!$A$4:$A$300),SUMIFS(Trato_Diario!$G$4:$G$300,Trato_Diario!$B$4:$B$300,10,Trato_Diario!$A$4:$A$300,$A129)=0),"",SUMIFS(Trato_Diario!$J$4:$J$300,Trato_Diario!$B$4:$B$300,10,Trato_Diario!$A$4:$A$300,$A129)/SUMIFS(Trato_Diario!$G$4:$G$300,Trato_Diario!$B$4:$B$300,10,Trato_Diario!$A$4:$A$300,$A129))</f>
        <v/>
      </c>
      <c r="L129" s="74" t="str">
        <f>IF(OR($A129&gt;MAX(Trato_Diario!$A$4:$A$300),SUMIFS(Trato_Diario!$G$4:$G$300,Trato_Diario!$A$4:$A$300,$A129)=0),"",SUMIFS(Trato_Diario!$J$4:$J$300,Trato_Diario!$A$4:$A$300,$A129)/SUMIFS(Trato_Diario!$G$4:$G$300,Trato_Diario!$A$4:$A$300,$A129))</f>
        <v/>
      </c>
    </row>
    <row r="130" spans="1:12" ht="14.25" customHeight="1" x14ac:dyDescent="0.3">
      <c r="A130" s="86">
        <v>46339</v>
      </c>
      <c r="B130" s="28" t="str">
        <f>IF(OR($A130&gt;MAX(Trato_Diario!$A$4:$A$300),SUMIFS(Trato_Diario!$G$4:$G$300,Trato_Diario!$B$4:$B$300,1,Trato_Diario!$A$4:$A$300,$A130)=0),"",SUMIFS(Trato_Diario!$J$4:$J$300,Trato_Diario!$B$4:$B$300,1,Trato_Diario!$A$4:$A$300,$A130)/SUMIFS(Trato_Diario!$G$4:$G$300,Trato_Diario!$B$4:$B$300,1,Trato_Diario!$A$4:$A$300,$A130))</f>
        <v/>
      </c>
      <c r="C130" s="28" t="str">
        <f>IF(OR($A130&gt;MAX(Trato_Diario!$A$4:$A$300),SUMIFS(Trato_Diario!$G$4:$G$300,Trato_Diario!$B$4:$B$300,2,Trato_Diario!$A$4:$A$300,$A130)=0),"",SUMIFS(Trato_Diario!$J$4:$J$300,Trato_Diario!$B$4:$B$300,2,Trato_Diario!$A$4:$A$300,$A130)/SUMIFS(Trato_Diario!$G$4:$G$300,Trato_Diario!$B$4:$B$300,2,Trato_Diario!$A$4:$A$300,$A130))</f>
        <v/>
      </c>
      <c r="D130" s="28" t="str">
        <f>IF(OR($A130&gt;MAX(Trato_Diario!$A$4:$A$300),SUMIFS(Trato_Diario!$G$4:$G$300,Trato_Diario!$B$4:$B$300,3,Trato_Diario!$A$4:$A$300,$A130)=0),"",SUMIFS(Trato_Diario!$J$4:$J$300,Trato_Diario!$B$4:$B$300,3,Trato_Diario!$A$4:$A$300,$A130)/SUMIFS(Trato_Diario!$G$4:$G$300,Trato_Diario!$B$4:$B$300,3,Trato_Diario!$A$4:$A$300,$A130))</f>
        <v/>
      </c>
      <c r="E130" s="28" t="str">
        <f>IF(OR($A130&gt;MAX(Trato_Diario!$A$4:$A$300),SUMIFS(Trato_Diario!$G$4:$G$300,Trato_Diario!$B$4:$B$300,4,Trato_Diario!$A$4:$A$300,$A130)=0),"",SUMIFS(Trato_Diario!$J$4:$J$300,Trato_Diario!$B$4:$B$300,4,Trato_Diario!$A$4:$A$300,$A130)/SUMIFS(Trato_Diario!$G$4:$G$300,Trato_Diario!$B$4:$B$300,4,Trato_Diario!$A$4:$A$300,$A130))</f>
        <v/>
      </c>
      <c r="F130" s="28" t="str">
        <f>IF(OR($A130&gt;MAX(Trato_Diario!$A$4:$A$300),SUMIFS(Trato_Diario!$G$4:$G$300,Trato_Diario!$B$4:$B$300,5,Trato_Diario!$A$4:$A$300,$A130)=0),"",SUMIFS(Trato_Diario!$J$4:$J$300,Trato_Diario!$B$4:$B$300,5,Trato_Diario!$A$4:$A$300,$A130)/SUMIFS(Trato_Diario!$G$4:$G$300,Trato_Diario!$B$4:$B$300,5,Trato_Diario!$A$4:$A$300,$A130))</f>
        <v/>
      </c>
      <c r="G130" s="28" t="str">
        <f>IF(OR($A130&gt;MAX(Trato_Diario!$A$4:$A$300),SUMIFS(Trato_Diario!$G$4:$G$300,Trato_Diario!$B$4:$B$300,6,Trato_Diario!$A$4:$A$300,$A130)=0),"",SUMIFS(Trato_Diario!$J$4:$J$300,Trato_Diario!$B$4:$B$300,6,Trato_Diario!$A$4:$A$300,$A130)/SUMIFS(Trato_Diario!$G$4:$G$300,Trato_Diario!$B$4:$B$300,6,Trato_Diario!$A$4:$A$300,$A130))</f>
        <v/>
      </c>
      <c r="H130" s="28" t="str">
        <f>IF(OR($A130&gt;MAX(Trato_Diario!$A$4:$A$300),SUMIFS(Trato_Diario!$G$4:$G$300,Trato_Diario!$B$4:$B$300,7,Trato_Diario!$A$4:$A$300,$A130)=0),"",SUMIFS(Trato_Diario!$J$4:$J$300,Trato_Diario!$B$4:$B$300,7,Trato_Diario!$A$4:$A$300,$A130)/SUMIFS(Trato_Diario!$G$4:$G$300,Trato_Diario!$B$4:$B$300,7,Trato_Diario!$A$4:$A$300,$A130))</f>
        <v/>
      </c>
      <c r="I130" s="28" t="str">
        <f>IF(OR($A130&gt;MAX(Trato_Diario!$A$4:$A$300),SUMIFS(Trato_Diario!$G$4:$G$300,Trato_Diario!$B$4:$B$300,8,Trato_Diario!$A$4:$A$300,$A130)=0),"",SUMIFS(Trato_Diario!$J$4:$J$300,Trato_Diario!$B$4:$B$300,8,Trato_Diario!$A$4:$A$300,$A130)/SUMIFS(Trato_Diario!$G$4:$G$300,Trato_Diario!$B$4:$B$300,8,Trato_Diario!$A$4:$A$300,$A130))</f>
        <v/>
      </c>
      <c r="J130" s="28" t="str">
        <f>IF(OR($A130&gt;MAX(Trato_Diario!$A$4:$A$300),SUMIFS(Trato_Diario!$G$4:$G$300,Trato_Diario!$B$4:$B$300,9,Trato_Diario!$A$4:$A$300,$A130)=0),"",SUMIFS(Trato_Diario!$J$4:$J$300,Trato_Diario!$B$4:$B$300,9,Trato_Diario!$A$4:$A$300,$A130)/SUMIFS(Trato_Diario!$G$4:$G$300,Trato_Diario!$B$4:$B$300,9,Trato_Diario!$A$4:$A$300,$A130))</f>
        <v/>
      </c>
      <c r="K130" s="28" t="str">
        <f>IF(OR($A130&gt;MAX(Trato_Diario!$A$4:$A$300),SUMIFS(Trato_Diario!$G$4:$G$300,Trato_Diario!$B$4:$B$300,10,Trato_Diario!$A$4:$A$300,$A130)=0),"",SUMIFS(Trato_Diario!$J$4:$J$300,Trato_Diario!$B$4:$B$300,10,Trato_Diario!$A$4:$A$300,$A130)/SUMIFS(Trato_Diario!$G$4:$G$300,Trato_Diario!$B$4:$B$300,10,Trato_Diario!$A$4:$A$300,$A130))</f>
        <v/>
      </c>
      <c r="L130" s="76" t="str">
        <f>IF(OR($A130&gt;MAX(Trato_Diario!$A$4:$A$300),SUMIFS(Trato_Diario!$G$4:$G$300,Trato_Diario!$A$4:$A$300,$A130)=0),"",SUMIFS(Trato_Diario!$J$4:$J$300,Trato_Diario!$A$4:$A$300,$A130)/SUMIFS(Trato_Diario!$G$4:$G$300,Trato_Diario!$A$4:$A$300,$A130))</f>
        <v/>
      </c>
    </row>
    <row r="131" spans="1:12" ht="14.25" customHeight="1" x14ac:dyDescent="0.3">
      <c r="A131" s="85">
        <v>46340</v>
      </c>
      <c r="B131" s="26" t="str">
        <f>IF(OR($A131&gt;MAX(Trato_Diario!$A$4:$A$300),SUMIFS(Trato_Diario!$G$4:$G$300,Trato_Diario!$B$4:$B$300,1,Trato_Diario!$A$4:$A$300,$A131)=0),"",SUMIFS(Trato_Diario!$J$4:$J$300,Trato_Diario!$B$4:$B$300,1,Trato_Diario!$A$4:$A$300,$A131)/SUMIFS(Trato_Diario!$G$4:$G$300,Trato_Diario!$B$4:$B$300,1,Trato_Diario!$A$4:$A$300,$A131))</f>
        <v/>
      </c>
      <c r="C131" s="26" t="str">
        <f>IF(OR($A131&gt;MAX(Trato_Diario!$A$4:$A$300),SUMIFS(Trato_Diario!$G$4:$G$300,Trato_Diario!$B$4:$B$300,2,Trato_Diario!$A$4:$A$300,$A131)=0),"",SUMIFS(Trato_Diario!$J$4:$J$300,Trato_Diario!$B$4:$B$300,2,Trato_Diario!$A$4:$A$300,$A131)/SUMIFS(Trato_Diario!$G$4:$G$300,Trato_Diario!$B$4:$B$300,2,Trato_Diario!$A$4:$A$300,$A131))</f>
        <v/>
      </c>
      <c r="D131" s="26" t="str">
        <f>IF(OR($A131&gt;MAX(Trato_Diario!$A$4:$A$300),SUMIFS(Trato_Diario!$G$4:$G$300,Trato_Diario!$B$4:$B$300,3,Trato_Diario!$A$4:$A$300,$A131)=0),"",SUMIFS(Trato_Diario!$J$4:$J$300,Trato_Diario!$B$4:$B$300,3,Trato_Diario!$A$4:$A$300,$A131)/SUMIFS(Trato_Diario!$G$4:$G$300,Trato_Diario!$B$4:$B$300,3,Trato_Diario!$A$4:$A$300,$A131))</f>
        <v/>
      </c>
      <c r="E131" s="26" t="str">
        <f>IF(OR($A131&gt;MAX(Trato_Diario!$A$4:$A$300),SUMIFS(Trato_Diario!$G$4:$G$300,Trato_Diario!$B$4:$B$300,4,Trato_Diario!$A$4:$A$300,$A131)=0),"",SUMIFS(Trato_Diario!$J$4:$J$300,Trato_Diario!$B$4:$B$300,4,Trato_Diario!$A$4:$A$300,$A131)/SUMIFS(Trato_Diario!$G$4:$G$300,Trato_Diario!$B$4:$B$300,4,Trato_Diario!$A$4:$A$300,$A131))</f>
        <v/>
      </c>
      <c r="F131" s="26" t="str">
        <f>IF(OR($A131&gt;MAX(Trato_Diario!$A$4:$A$300),SUMIFS(Trato_Diario!$G$4:$G$300,Trato_Diario!$B$4:$B$300,5,Trato_Diario!$A$4:$A$300,$A131)=0),"",SUMIFS(Trato_Diario!$J$4:$J$300,Trato_Diario!$B$4:$B$300,5,Trato_Diario!$A$4:$A$300,$A131)/SUMIFS(Trato_Diario!$G$4:$G$300,Trato_Diario!$B$4:$B$300,5,Trato_Diario!$A$4:$A$300,$A131))</f>
        <v/>
      </c>
      <c r="G131" s="26" t="str">
        <f>IF(OR($A131&gt;MAX(Trato_Diario!$A$4:$A$300),SUMIFS(Trato_Diario!$G$4:$G$300,Trato_Diario!$B$4:$B$300,6,Trato_Diario!$A$4:$A$300,$A131)=0),"",SUMIFS(Trato_Diario!$J$4:$J$300,Trato_Diario!$B$4:$B$300,6,Trato_Diario!$A$4:$A$300,$A131)/SUMIFS(Trato_Diario!$G$4:$G$300,Trato_Diario!$B$4:$B$300,6,Trato_Diario!$A$4:$A$300,$A131))</f>
        <v/>
      </c>
      <c r="H131" s="26" t="str">
        <f>IF(OR($A131&gt;MAX(Trato_Diario!$A$4:$A$300),SUMIFS(Trato_Diario!$G$4:$G$300,Trato_Diario!$B$4:$B$300,7,Trato_Diario!$A$4:$A$300,$A131)=0),"",SUMIFS(Trato_Diario!$J$4:$J$300,Trato_Diario!$B$4:$B$300,7,Trato_Diario!$A$4:$A$300,$A131)/SUMIFS(Trato_Diario!$G$4:$G$300,Trato_Diario!$B$4:$B$300,7,Trato_Diario!$A$4:$A$300,$A131))</f>
        <v/>
      </c>
      <c r="I131" s="26" t="str">
        <f>IF(OR($A131&gt;MAX(Trato_Diario!$A$4:$A$300),SUMIFS(Trato_Diario!$G$4:$G$300,Trato_Diario!$B$4:$B$300,8,Trato_Diario!$A$4:$A$300,$A131)=0),"",SUMIFS(Trato_Diario!$J$4:$J$300,Trato_Diario!$B$4:$B$300,8,Trato_Diario!$A$4:$A$300,$A131)/SUMIFS(Trato_Diario!$G$4:$G$300,Trato_Diario!$B$4:$B$300,8,Trato_Diario!$A$4:$A$300,$A131))</f>
        <v/>
      </c>
      <c r="J131" s="26" t="str">
        <f>IF(OR($A131&gt;MAX(Trato_Diario!$A$4:$A$300),SUMIFS(Trato_Diario!$G$4:$G$300,Trato_Diario!$B$4:$B$300,9,Trato_Diario!$A$4:$A$300,$A131)=0),"",SUMIFS(Trato_Diario!$J$4:$J$300,Trato_Diario!$B$4:$B$300,9,Trato_Diario!$A$4:$A$300,$A131)/SUMIFS(Trato_Diario!$G$4:$G$300,Trato_Diario!$B$4:$B$300,9,Trato_Diario!$A$4:$A$300,$A131))</f>
        <v/>
      </c>
      <c r="K131" s="26" t="str">
        <f>IF(OR($A131&gt;MAX(Trato_Diario!$A$4:$A$300),SUMIFS(Trato_Diario!$G$4:$G$300,Trato_Diario!$B$4:$B$300,10,Trato_Diario!$A$4:$A$300,$A131)=0),"",SUMIFS(Trato_Diario!$J$4:$J$300,Trato_Diario!$B$4:$B$300,10,Trato_Diario!$A$4:$A$300,$A131)/SUMIFS(Trato_Diario!$G$4:$G$300,Trato_Diario!$B$4:$B$300,10,Trato_Diario!$A$4:$A$300,$A131))</f>
        <v/>
      </c>
      <c r="L131" s="74" t="str">
        <f>IF(OR($A131&gt;MAX(Trato_Diario!$A$4:$A$300),SUMIFS(Trato_Diario!$G$4:$G$300,Trato_Diario!$A$4:$A$300,$A131)=0),"",SUMIFS(Trato_Diario!$J$4:$J$300,Trato_Diario!$A$4:$A$300,$A131)/SUMIFS(Trato_Diario!$G$4:$G$300,Trato_Diario!$A$4:$A$300,$A131))</f>
        <v/>
      </c>
    </row>
    <row r="132" spans="1:12" ht="14.25" customHeight="1" x14ac:dyDescent="0.3">
      <c r="A132" s="86">
        <v>46341</v>
      </c>
      <c r="B132" s="28" t="str">
        <f>IF(OR($A132&gt;MAX(Trato_Diario!$A$4:$A$300),SUMIFS(Trato_Diario!$G$4:$G$300,Trato_Diario!$B$4:$B$300,1,Trato_Diario!$A$4:$A$300,$A132)=0),"",SUMIFS(Trato_Diario!$J$4:$J$300,Trato_Diario!$B$4:$B$300,1,Trato_Diario!$A$4:$A$300,$A132)/SUMIFS(Trato_Diario!$G$4:$G$300,Trato_Diario!$B$4:$B$300,1,Trato_Diario!$A$4:$A$300,$A132))</f>
        <v/>
      </c>
      <c r="C132" s="28" t="str">
        <f>IF(OR($A132&gt;MAX(Trato_Diario!$A$4:$A$300),SUMIFS(Trato_Diario!$G$4:$G$300,Trato_Diario!$B$4:$B$300,2,Trato_Diario!$A$4:$A$300,$A132)=0),"",SUMIFS(Trato_Diario!$J$4:$J$300,Trato_Diario!$B$4:$B$300,2,Trato_Diario!$A$4:$A$300,$A132)/SUMIFS(Trato_Diario!$G$4:$G$300,Trato_Diario!$B$4:$B$300,2,Trato_Diario!$A$4:$A$300,$A132))</f>
        <v/>
      </c>
      <c r="D132" s="28" t="str">
        <f>IF(OR($A132&gt;MAX(Trato_Diario!$A$4:$A$300),SUMIFS(Trato_Diario!$G$4:$G$300,Trato_Diario!$B$4:$B$300,3,Trato_Diario!$A$4:$A$300,$A132)=0),"",SUMIFS(Trato_Diario!$J$4:$J$300,Trato_Diario!$B$4:$B$300,3,Trato_Diario!$A$4:$A$300,$A132)/SUMIFS(Trato_Diario!$G$4:$G$300,Trato_Diario!$B$4:$B$300,3,Trato_Diario!$A$4:$A$300,$A132))</f>
        <v/>
      </c>
      <c r="E132" s="28" t="str">
        <f>IF(OR($A132&gt;MAX(Trato_Diario!$A$4:$A$300),SUMIFS(Trato_Diario!$G$4:$G$300,Trato_Diario!$B$4:$B$300,4,Trato_Diario!$A$4:$A$300,$A132)=0),"",SUMIFS(Trato_Diario!$J$4:$J$300,Trato_Diario!$B$4:$B$300,4,Trato_Diario!$A$4:$A$300,$A132)/SUMIFS(Trato_Diario!$G$4:$G$300,Trato_Diario!$B$4:$B$300,4,Trato_Diario!$A$4:$A$300,$A132))</f>
        <v/>
      </c>
      <c r="F132" s="28" t="str">
        <f>IF(OR($A132&gt;MAX(Trato_Diario!$A$4:$A$300),SUMIFS(Trato_Diario!$G$4:$G$300,Trato_Diario!$B$4:$B$300,5,Trato_Diario!$A$4:$A$300,$A132)=0),"",SUMIFS(Trato_Diario!$J$4:$J$300,Trato_Diario!$B$4:$B$300,5,Trato_Diario!$A$4:$A$300,$A132)/SUMIFS(Trato_Diario!$G$4:$G$300,Trato_Diario!$B$4:$B$300,5,Trato_Diario!$A$4:$A$300,$A132))</f>
        <v/>
      </c>
      <c r="G132" s="28" t="str">
        <f>IF(OR($A132&gt;MAX(Trato_Diario!$A$4:$A$300),SUMIFS(Trato_Diario!$G$4:$G$300,Trato_Diario!$B$4:$B$300,6,Trato_Diario!$A$4:$A$300,$A132)=0),"",SUMIFS(Trato_Diario!$J$4:$J$300,Trato_Diario!$B$4:$B$300,6,Trato_Diario!$A$4:$A$300,$A132)/SUMIFS(Trato_Diario!$G$4:$G$300,Trato_Diario!$B$4:$B$300,6,Trato_Diario!$A$4:$A$300,$A132))</f>
        <v/>
      </c>
      <c r="H132" s="28" t="str">
        <f>IF(OR($A132&gt;MAX(Trato_Diario!$A$4:$A$300),SUMIFS(Trato_Diario!$G$4:$G$300,Trato_Diario!$B$4:$B$300,7,Trato_Diario!$A$4:$A$300,$A132)=0),"",SUMIFS(Trato_Diario!$J$4:$J$300,Trato_Diario!$B$4:$B$300,7,Trato_Diario!$A$4:$A$300,$A132)/SUMIFS(Trato_Diario!$G$4:$G$300,Trato_Diario!$B$4:$B$300,7,Trato_Diario!$A$4:$A$300,$A132))</f>
        <v/>
      </c>
      <c r="I132" s="28" t="str">
        <f>IF(OR($A132&gt;MAX(Trato_Diario!$A$4:$A$300),SUMIFS(Trato_Diario!$G$4:$G$300,Trato_Diario!$B$4:$B$300,8,Trato_Diario!$A$4:$A$300,$A132)=0),"",SUMIFS(Trato_Diario!$J$4:$J$300,Trato_Diario!$B$4:$B$300,8,Trato_Diario!$A$4:$A$300,$A132)/SUMIFS(Trato_Diario!$G$4:$G$300,Trato_Diario!$B$4:$B$300,8,Trato_Diario!$A$4:$A$300,$A132))</f>
        <v/>
      </c>
      <c r="J132" s="28" t="str">
        <f>IF(OR($A132&gt;MAX(Trato_Diario!$A$4:$A$300),SUMIFS(Trato_Diario!$G$4:$G$300,Trato_Diario!$B$4:$B$300,9,Trato_Diario!$A$4:$A$300,$A132)=0),"",SUMIFS(Trato_Diario!$J$4:$J$300,Trato_Diario!$B$4:$B$300,9,Trato_Diario!$A$4:$A$300,$A132)/SUMIFS(Trato_Diario!$G$4:$G$300,Trato_Diario!$B$4:$B$300,9,Trato_Diario!$A$4:$A$300,$A132))</f>
        <v/>
      </c>
      <c r="K132" s="28" t="str">
        <f>IF(OR($A132&gt;MAX(Trato_Diario!$A$4:$A$300),SUMIFS(Trato_Diario!$G$4:$G$300,Trato_Diario!$B$4:$B$300,10,Trato_Diario!$A$4:$A$300,$A132)=0),"",SUMIFS(Trato_Diario!$J$4:$J$300,Trato_Diario!$B$4:$B$300,10,Trato_Diario!$A$4:$A$300,$A132)/SUMIFS(Trato_Diario!$G$4:$G$300,Trato_Diario!$B$4:$B$300,10,Trato_Diario!$A$4:$A$300,$A132))</f>
        <v/>
      </c>
      <c r="L132" s="76" t="str">
        <f>IF(OR($A132&gt;MAX(Trato_Diario!$A$4:$A$300),SUMIFS(Trato_Diario!$G$4:$G$300,Trato_Diario!$A$4:$A$300,$A132)=0),"",SUMIFS(Trato_Diario!$J$4:$J$300,Trato_Diario!$A$4:$A$300,$A132)/SUMIFS(Trato_Diario!$G$4:$G$300,Trato_Diario!$A$4:$A$300,$A132))</f>
        <v/>
      </c>
    </row>
    <row r="133" spans="1:12" ht="14.25" customHeight="1" x14ac:dyDescent="0.3">
      <c r="A133" s="85">
        <v>46342</v>
      </c>
      <c r="B133" s="26" t="str">
        <f>IF(OR($A133&gt;MAX(Trato_Diario!$A$4:$A$300),SUMIFS(Trato_Diario!$G$4:$G$300,Trato_Diario!$B$4:$B$300,1,Trato_Diario!$A$4:$A$300,$A133)=0),"",SUMIFS(Trato_Diario!$J$4:$J$300,Trato_Diario!$B$4:$B$300,1,Trato_Diario!$A$4:$A$300,$A133)/SUMIFS(Trato_Diario!$G$4:$G$300,Trato_Diario!$B$4:$B$300,1,Trato_Diario!$A$4:$A$300,$A133))</f>
        <v/>
      </c>
      <c r="C133" s="26" t="str">
        <f>IF(OR($A133&gt;MAX(Trato_Diario!$A$4:$A$300),SUMIFS(Trato_Diario!$G$4:$G$300,Trato_Diario!$B$4:$B$300,2,Trato_Diario!$A$4:$A$300,$A133)=0),"",SUMIFS(Trato_Diario!$J$4:$J$300,Trato_Diario!$B$4:$B$300,2,Trato_Diario!$A$4:$A$300,$A133)/SUMIFS(Trato_Diario!$G$4:$G$300,Trato_Diario!$B$4:$B$300,2,Trato_Diario!$A$4:$A$300,$A133))</f>
        <v/>
      </c>
      <c r="D133" s="26" t="str">
        <f>IF(OR($A133&gt;MAX(Trato_Diario!$A$4:$A$300),SUMIFS(Trato_Diario!$G$4:$G$300,Trato_Diario!$B$4:$B$300,3,Trato_Diario!$A$4:$A$300,$A133)=0),"",SUMIFS(Trato_Diario!$J$4:$J$300,Trato_Diario!$B$4:$B$300,3,Trato_Diario!$A$4:$A$300,$A133)/SUMIFS(Trato_Diario!$G$4:$G$300,Trato_Diario!$B$4:$B$300,3,Trato_Diario!$A$4:$A$300,$A133))</f>
        <v/>
      </c>
      <c r="E133" s="26" t="str">
        <f>IF(OR($A133&gt;MAX(Trato_Diario!$A$4:$A$300),SUMIFS(Trato_Diario!$G$4:$G$300,Trato_Diario!$B$4:$B$300,4,Trato_Diario!$A$4:$A$300,$A133)=0),"",SUMIFS(Trato_Diario!$J$4:$J$300,Trato_Diario!$B$4:$B$300,4,Trato_Diario!$A$4:$A$300,$A133)/SUMIFS(Trato_Diario!$G$4:$G$300,Trato_Diario!$B$4:$B$300,4,Trato_Diario!$A$4:$A$300,$A133))</f>
        <v/>
      </c>
      <c r="F133" s="26" t="str">
        <f>IF(OR($A133&gt;MAX(Trato_Diario!$A$4:$A$300),SUMIFS(Trato_Diario!$G$4:$G$300,Trato_Diario!$B$4:$B$300,5,Trato_Diario!$A$4:$A$300,$A133)=0),"",SUMIFS(Trato_Diario!$J$4:$J$300,Trato_Diario!$B$4:$B$300,5,Trato_Diario!$A$4:$A$300,$A133)/SUMIFS(Trato_Diario!$G$4:$G$300,Trato_Diario!$B$4:$B$300,5,Trato_Diario!$A$4:$A$300,$A133))</f>
        <v/>
      </c>
      <c r="G133" s="26" t="str">
        <f>IF(OR($A133&gt;MAX(Trato_Diario!$A$4:$A$300),SUMIFS(Trato_Diario!$G$4:$G$300,Trato_Diario!$B$4:$B$300,6,Trato_Diario!$A$4:$A$300,$A133)=0),"",SUMIFS(Trato_Diario!$J$4:$J$300,Trato_Diario!$B$4:$B$300,6,Trato_Diario!$A$4:$A$300,$A133)/SUMIFS(Trato_Diario!$G$4:$G$300,Trato_Diario!$B$4:$B$300,6,Trato_Diario!$A$4:$A$300,$A133))</f>
        <v/>
      </c>
      <c r="H133" s="26" t="str">
        <f>IF(OR($A133&gt;MAX(Trato_Diario!$A$4:$A$300),SUMIFS(Trato_Diario!$G$4:$G$300,Trato_Diario!$B$4:$B$300,7,Trato_Diario!$A$4:$A$300,$A133)=0),"",SUMIFS(Trato_Diario!$J$4:$J$300,Trato_Diario!$B$4:$B$300,7,Trato_Diario!$A$4:$A$300,$A133)/SUMIFS(Trato_Diario!$G$4:$G$300,Trato_Diario!$B$4:$B$300,7,Trato_Diario!$A$4:$A$300,$A133))</f>
        <v/>
      </c>
      <c r="I133" s="26" t="str">
        <f>IF(OR($A133&gt;MAX(Trato_Diario!$A$4:$A$300),SUMIFS(Trato_Diario!$G$4:$G$300,Trato_Diario!$B$4:$B$300,8,Trato_Diario!$A$4:$A$300,$A133)=0),"",SUMIFS(Trato_Diario!$J$4:$J$300,Trato_Diario!$B$4:$B$300,8,Trato_Diario!$A$4:$A$300,$A133)/SUMIFS(Trato_Diario!$G$4:$G$300,Trato_Diario!$B$4:$B$300,8,Trato_Diario!$A$4:$A$300,$A133))</f>
        <v/>
      </c>
      <c r="J133" s="26" t="str">
        <f>IF(OR($A133&gt;MAX(Trato_Diario!$A$4:$A$300),SUMIFS(Trato_Diario!$G$4:$G$300,Trato_Diario!$B$4:$B$300,9,Trato_Diario!$A$4:$A$300,$A133)=0),"",SUMIFS(Trato_Diario!$J$4:$J$300,Trato_Diario!$B$4:$B$300,9,Trato_Diario!$A$4:$A$300,$A133)/SUMIFS(Trato_Diario!$G$4:$G$300,Trato_Diario!$B$4:$B$300,9,Trato_Diario!$A$4:$A$300,$A133))</f>
        <v/>
      </c>
      <c r="K133" s="26" t="str">
        <f>IF(OR($A133&gt;MAX(Trato_Diario!$A$4:$A$300),SUMIFS(Trato_Diario!$G$4:$G$300,Trato_Diario!$B$4:$B$300,10,Trato_Diario!$A$4:$A$300,$A133)=0),"",SUMIFS(Trato_Diario!$J$4:$J$300,Trato_Diario!$B$4:$B$300,10,Trato_Diario!$A$4:$A$300,$A133)/SUMIFS(Trato_Diario!$G$4:$G$300,Trato_Diario!$B$4:$B$300,10,Trato_Diario!$A$4:$A$300,$A133))</f>
        <v/>
      </c>
      <c r="L133" s="74" t="str">
        <f>IF(OR($A133&gt;MAX(Trato_Diario!$A$4:$A$300),SUMIFS(Trato_Diario!$G$4:$G$300,Trato_Diario!$A$4:$A$300,$A133)=0),"",SUMIFS(Trato_Diario!$J$4:$J$300,Trato_Diario!$A$4:$A$300,$A133)/SUMIFS(Trato_Diario!$G$4:$G$300,Trato_Diario!$A$4:$A$300,$A133))</f>
        <v/>
      </c>
    </row>
    <row r="134" spans="1:12" ht="14.25" customHeight="1" x14ac:dyDescent="0.3">
      <c r="A134" s="86">
        <v>46343</v>
      </c>
      <c r="B134" s="28" t="str">
        <f>IF(OR($A134&gt;MAX(Trato_Diario!$A$4:$A$300),SUMIFS(Trato_Diario!$G$4:$G$300,Trato_Diario!$B$4:$B$300,1,Trato_Diario!$A$4:$A$300,$A134)=0),"",SUMIFS(Trato_Diario!$J$4:$J$300,Trato_Diario!$B$4:$B$300,1,Trato_Diario!$A$4:$A$300,$A134)/SUMIFS(Trato_Diario!$G$4:$G$300,Trato_Diario!$B$4:$B$300,1,Trato_Diario!$A$4:$A$300,$A134))</f>
        <v/>
      </c>
      <c r="C134" s="28" t="str">
        <f>IF(OR($A134&gt;MAX(Trato_Diario!$A$4:$A$300),SUMIFS(Trato_Diario!$G$4:$G$300,Trato_Diario!$B$4:$B$300,2,Trato_Diario!$A$4:$A$300,$A134)=0),"",SUMIFS(Trato_Diario!$J$4:$J$300,Trato_Diario!$B$4:$B$300,2,Trato_Diario!$A$4:$A$300,$A134)/SUMIFS(Trato_Diario!$G$4:$G$300,Trato_Diario!$B$4:$B$300,2,Trato_Diario!$A$4:$A$300,$A134))</f>
        <v/>
      </c>
      <c r="D134" s="28" t="str">
        <f>IF(OR($A134&gt;MAX(Trato_Diario!$A$4:$A$300),SUMIFS(Trato_Diario!$G$4:$G$300,Trato_Diario!$B$4:$B$300,3,Trato_Diario!$A$4:$A$300,$A134)=0),"",SUMIFS(Trato_Diario!$J$4:$J$300,Trato_Diario!$B$4:$B$300,3,Trato_Diario!$A$4:$A$300,$A134)/SUMIFS(Trato_Diario!$G$4:$G$300,Trato_Diario!$B$4:$B$300,3,Trato_Diario!$A$4:$A$300,$A134))</f>
        <v/>
      </c>
      <c r="E134" s="28" t="str">
        <f>IF(OR($A134&gt;MAX(Trato_Diario!$A$4:$A$300),SUMIFS(Trato_Diario!$G$4:$G$300,Trato_Diario!$B$4:$B$300,4,Trato_Diario!$A$4:$A$300,$A134)=0),"",SUMIFS(Trato_Diario!$J$4:$J$300,Trato_Diario!$B$4:$B$300,4,Trato_Diario!$A$4:$A$300,$A134)/SUMIFS(Trato_Diario!$G$4:$G$300,Trato_Diario!$B$4:$B$300,4,Trato_Diario!$A$4:$A$300,$A134))</f>
        <v/>
      </c>
      <c r="F134" s="28" t="str">
        <f>IF(OR($A134&gt;MAX(Trato_Diario!$A$4:$A$300),SUMIFS(Trato_Diario!$G$4:$G$300,Trato_Diario!$B$4:$B$300,5,Trato_Diario!$A$4:$A$300,$A134)=0),"",SUMIFS(Trato_Diario!$J$4:$J$300,Trato_Diario!$B$4:$B$300,5,Trato_Diario!$A$4:$A$300,$A134)/SUMIFS(Trato_Diario!$G$4:$G$300,Trato_Diario!$B$4:$B$300,5,Trato_Diario!$A$4:$A$300,$A134))</f>
        <v/>
      </c>
      <c r="G134" s="28" t="str">
        <f>IF(OR($A134&gt;MAX(Trato_Diario!$A$4:$A$300),SUMIFS(Trato_Diario!$G$4:$G$300,Trato_Diario!$B$4:$B$300,6,Trato_Diario!$A$4:$A$300,$A134)=0),"",SUMIFS(Trato_Diario!$J$4:$J$300,Trato_Diario!$B$4:$B$300,6,Trato_Diario!$A$4:$A$300,$A134)/SUMIFS(Trato_Diario!$G$4:$G$300,Trato_Diario!$B$4:$B$300,6,Trato_Diario!$A$4:$A$300,$A134))</f>
        <v/>
      </c>
      <c r="H134" s="28" t="str">
        <f>IF(OR($A134&gt;MAX(Trato_Diario!$A$4:$A$300),SUMIFS(Trato_Diario!$G$4:$G$300,Trato_Diario!$B$4:$B$300,7,Trato_Diario!$A$4:$A$300,$A134)=0),"",SUMIFS(Trato_Diario!$J$4:$J$300,Trato_Diario!$B$4:$B$300,7,Trato_Diario!$A$4:$A$300,$A134)/SUMIFS(Trato_Diario!$G$4:$G$300,Trato_Diario!$B$4:$B$300,7,Trato_Diario!$A$4:$A$300,$A134))</f>
        <v/>
      </c>
      <c r="I134" s="28" t="str">
        <f>IF(OR($A134&gt;MAX(Trato_Diario!$A$4:$A$300),SUMIFS(Trato_Diario!$G$4:$G$300,Trato_Diario!$B$4:$B$300,8,Trato_Diario!$A$4:$A$300,$A134)=0),"",SUMIFS(Trato_Diario!$J$4:$J$300,Trato_Diario!$B$4:$B$300,8,Trato_Diario!$A$4:$A$300,$A134)/SUMIFS(Trato_Diario!$G$4:$G$300,Trato_Diario!$B$4:$B$300,8,Trato_Diario!$A$4:$A$300,$A134))</f>
        <v/>
      </c>
      <c r="J134" s="28" t="str">
        <f>IF(OR($A134&gt;MAX(Trato_Diario!$A$4:$A$300),SUMIFS(Trato_Diario!$G$4:$G$300,Trato_Diario!$B$4:$B$300,9,Trato_Diario!$A$4:$A$300,$A134)=0),"",SUMIFS(Trato_Diario!$J$4:$J$300,Trato_Diario!$B$4:$B$300,9,Trato_Diario!$A$4:$A$300,$A134)/SUMIFS(Trato_Diario!$G$4:$G$300,Trato_Diario!$B$4:$B$300,9,Trato_Diario!$A$4:$A$300,$A134))</f>
        <v/>
      </c>
      <c r="K134" s="28" t="str">
        <f>IF(OR($A134&gt;MAX(Trato_Diario!$A$4:$A$300),SUMIFS(Trato_Diario!$G$4:$G$300,Trato_Diario!$B$4:$B$300,10,Trato_Diario!$A$4:$A$300,$A134)=0),"",SUMIFS(Trato_Diario!$J$4:$J$300,Trato_Diario!$B$4:$B$300,10,Trato_Diario!$A$4:$A$300,$A134)/SUMIFS(Trato_Diario!$G$4:$G$300,Trato_Diario!$B$4:$B$300,10,Trato_Diario!$A$4:$A$300,$A134))</f>
        <v/>
      </c>
      <c r="L134" s="76" t="str">
        <f>IF(OR($A134&gt;MAX(Trato_Diario!$A$4:$A$300),SUMIFS(Trato_Diario!$G$4:$G$300,Trato_Diario!$A$4:$A$300,$A134)=0),"",SUMIFS(Trato_Diario!$J$4:$J$300,Trato_Diario!$A$4:$A$300,$A134)/SUMIFS(Trato_Diario!$G$4:$G$300,Trato_Diario!$A$4:$A$300,$A134))</f>
        <v/>
      </c>
    </row>
    <row r="135" spans="1:12" ht="14.25" customHeight="1" x14ac:dyDescent="0.3">
      <c r="A135" s="85">
        <v>46344</v>
      </c>
      <c r="B135" s="26" t="str">
        <f>IF(OR($A135&gt;MAX(Trato_Diario!$A$4:$A$300),SUMIFS(Trato_Diario!$G$4:$G$300,Trato_Diario!$B$4:$B$300,1,Trato_Diario!$A$4:$A$300,$A135)=0),"",SUMIFS(Trato_Diario!$J$4:$J$300,Trato_Diario!$B$4:$B$300,1,Trato_Diario!$A$4:$A$300,$A135)/SUMIFS(Trato_Diario!$G$4:$G$300,Trato_Diario!$B$4:$B$300,1,Trato_Diario!$A$4:$A$300,$A135))</f>
        <v/>
      </c>
      <c r="C135" s="26" t="str">
        <f>IF(OR($A135&gt;MAX(Trato_Diario!$A$4:$A$300),SUMIFS(Trato_Diario!$G$4:$G$300,Trato_Diario!$B$4:$B$300,2,Trato_Diario!$A$4:$A$300,$A135)=0),"",SUMIFS(Trato_Diario!$J$4:$J$300,Trato_Diario!$B$4:$B$300,2,Trato_Diario!$A$4:$A$300,$A135)/SUMIFS(Trato_Diario!$G$4:$G$300,Trato_Diario!$B$4:$B$300,2,Trato_Diario!$A$4:$A$300,$A135))</f>
        <v/>
      </c>
      <c r="D135" s="26" t="str">
        <f>IF(OR($A135&gt;MAX(Trato_Diario!$A$4:$A$300),SUMIFS(Trato_Diario!$G$4:$G$300,Trato_Diario!$B$4:$B$300,3,Trato_Diario!$A$4:$A$300,$A135)=0),"",SUMIFS(Trato_Diario!$J$4:$J$300,Trato_Diario!$B$4:$B$300,3,Trato_Diario!$A$4:$A$300,$A135)/SUMIFS(Trato_Diario!$G$4:$G$300,Trato_Diario!$B$4:$B$300,3,Trato_Diario!$A$4:$A$300,$A135))</f>
        <v/>
      </c>
      <c r="E135" s="26" t="str">
        <f>IF(OR($A135&gt;MAX(Trato_Diario!$A$4:$A$300),SUMIFS(Trato_Diario!$G$4:$G$300,Trato_Diario!$B$4:$B$300,4,Trato_Diario!$A$4:$A$300,$A135)=0),"",SUMIFS(Trato_Diario!$J$4:$J$300,Trato_Diario!$B$4:$B$300,4,Trato_Diario!$A$4:$A$300,$A135)/SUMIFS(Trato_Diario!$G$4:$G$300,Trato_Diario!$B$4:$B$300,4,Trato_Diario!$A$4:$A$300,$A135))</f>
        <v/>
      </c>
      <c r="F135" s="26" t="str">
        <f>IF(OR($A135&gt;MAX(Trato_Diario!$A$4:$A$300),SUMIFS(Trato_Diario!$G$4:$G$300,Trato_Diario!$B$4:$B$300,5,Trato_Diario!$A$4:$A$300,$A135)=0),"",SUMIFS(Trato_Diario!$J$4:$J$300,Trato_Diario!$B$4:$B$300,5,Trato_Diario!$A$4:$A$300,$A135)/SUMIFS(Trato_Diario!$G$4:$G$300,Trato_Diario!$B$4:$B$300,5,Trato_Diario!$A$4:$A$300,$A135))</f>
        <v/>
      </c>
      <c r="G135" s="26" t="str">
        <f>IF(OR($A135&gt;MAX(Trato_Diario!$A$4:$A$300),SUMIFS(Trato_Diario!$G$4:$G$300,Trato_Diario!$B$4:$B$300,6,Trato_Diario!$A$4:$A$300,$A135)=0),"",SUMIFS(Trato_Diario!$J$4:$J$300,Trato_Diario!$B$4:$B$300,6,Trato_Diario!$A$4:$A$300,$A135)/SUMIFS(Trato_Diario!$G$4:$G$300,Trato_Diario!$B$4:$B$300,6,Trato_Diario!$A$4:$A$300,$A135))</f>
        <v/>
      </c>
      <c r="H135" s="26" t="str">
        <f>IF(OR($A135&gt;MAX(Trato_Diario!$A$4:$A$300),SUMIFS(Trato_Diario!$G$4:$G$300,Trato_Diario!$B$4:$B$300,7,Trato_Diario!$A$4:$A$300,$A135)=0),"",SUMIFS(Trato_Diario!$J$4:$J$300,Trato_Diario!$B$4:$B$300,7,Trato_Diario!$A$4:$A$300,$A135)/SUMIFS(Trato_Diario!$G$4:$G$300,Trato_Diario!$B$4:$B$300,7,Trato_Diario!$A$4:$A$300,$A135))</f>
        <v/>
      </c>
      <c r="I135" s="26" t="str">
        <f>IF(OR($A135&gt;MAX(Trato_Diario!$A$4:$A$300),SUMIFS(Trato_Diario!$G$4:$G$300,Trato_Diario!$B$4:$B$300,8,Trato_Diario!$A$4:$A$300,$A135)=0),"",SUMIFS(Trato_Diario!$J$4:$J$300,Trato_Diario!$B$4:$B$300,8,Trato_Diario!$A$4:$A$300,$A135)/SUMIFS(Trato_Diario!$G$4:$G$300,Trato_Diario!$B$4:$B$300,8,Trato_Diario!$A$4:$A$300,$A135))</f>
        <v/>
      </c>
      <c r="J135" s="26" t="str">
        <f>IF(OR($A135&gt;MAX(Trato_Diario!$A$4:$A$300),SUMIFS(Trato_Diario!$G$4:$G$300,Trato_Diario!$B$4:$B$300,9,Trato_Diario!$A$4:$A$300,$A135)=0),"",SUMIFS(Trato_Diario!$J$4:$J$300,Trato_Diario!$B$4:$B$300,9,Trato_Diario!$A$4:$A$300,$A135)/SUMIFS(Trato_Diario!$G$4:$G$300,Trato_Diario!$B$4:$B$300,9,Trato_Diario!$A$4:$A$300,$A135))</f>
        <v/>
      </c>
      <c r="K135" s="26" t="str">
        <f>IF(OR($A135&gt;MAX(Trato_Diario!$A$4:$A$300),SUMIFS(Trato_Diario!$G$4:$G$300,Trato_Diario!$B$4:$B$300,10,Trato_Diario!$A$4:$A$300,$A135)=0),"",SUMIFS(Trato_Diario!$J$4:$J$300,Trato_Diario!$B$4:$B$300,10,Trato_Diario!$A$4:$A$300,$A135)/SUMIFS(Trato_Diario!$G$4:$G$300,Trato_Diario!$B$4:$B$300,10,Trato_Diario!$A$4:$A$300,$A135))</f>
        <v/>
      </c>
      <c r="L135" s="74" t="str">
        <f>IF(OR($A135&gt;MAX(Trato_Diario!$A$4:$A$300),SUMIFS(Trato_Diario!$G$4:$G$300,Trato_Diario!$A$4:$A$300,$A135)=0),"",SUMIFS(Trato_Diario!$J$4:$J$300,Trato_Diario!$A$4:$A$300,$A135)/SUMIFS(Trato_Diario!$G$4:$G$300,Trato_Diario!$A$4:$A$300,$A135))</f>
        <v/>
      </c>
    </row>
    <row r="136" spans="1:12" ht="14.25" customHeight="1" x14ac:dyDescent="0.3">
      <c r="A136" s="86">
        <v>46345</v>
      </c>
      <c r="B136" s="28" t="str">
        <f>IF(OR($A136&gt;MAX(Trato_Diario!$A$4:$A$300),SUMIFS(Trato_Diario!$G$4:$G$300,Trato_Diario!$B$4:$B$300,1,Trato_Diario!$A$4:$A$300,$A136)=0),"",SUMIFS(Trato_Diario!$J$4:$J$300,Trato_Diario!$B$4:$B$300,1,Trato_Diario!$A$4:$A$300,$A136)/SUMIFS(Trato_Diario!$G$4:$G$300,Trato_Diario!$B$4:$B$300,1,Trato_Diario!$A$4:$A$300,$A136))</f>
        <v/>
      </c>
      <c r="C136" s="28" t="str">
        <f>IF(OR($A136&gt;MAX(Trato_Diario!$A$4:$A$300),SUMIFS(Trato_Diario!$G$4:$G$300,Trato_Diario!$B$4:$B$300,2,Trato_Diario!$A$4:$A$300,$A136)=0),"",SUMIFS(Trato_Diario!$J$4:$J$300,Trato_Diario!$B$4:$B$300,2,Trato_Diario!$A$4:$A$300,$A136)/SUMIFS(Trato_Diario!$G$4:$G$300,Trato_Diario!$B$4:$B$300,2,Trato_Diario!$A$4:$A$300,$A136))</f>
        <v/>
      </c>
      <c r="D136" s="28" t="str">
        <f>IF(OR($A136&gt;MAX(Trato_Diario!$A$4:$A$300),SUMIFS(Trato_Diario!$G$4:$G$300,Trato_Diario!$B$4:$B$300,3,Trato_Diario!$A$4:$A$300,$A136)=0),"",SUMIFS(Trato_Diario!$J$4:$J$300,Trato_Diario!$B$4:$B$300,3,Trato_Diario!$A$4:$A$300,$A136)/SUMIFS(Trato_Diario!$G$4:$G$300,Trato_Diario!$B$4:$B$300,3,Trato_Diario!$A$4:$A$300,$A136))</f>
        <v/>
      </c>
      <c r="E136" s="28" t="str">
        <f>IF(OR($A136&gt;MAX(Trato_Diario!$A$4:$A$300),SUMIFS(Trato_Diario!$G$4:$G$300,Trato_Diario!$B$4:$B$300,4,Trato_Diario!$A$4:$A$300,$A136)=0),"",SUMIFS(Trato_Diario!$J$4:$J$300,Trato_Diario!$B$4:$B$300,4,Trato_Diario!$A$4:$A$300,$A136)/SUMIFS(Trato_Diario!$G$4:$G$300,Trato_Diario!$B$4:$B$300,4,Trato_Diario!$A$4:$A$300,$A136))</f>
        <v/>
      </c>
      <c r="F136" s="28" t="str">
        <f>IF(OR($A136&gt;MAX(Trato_Diario!$A$4:$A$300),SUMIFS(Trato_Diario!$G$4:$G$300,Trato_Diario!$B$4:$B$300,5,Trato_Diario!$A$4:$A$300,$A136)=0),"",SUMIFS(Trato_Diario!$J$4:$J$300,Trato_Diario!$B$4:$B$300,5,Trato_Diario!$A$4:$A$300,$A136)/SUMIFS(Trato_Diario!$G$4:$G$300,Trato_Diario!$B$4:$B$300,5,Trato_Diario!$A$4:$A$300,$A136))</f>
        <v/>
      </c>
      <c r="G136" s="28" t="str">
        <f>IF(OR($A136&gt;MAX(Trato_Diario!$A$4:$A$300),SUMIFS(Trato_Diario!$G$4:$G$300,Trato_Diario!$B$4:$B$300,6,Trato_Diario!$A$4:$A$300,$A136)=0),"",SUMIFS(Trato_Diario!$J$4:$J$300,Trato_Diario!$B$4:$B$300,6,Trato_Diario!$A$4:$A$300,$A136)/SUMIFS(Trato_Diario!$G$4:$G$300,Trato_Diario!$B$4:$B$300,6,Trato_Diario!$A$4:$A$300,$A136))</f>
        <v/>
      </c>
      <c r="H136" s="28" t="str">
        <f>IF(OR($A136&gt;MAX(Trato_Diario!$A$4:$A$300),SUMIFS(Trato_Diario!$G$4:$G$300,Trato_Diario!$B$4:$B$300,7,Trato_Diario!$A$4:$A$300,$A136)=0),"",SUMIFS(Trato_Diario!$J$4:$J$300,Trato_Diario!$B$4:$B$300,7,Trato_Diario!$A$4:$A$300,$A136)/SUMIFS(Trato_Diario!$G$4:$G$300,Trato_Diario!$B$4:$B$300,7,Trato_Diario!$A$4:$A$300,$A136))</f>
        <v/>
      </c>
      <c r="I136" s="28" t="str">
        <f>IF(OR($A136&gt;MAX(Trato_Diario!$A$4:$A$300),SUMIFS(Trato_Diario!$G$4:$G$300,Trato_Diario!$B$4:$B$300,8,Trato_Diario!$A$4:$A$300,$A136)=0),"",SUMIFS(Trato_Diario!$J$4:$J$300,Trato_Diario!$B$4:$B$300,8,Trato_Diario!$A$4:$A$300,$A136)/SUMIFS(Trato_Diario!$G$4:$G$300,Trato_Diario!$B$4:$B$300,8,Trato_Diario!$A$4:$A$300,$A136))</f>
        <v/>
      </c>
      <c r="J136" s="28" t="str">
        <f>IF(OR($A136&gt;MAX(Trato_Diario!$A$4:$A$300),SUMIFS(Trato_Diario!$G$4:$G$300,Trato_Diario!$B$4:$B$300,9,Trato_Diario!$A$4:$A$300,$A136)=0),"",SUMIFS(Trato_Diario!$J$4:$J$300,Trato_Diario!$B$4:$B$300,9,Trato_Diario!$A$4:$A$300,$A136)/SUMIFS(Trato_Diario!$G$4:$G$300,Trato_Diario!$B$4:$B$300,9,Trato_Diario!$A$4:$A$300,$A136))</f>
        <v/>
      </c>
      <c r="K136" s="28" t="str">
        <f>IF(OR($A136&gt;MAX(Trato_Diario!$A$4:$A$300),SUMIFS(Trato_Diario!$G$4:$G$300,Trato_Diario!$B$4:$B$300,10,Trato_Diario!$A$4:$A$300,$A136)=0),"",SUMIFS(Trato_Diario!$J$4:$J$300,Trato_Diario!$B$4:$B$300,10,Trato_Diario!$A$4:$A$300,$A136)/SUMIFS(Trato_Diario!$G$4:$G$300,Trato_Diario!$B$4:$B$300,10,Trato_Diario!$A$4:$A$300,$A136))</f>
        <v/>
      </c>
      <c r="L136" s="76" t="str">
        <f>IF(OR($A136&gt;MAX(Trato_Diario!$A$4:$A$300),SUMIFS(Trato_Diario!$G$4:$G$300,Trato_Diario!$A$4:$A$300,$A136)=0),"",SUMIFS(Trato_Diario!$J$4:$J$300,Trato_Diario!$A$4:$A$300,$A136)/SUMIFS(Trato_Diario!$G$4:$G$300,Trato_Diario!$A$4:$A$300,$A136))</f>
        <v/>
      </c>
    </row>
    <row r="137" spans="1:12" ht="14.25" customHeight="1" x14ac:dyDescent="0.3">
      <c r="A137" s="85">
        <v>46346</v>
      </c>
      <c r="B137" s="26" t="str">
        <f>IF(OR($A137&gt;MAX(Trato_Diario!$A$4:$A$300),SUMIFS(Trato_Diario!$G$4:$G$300,Trato_Diario!$B$4:$B$300,1,Trato_Diario!$A$4:$A$300,$A137)=0),"",SUMIFS(Trato_Diario!$J$4:$J$300,Trato_Diario!$B$4:$B$300,1,Trato_Diario!$A$4:$A$300,$A137)/SUMIFS(Trato_Diario!$G$4:$G$300,Trato_Diario!$B$4:$B$300,1,Trato_Diario!$A$4:$A$300,$A137))</f>
        <v/>
      </c>
      <c r="C137" s="26" t="str">
        <f>IF(OR($A137&gt;MAX(Trato_Diario!$A$4:$A$300),SUMIFS(Trato_Diario!$G$4:$G$300,Trato_Diario!$B$4:$B$300,2,Trato_Diario!$A$4:$A$300,$A137)=0),"",SUMIFS(Trato_Diario!$J$4:$J$300,Trato_Diario!$B$4:$B$300,2,Trato_Diario!$A$4:$A$300,$A137)/SUMIFS(Trato_Diario!$G$4:$G$300,Trato_Diario!$B$4:$B$300,2,Trato_Diario!$A$4:$A$300,$A137))</f>
        <v/>
      </c>
      <c r="D137" s="26" t="str">
        <f>IF(OR($A137&gt;MAX(Trato_Diario!$A$4:$A$300),SUMIFS(Trato_Diario!$G$4:$G$300,Trato_Diario!$B$4:$B$300,3,Trato_Diario!$A$4:$A$300,$A137)=0),"",SUMIFS(Trato_Diario!$J$4:$J$300,Trato_Diario!$B$4:$B$300,3,Trato_Diario!$A$4:$A$300,$A137)/SUMIFS(Trato_Diario!$G$4:$G$300,Trato_Diario!$B$4:$B$300,3,Trato_Diario!$A$4:$A$300,$A137))</f>
        <v/>
      </c>
      <c r="E137" s="26" t="str">
        <f>IF(OR($A137&gt;MAX(Trato_Diario!$A$4:$A$300),SUMIFS(Trato_Diario!$G$4:$G$300,Trato_Diario!$B$4:$B$300,4,Trato_Diario!$A$4:$A$300,$A137)=0),"",SUMIFS(Trato_Diario!$J$4:$J$300,Trato_Diario!$B$4:$B$300,4,Trato_Diario!$A$4:$A$300,$A137)/SUMIFS(Trato_Diario!$G$4:$G$300,Trato_Diario!$B$4:$B$300,4,Trato_Diario!$A$4:$A$300,$A137))</f>
        <v/>
      </c>
      <c r="F137" s="26" t="str">
        <f>IF(OR($A137&gt;MAX(Trato_Diario!$A$4:$A$300),SUMIFS(Trato_Diario!$G$4:$G$300,Trato_Diario!$B$4:$B$300,5,Trato_Diario!$A$4:$A$300,$A137)=0),"",SUMIFS(Trato_Diario!$J$4:$J$300,Trato_Diario!$B$4:$B$300,5,Trato_Diario!$A$4:$A$300,$A137)/SUMIFS(Trato_Diario!$G$4:$G$300,Trato_Diario!$B$4:$B$300,5,Trato_Diario!$A$4:$A$300,$A137))</f>
        <v/>
      </c>
      <c r="G137" s="26" t="str">
        <f>IF(OR($A137&gt;MAX(Trato_Diario!$A$4:$A$300),SUMIFS(Trato_Diario!$G$4:$G$300,Trato_Diario!$B$4:$B$300,6,Trato_Diario!$A$4:$A$300,$A137)=0),"",SUMIFS(Trato_Diario!$J$4:$J$300,Trato_Diario!$B$4:$B$300,6,Trato_Diario!$A$4:$A$300,$A137)/SUMIFS(Trato_Diario!$G$4:$G$300,Trato_Diario!$B$4:$B$300,6,Trato_Diario!$A$4:$A$300,$A137))</f>
        <v/>
      </c>
      <c r="H137" s="26" t="str">
        <f>IF(OR($A137&gt;MAX(Trato_Diario!$A$4:$A$300),SUMIFS(Trato_Diario!$G$4:$G$300,Trato_Diario!$B$4:$B$300,7,Trato_Diario!$A$4:$A$300,$A137)=0),"",SUMIFS(Trato_Diario!$J$4:$J$300,Trato_Diario!$B$4:$B$300,7,Trato_Diario!$A$4:$A$300,$A137)/SUMIFS(Trato_Diario!$G$4:$G$300,Trato_Diario!$B$4:$B$300,7,Trato_Diario!$A$4:$A$300,$A137))</f>
        <v/>
      </c>
      <c r="I137" s="26" t="str">
        <f>IF(OR($A137&gt;MAX(Trato_Diario!$A$4:$A$300),SUMIFS(Trato_Diario!$G$4:$G$300,Trato_Diario!$B$4:$B$300,8,Trato_Diario!$A$4:$A$300,$A137)=0),"",SUMIFS(Trato_Diario!$J$4:$J$300,Trato_Diario!$B$4:$B$300,8,Trato_Diario!$A$4:$A$300,$A137)/SUMIFS(Trato_Diario!$G$4:$G$300,Trato_Diario!$B$4:$B$300,8,Trato_Diario!$A$4:$A$300,$A137))</f>
        <v/>
      </c>
      <c r="J137" s="26" t="str">
        <f>IF(OR($A137&gt;MAX(Trato_Diario!$A$4:$A$300),SUMIFS(Trato_Diario!$G$4:$G$300,Trato_Diario!$B$4:$B$300,9,Trato_Diario!$A$4:$A$300,$A137)=0),"",SUMIFS(Trato_Diario!$J$4:$J$300,Trato_Diario!$B$4:$B$300,9,Trato_Diario!$A$4:$A$300,$A137)/SUMIFS(Trato_Diario!$G$4:$G$300,Trato_Diario!$B$4:$B$300,9,Trato_Diario!$A$4:$A$300,$A137))</f>
        <v/>
      </c>
      <c r="K137" s="26" t="str">
        <f>IF(OR($A137&gt;MAX(Trato_Diario!$A$4:$A$300),SUMIFS(Trato_Diario!$G$4:$G$300,Trato_Diario!$B$4:$B$300,10,Trato_Diario!$A$4:$A$300,$A137)=0),"",SUMIFS(Trato_Diario!$J$4:$J$300,Trato_Diario!$B$4:$B$300,10,Trato_Diario!$A$4:$A$300,$A137)/SUMIFS(Trato_Diario!$G$4:$G$300,Trato_Diario!$B$4:$B$300,10,Trato_Diario!$A$4:$A$300,$A137))</f>
        <v/>
      </c>
      <c r="L137" s="74" t="str">
        <f>IF(OR($A137&gt;MAX(Trato_Diario!$A$4:$A$300),SUMIFS(Trato_Diario!$G$4:$G$300,Trato_Diario!$A$4:$A$300,$A137)=0),"",SUMIFS(Trato_Diario!$J$4:$J$300,Trato_Diario!$A$4:$A$300,$A137)/SUMIFS(Trato_Diario!$G$4:$G$300,Trato_Diario!$A$4:$A$300,$A137))</f>
        <v/>
      </c>
    </row>
    <row r="138" spans="1:12" ht="14.25" customHeight="1" x14ac:dyDescent="0.3">
      <c r="A138" s="86">
        <v>46347</v>
      </c>
      <c r="B138" s="28" t="str">
        <f>IF(OR($A138&gt;MAX(Trato_Diario!$A$4:$A$300),SUMIFS(Trato_Diario!$G$4:$G$300,Trato_Diario!$B$4:$B$300,1,Trato_Diario!$A$4:$A$300,$A138)=0),"",SUMIFS(Trato_Diario!$J$4:$J$300,Trato_Diario!$B$4:$B$300,1,Trato_Diario!$A$4:$A$300,$A138)/SUMIFS(Trato_Diario!$G$4:$G$300,Trato_Diario!$B$4:$B$300,1,Trato_Diario!$A$4:$A$300,$A138))</f>
        <v/>
      </c>
      <c r="C138" s="28" t="str">
        <f>IF(OR($A138&gt;MAX(Trato_Diario!$A$4:$A$300),SUMIFS(Trato_Diario!$G$4:$G$300,Trato_Diario!$B$4:$B$300,2,Trato_Diario!$A$4:$A$300,$A138)=0),"",SUMIFS(Trato_Diario!$J$4:$J$300,Trato_Diario!$B$4:$B$300,2,Trato_Diario!$A$4:$A$300,$A138)/SUMIFS(Trato_Diario!$G$4:$G$300,Trato_Diario!$B$4:$B$300,2,Trato_Diario!$A$4:$A$300,$A138))</f>
        <v/>
      </c>
      <c r="D138" s="28" t="str">
        <f>IF(OR($A138&gt;MAX(Trato_Diario!$A$4:$A$300),SUMIFS(Trato_Diario!$G$4:$G$300,Trato_Diario!$B$4:$B$300,3,Trato_Diario!$A$4:$A$300,$A138)=0),"",SUMIFS(Trato_Diario!$J$4:$J$300,Trato_Diario!$B$4:$B$300,3,Trato_Diario!$A$4:$A$300,$A138)/SUMIFS(Trato_Diario!$G$4:$G$300,Trato_Diario!$B$4:$B$300,3,Trato_Diario!$A$4:$A$300,$A138))</f>
        <v/>
      </c>
      <c r="E138" s="28" t="str">
        <f>IF(OR($A138&gt;MAX(Trato_Diario!$A$4:$A$300),SUMIFS(Trato_Diario!$G$4:$G$300,Trato_Diario!$B$4:$B$300,4,Trato_Diario!$A$4:$A$300,$A138)=0),"",SUMIFS(Trato_Diario!$J$4:$J$300,Trato_Diario!$B$4:$B$300,4,Trato_Diario!$A$4:$A$300,$A138)/SUMIFS(Trato_Diario!$G$4:$G$300,Trato_Diario!$B$4:$B$300,4,Trato_Diario!$A$4:$A$300,$A138))</f>
        <v/>
      </c>
      <c r="F138" s="28" t="str">
        <f>IF(OR($A138&gt;MAX(Trato_Diario!$A$4:$A$300),SUMIFS(Trato_Diario!$G$4:$G$300,Trato_Diario!$B$4:$B$300,5,Trato_Diario!$A$4:$A$300,$A138)=0),"",SUMIFS(Trato_Diario!$J$4:$J$300,Trato_Diario!$B$4:$B$300,5,Trato_Diario!$A$4:$A$300,$A138)/SUMIFS(Trato_Diario!$G$4:$G$300,Trato_Diario!$B$4:$B$300,5,Trato_Diario!$A$4:$A$300,$A138))</f>
        <v/>
      </c>
      <c r="G138" s="28" t="str">
        <f>IF(OR($A138&gt;MAX(Trato_Diario!$A$4:$A$300),SUMIFS(Trato_Diario!$G$4:$G$300,Trato_Diario!$B$4:$B$300,6,Trato_Diario!$A$4:$A$300,$A138)=0),"",SUMIFS(Trato_Diario!$J$4:$J$300,Trato_Diario!$B$4:$B$300,6,Trato_Diario!$A$4:$A$300,$A138)/SUMIFS(Trato_Diario!$G$4:$G$300,Trato_Diario!$B$4:$B$300,6,Trato_Diario!$A$4:$A$300,$A138))</f>
        <v/>
      </c>
      <c r="H138" s="28" t="str">
        <f>IF(OR($A138&gt;MAX(Trato_Diario!$A$4:$A$300),SUMIFS(Trato_Diario!$G$4:$G$300,Trato_Diario!$B$4:$B$300,7,Trato_Diario!$A$4:$A$300,$A138)=0),"",SUMIFS(Trato_Diario!$J$4:$J$300,Trato_Diario!$B$4:$B$300,7,Trato_Diario!$A$4:$A$300,$A138)/SUMIFS(Trato_Diario!$G$4:$G$300,Trato_Diario!$B$4:$B$300,7,Trato_Diario!$A$4:$A$300,$A138))</f>
        <v/>
      </c>
      <c r="I138" s="28" t="str">
        <f>IF(OR($A138&gt;MAX(Trato_Diario!$A$4:$A$300),SUMIFS(Trato_Diario!$G$4:$G$300,Trato_Diario!$B$4:$B$300,8,Trato_Diario!$A$4:$A$300,$A138)=0),"",SUMIFS(Trato_Diario!$J$4:$J$300,Trato_Diario!$B$4:$B$300,8,Trato_Diario!$A$4:$A$300,$A138)/SUMIFS(Trato_Diario!$G$4:$G$300,Trato_Diario!$B$4:$B$300,8,Trato_Diario!$A$4:$A$300,$A138))</f>
        <v/>
      </c>
      <c r="J138" s="28" t="str">
        <f>IF(OR($A138&gt;MAX(Trato_Diario!$A$4:$A$300),SUMIFS(Trato_Diario!$G$4:$G$300,Trato_Diario!$B$4:$B$300,9,Trato_Diario!$A$4:$A$300,$A138)=0),"",SUMIFS(Trato_Diario!$J$4:$J$300,Trato_Diario!$B$4:$B$300,9,Trato_Diario!$A$4:$A$300,$A138)/SUMIFS(Trato_Diario!$G$4:$G$300,Trato_Diario!$B$4:$B$300,9,Trato_Diario!$A$4:$A$300,$A138))</f>
        <v/>
      </c>
      <c r="K138" s="28" t="str">
        <f>IF(OR($A138&gt;MAX(Trato_Diario!$A$4:$A$300),SUMIFS(Trato_Diario!$G$4:$G$300,Trato_Diario!$B$4:$B$300,10,Trato_Diario!$A$4:$A$300,$A138)=0),"",SUMIFS(Trato_Diario!$J$4:$J$300,Trato_Diario!$B$4:$B$300,10,Trato_Diario!$A$4:$A$300,$A138)/SUMIFS(Trato_Diario!$G$4:$G$300,Trato_Diario!$B$4:$B$300,10,Trato_Diario!$A$4:$A$300,$A138))</f>
        <v/>
      </c>
      <c r="L138" s="76" t="str">
        <f>IF(OR($A138&gt;MAX(Trato_Diario!$A$4:$A$300),SUMIFS(Trato_Diario!$G$4:$G$300,Trato_Diario!$A$4:$A$300,$A138)=0),"",SUMIFS(Trato_Diario!$J$4:$J$300,Trato_Diario!$A$4:$A$300,$A138)/SUMIFS(Trato_Diario!$G$4:$G$300,Trato_Diario!$A$4:$A$300,$A138))</f>
        <v/>
      </c>
    </row>
    <row r="139" spans="1:12" ht="14.25" customHeight="1" x14ac:dyDescent="0.3">
      <c r="A139" s="85">
        <v>46348</v>
      </c>
      <c r="B139" s="26" t="str">
        <f>IF(OR($A139&gt;MAX(Trato_Diario!$A$4:$A$300),SUMIFS(Trato_Diario!$G$4:$G$300,Trato_Diario!$B$4:$B$300,1,Trato_Diario!$A$4:$A$300,$A139)=0),"",SUMIFS(Trato_Diario!$J$4:$J$300,Trato_Diario!$B$4:$B$300,1,Trato_Diario!$A$4:$A$300,$A139)/SUMIFS(Trato_Diario!$G$4:$G$300,Trato_Diario!$B$4:$B$300,1,Trato_Diario!$A$4:$A$300,$A139))</f>
        <v/>
      </c>
      <c r="C139" s="26" t="str">
        <f>IF(OR($A139&gt;MAX(Trato_Diario!$A$4:$A$300),SUMIFS(Trato_Diario!$G$4:$G$300,Trato_Diario!$B$4:$B$300,2,Trato_Diario!$A$4:$A$300,$A139)=0),"",SUMIFS(Trato_Diario!$J$4:$J$300,Trato_Diario!$B$4:$B$300,2,Trato_Diario!$A$4:$A$300,$A139)/SUMIFS(Trato_Diario!$G$4:$G$300,Trato_Diario!$B$4:$B$300,2,Trato_Diario!$A$4:$A$300,$A139))</f>
        <v/>
      </c>
      <c r="D139" s="26" t="str">
        <f>IF(OR($A139&gt;MAX(Trato_Diario!$A$4:$A$300),SUMIFS(Trato_Diario!$G$4:$G$300,Trato_Diario!$B$4:$B$300,3,Trato_Diario!$A$4:$A$300,$A139)=0),"",SUMIFS(Trato_Diario!$J$4:$J$300,Trato_Diario!$B$4:$B$300,3,Trato_Diario!$A$4:$A$300,$A139)/SUMIFS(Trato_Diario!$G$4:$G$300,Trato_Diario!$B$4:$B$300,3,Trato_Diario!$A$4:$A$300,$A139))</f>
        <v/>
      </c>
      <c r="E139" s="26" t="str">
        <f>IF(OR($A139&gt;MAX(Trato_Diario!$A$4:$A$300),SUMIFS(Trato_Diario!$G$4:$G$300,Trato_Diario!$B$4:$B$300,4,Trato_Diario!$A$4:$A$300,$A139)=0),"",SUMIFS(Trato_Diario!$J$4:$J$300,Trato_Diario!$B$4:$B$300,4,Trato_Diario!$A$4:$A$300,$A139)/SUMIFS(Trato_Diario!$G$4:$G$300,Trato_Diario!$B$4:$B$300,4,Trato_Diario!$A$4:$A$300,$A139))</f>
        <v/>
      </c>
      <c r="F139" s="26" t="str">
        <f>IF(OR($A139&gt;MAX(Trato_Diario!$A$4:$A$300),SUMIFS(Trato_Diario!$G$4:$G$300,Trato_Diario!$B$4:$B$300,5,Trato_Diario!$A$4:$A$300,$A139)=0),"",SUMIFS(Trato_Diario!$J$4:$J$300,Trato_Diario!$B$4:$B$300,5,Trato_Diario!$A$4:$A$300,$A139)/SUMIFS(Trato_Diario!$G$4:$G$300,Trato_Diario!$B$4:$B$300,5,Trato_Diario!$A$4:$A$300,$A139))</f>
        <v/>
      </c>
      <c r="G139" s="26" t="str">
        <f>IF(OR($A139&gt;MAX(Trato_Diario!$A$4:$A$300),SUMIFS(Trato_Diario!$G$4:$G$300,Trato_Diario!$B$4:$B$300,6,Trato_Diario!$A$4:$A$300,$A139)=0),"",SUMIFS(Trato_Diario!$J$4:$J$300,Trato_Diario!$B$4:$B$300,6,Trato_Diario!$A$4:$A$300,$A139)/SUMIFS(Trato_Diario!$G$4:$G$300,Trato_Diario!$B$4:$B$300,6,Trato_Diario!$A$4:$A$300,$A139))</f>
        <v/>
      </c>
      <c r="H139" s="26" t="str">
        <f>IF(OR($A139&gt;MAX(Trato_Diario!$A$4:$A$300),SUMIFS(Trato_Diario!$G$4:$G$300,Trato_Diario!$B$4:$B$300,7,Trato_Diario!$A$4:$A$300,$A139)=0),"",SUMIFS(Trato_Diario!$J$4:$J$300,Trato_Diario!$B$4:$B$300,7,Trato_Diario!$A$4:$A$300,$A139)/SUMIFS(Trato_Diario!$G$4:$G$300,Trato_Diario!$B$4:$B$300,7,Trato_Diario!$A$4:$A$300,$A139))</f>
        <v/>
      </c>
      <c r="I139" s="26" t="str">
        <f>IF(OR($A139&gt;MAX(Trato_Diario!$A$4:$A$300),SUMIFS(Trato_Diario!$G$4:$G$300,Trato_Diario!$B$4:$B$300,8,Trato_Diario!$A$4:$A$300,$A139)=0),"",SUMIFS(Trato_Diario!$J$4:$J$300,Trato_Diario!$B$4:$B$300,8,Trato_Diario!$A$4:$A$300,$A139)/SUMIFS(Trato_Diario!$G$4:$G$300,Trato_Diario!$B$4:$B$300,8,Trato_Diario!$A$4:$A$300,$A139))</f>
        <v/>
      </c>
      <c r="J139" s="26" t="str">
        <f>IF(OR($A139&gt;MAX(Trato_Diario!$A$4:$A$300),SUMIFS(Trato_Diario!$G$4:$G$300,Trato_Diario!$B$4:$B$300,9,Trato_Diario!$A$4:$A$300,$A139)=0),"",SUMIFS(Trato_Diario!$J$4:$J$300,Trato_Diario!$B$4:$B$300,9,Trato_Diario!$A$4:$A$300,$A139)/SUMIFS(Trato_Diario!$G$4:$G$300,Trato_Diario!$B$4:$B$300,9,Trato_Diario!$A$4:$A$300,$A139))</f>
        <v/>
      </c>
      <c r="K139" s="26" t="str">
        <f>IF(OR($A139&gt;MAX(Trato_Diario!$A$4:$A$300),SUMIFS(Trato_Diario!$G$4:$G$300,Trato_Diario!$B$4:$B$300,10,Trato_Diario!$A$4:$A$300,$A139)=0),"",SUMIFS(Trato_Diario!$J$4:$J$300,Trato_Diario!$B$4:$B$300,10,Trato_Diario!$A$4:$A$300,$A139)/SUMIFS(Trato_Diario!$G$4:$G$300,Trato_Diario!$B$4:$B$300,10,Trato_Diario!$A$4:$A$300,$A139))</f>
        <v/>
      </c>
      <c r="L139" s="74" t="str">
        <f>IF(OR($A139&gt;MAX(Trato_Diario!$A$4:$A$300),SUMIFS(Trato_Diario!$G$4:$G$300,Trato_Diario!$A$4:$A$300,$A139)=0),"",SUMIFS(Trato_Diario!$J$4:$J$300,Trato_Diario!$A$4:$A$300,$A139)/SUMIFS(Trato_Diario!$G$4:$G$300,Trato_Diario!$A$4:$A$300,$A139))</f>
        <v/>
      </c>
    </row>
    <row r="140" spans="1:12" ht="14.25" customHeight="1" x14ac:dyDescent="0.3">
      <c r="A140" s="86">
        <v>46349</v>
      </c>
      <c r="B140" s="28" t="str">
        <f>IF(OR($A140&gt;MAX(Trato_Diario!$A$4:$A$300),SUMIFS(Trato_Diario!$G$4:$G$300,Trato_Diario!$B$4:$B$300,1,Trato_Diario!$A$4:$A$300,$A140)=0),"",SUMIFS(Trato_Diario!$J$4:$J$300,Trato_Diario!$B$4:$B$300,1,Trato_Diario!$A$4:$A$300,$A140)/SUMIFS(Trato_Diario!$G$4:$G$300,Trato_Diario!$B$4:$B$300,1,Trato_Diario!$A$4:$A$300,$A140))</f>
        <v/>
      </c>
      <c r="C140" s="28" t="str">
        <f>IF(OR($A140&gt;MAX(Trato_Diario!$A$4:$A$300),SUMIFS(Trato_Diario!$G$4:$G$300,Trato_Diario!$B$4:$B$300,2,Trato_Diario!$A$4:$A$300,$A140)=0),"",SUMIFS(Trato_Diario!$J$4:$J$300,Trato_Diario!$B$4:$B$300,2,Trato_Diario!$A$4:$A$300,$A140)/SUMIFS(Trato_Diario!$G$4:$G$300,Trato_Diario!$B$4:$B$300,2,Trato_Diario!$A$4:$A$300,$A140))</f>
        <v/>
      </c>
      <c r="D140" s="28" t="str">
        <f>IF(OR($A140&gt;MAX(Trato_Diario!$A$4:$A$300),SUMIFS(Trato_Diario!$G$4:$G$300,Trato_Diario!$B$4:$B$300,3,Trato_Diario!$A$4:$A$300,$A140)=0),"",SUMIFS(Trato_Diario!$J$4:$J$300,Trato_Diario!$B$4:$B$300,3,Trato_Diario!$A$4:$A$300,$A140)/SUMIFS(Trato_Diario!$G$4:$G$300,Trato_Diario!$B$4:$B$300,3,Trato_Diario!$A$4:$A$300,$A140))</f>
        <v/>
      </c>
      <c r="E140" s="28" t="str">
        <f>IF(OR($A140&gt;MAX(Trato_Diario!$A$4:$A$300),SUMIFS(Trato_Diario!$G$4:$G$300,Trato_Diario!$B$4:$B$300,4,Trato_Diario!$A$4:$A$300,$A140)=0),"",SUMIFS(Trato_Diario!$J$4:$J$300,Trato_Diario!$B$4:$B$300,4,Trato_Diario!$A$4:$A$300,$A140)/SUMIFS(Trato_Diario!$G$4:$G$300,Trato_Diario!$B$4:$B$300,4,Trato_Diario!$A$4:$A$300,$A140))</f>
        <v/>
      </c>
      <c r="F140" s="28" t="str">
        <f>IF(OR($A140&gt;MAX(Trato_Diario!$A$4:$A$300),SUMIFS(Trato_Diario!$G$4:$G$300,Trato_Diario!$B$4:$B$300,5,Trato_Diario!$A$4:$A$300,$A140)=0),"",SUMIFS(Trato_Diario!$J$4:$J$300,Trato_Diario!$B$4:$B$300,5,Trato_Diario!$A$4:$A$300,$A140)/SUMIFS(Trato_Diario!$G$4:$G$300,Trato_Diario!$B$4:$B$300,5,Trato_Diario!$A$4:$A$300,$A140))</f>
        <v/>
      </c>
      <c r="G140" s="28" t="str">
        <f>IF(OR($A140&gt;MAX(Trato_Diario!$A$4:$A$300),SUMIFS(Trato_Diario!$G$4:$G$300,Trato_Diario!$B$4:$B$300,6,Trato_Diario!$A$4:$A$300,$A140)=0),"",SUMIFS(Trato_Diario!$J$4:$J$300,Trato_Diario!$B$4:$B$300,6,Trato_Diario!$A$4:$A$300,$A140)/SUMIFS(Trato_Diario!$G$4:$G$300,Trato_Diario!$B$4:$B$300,6,Trato_Diario!$A$4:$A$300,$A140))</f>
        <v/>
      </c>
      <c r="H140" s="28" t="str">
        <f>IF(OR($A140&gt;MAX(Trato_Diario!$A$4:$A$300),SUMIFS(Trato_Diario!$G$4:$G$300,Trato_Diario!$B$4:$B$300,7,Trato_Diario!$A$4:$A$300,$A140)=0),"",SUMIFS(Trato_Diario!$J$4:$J$300,Trato_Diario!$B$4:$B$300,7,Trato_Diario!$A$4:$A$300,$A140)/SUMIFS(Trato_Diario!$G$4:$G$300,Trato_Diario!$B$4:$B$300,7,Trato_Diario!$A$4:$A$300,$A140))</f>
        <v/>
      </c>
      <c r="I140" s="28" t="str">
        <f>IF(OR($A140&gt;MAX(Trato_Diario!$A$4:$A$300),SUMIFS(Trato_Diario!$G$4:$G$300,Trato_Diario!$B$4:$B$300,8,Trato_Diario!$A$4:$A$300,$A140)=0),"",SUMIFS(Trato_Diario!$J$4:$J$300,Trato_Diario!$B$4:$B$300,8,Trato_Diario!$A$4:$A$300,$A140)/SUMIFS(Trato_Diario!$G$4:$G$300,Trato_Diario!$B$4:$B$300,8,Trato_Diario!$A$4:$A$300,$A140))</f>
        <v/>
      </c>
      <c r="J140" s="28" t="str">
        <f>IF(OR($A140&gt;MAX(Trato_Diario!$A$4:$A$300),SUMIFS(Trato_Diario!$G$4:$G$300,Trato_Diario!$B$4:$B$300,9,Trato_Diario!$A$4:$A$300,$A140)=0),"",SUMIFS(Trato_Diario!$J$4:$J$300,Trato_Diario!$B$4:$B$300,9,Trato_Diario!$A$4:$A$300,$A140)/SUMIFS(Trato_Diario!$G$4:$G$300,Trato_Diario!$B$4:$B$300,9,Trato_Diario!$A$4:$A$300,$A140))</f>
        <v/>
      </c>
      <c r="K140" s="28" t="str">
        <f>IF(OR($A140&gt;MAX(Trato_Diario!$A$4:$A$300),SUMIFS(Trato_Diario!$G$4:$G$300,Trato_Diario!$B$4:$B$300,10,Trato_Diario!$A$4:$A$300,$A140)=0),"",SUMIFS(Trato_Diario!$J$4:$J$300,Trato_Diario!$B$4:$B$300,10,Trato_Diario!$A$4:$A$300,$A140)/SUMIFS(Trato_Diario!$G$4:$G$300,Trato_Diario!$B$4:$B$300,10,Trato_Diario!$A$4:$A$300,$A140))</f>
        <v/>
      </c>
      <c r="L140" s="76" t="str">
        <f>IF(OR($A140&gt;MAX(Trato_Diario!$A$4:$A$300),SUMIFS(Trato_Diario!$G$4:$G$300,Trato_Diario!$A$4:$A$300,$A140)=0),"",SUMIFS(Trato_Diario!$J$4:$J$300,Trato_Diario!$A$4:$A$300,$A140)/SUMIFS(Trato_Diario!$G$4:$G$300,Trato_Diario!$A$4:$A$300,$A140))</f>
        <v/>
      </c>
    </row>
    <row r="141" spans="1:12" ht="14.25" customHeight="1" x14ac:dyDescent="0.3">
      <c r="A141" s="85">
        <v>46350</v>
      </c>
      <c r="B141" s="26" t="str">
        <f>IF(OR($A141&gt;MAX(Trato_Diario!$A$4:$A$300),SUMIFS(Trato_Diario!$G$4:$G$300,Trato_Diario!$B$4:$B$300,1,Trato_Diario!$A$4:$A$300,$A141)=0),"",SUMIFS(Trato_Diario!$J$4:$J$300,Trato_Diario!$B$4:$B$300,1,Trato_Diario!$A$4:$A$300,$A141)/SUMIFS(Trato_Diario!$G$4:$G$300,Trato_Diario!$B$4:$B$300,1,Trato_Diario!$A$4:$A$300,$A141))</f>
        <v/>
      </c>
      <c r="C141" s="26" t="str">
        <f>IF(OR($A141&gt;MAX(Trato_Diario!$A$4:$A$300),SUMIFS(Trato_Diario!$G$4:$G$300,Trato_Diario!$B$4:$B$300,2,Trato_Diario!$A$4:$A$300,$A141)=0),"",SUMIFS(Trato_Diario!$J$4:$J$300,Trato_Diario!$B$4:$B$300,2,Trato_Diario!$A$4:$A$300,$A141)/SUMIFS(Trato_Diario!$G$4:$G$300,Trato_Diario!$B$4:$B$300,2,Trato_Diario!$A$4:$A$300,$A141))</f>
        <v/>
      </c>
      <c r="D141" s="26" t="str">
        <f>IF(OR($A141&gt;MAX(Trato_Diario!$A$4:$A$300),SUMIFS(Trato_Diario!$G$4:$G$300,Trato_Diario!$B$4:$B$300,3,Trato_Diario!$A$4:$A$300,$A141)=0),"",SUMIFS(Trato_Diario!$J$4:$J$300,Trato_Diario!$B$4:$B$300,3,Trato_Diario!$A$4:$A$300,$A141)/SUMIFS(Trato_Diario!$G$4:$G$300,Trato_Diario!$B$4:$B$300,3,Trato_Diario!$A$4:$A$300,$A141))</f>
        <v/>
      </c>
      <c r="E141" s="26" t="str">
        <f>IF(OR($A141&gt;MAX(Trato_Diario!$A$4:$A$300),SUMIFS(Trato_Diario!$G$4:$G$300,Trato_Diario!$B$4:$B$300,4,Trato_Diario!$A$4:$A$300,$A141)=0),"",SUMIFS(Trato_Diario!$J$4:$J$300,Trato_Diario!$B$4:$B$300,4,Trato_Diario!$A$4:$A$300,$A141)/SUMIFS(Trato_Diario!$G$4:$G$300,Trato_Diario!$B$4:$B$300,4,Trato_Diario!$A$4:$A$300,$A141))</f>
        <v/>
      </c>
      <c r="F141" s="26" t="str">
        <f>IF(OR($A141&gt;MAX(Trato_Diario!$A$4:$A$300),SUMIFS(Trato_Diario!$G$4:$G$300,Trato_Diario!$B$4:$B$300,5,Trato_Diario!$A$4:$A$300,$A141)=0),"",SUMIFS(Trato_Diario!$J$4:$J$300,Trato_Diario!$B$4:$B$300,5,Trato_Diario!$A$4:$A$300,$A141)/SUMIFS(Trato_Diario!$G$4:$G$300,Trato_Diario!$B$4:$B$300,5,Trato_Diario!$A$4:$A$300,$A141))</f>
        <v/>
      </c>
      <c r="G141" s="26" t="str">
        <f>IF(OR($A141&gt;MAX(Trato_Diario!$A$4:$A$300),SUMIFS(Trato_Diario!$G$4:$G$300,Trato_Diario!$B$4:$B$300,6,Trato_Diario!$A$4:$A$300,$A141)=0),"",SUMIFS(Trato_Diario!$J$4:$J$300,Trato_Diario!$B$4:$B$300,6,Trato_Diario!$A$4:$A$300,$A141)/SUMIFS(Trato_Diario!$G$4:$G$300,Trato_Diario!$B$4:$B$300,6,Trato_Diario!$A$4:$A$300,$A141))</f>
        <v/>
      </c>
      <c r="H141" s="26" t="str">
        <f>IF(OR($A141&gt;MAX(Trato_Diario!$A$4:$A$300),SUMIFS(Trato_Diario!$G$4:$G$300,Trato_Diario!$B$4:$B$300,7,Trato_Diario!$A$4:$A$300,$A141)=0),"",SUMIFS(Trato_Diario!$J$4:$J$300,Trato_Diario!$B$4:$B$300,7,Trato_Diario!$A$4:$A$300,$A141)/SUMIFS(Trato_Diario!$G$4:$G$300,Trato_Diario!$B$4:$B$300,7,Trato_Diario!$A$4:$A$300,$A141))</f>
        <v/>
      </c>
      <c r="I141" s="26" t="str">
        <f>IF(OR($A141&gt;MAX(Trato_Diario!$A$4:$A$300),SUMIFS(Trato_Diario!$G$4:$G$300,Trato_Diario!$B$4:$B$300,8,Trato_Diario!$A$4:$A$300,$A141)=0),"",SUMIFS(Trato_Diario!$J$4:$J$300,Trato_Diario!$B$4:$B$300,8,Trato_Diario!$A$4:$A$300,$A141)/SUMIFS(Trato_Diario!$G$4:$G$300,Trato_Diario!$B$4:$B$300,8,Trato_Diario!$A$4:$A$300,$A141))</f>
        <v/>
      </c>
      <c r="J141" s="26" t="str">
        <f>IF(OR($A141&gt;MAX(Trato_Diario!$A$4:$A$300),SUMIFS(Trato_Diario!$G$4:$G$300,Trato_Diario!$B$4:$B$300,9,Trato_Diario!$A$4:$A$300,$A141)=0),"",SUMIFS(Trato_Diario!$J$4:$J$300,Trato_Diario!$B$4:$B$300,9,Trato_Diario!$A$4:$A$300,$A141)/SUMIFS(Trato_Diario!$G$4:$G$300,Trato_Diario!$B$4:$B$300,9,Trato_Diario!$A$4:$A$300,$A141))</f>
        <v/>
      </c>
      <c r="K141" s="26" t="str">
        <f>IF(OR($A141&gt;MAX(Trato_Diario!$A$4:$A$300),SUMIFS(Trato_Diario!$G$4:$G$300,Trato_Diario!$B$4:$B$300,10,Trato_Diario!$A$4:$A$300,$A141)=0),"",SUMIFS(Trato_Diario!$J$4:$J$300,Trato_Diario!$B$4:$B$300,10,Trato_Diario!$A$4:$A$300,$A141)/SUMIFS(Trato_Diario!$G$4:$G$300,Trato_Diario!$B$4:$B$300,10,Trato_Diario!$A$4:$A$300,$A141))</f>
        <v/>
      </c>
      <c r="L141" s="74" t="str">
        <f>IF(OR($A141&gt;MAX(Trato_Diario!$A$4:$A$300),SUMIFS(Trato_Diario!$G$4:$G$300,Trato_Diario!$A$4:$A$300,$A141)=0),"",SUMIFS(Trato_Diario!$J$4:$J$300,Trato_Diario!$A$4:$A$300,$A141)/SUMIFS(Trato_Diario!$G$4:$G$300,Trato_Diario!$A$4:$A$300,$A141))</f>
        <v/>
      </c>
    </row>
    <row r="142" spans="1:12" ht="14.25" customHeight="1" x14ac:dyDescent="0.3">
      <c r="A142" s="86">
        <v>46351</v>
      </c>
      <c r="B142" s="28" t="str">
        <f>IF(OR($A142&gt;MAX(Trato_Diario!$A$4:$A$300),SUMIFS(Trato_Diario!$G$4:$G$300,Trato_Diario!$B$4:$B$300,1,Trato_Diario!$A$4:$A$300,$A142)=0),"",SUMIFS(Trato_Diario!$J$4:$J$300,Trato_Diario!$B$4:$B$300,1,Trato_Diario!$A$4:$A$300,$A142)/SUMIFS(Trato_Diario!$G$4:$G$300,Trato_Diario!$B$4:$B$300,1,Trato_Diario!$A$4:$A$300,$A142))</f>
        <v/>
      </c>
      <c r="C142" s="28" t="str">
        <f>IF(OR($A142&gt;MAX(Trato_Diario!$A$4:$A$300),SUMIFS(Trato_Diario!$G$4:$G$300,Trato_Diario!$B$4:$B$300,2,Trato_Diario!$A$4:$A$300,$A142)=0),"",SUMIFS(Trato_Diario!$J$4:$J$300,Trato_Diario!$B$4:$B$300,2,Trato_Diario!$A$4:$A$300,$A142)/SUMIFS(Trato_Diario!$G$4:$G$300,Trato_Diario!$B$4:$B$300,2,Trato_Diario!$A$4:$A$300,$A142))</f>
        <v/>
      </c>
      <c r="D142" s="28" t="str">
        <f>IF(OR($A142&gt;MAX(Trato_Diario!$A$4:$A$300),SUMIFS(Trato_Diario!$G$4:$G$300,Trato_Diario!$B$4:$B$300,3,Trato_Diario!$A$4:$A$300,$A142)=0),"",SUMIFS(Trato_Diario!$J$4:$J$300,Trato_Diario!$B$4:$B$300,3,Trato_Diario!$A$4:$A$300,$A142)/SUMIFS(Trato_Diario!$G$4:$G$300,Trato_Diario!$B$4:$B$300,3,Trato_Diario!$A$4:$A$300,$A142))</f>
        <v/>
      </c>
      <c r="E142" s="28" t="str">
        <f>IF(OR($A142&gt;MAX(Trato_Diario!$A$4:$A$300),SUMIFS(Trato_Diario!$G$4:$G$300,Trato_Diario!$B$4:$B$300,4,Trato_Diario!$A$4:$A$300,$A142)=0),"",SUMIFS(Trato_Diario!$J$4:$J$300,Trato_Diario!$B$4:$B$300,4,Trato_Diario!$A$4:$A$300,$A142)/SUMIFS(Trato_Diario!$G$4:$G$300,Trato_Diario!$B$4:$B$300,4,Trato_Diario!$A$4:$A$300,$A142))</f>
        <v/>
      </c>
      <c r="F142" s="28" t="str">
        <f>IF(OR($A142&gt;MAX(Trato_Diario!$A$4:$A$300),SUMIFS(Trato_Diario!$G$4:$G$300,Trato_Diario!$B$4:$B$300,5,Trato_Diario!$A$4:$A$300,$A142)=0),"",SUMIFS(Trato_Diario!$J$4:$J$300,Trato_Diario!$B$4:$B$300,5,Trato_Diario!$A$4:$A$300,$A142)/SUMIFS(Trato_Diario!$G$4:$G$300,Trato_Diario!$B$4:$B$300,5,Trato_Diario!$A$4:$A$300,$A142))</f>
        <v/>
      </c>
      <c r="G142" s="28" t="str">
        <f>IF(OR($A142&gt;MAX(Trato_Diario!$A$4:$A$300),SUMIFS(Trato_Diario!$G$4:$G$300,Trato_Diario!$B$4:$B$300,6,Trato_Diario!$A$4:$A$300,$A142)=0),"",SUMIFS(Trato_Diario!$J$4:$J$300,Trato_Diario!$B$4:$B$300,6,Trato_Diario!$A$4:$A$300,$A142)/SUMIFS(Trato_Diario!$G$4:$G$300,Trato_Diario!$B$4:$B$300,6,Trato_Diario!$A$4:$A$300,$A142))</f>
        <v/>
      </c>
      <c r="H142" s="28" t="str">
        <f>IF(OR($A142&gt;MAX(Trato_Diario!$A$4:$A$300),SUMIFS(Trato_Diario!$G$4:$G$300,Trato_Diario!$B$4:$B$300,7,Trato_Diario!$A$4:$A$300,$A142)=0),"",SUMIFS(Trato_Diario!$J$4:$J$300,Trato_Diario!$B$4:$B$300,7,Trato_Diario!$A$4:$A$300,$A142)/SUMIFS(Trato_Diario!$G$4:$G$300,Trato_Diario!$B$4:$B$300,7,Trato_Diario!$A$4:$A$300,$A142))</f>
        <v/>
      </c>
      <c r="I142" s="28" t="str">
        <f>IF(OR($A142&gt;MAX(Trato_Diario!$A$4:$A$300),SUMIFS(Trato_Diario!$G$4:$G$300,Trato_Diario!$B$4:$B$300,8,Trato_Diario!$A$4:$A$300,$A142)=0),"",SUMIFS(Trato_Diario!$J$4:$J$300,Trato_Diario!$B$4:$B$300,8,Trato_Diario!$A$4:$A$300,$A142)/SUMIFS(Trato_Diario!$G$4:$G$300,Trato_Diario!$B$4:$B$300,8,Trato_Diario!$A$4:$A$300,$A142))</f>
        <v/>
      </c>
      <c r="J142" s="28" t="str">
        <f>IF(OR($A142&gt;MAX(Trato_Diario!$A$4:$A$300),SUMIFS(Trato_Diario!$G$4:$G$300,Trato_Diario!$B$4:$B$300,9,Trato_Diario!$A$4:$A$300,$A142)=0),"",SUMIFS(Trato_Diario!$J$4:$J$300,Trato_Diario!$B$4:$B$300,9,Trato_Diario!$A$4:$A$300,$A142)/SUMIFS(Trato_Diario!$G$4:$G$300,Trato_Diario!$B$4:$B$300,9,Trato_Diario!$A$4:$A$300,$A142))</f>
        <v/>
      </c>
      <c r="K142" s="28" t="str">
        <f>IF(OR($A142&gt;MAX(Trato_Diario!$A$4:$A$300),SUMIFS(Trato_Diario!$G$4:$G$300,Trato_Diario!$B$4:$B$300,10,Trato_Diario!$A$4:$A$300,$A142)=0),"",SUMIFS(Trato_Diario!$J$4:$J$300,Trato_Diario!$B$4:$B$300,10,Trato_Diario!$A$4:$A$300,$A142)/SUMIFS(Trato_Diario!$G$4:$G$300,Trato_Diario!$B$4:$B$300,10,Trato_Diario!$A$4:$A$300,$A142))</f>
        <v/>
      </c>
      <c r="L142" s="76" t="str">
        <f>IF(OR($A142&gt;MAX(Trato_Diario!$A$4:$A$300),SUMIFS(Trato_Diario!$G$4:$G$300,Trato_Diario!$A$4:$A$300,$A142)=0),"",SUMIFS(Trato_Diario!$J$4:$J$300,Trato_Diario!$A$4:$A$300,$A142)/SUMIFS(Trato_Diario!$G$4:$G$300,Trato_Diario!$A$4:$A$300,$A142))</f>
        <v/>
      </c>
    </row>
    <row r="143" spans="1:12" ht="14.25" customHeight="1" x14ac:dyDescent="0.3">
      <c r="A143" s="85">
        <v>46352</v>
      </c>
      <c r="B143" s="26" t="str">
        <f>IF(OR($A143&gt;MAX(Trato_Diario!$A$4:$A$300),SUMIFS(Trato_Diario!$G$4:$G$300,Trato_Diario!$B$4:$B$300,1,Trato_Diario!$A$4:$A$300,$A143)=0),"",SUMIFS(Trato_Diario!$J$4:$J$300,Trato_Diario!$B$4:$B$300,1,Trato_Diario!$A$4:$A$300,$A143)/SUMIFS(Trato_Diario!$G$4:$G$300,Trato_Diario!$B$4:$B$300,1,Trato_Diario!$A$4:$A$300,$A143))</f>
        <v/>
      </c>
      <c r="C143" s="26" t="str">
        <f>IF(OR($A143&gt;MAX(Trato_Diario!$A$4:$A$300),SUMIFS(Trato_Diario!$G$4:$G$300,Trato_Diario!$B$4:$B$300,2,Trato_Diario!$A$4:$A$300,$A143)=0),"",SUMIFS(Trato_Diario!$J$4:$J$300,Trato_Diario!$B$4:$B$300,2,Trato_Diario!$A$4:$A$300,$A143)/SUMIFS(Trato_Diario!$G$4:$G$300,Trato_Diario!$B$4:$B$300,2,Trato_Diario!$A$4:$A$300,$A143))</f>
        <v/>
      </c>
      <c r="D143" s="26" t="str">
        <f>IF(OR($A143&gt;MAX(Trato_Diario!$A$4:$A$300),SUMIFS(Trato_Diario!$G$4:$G$300,Trato_Diario!$B$4:$B$300,3,Trato_Diario!$A$4:$A$300,$A143)=0),"",SUMIFS(Trato_Diario!$J$4:$J$300,Trato_Diario!$B$4:$B$300,3,Trato_Diario!$A$4:$A$300,$A143)/SUMIFS(Trato_Diario!$G$4:$G$300,Trato_Diario!$B$4:$B$300,3,Trato_Diario!$A$4:$A$300,$A143))</f>
        <v/>
      </c>
      <c r="E143" s="26" t="str">
        <f>IF(OR($A143&gt;MAX(Trato_Diario!$A$4:$A$300),SUMIFS(Trato_Diario!$G$4:$G$300,Trato_Diario!$B$4:$B$300,4,Trato_Diario!$A$4:$A$300,$A143)=0),"",SUMIFS(Trato_Diario!$J$4:$J$300,Trato_Diario!$B$4:$B$300,4,Trato_Diario!$A$4:$A$300,$A143)/SUMIFS(Trato_Diario!$G$4:$G$300,Trato_Diario!$B$4:$B$300,4,Trato_Diario!$A$4:$A$300,$A143))</f>
        <v/>
      </c>
      <c r="F143" s="26" t="str">
        <f>IF(OR($A143&gt;MAX(Trato_Diario!$A$4:$A$300),SUMIFS(Trato_Diario!$G$4:$G$300,Trato_Diario!$B$4:$B$300,5,Trato_Diario!$A$4:$A$300,$A143)=0),"",SUMIFS(Trato_Diario!$J$4:$J$300,Trato_Diario!$B$4:$B$300,5,Trato_Diario!$A$4:$A$300,$A143)/SUMIFS(Trato_Diario!$G$4:$G$300,Trato_Diario!$B$4:$B$300,5,Trato_Diario!$A$4:$A$300,$A143))</f>
        <v/>
      </c>
      <c r="G143" s="26" t="str">
        <f>IF(OR($A143&gt;MAX(Trato_Diario!$A$4:$A$300),SUMIFS(Trato_Diario!$G$4:$G$300,Trato_Diario!$B$4:$B$300,6,Trato_Diario!$A$4:$A$300,$A143)=0),"",SUMIFS(Trato_Diario!$J$4:$J$300,Trato_Diario!$B$4:$B$300,6,Trato_Diario!$A$4:$A$300,$A143)/SUMIFS(Trato_Diario!$G$4:$G$300,Trato_Diario!$B$4:$B$300,6,Trato_Diario!$A$4:$A$300,$A143))</f>
        <v/>
      </c>
      <c r="H143" s="26" t="str">
        <f>IF(OR($A143&gt;MAX(Trato_Diario!$A$4:$A$300),SUMIFS(Trato_Diario!$G$4:$G$300,Trato_Diario!$B$4:$B$300,7,Trato_Diario!$A$4:$A$300,$A143)=0),"",SUMIFS(Trato_Diario!$J$4:$J$300,Trato_Diario!$B$4:$B$300,7,Trato_Diario!$A$4:$A$300,$A143)/SUMIFS(Trato_Diario!$G$4:$G$300,Trato_Diario!$B$4:$B$300,7,Trato_Diario!$A$4:$A$300,$A143))</f>
        <v/>
      </c>
      <c r="I143" s="26" t="str">
        <f>IF(OR($A143&gt;MAX(Trato_Diario!$A$4:$A$300),SUMIFS(Trato_Diario!$G$4:$G$300,Trato_Diario!$B$4:$B$300,8,Trato_Diario!$A$4:$A$300,$A143)=0),"",SUMIFS(Trato_Diario!$J$4:$J$300,Trato_Diario!$B$4:$B$300,8,Trato_Diario!$A$4:$A$300,$A143)/SUMIFS(Trato_Diario!$G$4:$G$300,Trato_Diario!$B$4:$B$300,8,Trato_Diario!$A$4:$A$300,$A143))</f>
        <v/>
      </c>
      <c r="J143" s="26" t="str">
        <f>IF(OR($A143&gt;MAX(Trato_Diario!$A$4:$A$300),SUMIFS(Trato_Diario!$G$4:$G$300,Trato_Diario!$B$4:$B$300,9,Trato_Diario!$A$4:$A$300,$A143)=0),"",SUMIFS(Trato_Diario!$J$4:$J$300,Trato_Diario!$B$4:$B$300,9,Trato_Diario!$A$4:$A$300,$A143)/SUMIFS(Trato_Diario!$G$4:$G$300,Trato_Diario!$B$4:$B$300,9,Trato_Diario!$A$4:$A$300,$A143))</f>
        <v/>
      </c>
      <c r="K143" s="26" t="str">
        <f>IF(OR($A143&gt;MAX(Trato_Diario!$A$4:$A$300),SUMIFS(Trato_Diario!$G$4:$G$300,Trato_Diario!$B$4:$B$300,10,Trato_Diario!$A$4:$A$300,$A143)=0),"",SUMIFS(Trato_Diario!$J$4:$J$300,Trato_Diario!$B$4:$B$300,10,Trato_Diario!$A$4:$A$300,$A143)/SUMIFS(Trato_Diario!$G$4:$G$300,Trato_Diario!$B$4:$B$300,10,Trato_Diario!$A$4:$A$300,$A143))</f>
        <v/>
      </c>
      <c r="L143" s="74" t="str">
        <f>IF(OR($A143&gt;MAX(Trato_Diario!$A$4:$A$300),SUMIFS(Trato_Diario!$G$4:$G$300,Trato_Diario!$A$4:$A$300,$A143)=0),"",SUMIFS(Trato_Diario!$J$4:$J$300,Trato_Diario!$A$4:$A$300,$A143)/SUMIFS(Trato_Diario!$G$4:$G$300,Trato_Diario!$A$4:$A$300,$A143))</f>
        <v/>
      </c>
    </row>
    <row r="144" spans="1:12" ht="14.25" customHeight="1" x14ac:dyDescent="0.3">
      <c r="A144" s="86">
        <v>46353</v>
      </c>
      <c r="B144" s="28" t="str">
        <f>IF(OR($A144&gt;MAX(Trato_Diario!$A$4:$A$300),SUMIFS(Trato_Diario!$G$4:$G$300,Trato_Diario!$B$4:$B$300,1,Trato_Diario!$A$4:$A$300,$A144)=0),"",SUMIFS(Trato_Diario!$J$4:$J$300,Trato_Diario!$B$4:$B$300,1,Trato_Diario!$A$4:$A$300,$A144)/SUMIFS(Trato_Diario!$G$4:$G$300,Trato_Diario!$B$4:$B$300,1,Trato_Diario!$A$4:$A$300,$A144))</f>
        <v/>
      </c>
      <c r="C144" s="28" t="str">
        <f>IF(OR($A144&gt;MAX(Trato_Diario!$A$4:$A$300),SUMIFS(Trato_Diario!$G$4:$G$300,Trato_Diario!$B$4:$B$300,2,Trato_Diario!$A$4:$A$300,$A144)=0),"",SUMIFS(Trato_Diario!$J$4:$J$300,Trato_Diario!$B$4:$B$300,2,Trato_Diario!$A$4:$A$300,$A144)/SUMIFS(Trato_Diario!$G$4:$G$300,Trato_Diario!$B$4:$B$300,2,Trato_Diario!$A$4:$A$300,$A144))</f>
        <v/>
      </c>
      <c r="D144" s="28" t="str">
        <f>IF(OR($A144&gt;MAX(Trato_Diario!$A$4:$A$300),SUMIFS(Trato_Diario!$G$4:$G$300,Trato_Diario!$B$4:$B$300,3,Trato_Diario!$A$4:$A$300,$A144)=0),"",SUMIFS(Trato_Diario!$J$4:$J$300,Trato_Diario!$B$4:$B$300,3,Trato_Diario!$A$4:$A$300,$A144)/SUMIFS(Trato_Diario!$G$4:$G$300,Trato_Diario!$B$4:$B$300,3,Trato_Diario!$A$4:$A$300,$A144))</f>
        <v/>
      </c>
      <c r="E144" s="28" t="str">
        <f>IF(OR($A144&gt;MAX(Trato_Diario!$A$4:$A$300),SUMIFS(Trato_Diario!$G$4:$G$300,Trato_Diario!$B$4:$B$300,4,Trato_Diario!$A$4:$A$300,$A144)=0),"",SUMIFS(Trato_Diario!$J$4:$J$300,Trato_Diario!$B$4:$B$300,4,Trato_Diario!$A$4:$A$300,$A144)/SUMIFS(Trato_Diario!$G$4:$G$300,Trato_Diario!$B$4:$B$300,4,Trato_Diario!$A$4:$A$300,$A144))</f>
        <v/>
      </c>
      <c r="F144" s="28" t="str">
        <f>IF(OR($A144&gt;MAX(Trato_Diario!$A$4:$A$300),SUMIFS(Trato_Diario!$G$4:$G$300,Trato_Diario!$B$4:$B$300,5,Trato_Diario!$A$4:$A$300,$A144)=0),"",SUMIFS(Trato_Diario!$J$4:$J$300,Trato_Diario!$B$4:$B$300,5,Trato_Diario!$A$4:$A$300,$A144)/SUMIFS(Trato_Diario!$G$4:$G$300,Trato_Diario!$B$4:$B$300,5,Trato_Diario!$A$4:$A$300,$A144))</f>
        <v/>
      </c>
      <c r="G144" s="28" t="str">
        <f>IF(OR($A144&gt;MAX(Trato_Diario!$A$4:$A$300),SUMIFS(Trato_Diario!$G$4:$G$300,Trato_Diario!$B$4:$B$300,6,Trato_Diario!$A$4:$A$300,$A144)=0),"",SUMIFS(Trato_Diario!$J$4:$J$300,Trato_Diario!$B$4:$B$300,6,Trato_Diario!$A$4:$A$300,$A144)/SUMIFS(Trato_Diario!$G$4:$G$300,Trato_Diario!$B$4:$B$300,6,Trato_Diario!$A$4:$A$300,$A144))</f>
        <v/>
      </c>
      <c r="H144" s="28" t="str">
        <f>IF(OR($A144&gt;MAX(Trato_Diario!$A$4:$A$300),SUMIFS(Trato_Diario!$G$4:$G$300,Trato_Diario!$B$4:$B$300,7,Trato_Diario!$A$4:$A$300,$A144)=0),"",SUMIFS(Trato_Diario!$J$4:$J$300,Trato_Diario!$B$4:$B$300,7,Trato_Diario!$A$4:$A$300,$A144)/SUMIFS(Trato_Diario!$G$4:$G$300,Trato_Diario!$B$4:$B$300,7,Trato_Diario!$A$4:$A$300,$A144))</f>
        <v/>
      </c>
      <c r="I144" s="28" t="str">
        <f>IF(OR($A144&gt;MAX(Trato_Diario!$A$4:$A$300),SUMIFS(Trato_Diario!$G$4:$G$300,Trato_Diario!$B$4:$B$300,8,Trato_Diario!$A$4:$A$300,$A144)=0),"",SUMIFS(Trato_Diario!$J$4:$J$300,Trato_Diario!$B$4:$B$300,8,Trato_Diario!$A$4:$A$300,$A144)/SUMIFS(Trato_Diario!$G$4:$G$300,Trato_Diario!$B$4:$B$300,8,Trato_Diario!$A$4:$A$300,$A144))</f>
        <v/>
      </c>
      <c r="J144" s="28" t="str">
        <f>IF(OR($A144&gt;MAX(Trato_Diario!$A$4:$A$300),SUMIFS(Trato_Diario!$G$4:$G$300,Trato_Diario!$B$4:$B$300,9,Trato_Diario!$A$4:$A$300,$A144)=0),"",SUMIFS(Trato_Diario!$J$4:$J$300,Trato_Diario!$B$4:$B$300,9,Trato_Diario!$A$4:$A$300,$A144)/SUMIFS(Trato_Diario!$G$4:$G$300,Trato_Diario!$B$4:$B$300,9,Trato_Diario!$A$4:$A$300,$A144))</f>
        <v/>
      </c>
      <c r="K144" s="28" t="str">
        <f>IF(OR($A144&gt;MAX(Trato_Diario!$A$4:$A$300),SUMIFS(Trato_Diario!$G$4:$G$300,Trato_Diario!$B$4:$B$300,10,Trato_Diario!$A$4:$A$300,$A144)=0),"",SUMIFS(Trato_Diario!$J$4:$J$300,Trato_Diario!$B$4:$B$300,10,Trato_Diario!$A$4:$A$300,$A144)/SUMIFS(Trato_Diario!$G$4:$G$300,Trato_Diario!$B$4:$B$300,10,Trato_Diario!$A$4:$A$300,$A144))</f>
        <v/>
      </c>
      <c r="L144" s="76" t="str">
        <f>IF(OR($A144&gt;MAX(Trato_Diario!$A$4:$A$300),SUMIFS(Trato_Diario!$G$4:$G$300,Trato_Diario!$A$4:$A$300,$A144)=0),"",SUMIFS(Trato_Diario!$J$4:$J$300,Trato_Diario!$A$4:$A$300,$A144)/SUMIFS(Trato_Diario!$G$4:$G$300,Trato_Diario!$A$4:$A$300,$A144))</f>
        <v/>
      </c>
    </row>
    <row r="145" spans="1:12" ht="14.25" customHeight="1" x14ac:dyDescent="0.3">
      <c r="A145" s="85">
        <v>46354</v>
      </c>
      <c r="B145" s="26" t="str">
        <f>IF(OR($A145&gt;MAX(Trato_Diario!$A$4:$A$300),SUMIFS(Trato_Diario!$G$4:$G$300,Trato_Diario!$B$4:$B$300,1,Trato_Diario!$A$4:$A$300,$A145)=0),"",SUMIFS(Trato_Diario!$J$4:$J$300,Trato_Diario!$B$4:$B$300,1,Trato_Diario!$A$4:$A$300,$A145)/SUMIFS(Trato_Diario!$G$4:$G$300,Trato_Diario!$B$4:$B$300,1,Trato_Diario!$A$4:$A$300,$A145))</f>
        <v/>
      </c>
      <c r="C145" s="26" t="str">
        <f>IF(OR($A145&gt;MAX(Trato_Diario!$A$4:$A$300),SUMIFS(Trato_Diario!$G$4:$G$300,Trato_Diario!$B$4:$B$300,2,Trato_Diario!$A$4:$A$300,$A145)=0),"",SUMIFS(Trato_Diario!$J$4:$J$300,Trato_Diario!$B$4:$B$300,2,Trato_Diario!$A$4:$A$300,$A145)/SUMIFS(Trato_Diario!$G$4:$G$300,Trato_Diario!$B$4:$B$300,2,Trato_Diario!$A$4:$A$300,$A145))</f>
        <v/>
      </c>
      <c r="D145" s="26" t="str">
        <f>IF(OR($A145&gt;MAX(Trato_Diario!$A$4:$A$300),SUMIFS(Trato_Diario!$G$4:$G$300,Trato_Diario!$B$4:$B$300,3,Trato_Diario!$A$4:$A$300,$A145)=0),"",SUMIFS(Trato_Diario!$J$4:$J$300,Trato_Diario!$B$4:$B$300,3,Trato_Diario!$A$4:$A$300,$A145)/SUMIFS(Trato_Diario!$G$4:$G$300,Trato_Diario!$B$4:$B$300,3,Trato_Diario!$A$4:$A$300,$A145))</f>
        <v/>
      </c>
      <c r="E145" s="26" t="str">
        <f>IF(OR($A145&gt;MAX(Trato_Diario!$A$4:$A$300),SUMIFS(Trato_Diario!$G$4:$G$300,Trato_Diario!$B$4:$B$300,4,Trato_Diario!$A$4:$A$300,$A145)=0),"",SUMIFS(Trato_Diario!$J$4:$J$300,Trato_Diario!$B$4:$B$300,4,Trato_Diario!$A$4:$A$300,$A145)/SUMIFS(Trato_Diario!$G$4:$G$300,Trato_Diario!$B$4:$B$300,4,Trato_Diario!$A$4:$A$300,$A145))</f>
        <v/>
      </c>
      <c r="F145" s="26" t="str">
        <f>IF(OR($A145&gt;MAX(Trato_Diario!$A$4:$A$300),SUMIFS(Trato_Diario!$G$4:$G$300,Trato_Diario!$B$4:$B$300,5,Trato_Diario!$A$4:$A$300,$A145)=0),"",SUMIFS(Trato_Diario!$J$4:$J$300,Trato_Diario!$B$4:$B$300,5,Trato_Diario!$A$4:$A$300,$A145)/SUMIFS(Trato_Diario!$G$4:$G$300,Trato_Diario!$B$4:$B$300,5,Trato_Diario!$A$4:$A$300,$A145))</f>
        <v/>
      </c>
      <c r="G145" s="26" t="str">
        <f>IF(OR($A145&gt;MAX(Trato_Diario!$A$4:$A$300),SUMIFS(Trato_Diario!$G$4:$G$300,Trato_Diario!$B$4:$B$300,6,Trato_Diario!$A$4:$A$300,$A145)=0),"",SUMIFS(Trato_Diario!$J$4:$J$300,Trato_Diario!$B$4:$B$300,6,Trato_Diario!$A$4:$A$300,$A145)/SUMIFS(Trato_Diario!$G$4:$G$300,Trato_Diario!$B$4:$B$300,6,Trato_Diario!$A$4:$A$300,$A145))</f>
        <v/>
      </c>
      <c r="H145" s="26" t="str">
        <f>IF(OR($A145&gt;MAX(Trato_Diario!$A$4:$A$300),SUMIFS(Trato_Diario!$G$4:$G$300,Trato_Diario!$B$4:$B$300,7,Trato_Diario!$A$4:$A$300,$A145)=0),"",SUMIFS(Trato_Diario!$J$4:$J$300,Trato_Diario!$B$4:$B$300,7,Trato_Diario!$A$4:$A$300,$A145)/SUMIFS(Trato_Diario!$G$4:$G$300,Trato_Diario!$B$4:$B$300,7,Trato_Diario!$A$4:$A$300,$A145))</f>
        <v/>
      </c>
      <c r="I145" s="26" t="str">
        <f>IF(OR($A145&gt;MAX(Trato_Diario!$A$4:$A$300),SUMIFS(Trato_Diario!$G$4:$G$300,Trato_Diario!$B$4:$B$300,8,Trato_Diario!$A$4:$A$300,$A145)=0),"",SUMIFS(Trato_Diario!$J$4:$J$300,Trato_Diario!$B$4:$B$300,8,Trato_Diario!$A$4:$A$300,$A145)/SUMIFS(Trato_Diario!$G$4:$G$300,Trato_Diario!$B$4:$B$300,8,Trato_Diario!$A$4:$A$300,$A145))</f>
        <v/>
      </c>
      <c r="J145" s="26" t="str">
        <f>IF(OR($A145&gt;MAX(Trato_Diario!$A$4:$A$300),SUMIFS(Trato_Diario!$G$4:$G$300,Trato_Diario!$B$4:$B$300,9,Trato_Diario!$A$4:$A$300,$A145)=0),"",SUMIFS(Trato_Diario!$J$4:$J$300,Trato_Diario!$B$4:$B$300,9,Trato_Diario!$A$4:$A$300,$A145)/SUMIFS(Trato_Diario!$G$4:$G$300,Trato_Diario!$B$4:$B$300,9,Trato_Diario!$A$4:$A$300,$A145))</f>
        <v/>
      </c>
      <c r="K145" s="26" t="str">
        <f>IF(OR($A145&gt;MAX(Trato_Diario!$A$4:$A$300),SUMIFS(Trato_Diario!$G$4:$G$300,Trato_Diario!$B$4:$B$300,10,Trato_Diario!$A$4:$A$300,$A145)=0),"",SUMIFS(Trato_Diario!$J$4:$J$300,Trato_Diario!$B$4:$B$300,10,Trato_Diario!$A$4:$A$300,$A145)/SUMIFS(Trato_Diario!$G$4:$G$300,Trato_Diario!$B$4:$B$300,10,Trato_Diario!$A$4:$A$300,$A145))</f>
        <v/>
      </c>
      <c r="L145" s="74" t="str">
        <f>IF(OR($A145&gt;MAX(Trato_Diario!$A$4:$A$300),SUMIFS(Trato_Diario!$G$4:$G$300,Trato_Diario!$A$4:$A$300,$A145)=0),"",SUMIFS(Trato_Diario!$J$4:$J$300,Trato_Diario!$A$4:$A$300,$A145)/SUMIFS(Trato_Diario!$G$4:$G$300,Trato_Diario!$A$4:$A$300,$A145))</f>
        <v/>
      </c>
    </row>
    <row r="146" spans="1:12" ht="14.25" customHeight="1" x14ac:dyDescent="0.3">
      <c r="A146" s="86">
        <v>46355</v>
      </c>
      <c r="B146" s="28" t="str">
        <f>IF(OR($A146&gt;MAX(Trato_Diario!$A$4:$A$300),SUMIFS(Trato_Diario!$G$4:$G$300,Trato_Diario!$B$4:$B$300,1,Trato_Diario!$A$4:$A$300,$A146)=0),"",SUMIFS(Trato_Diario!$J$4:$J$300,Trato_Diario!$B$4:$B$300,1,Trato_Diario!$A$4:$A$300,$A146)/SUMIFS(Trato_Diario!$G$4:$G$300,Trato_Diario!$B$4:$B$300,1,Trato_Diario!$A$4:$A$300,$A146))</f>
        <v/>
      </c>
      <c r="C146" s="28" t="str">
        <f>IF(OR($A146&gt;MAX(Trato_Diario!$A$4:$A$300),SUMIFS(Trato_Diario!$G$4:$G$300,Trato_Diario!$B$4:$B$300,2,Trato_Diario!$A$4:$A$300,$A146)=0),"",SUMIFS(Trato_Diario!$J$4:$J$300,Trato_Diario!$B$4:$B$300,2,Trato_Diario!$A$4:$A$300,$A146)/SUMIFS(Trato_Diario!$G$4:$G$300,Trato_Diario!$B$4:$B$300,2,Trato_Diario!$A$4:$A$300,$A146))</f>
        <v/>
      </c>
      <c r="D146" s="28" t="str">
        <f>IF(OR($A146&gt;MAX(Trato_Diario!$A$4:$A$300),SUMIFS(Trato_Diario!$G$4:$G$300,Trato_Diario!$B$4:$B$300,3,Trato_Diario!$A$4:$A$300,$A146)=0),"",SUMIFS(Trato_Diario!$J$4:$J$300,Trato_Diario!$B$4:$B$300,3,Trato_Diario!$A$4:$A$300,$A146)/SUMIFS(Trato_Diario!$G$4:$G$300,Trato_Diario!$B$4:$B$300,3,Trato_Diario!$A$4:$A$300,$A146))</f>
        <v/>
      </c>
      <c r="E146" s="28" t="str">
        <f>IF(OR($A146&gt;MAX(Trato_Diario!$A$4:$A$300),SUMIFS(Trato_Diario!$G$4:$G$300,Trato_Diario!$B$4:$B$300,4,Trato_Diario!$A$4:$A$300,$A146)=0),"",SUMIFS(Trato_Diario!$J$4:$J$300,Trato_Diario!$B$4:$B$300,4,Trato_Diario!$A$4:$A$300,$A146)/SUMIFS(Trato_Diario!$G$4:$G$300,Trato_Diario!$B$4:$B$300,4,Trato_Diario!$A$4:$A$300,$A146))</f>
        <v/>
      </c>
      <c r="F146" s="28" t="str">
        <f>IF(OR($A146&gt;MAX(Trato_Diario!$A$4:$A$300),SUMIFS(Trato_Diario!$G$4:$G$300,Trato_Diario!$B$4:$B$300,5,Trato_Diario!$A$4:$A$300,$A146)=0),"",SUMIFS(Trato_Diario!$J$4:$J$300,Trato_Diario!$B$4:$B$300,5,Trato_Diario!$A$4:$A$300,$A146)/SUMIFS(Trato_Diario!$G$4:$G$300,Trato_Diario!$B$4:$B$300,5,Trato_Diario!$A$4:$A$300,$A146))</f>
        <v/>
      </c>
      <c r="G146" s="28" t="str">
        <f>IF(OR($A146&gt;MAX(Trato_Diario!$A$4:$A$300),SUMIFS(Trato_Diario!$G$4:$G$300,Trato_Diario!$B$4:$B$300,6,Trato_Diario!$A$4:$A$300,$A146)=0),"",SUMIFS(Trato_Diario!$J$4:$J$300,Trato_Diario!$B$4:$B$300,6,Trato_Diario!$A$4:$A$300,$A146)/SUMIFS(Trato_Diario!$G$4:$G$300,Trato_Diario!$B$4:$B$300,6,Trato_Diario!$A$4:$A$300,$A146))</f>
        <v/>
      </c>
      <c r="H146" s="28" t="str">
        <f>IF(OR($A146&gt;MAX(Trato_Diario!$A$4:$A$300),SUMIFS(Trato_Diario!$G$4:$G$300,Trato_Diario!$B$4:$B$300,7,Trato_Diario!$A$4:$A$300,$A146)=0),"",SUMIFS(Trato_Diario!$J$4:$J$300,Trato_Diario!$B$4:$B$300,7,Trato_Diario!$A$4:$A$300,$A146)/SUMIFS(Trato_Diario!$G$4:$G$300,Trato_Diario!$B$4:$B$300,7,Trato_Diario!$A$4:$A$300,$A146))</f>
        <v/>
      </c>
      <c r="I146" s="28" t="str">
        <f>IF(OR($A146&gt;MAX(Trato_Diario!$A$4:$A$300),SUMIFS(Trato_Diario!$G$4:$G$300,Trato_Diario!$B$4:$B$300,8,Trato_Diario!$A$4:$A$300,$A146)=0),"",SUMIFS(Trato_Diario!$J$4:$J$300,Trato_Diario!$B$4:$B$300,8,Trato_Diario!$A$4:$A$300,$A146)/SUMIFS(Trato_Diario!$G$4:$G$300,Trato_Diario!$B$4:$B$300,8,Trato_Diario!$A$4:$A$300,$A146))</f>
        <v/>
      </c>
      <c r="J146" s="28" t="str">
        <f>IF(OR($A146&gt;MAX(Trato_Diario!$A$4:$A$300),SUMIFS(Trato_Diario!$G$4:$G$300,Trato_Diario!$B$4:$B$300,9,Trato_Diario!$A$4:$A$300,$A146)=0),"",SUMIFS(Trato_Diario!$J$4:$J$300,Trato_Diario!$B$4:$B$300,9,Trato_Diario!$A$4:$A$300,$A146)/SUMIFS(Trato_Diario!$G$4:$G$300,Trato_Diario!$B$4:$B$300,9,Trato_Diario!$A$4:$A$300,$A146))</f>
        <v/>
      </c>
      <c r="K146" s="28" t="str">
        <f>IF(OR($A146&gt;MAX(Trato_Diario!$A$4:$A$300),SUMIFS(Trato_Diario!$G$4:$G$300,Trato_Diario!$B$4:$B$300,10,Trato_Diario!$A$4:$A$300,$A146)=0),"",SUMIFS(Trato_Diario!$J$4:$J$300,Trato_Diario!$B$4:$B$300,10,Trato_Diario!$A$4:$A$300,$A146)/SUMIFS(Trato_Diario!$G$4:$G$300,Trato_Diario!$B$4:$B$300,10,Trato_Diario!$A$4:$A$300,$A146))</f>
        <v/>
      </c>
      <c r="L146" s="76" t="str">
        <f>IF(OR($A146&gt;MAX(Trato_Diario!$A$4:$A$300),SUMIFS(Trato_Diario!$G$4:$G$300,Trato_Diario!$A$4:$A$300,$A146)=0),"",SUMIFS(Trato_Diario!$J$4:$J$300,Trato_Diario!$A$4:$A$300,$A146)/SUMIFS(Trato_Diario!$G$4:$G$300,Trato_Diario!$A$4:$A$300,$A146))</f>
        <v/>
      </c>
    </row>
    <row r="147" spans="1:12" ht="14.25" customHeight="1" x14ac:dyDescent="0.3">
      <c r="A147" s="85">
        <v>46356</v>
      </c>
      <c r="B147" s="26" t="str">
        <f>IF(OR($A147&gt;MAX(Trato_Diario!$A$4:$A$300),SUMIFS(Trato_Diario!$G$4:$G$300,Trato_Diario!$B$4:$B$300,1,Trato_Diario!$A$4:$A$300,$A147)=0),"",SUMIFS(Trato_Diario!$J$4:$J$300,Trato_Diario!$B$4:$B$300,1,Trato_Diario!$A$4:$A$300,$A147)/SUMIFS(Trato_Diario!$G$4:$G$300,Trato_Diario!$B$4:$B$300,1,Trato_Diario!$A$4:$A$300,$A147))</f>
        <v/>
      </c>
      <c r="C147" s="26" t="str">
        <f>IF(OR($A147&gt;MAX(Trato_Diario!$A$4:$A$300),SUMIFS(Trato_Diario!$G$4:$G$300,Trato_Diario!$B$4:$B$300,2,Trato_Diario!$A$4:$A$300,$A147)=0),"",SUMIFS(Trato_Diario!$J$4:$J$300,Trato_Diario!$B$4:$B$300,2,Trato_Diario!$A$4:$A$300,$A147)/SUMIFS(Trato_Diario!$G$4:$G$300,Trato_Diario!$B$4:$B$300,2,Trato_Diario!$A$4:$A$300,$A147))</f>
        <v/>
      </c>
      <c r="D147" s="26" t="str">
        <f>IF(OR($A147&gt;MAX(Trato_Diario!$A$4:$A$300),SUMIFS(Trato_Diario!$G$4:$G$300,Trato_Diario!$B$4:$B$300,3,Trato_Diario!$A$4:$A$300,$A147)=0),"",SUMIFS(Trato_Diario!$J$4:$J$300,Trato_Diario!$B$4:$B$300,3,Trato_Diario!$A$4:$A$300,$A147)/SUMIFS(Trato_Diario!$G$4:$G$300,Trato_Diario!$B$4:$B$300,3,Trato_Diario!$A$4:$A$300,$A147))</f>
        <v/>
      </c>
      <c r="E147" s="26" t="str">
        <f>IF(OR($A147&gt;MAX(Trato_Diario!$A$4:$A$300),SUMIFS(Trato_Diario!$G$4:$G$300,Trato_Diario!$B$4:$B$300,4,Trato_Diario!$A$4:$A$300,$A147)=0),"",SUMIFS(Trato_Diario!$J$4:$J$300,Trato_Diario!$B$4:$B$300,4,Trato_Diario!$A$4:$A$300,$A147)/SUMIFS(Trato_Diario!$G$4:$G$300,Trato_Diario!$B$4:$B$300,4,Trato_Diario!$A$4:$A$300,$A147))</f>
        <v/>
      </c>
      <c r="F147" s="26" t="str">
        <f>IF(OR($A147&gt;MAX(Trato_Diario!$A$4:$A$300),SUMIFS(Trato_Diario!$G$4:$G$300,Trato_Diario!$B$4:$B$300,5,Trato_Diario!$A$4:$A$300,$A147)=0),"",SUMIFS(Trato_Diario!$J$4:$J$300,Trato_Diario!$B$4:$B$300,5,Trato_Diario!$A$4:$A$300,$A147)/SUMIFS(Trato_Diario!$G$4:$G$300,Trato_Diario!$B$4:$B$300,5,Trato_Diario!$A$4:$A$300,$A147))</f>
        <v/>
      </c>
      <c r="G147" s="26" t="str">
        <f>IF(OR($A147&gt;MAX(Trato_Diario!$A$4:$A$300),SUMIFS(Trato_Diario!$G$4:$G$300,Trato_Diario!$B$4:$B$300,6,Trato_Diario!$A$4:$A$300,$A147)=0),"",SUMIFS(Trato_Diario!$J$4:$J$300,Trato_Diario!$B$4:$B$300,6,Trato_Diario!$A$4:$A$300,$A147)/SUMIFS(Trato_Diario!$G$4:$G$300,Trato_Diario!$B$4:$B$300,6,Trato_Diario!$A$4:$A$300,$A147))</f>
        <v/>
      </c>
      <c r="H147" s="26" t="str">
        <f>IF(OR($A147&gt;MAX(Trato_Diario!$A$4:$A$300),SUMIFS(Trato_Diario!$G$4:$G$300,Trato_Diario!$B$4:$B$300,7,Trato_Diario!$A$4:$A$300,$A147)=0),"",SUMIFS(Trato_Diario!$J$4:$J$300,Trato_Diario!$B$4:$B$300,7,Trato_Diario!$A$4:$A$300,$A147)/SUMIFS(Trato_Diario!$G$4:$G$300,Trato_Diario!$B$4:$B$300,7,Trato_Diario!$A$4:$A$300,$A147))</f>
        <v/>
      </c>
      <c r="I147" s="26" t="str">
        <f>IF(OR($A147&gt;MAX(Trato_Diario!$A$4:$A$300),SUMIFS(Trato_Diario!$G$4:$G$300,Trato_Diario!$B$4:$B$300,8,Trato_Diario!$A$4:$A$300,$A147)=0),"",SUMIFS(Trato_Diario!$J$4:$J$300,Trato_Diario!$B$4:$B$300,8,Trato_Diario!$A$4:$A$300,$A147)/SUMIFS(Trato_Diario!$G$4:$G$300,Trato_Diario!$B$4:$B$300,8,Trato_Diario!$A$4:$A$300,$A147))</f>
        <v/>
      </c>
      <c r="J147" s="26" t="str">
        <f>IF(OR($A147&gt;MAX(Trato_Diario!$A$4:$A$300),SUMIFS(Trato_Diario!$G$4:$G$300,Trato_Diario!$B$4:$B$300,9,Trato_Diario!$A$4:$A$300,$A147)=0),"",SUMIFS(Trato_Diario!$J$4:$J$300,Trato_Diario!$B$4:$B$300,9,Trato_Diario!$A$4:$A$300,$A147)/SUMIFS(Trato_Diario!$G$4:$G$300,Trato_Diario!$B$4:$B$300,9,Trato_Diario!$A$4:$A$300,$A147))</f>
        <v/>
      </c>
      <c r="K147" s="26" t="str">
        <f>IF(OR($A147&gt;MAX(Trato_Diario!$A$4:$A$300),SUMIFS(Trato_Diario!$G$4:$G$300,Trato_Diario!$B$4:$B$300,10,Trato_Diario!$A$4:$A$300,$A147)=0),"",SUMIFS(Trato_Diario!$J$4:$J$300,Trato_Diario!$B$4:$B$300,10,Trato_Diario!$A$4:$A$300,$A147)/SUMIFS(Trato_Diario!$G$4:$G$300,Trato_Diario!$B$4:$B$300,10,Trato_Diario!$A$4:$A$300,$A147))</f>
        <v/>
      </c>
      <c r="L147" s="74" t="str">
        <f>IF(OR($A147&gt;MAX(Trato_Diario!$A$4:$A$300),SUMIFS(Trato_Diario!$G$4:$G$300,Trato_Diario!$A$4:$A$300,$A147)=0),"",SUMIFS(Trato_Diario!$J$4:$J$300,Trato_Diario!$A$4:$A$300,$A147)/SUMIFS(Trato_Diario!$G$4:$G$300,Trato_Diario!$A$4:$A$300,$A147))</f>
        <v/>
      </c>
    </row>
    <row r="148" spans="1:12" ht="14.25" customHeight="1" x14ac:dyDescent="0.3">
      <c r="A148" s="86">
        <v>46357</v>
      </c>
      <c r="B148" s="28" t="str">
        <f>IF(OR($A148&gt;MAX(Trato_Diario!$A$4:$A$300),SUMIFS(Trato_Diario!$G$4:$G$300,Trato_Diario!$B$4:$B$300,1,Trato_Diario!$A$4:$A$300,$A148)=0),"",SUMIFS(Trato_Diario!$J$4:$J$300,Trato_Diario!$B$4:$B$300,1,Trato_Diario!$A$4:$A$300,$A148)/SUMIFS(Trato_Diario!$G$4:$G$300,Trato_Diario!$B$4:$B$300,1,Trato_Diario!$A$4:$A$300,$A148))</f>
        <v/>
      </c>
      <c r="C148" s="28" t="str">
        <f>IF(OR($A148&gt;MAX(Trato_Diario!$A$4:$A$300),SUMIFS(Trato_Diario!$G$4:$G$300,Trato_Diario!$B$4:$B$300,2,Trato_Diario!$A$4:$A$300,$A148)=0),"",SUMIFS(Trato_Diario!$J$4:$J$300,Trato_Diario!$B$4:$B$300,2,Trato_Diario!$A$4:$A$300,$A148)/SUMIFS(Trato_Diario!$G$4:$G$300,Trato_Diario!$B$4:$B$300,2,Trato_Diario!$A$4:$A$300,$A148))</f>
        <v/>
      </c>
      <c r="D148" s="28" t="str">
        <f>IF(OR($A148&gt;MAX(Trato_Diario!$A$4:$A$300),SUMIFS(Trato_Diario!$G$4:$G$300,Trato_Diario!$B$4:$B$300,3,Trato_Diario!$A$4:$A$300,$A148)=0),"",SUMIFS(Trato_Diario!$J$4:$J$300,Trato_Diario!$B$4:$B$300,3,Trato_Diario!$A$4:$A$300,$A148)/SUMIFS(Trato_Diario!$G$4:$G$300,Trato_Diario!$B$4:$B$300,3,Trato_Diario!$A$4:$A$300,$A148))</f>
        <v/>
      </c>
      <c r="E148" s="28" t="str">
        <f>IF(OR($A148&gt;MAX(Trato_Diario!$A$4:$A$300),SUMIFS(Trato_Diario!$G$4:$G$300,Trato_Diario!$B$4:$B$300,4,Trato_Diario!$A$4:$A$300,$A148)=0),"",SUMIFS(Trato_Diario!$J$4:$J$300,Trato_Diario!$B$4:$B$300,4,Trato_Diario!$A$4:$A$300,$A148)/SUMIFS(Trato_Diario!$G$4:$G$300,Trato_Diario!$B$4:$B$300,4,Trato_Diario!$A$4:$A$300,$A148))</f>
        <v/>
      </c>
      <c r="F148" s="28" t="str">
        <f>IF(OR($A148&gt;MAX(Trato_Diario!$A$4:$A$300),SUMIFS(Trato_Diario!$G$4:$G$300,Trato_Diario!$B$4:$B$300,5,Trato_Diario!$A$4:$A$300,$A148)=0),"",SUMIFS(Trato_Diario!$J$4:$J$300,Trato_Diario!$B$4:$B$300,5,Trato_Diario!$A$4:$A$300,$A148)/SUMIFS(Trato_Diario!$G$4:$G$300,Trato_Diario!$B$4:$B$300,5,Trato_Diario!$A$4:$A$300,$A148))</f>
        <v/>
      </c>
      <c r="G148" s="28" t="str">
        <f>IF(OR($A148&gt;MAX(Trato_Diario!$A$4:$A$300),SUMIFS(Trato_Diario!$G$4:$G$300,Trato_Diario!$B$4:$B$300,6,Trato_Diario!$A$4:$A$300,$A148)=0),"",SUMIFS(Trato_Diario!$J$4:$J$300,Trato_Diario!$B$4:$B$300,6,Trato_Diario!$A$4:$A$300,$A148)/SUMIFS(Trato_Diario!$G$4:$G$300,Trato_Diario!$B$4:$B$300,6,Trato_Diario!$A$4:$A$300,$A148))</f>
        <v/>
      </c>
      <c r="H148" s="28" t="str">
        <f>IF(OR($A148&gt;MAX(Trato_Diario!$A$4:$A$300),SUMIFS(Trato_Diario!$G$4:$G$300,Trato_Diario!$B$4:$B$300,7,Trato_Diario!$A$4:$A$300,$A148)=0),"",SUMIFS(Trato_Diario!$J$4:$J$300,Trato_Diario!$B$4:$B$300,7,Trato_Diario!$A$4:$A$300,$A148)/SUMIFS(Trato_Diario!$G$4:$G$300,Trato_Diario!$B$4:$B$300,7,Trato_Diario!$A$4:$A$300,$A148))</f>
        <v/>
      </c>
      <c r="I148" s="28" t="str">
        <f>IF(OR($A148&gt;MAX(Trato_Diario!$A$4:$A$300),SUMIFS(Trato_Diario!$G$4:$G$300,Trato_Diario!$B$4:$B$300,8,Trato_Diario!$A$4:$A$300,$A148)=0),"",SUMIFS(Trato_Diario!$J$4:$J$300,Trato_Diario!$B$4:$B$300,8,Trato_Diario!$A$4:$A$300,$A148)/SUMIFS(Trato_Diario!$G$4:$G$300,Trato_Diario!$B$4:$B$300,8,Trato_Diario!$A$4:$A$300,$A148))</f>
        <v/>
      </c>
      <c r="J148" s="28" t="str">
        <f>IF(OR($A148&gt;MAX(Trato_Diario!$A$4:$A$300),SUMIFS(Trato_Diario!$G$4:$G$300,Trato_Diario!$B$4:$B$300,9,Trato_Diario!$A$4:$A$300,$A148)=0),"",SUMIFS(Trato_Diario!$J$4:$J$300,Trato_Diario!$B$4:$B$300,9,Trato_Diario!$A$4:$A$300,$A148)/SUMIFS(Trato_Diario!$G$4:$G$300,Trato_Diario!$B$4:$B$300,9,Trato_Diario!$A$4:$A$300,$A148))</f>
        <v/>
      </c>
      <c r="K148" s="28" t="str">
        <f>IF(OR($A148&gt;MAX(Trato_Diario!$A$4:$A$300),SUMIFS(Trato_Diario!$G$4:$G$300,Trato_Diario!$B$4:$B$300,10,Trato_Diario!$A$4:$A$300,$A148)=0),"",SUMIFS(Trato_Diario!$J$4:$J$300,Trato_Diario!$B$4:$B$300,10,Trato_Diario!$A$4:$A$300,$A148)/SUMIFS(Trato_Diario!$G$4:$G$300,Trato_Diario!$B$4:$B$300,10,Trato_Diario!$A$4:$A$300,$A148))</f>
        <v/>
      </c>
      <c r="L148" s="76" t="str">
        <f>IF(OR($A148&gt;MAX(Trato_Diario!$A$4:$A$300),SUMIFS(Trato_Diario!$G$4:$G$300,Trato_Diario!$A$4:$A$300,$A148)=0),"",SUMIFS(Trato_Diario!$J$4:$J$300,Trato_Diario!$A$4:$A$300,$A148)/SUMIFS(Trato_Diario!$G$4:$G$300,Trato_Diario!$A$4:$A$300,$A148))</f>
        <v/>
      </c>
    </row>
    <row r="149" spans="1:12" ht="14.25" customHeight="1" x14ac:dyDescent="0.3">
      <c r="A149" s="85">
        <v>46358</v>
      </c>
      <c r="B149" s="26" t="str">
        <f>IF(OR($A149&gt;MAX(Trato_Diario!$A$4:$A$300),SUMIFS(Trato_Diario!$G$4:$G$300,Trato_Diario!$B$4:$B$300,1,Trato_Diario!$A$4:$A$300,$A149)=0),"",SUMIFS(Trato_Diario!$J$4:$J$300,Trato_Diario!$B$4:$B$300,1,Trato_Diario!$A$4:$A$300,$A149)/SUMIFS(Trato_Diario!$G$4:$G$300,Trato_Diario!$B$4:$B$300,1,Trato_Diario!$A$4:$A$300,$A149))</f>
        <v/>
      </c>
      <c r="C149" s="26" t="str">
        <f>IF(OR($A149&gt;MAX(Trato_Diario!$A$4:$A$300),SUMIFS(Trato_Diario!$G$4:$G$300,Trato_Diario!$B$4:$B$300,2,Trato_Diario!$A$4:$A$300,$A149)=0),"",SUMIFS(Trato_Diario!$J$4:$J$300,Trato_Diario!$B$4:$B$300,2,Trato_Diario!$A$4:$A$300,$A149)/SUMIFS(Trato_Diario!$G$4:$G$300,Trato_Diario!$B$4:$B$300,2,Trato_Diario!$A$4:$A$300,$A149))</f>
        <v/>
      </c>
      <c r="D149" s="26" t="str">
        <f>IF(OR($A149&gt;MAX(Trato_Diario!$A$4:$A$300),SUMIFS(Trato_Diario!$G$4:$G$300,Trato_Diario!$B$4:$B$300,3,Trato_Diario!$A$4:$A$300,$A149)=0),"",SUMIFS(Trato_Diario!$J$4:$J$300,Trato_Diario!$B$4:$B$300,3,Trato_Diario!$A$4:$A$300,$A149)/SUMIFS(Trato_Diario!$G$4:$G$300,Trato_Diario!$B$4:$B$300,3,Trato_Diario!$A$4:$A$300,$A149))</f>
        <v/>
      </c>
      <c r="E149" s="26" t="str">
        <f>IF(OR($A149&gt;MAX(Trato_Diario!$A$4:$A$300),SUMIFS(Trato_Diario!$G$4:$G$300,Trato_Diario!$B$4:$B$300,4,Trato_Diario!$A$4:$A$300,$A149)=0),"",SUMIFS(Trato_Diario!$J$4:$J$300,Trato_Diario!$B$4:$B$300,4,Trato_Diario!$A$4:$A$300,$A149)/SUMIFS(Trato_Diario!$G$4:$G$300,Trato_Diario!$B$4:$B$300,4,Trato_Diario!$A$4:$A$300,$A149))</f>
        <v/>
      </c>
      <c r="F149" s="26" t="str">
        <f>IF(OR($A149&gt;MAX(Trato_Diario!$A$4:$A$300),SUMIFS(Trato_Diario!$G$4:$G$300,Trato_Diario!$B$4:$B$300,5,Trato_Diario!$A$4:$A$300,$A149)=0),"",SUMIFS(Trato_Diario!$J$4:$J$300,Trato_Diario!$B$4:$B$300,5,Trato_Diario!$A$4:$A$300,$A149)/SUMIFS(Trato_Diario!$G$4:$G$300,Trato_Diario!$B$4:$B$300,5,Trato_Diario!$A$4:$A$300,$A149))</f>
        <v/>
      </c>
      <c r="G149" s="26" t="str">
        <f>IF(OR($A149&gt;MAX(Trato_Diario!$A$4:$A$300),SUMIFS(Trato_Diario!$G$4:$G$300,Trato_Diario!$B$4:$B$300,6,Trato_Diario!$A$4:$A$300,$A149)=0),"",SUMIFS(Trato_Diario!$J$4:$J$300,Trato_Diario!$B$4:$B$300,6,Trato_Diario!$A$4:$A$300,$A149)/SUMIFS(Trato_Diario!$G$4:$G$300,Trato_Diario!$B$4:$B$300,6,Trato_Diario!$A$4:$A$300,$A149))</f>
        <v/>
      </c>
      <c r="H149" s="26" t="str">
        <f>IF(OR($A149&gt;MAX(Trato_Diario!$A$4:$A$300),SUMIFS(Trato_Diario!$G$4:$G$300,Trato_Diario!$B$4:$B$300,7,Trato_Diario!$A$4:$A$300,$A149)=0),"",SUMIFS(Trato_Diario!$J$4:$J$300,Trato_Diario!$B$4:$B$300,7,Trato_Diario!$A$4:$A$300,$A149)/SUMIFS(Trato_Diario!$G$4:$G$300,Trato_Diario!$B$4:$B$300,7,Trato_Diario!$A$4:$A$300,$A149))</f>
        <v/>
      </c>
      <c r="I149" s="26" t="str">
        <f>IF(OR($A149&gt;MAX(Trato_Diario!$A$4:$A$300),SUMIFS(Trato_Diario!$G$4:$G$300,Trato_Diario!$B$4:$B$300,8,Trato_Diario!$A$4:$A$300,$A149)=0),"",SUMIFS(Trato_Diario!$J$4:$J$300,Trato_Diario!$B$4:$B$300,8,Trato_Diario!$A$4:$A$300,$A149)/SUMIFS(Trato_Diario!$G$4:$G$300,Trato_Diario!$B$4:$B$300,8,Trato_Diario!$A$4:$A$300,$A149))</f>
        <v/>
      </c>
      <c r="J149" s="26" t="str">
        <f>IF(OR($A149&gt;MAX(Trato_Diario!$A$4:$A$300),SUMIFS(Trato_Diario!$G$4:$G$300,Trato_Diario!$B$4:$B$300,9,Trato_Diario!$A$4:$A$300,$A149)=0),"",SUMIFS(Trato_Diario!$J$4:$J$300,Trato_Diario!$B$4:$B$300,9,Trato_Diario!$A$4:$A$300,$A149)/SUMIFS(Trato_Diario!$G$4:$G$300,Trato_Diario!$B$4:$B$300,9,Trato_Diario!$A$4:$A$300,$A149))</f>
        <v/>
      </c>
      <c r="K149" s="26" t="str">
        <f>IF(OR($A149&gt;MAX(Trato_Diario!$A$4:$A$300),SUMIFS(Trato_Diario!$G$4:$G$300,Trato_Diario!$B$4:$B$300,10,Trato_Diario!$A$4:$A$300,$A149)=0),"",SUMIFS(Trato_Diario!$J$4:$J$300,Trato_Diario!$B$4:$B$300,10,Trato_Diario!$A$4:$A$300,$A149)/SUMIFS(Trato_Diario!$G$4:$G$300,Trato_Diario!$B$4:$B$300,10,Trato_Diario!$A$4:$A$300,$A149))</f>
        <v/>
      </c>
      <c r="L149" s="74" t="str">
        <f>IF(OR($A149&gt;MAX(Trato_Diario!$A$4:$A$300),SUMIFS(Trato_Diario!$G$4:$G$300,Trato_Diario!$A$4:$A$300,$A149)=0),"",SUMIFS(Trato_Diario!$J$4:$J$300,Trato_Diario!$A$4:$A$300,$A149)/SUMIFS(Trato_Diario!$G$4:$G$300,Trato_Diario!$A$4:$A$300,$A149))</f>
        <v/>
      </c>
    </row>
    <row r="150" spans="1:12" ht="14.25" customHeight="1" x14ac:dyDescent="0.3">
      <c r="A150" s="86">
        <v>46359</v>
      </c>
      <c r="B150" s="28" t="str">
        <f>IF(OR($A150&gt;MAX(Trato_Diario!$A$4:$A$300),SUMIFS(Trato_Diario!$G$4:$G$300,Trato_Diario!$B$4:$B$300,1,Trato_Diario!$A$4:$A$300,$A150)=0),"",SUMIFS(Trato_Diario!$J$4:$J$300,Trato_Diario!$B$4:$B$300,1,Trato_Diario!$A$4:$A$300,$A150)/SUMIFS(Trato_Diario!$G$4:$G$300,Trato_Diario!$B$4:$B$300,1,Trato_Diario!$A$4:$A$300,$A150))</f>
        <v/>
      </c>
      <c r="C150" s="28" t="str">
        <f>IF(OR($A150&gt;MAX(Trato_Diario!$A$4:$A$300),SUMIFS(Trato_Diario!$G$4:$G$300,Trato_Diario!$B$4:$B$300,2,Trato_Diario!$A$4:$A$300,$A150)=0),"",SUMIFS(Trato_Diario!$J$4:$J$300,Trato_Diario!$B$4:$B$300,2,Trato_Diario!$A$4:$A$300,$A150)/SUMIFS(Trato_Diario!$G$4:$G$300,Trato_Diario!$B$4:$B$300,2,Trato_Diario!$A$4:$A$300,$A150))</f>
        <v/>
      </c>
      <c r="D150" s="28" t="str">
        <f>IF(OR($A150&gt;MAX(Trato_Diario!$A$4:$A$300),SUMIFS(Trato_Diario!$G$4:$G$300,Trato_Diario!$B$4:$B$300,3,Trato_Diario!$A$4:$A$300,$A150)=0),"",SUMIFS(Trato_Diario!$J$4:$J$300,Trato_Diario!$B$4:$B$300,3,Trato_Diario!$A$4:$A$300,$A150)/SUMIFS(Trato_Diario!$G$4:$G$300,Trato_Diario!$B$4:$B$300,3,Trato_Diario!$A$4:$A$300,$A150))</f>
        <v/>
      </c>
      <c r="E150" s="28" t="str">
        <f>IF(OR($A150&gt;MAX(Trato_Diario!$A$4:$A$300),SUMIFS(Trato_Diario!$G$4:$G$300,Trato_Diario!$B$4:$B$300,4,Trato_Diario!$A$4:$A$300,$A150)=0),"",SUMIFS(Trato_Diario!$J$4:$J$300,Trato_Diario!$B$4:$B$300,4,Trato_Diario!$A$4:$A$300,$A150)/SUMIFS(Trato_Diario!$G$4:$G$300,Trato_Diario!$B$4:$B$300,4,Trato_Diario!$A$4:$A$300,$A150))</f>
        <v/>
      </c>
      <c r="F150" s="28" t="str">
        <f>IF(OR($A150&gt;MAX(Trato_Diario!$A$4:$A$300),SUMIFS(Trato_Diario!$G$4:$G$300,Trato_Diario!$B$4:$B$300,5,Trato_Diario!$A$4:$A$300,$A150)=0),"",SUMIFS(Trato_Diario!$J$4:$J$300,Trato_Diario!$B$4:$B$300,5,Trato_Diario!$A$4:$A$300,$A150)/SUMIFS(Trato_Diario!$G$4:$G$300,Trato_Diario!$B$4:$B$300,5,Trato_Diario!$A$4:$A$300,$A150))</f>
        <v/>
      </c>
      <c r="G150" s="28" t="str">
        <f>IF(OR($A150&gt;MAX(Trato_Diario!$A$4:$A$300),SUMIFS(Trato_Diario!$G$4:$G$300,Trato_Diario!$B$4:$B$300,6,Trato_Diario!$A$4:$A$300,$A150)=0),"",SUMIFS(Trato_Diario!$J$4:$J$300,Trato_Diario!$B$4:$B$300,6,Trato_Diario!$A$4:$A$300,$A150)/SUMIFS(Trato_Diario!$G$4:$G$300,Trato_Diario!$B$4:$B$300,6,Trato_Diario!$A$4:$A$300,$A150))</f>
        <v/>
      </c>
      <c r="H150" s="28" t="str">
        <f>IF(OR($A150&gt;MAX(Trato_Diario!$A$4:$A$300),SUMIFS(Trato_Diario!$G$4:$G$300,Trato_Diario!$B$4:$B$300,7,Trato_Diario!$A$4:$A$300,$A150)=0),"",SUMIFS(Trato_Diario!$J$4:$J$300,Trato_Diario!$B$4:$B$300,7,Trato_Diario!$A$4:$A$300,$A150)/SUMIFS(Trato_Diario!$G$4:$G$300,Trato_Diario!$B$4:$B$300,7,Trato_Diario!$A$4:$A$300,$A150))</f>
        <v/>
      </c>
      <c r="I150" s="28" t="str">
        <f>IF(OR($A150&gt;MAX(Trato_Diario!$A$4:$A$300),SUMIFS(Trato_Diario!$G$4:$G$300,Trato_Diario!$B$4:$B$300,8,Trato_Diario!$A$4:$A$300,$A150)=0),"",SUMIFS(Trato_Diario!$J$4:$J$300,Trato_Diario!$B$4:$B$300,8,Trato_Diario!$A$4:$A$300,$A150)/SUMIFS(Trato_Diario!$G$4:$G$300,Trato_Diario!$B$4:$B$300,8,Trato_Diario!$A$4:$A$300,$A150))</f>
        <v/>
      </c>
      <c r="J150" s="28" t="str">
        <f>IF(OR($A150&gt;MAX(Trato_Diario!$A$4:$A$300),SUMIFS(Trato_Diario!$G$4:$G$300,Trato_Diario!$B$4:$B$300,9,Trato_Diario!$A$4:$A$300,$A150)=0),"",SUMIFS(Trato_Diario!$J$4:$J$300,Trato_Diario!$B$4:$B$300,9,Trato_Diario!$A$4:$A$300,$A150)/SUMIFS(Trato_Diario!$G$4:$G$300,Trato_Diario!$B$4:$B$300,9,Trato_Diario!$A$4:$A$300,$A150))</f>
        <v/>
      </c>
      <c r="K150" s="28" t="str">
        <f>IF(OR($A150&gt;MAX(Trato_Diario!$A$4:$A$300),SUMIFS(Trato_Diario!$G$4:$G$300,Trato_Diario!$B$4:$B$300,10,Trato_Diario!$A$4:$A$300,$A150)=0),"",SUMIFS(Trato_Diario!$J$4:$J$300,Trato_Diario!$B$4:$B$300,10,Trato_Diario!$A$4:$A$300,$A150)/SUMIFS(Trato_Diario!$G$4:$G$300,Trato_Diario!$B$4:$B$300,10,Trato_Diario!$A$4:$A$300,$A150))</f>
        <v/>
      </c>
      <c r="L150" s="76" t="str">
        <f>IF(OR($A150&gt;MAX(Trato_Diario!$A$4:$A$300),SUMIFS(Trato_Diario!$G$4:$G$300,Trato_Diario!$A$4:$A$300,$A150)=0),"",SUMIFS(Trato_Diario!$J$4:$J$300,Trato_Diario!$A$4:$A$300,$A150)/SUMIFS(Trato_Diario!$G$4:$G$300,Trato_Diario!$A$4:$A$300,$A150))</f>
        <v/>
      </c>
    </row>
    <row r="151" spans="1:12" ht="14.25" customHeight="1" x14ac:dyDescent="0.3">
      <c r="A151" s="85">
        <v>46360</v>
      </c>
      <c r="B151" s="26" t="str">
        <f>IF(OR($A151&gt;MAX(Trato_Diario!$A$4:$A$300),SUMIFS(Trato_Diario!$G$4:$G$300,Trato_Diario!$B$4:$B$300,1,Trato_Diario!$A$4:$A$300,$A151)=0),"",SUMIFS(Trato_Diario!$J$4:$J$300,Trato_Diario!$B$4:$B$300,1,Trato_Diario!$A$4:$A$300,$A151)/SUMIFS(Trato_Diario!$G$4:$G$300,Trato_Diario!$B$4:$B$300,1,Trato_Diario!$A$4:$A$300,$A151))</f>
        <v/>
      </c>
      <c r="C151" s="26" t="str">
        <f>IF(OR($A151&gt;MAX(Trato_Diario!$A$4:$A$300),SUMIFS(Trato_Diario!$G$4:$G$300,Trato_Diario!$B$4:$B$300,2,Trato_Diario!$A$4:$A$300,$A151)=0),"",SUMIFS(Trato_Diario!$J$4:$J$300,Trato_Diario!$B$4:$B$300,2,Trato_Diario!$A$4:$A$300,$A151)/SUMIFS(Trato_Diario!$G$4:$G$300,Trato_Diario!$B$4:$B$300,2,Trato_Diario!$A$4:$A$300,$A151))</f>
        <v/>
      </c>
      <c r="D151" s="26" t="str">
        <f>IF(OR($A151&gt;MAX(Trato_Diario!$A$4:$A$300),SUMIFS(Trato_Diario!$G$4:$G$300,Trato_Diario!$B$4:$B$300,3,Trato_Diario!$A$4:$A$300,$A151)=0),"",SUMIFS(Trato_Diario!$J$4:$J$300,Trato_Diario!$B$4:$B$300,3,Trato_Diario!$A$4:$A$300,$A151)/SUMIFS(Trato_Diario!$G$4:$G$300,Trato_Diario!$B$4:$B$300,3,Trato_Diario!$A$4:$A$300,$A151))</f>
        <v/>
      </c>
      <c r="E151" s="26" t="str">
        <f>IF(OR($A151&gt;MAX(Trato_Diario!$A$4:$A$300),SUMIFS(Trato_Diario!$G$4:$G$300,Trato_Diario!$B$4:$B$300,4,Trato_Diario!$A$4:$A$300,$A151)=0),"",SUMIFS(Trato_Diario!$J$4:$J$300,Trato_Diario!$B$4:$B$300,4,Trato_Diario!$A$4:$A$300,$A151)/SUMIFS(Trato_Diario!$G$4:$G$300,Trato_Diario!$B$4:$B$300,4,Trato_Diario!$A$4:$A$300,$A151))</f>
        <v/>
      </c>
      <c r="F151" s="26" t="str">
        <f>IF(OR($A151&gt;MAX(Trato_Diario!$A$4:$A$300),SUMIFS(Trato_Diario!$G$4:$G$300,Trato_Diario!$B$4:$B$300,5,Trato_Diario!$A$4:$A$300,$A151)=0),"",SUMIFS(Trato_Diario!$J$4:$J$300,Trato_Diario!$B$4:$B$300,5,Trato_Diario!$A$4:$A$300,$A151)/SUMIFS(Trato_Diario!$G$4:$G$300,Trato_Diario!$B$4:$B$300,5,Trato_Diario!$A$4:$A$300,$A151))</f>
        <v/>
      </c>
      <c r="G151" s="26" t="str">
        <f>IF(OR($A151&gt;MAX(Trato_Diario!$A$4:$A$300),SUMIFS(Trato_Diario!$G$4:$G$300,Trato_Diario!$B$4:$B$300,6,Trato_Diario!$A$4:$A$300,$A151)=0),"",SUMIFS(Trato_Diario!$J$4:$J$300,Trato_Diario!$B$4:$B$300,6,Trato_Diario!$A$4:$A$300,$A151)/SUMIFS(Trato_Diario!$G$4:$G$300,Trato_Diario!$B$4:$B$300,6,Trato_Diario!$A$4:$A$300,$A151))</f>
        <v/>
      </c>
      <c r="H151" s="26" t="str">
        <f>IF(OR($A151&gt;MAX(Trato_Diario!$A$4:$A$300),SUMIFS(Trato_Diario!$G$4:$G$300,Trato_Diario!$B$4:$B$300,7,Trato_Diario!$A$4:$A$300,$A151)=0),"",SUMIFS(Trato_Diario!$J$4:$J$300,Trato_Diario!$B$4:$B$300,7,Trato_Diario!$A$4:$A$300,$A151)/SUMIFS(Trato_Diario!$G$4:$G$300,Trato_Diario!$B$4:$B$300,7,Trato_Diario!$A$4:$A$300,$A151))</f>
        <v/>
      </c>
      <c r="I151" s="26" t="str">
        <f>IF(OR($A151&gt;MAX(Trato_Diario!$A$4:$A$300),SUMIFS(Trato_Diario!$G$4:$G$300,Trato_Diario!$B$4:$B$300,8,Trato_Diario!$A$4:$A$300,$A151)=0),"",SUMIFS(Trato_Diario!$J$4:$J$300,Trato_Diario!$B$4:$B$300,8,Trato_Diario!$A$4:$A$300,$A151)/SUMIFS(Trato_Diario!$G$4:$G$300,Trato_Diario!$B$4:$B$300,8,Trato_Diario!$A$4:$A$300,$A151))</f>
        <v/>
      </c>
      <c r="J151" s="26" t="str">
        <f>IF(OR($A151&gt;MAX(Trato_Diario!$A$4:$A$300),SUMIFS(Trato_Diario!$G$4:$G$300,Trato_Diario!$B$4:$B$300,9,Trato_Diario!$A$4:$A$300,$A151)=0),"",SUMIFS(Trato_Diario!$J$4:$J$300,Trato_Diario!$B$4:$B$300,9,Trato_Diario!$A$4:$A$300,$A151)/SUMIFS(Trato_Diario!$G$4:$G$300,Trato_Diario!$B$4:$B$300,9,Trato_Diario!$A$4:$A$300,$A151))</f>
        <v/>
      </c>
      <c r="K151" s="26" t="str">
        <f>IF(OR($A151&gt;MAX(Trato_Diario!$A$4:$A$300),SUMIFS(Trato_Diario!$G$4:$G$300,Trato_Diario!$B$4:$B$300,10,Trato_Diario!$A$4:$A$300,$A151)=0),"",SUMIFS(Trato_Diario!$J$4:$J$300,Trato_Diario!$B$4:$B$300,10,Trato_Diario!$A$4:$A$300,$A151)/SUMIFS(Trato_Diario!$G$4:$G$300,Trato_Diario!$B$4:$B$300,10,Trato_Diario!$A$4:$A$300,$A151))</f>
        <v/>
      </c>
      <c r="L151" s="74" t="str">
        <f>IF(OR($A151&gt;MAX(Trato_Diario!$A$4:$A$300),SUMIFS(Trato_Diario!$G$4:$G$300,Trato_Diario!$A$4:$A$300,$A151)=0),"",SUMIFS(Trato_Diario!$J$4:$J$300,Trato_Diario!$A$4:$A$300,$A151)/SUMIFS(Trato_Diario!$G$4:$G$300,Trato_Diario!$A$4:$A$300,$A151))</f>
        <v/>
      </c>
    </row>
    <row r="152" spans="1:12" ht="14.25" customHeight="1" x14ac:dyDescent="0.3">
      <c r="A152" s="86">
        <v>46361</v>
      </c>
      <c r="B152" s="28" t="str">
        <f>IF(OR($A152&gt;MAX(Trato_Diario!$A$4:$A$300),SUMIFS(Trato_Diario!$G$4:$G$300,Trato_Diario!$B$4:$B$300,1,Trato_Diario!$A$4:$A$300,$A152)=0),"",SUMIFS(Trato_Diario!$J$4:$J$300,Trato_Diario!$B$4:$B$300,1,Trato_Diario!$A$4:$A$300,$A152)/SUMIFS(Trato_Diario!$G$4:$G$300,Trato_Diario!$B$4:$B$300,1,Trato_Diario!$A$4:$A$300,$A152))</f>
        <v/>
      </c>
      <c r="C152" s="28" t="str">
        <f>IF(OR($A152&gt;MAX(Trato_Diario!$A$4:$A$300),SUMIFS(Trato_Diario!$G$4:$G$300,Trato_Diario!$B$4:$B$300,2,Trato_Diario!$A$4:$A$300,$A152)=0),"",SUMIFS(Trato_Diario!$J$4:$J$300,Trato_Diario!$B$4:$B$300,2,Trato_Diario!$A$4:$A$300,$A152)/SUMIFS(Trato_Diario!$G$4:$G$300,Trato_Diario!$B$4:$B$300,2,Trato_Diario!$A$4:$A$300,$A152))</f>
        <v/>
      </c>
      <c r="D152" s="28" t="str">
        <f>IF(OR($A152&gt;MAX(Trato_Diario!$A$4:$A$300),SUMIFS(Trato_Diario!$G$4:$G$300,Trato_Diario!$B$4:$B$300,3,Trato_Diario!$A$4:$A$300,$A152)=0),"",SUMIFS(Trato_Diario!$J$4:$J$300,Trato_Diario!$B$4:$B$300,3,Trato_Diario!$A$4:$A$300,$A152)/SUMIFS(Trato_Diario!$G$4:$G$300,Trato_Diario!$B$4:$B$300,3,Trato_Diario!$A$4:$A$300,$A152))</f>
        <v/>
      </c>
      <c r="E152" s="28" t="str">
        <f>IF(OR($A152&gt;MAX(Trato_Diario!$A$4:$A$300),SUMIFS(Trato_Diario!$G$4:$G$300,Trato_Diario!$B$4:$B$300,4,Trato_Diario!$A$4:$A$300,$A152)=0),"",SUMIFS(Trato_Diario!$J$4:$J$300,Trato_Diario!$B$4:$B$300,4,Trato_Diario!$A$4:$A$300,$A152)/SUMIFS(Trato_Diario!$G$4:$G$300,Trato_Diario!$B$4:$B$300,4,Trato_Diario!$A$4:$A$300,$A152))</f>
        <v/>
      </c>
      <c r="F152" s="28" t="str">
        <f>IF(OR($A152&gt;MAX(Trato_Diario!$A$4:$A$300),SUMIFS(Trato_Diario!$G$4:$G$300,Trato_Diario!$B$4:$B$300,5,Trato_Diario!$A$4:$A$300,$A152)=0),"",SUMIFS(Trato_Diario!$J$4:$J$300,Trato_Diario!$B$4:$B$300,5,Trato_Diario!$A$4:$A$300,$A152)/SUMIFS(Trato_Diario!$G$4:$G$300,Trato_Diario!$B$4:$B$300,5,Trato_Diario!$A$4:$A$300,$A152))</f>
        <v/>
      </c>
      <c r="G152" s="28" t="str">
        <f>IF(OR($A152&gt;MAX(Trato_Diario!$A$4:$A$300),SUMIFS(Trato_Diario!$G$4:$G$300,Trato_Diario!$B$4:$B$300,6,Trato_Diario!$A$4:$A$300,$A152)=0),"",SUMIFS(Trato_Diario!$J$4:$J$300,Trato_Diario!$B$4:$B$300,6,Trato_Diario!$A$4:$A$300,$A152)/SUMIFS(Trato_Diario!$G$4:$G$300,Trato_Diario!$B$4:$B$300,6,Trato_Diario!$A$4:$A$300,$A152))</f>
        <v/>
      </c>
      <c r="H152" s="28" t="str">
        <f>IF(OR($A152&gt;MAX(Trato_Diario!$A$4:$A$300),SUMIFS(Trato_Diario!$G$4:$G$300,Trato_Diario!$B$4:$B$300,7,Trato_Diario!$A$4:$A$300,$A152)=0),"",SUMIFS(Trato_Diario!$J$4:$J$300,Trato_Diario!$B$4:$B$300,7,Trato_Diario!$A$4:$A$300,$A152)/SUMIFS(Trato_Diario!$G$4:$G$300,Trato_Diario!$B$4:$B$300,7,Trato_Diario!$A$4:$A$300,$A152))</f>
        <v/>
      </c>
      <c r="I152" s="28" t="str">
        <f>IF(OR($A152&gt;MAX(Trato_Diario!$A$4:$A$300),SUMIFS(Trato_Diario!$G$4:$G$300,Trato_Diario!$B$4:$B$300,8,Trato_Diario!$A$4:$A$300,$A152)=0),"",SUMIFS(Trato_Diario!$J$4:$J$300,Trato_Diario!$B$4:$B$300,8,Trato_Diario!$A$4:$A$300,$A152)/SUMIFS(Trato_Diario!$G$4:$G$300,Trato_Diario!$B$4:$B$300,8,Trato_Diario!$A$4:$A$300,$A152))</f>
        <v/>
      </c>
      <c r="J152" s="28" t="str">
        <f>IF(OR($A152&gt;MAX(Trato_Diario!$A$4:$A$300),SUMIFS(Trato_Diario!$G$4:$G$300,Trato_Diario!$B$4:$B$300,9,Trato_Diario!$A$4:$A$300,$A152)=0),"",SUMIFS(Trato_Diario!$J$4:$J$300,Trato_Diario!$B$4:$B$300,9,Trato_Diario!$A$4:$A$300,$A152)/SUMIFS(Trato_Diario!$G$4:$G$300,Trato_Diario!$B$4:$B$300,9,Trato_Diario!$A$4:$A$300,$A152))</f>
        <v/>
      </c>
      <c r="K152" s="28" t="str">
        <f>IF(OR($A152&gt;MAX(Trato_Diario!$A$4:$A$300),SUMIFS(Trato_Diario!$G$4:$G$300,Trato_Diario!$B$4:$B$300,10,Trato_Diario!$A$4:$A$300,$A152)=0),"",SUMIFS(Trato_Diario!$J$4:$J$300,Trato_Diario!$B$4:$B$300,10,Trato_Diario!$A$4:$A$300,$A152)/SUMIFS(Trato_Diario!$G$4:$G$300,Trato_Diario!$B$4:$B$300,10,Trato_Diario!$A$4:$A$300,$A152))</f>
        <v/>
      </c>
      <c r="L152" s="76" t="str">
        <f>IF(OR($A152&gt;MAX(Trato_Diario!$A$4:$A$300),SUMIFS(Trato_Diario!$G$4:$G$300,Trato_Diario!$A$4:$A$300,$A152)=0),"",SUMIFS(Trato_Diario!$J$4:$J$300,Trato_Diario!$A$4:$A$300,$A152)/SUMIFS(Trato_Diario!$G$4:$G$300,Trato_Diario!$A$4:$A$300,$A152))</f>
        <v/>
      </c>
    </row>
    <row r="153" spans="1:12" ht="14.25" customHeight="1" x14ac:dyDescent="0.3">
      <c r="A153" s="85">
        <v>46362</v>
      </c>
      <c r="B153" s="26" t="str">
        <f>IF(OR($A153&gt;MAX(Trato_Diario!$A$4:$A$300),SUMIFS(Trato_Diario!$G$4:$G$300,Trato_Diario!$B$4:$B$300,1,Trato_Diario!$A$4:$A$300,$A153)=0),"",SUMIFS(Trato_Diario!$J$4:$J$300,Trato_Diario!$B$4:$B$300,1,Trato_Diario!$A$4:$A$300,$A153)/SUMIFS(Trato_Diario!$G$4:$G$300,Trato_Diario!$B$4:$B$300,1,Trato_Diario!$A$4:$A$300,$A153))</f>
        <v/>
      </c>
      <c r="C153" s="26" t="str">
        <f>IF(OR($A153&gt;MAX(Trato_Diario!$A$4:$A$300),SUMIFS(Trato_Diario!$G$4:$G$300,Trato_Diario!$B$4:$B$300,2,Trato_Diario!$A$4:$A$300,$A153)=0),"",SUMIFS(Trato_Diario!$J$4:$J$300,Trato_Diario!$B$4:$B$300,2,Trato_Diario!$A$4:$A$300,$A153)/SUMIFS(Trato_Diario!$G$4:$G$300,Trato_Diario!$B$4:$B$300,2,Trato_Diario!$A$4:$A$300,$A153))</f>
        <v/>
      </c>
      <c r="D153" s="26" t="str">
        <f>IF(OR($A153&gt;MAX(Trato_Diario!$A$4:$A$300),SUMIFS(Trato_Diario!$G$4:$G$300,Trato_Diario!$B$4:$B$300,3,Trato_Diario!$A$4:$A$300,$A153)=0),"",SUMIFS(Trato_Diario!$J$4:$J$300,Trato_Diario!$B$4:$B$300,3,Trato_Diario!$A$4:$A$300,$A153)/SUMIFS(Trato_Diario!$G$4:$G$300,Trato_Diario!$B$4:$B$300,3,Trato_Diario!$A$4:$A$300,$A153))</f>
        <v/>
      </c>
      <c r="E153" s="26" t="str">
        <f>IF(OR($A153&gt;MAX(Trato_Diario!$A$4:$A$300),SUMIFS(Trato_Diario!$G$4:$G$300,Trato_Diario!$B$4:$B$300,4,Trato_Diario!$A$4:$A$300,$A153)=0),"",SUMIFS(Trato_Diario!$J$4:$J$300,Trato_Diario!$B$4:$B$300,4,Trato_Diario!$A$4:$A$300,$A153)/SUMIFS(Trato_Diario!$G$4:$G$300,Trato_Diario!$B$4:$B$300,4,Trato_Diario!$A$4:$A$300,$A153))</f>
        <v/>
      </c>
      <c r="F153" s="26" t="str">
        <f>IF(OR($A153&gt;MAX(Trato_Diario!$A$4:$A$300),SUMIFS(Trato_Diario!$G$4:$G$300,Trato_Diario!$B$4:$B$300,5,Trato_Diario!$A$4:$A$300,$A153)=0),"",SUMIFS(Trato_Diario!$J$4:$J$300,Trato_Diario!$B$4:$B$300,5,Trato_Diario!$A$4:$A$300,$A153)/SUMIFS(Trato_Diario!$G$4:$G$300,Trato_Diario!$B$4:$B$300,5,Trato_Diario!$A$4:$A$300,$A153))</f>
        <v/>
      </c>
      <c r="G153" s="26" t="str">
        <f>IF(OR($A153&gt;MAX(Trato_Diario!$A$4:$A$300),SUMIFS(Trato_Diario!$G$4:$G$300,Trato_Diario!$B$4:$B$300,6,Trato_Diario!$A$4:$A$300,$A153)=0),"",SUMIFS(Trato_Diario!$J$4:$J$300,Trato_Diario!$B$4:$B$300,6,Trato_Diario!$A$4:$A$300,$A153)/SUMIFS(Trato_Diario!$G$4:$G$300,Trato_Diario!$B$4:$B$300,6,Trato_Diario!$A$4:$A$300,$A153))</f>
        <v/>
      </c>
      <c r="H153" s="26" t="str">
        <f>IF(OR($A153&gt;MAX(Trato_Diario!$A$4:$A$300),SUMIFS(Trato_Diario!$G$4:$G$300,Trato_Diario!$B$4:$B$300,7,Trato_Diario!$A$4:$A$300,$A153)=0),"",SUMIFS(Trato_Diario!$J$4:$J$300,Trato_Diario!$B$4:$B$300,7,Trato_Diario!$A$4:$A$300,$A153)/SUMIFS(Trato_Diario!$G$4:$G$300,Trato_Diario!$B$4:$B$300,7,Trato_Diario!$A$4:$A$300,$A153))</f>
        <v/>
      </c>
      <c r="I153" s="26" t="str">
        <f>IF(OR($A153&gt;MAX(Trato_Diario!$A$4:$A$300),SUMIFS(Trato_Diario!$G$4:$G$300,Trato_Diario!$B$4:$B$300,8,Trato_Diario!$A$4:$A$300,$A153)=0),"",SUMIFS(Trato_Diario!$J$4:$J$300,Trato_Diario!$B$4:$B$300,8,Trato_Diario!$A$4:$A$300,$A153)/SUMIFS(Trato_Diario!$G$4:$G$300,Trato_Diario!$B$4:$B$300,8,Trato_Diario!$A$4:$A$300,$A153))</f>
        <v/>
      </c>
      <c r="J153" s="26" t="str">
        <f>IF(OR($A153&gt;MAX(Trato_Diario!$A$4:$A$300),SUMIFS(Trato_Diario!$G$4:$G$300,Trato_Diario!$B$4:$B$300,9,Trato_Diario!$A$4:$A$300,$A153)=0),"",SUMIFS(Trato_Diario!$J$4:$J$300,Trato_Diario!$B$4:$B$300,9,Trato_Diario!$A$4:$A$300,$A153)/SUMIFS(Trato_Diario!$G$4:$G$300,Trato_Diario!$B$4:$B$300,9,Trato_Diario!$A$4:$A$300,$A153))</f>
        <v/>
      </c>
      <c r="K153" s="26" t="str">
        <f>IF(OR($A153&gt;MAX(Trato_Diario!$A$4:$A$300),SUMIFS(Trato_Diario!$G$4:$G$300,Trato_Diario!$B$4:$B$300,10,Trato_Diario!$A$4:$A$300,$A153)=0),"",SUMIFS(Trato_Diario!$J$4:$J$300,Trato_Diario!$B$4:$B$300,10,Trato_Diario!$A$4:$A$300,$A153)/SUMIFS(Trato_Diario!$G$4:$G$300,Trato_Diario!$B$4:$B$300,10,Trato_Diario!$A$4:$A$300,$A153))</f>
        <v/>
      </c>
      <c r="L153" s="74" t="str">
        <f>IF(OR($A153&gt;MAX(Trato_Diario!$A$4:$A$300),SUMIFS(Trato_Diario!$G$4:$G$300,Trato_Diario!$A$4:$A$300,$A153)=0),"",SUMIFS(Trato_Diario!$J$4:$J$300,Trato_Diario!$A$4:$A$300,$A153)/SUMIFS(Trato_Diario!$G$4:$G$300,Trato_Diario!$A$4:$A$300,$A153))</f>
        <v/>
      </c>
    </row>
    <row r="154" spans="1:12" ht="14.25" customHeight="1" x14ac:dyDescent="0.3">
      <c r="A154" s="86">
        <v>46363</v>
      </c>
      <c r="B154" s="28" t="str">
        <f>IF(OR($A154&gt;MAX(Trato_Diario!$A$4:$A$300),SUMIFS(Trato_Diario!$G$4:$G$300,Trato_Diario!$B$4:$B$300,1,Trato_Diario!$A$4:$A$300,$A154)=0),"",SUMIFS(Trato_Diario!$J$4:$J$300,Trato_Diario!$B$4:$B$300,1,Trato_Diario!$A$4:$A$300,$A154)/SUMIFS(Trato_Diario!$G$4:$G$300,Trato_Diario!$B$4:$B$300,1,Trato_Diario!$A$4:$A$300,$A154))</f>
        <v/>
      </c>
      <c r="C154" s="28" t="str">
        <f>IF(OR($A154&gt;MAX(Trato_Diario!$A$4:$A$300),SUMIFS(Trato_Diario!$G$4:$G$300,Trato_Diario!$B$4:$B$300,2,Trato_Diario!$A$4:$A$300,$A154)=0),"",SUMIFS(Trato_Diario!$J$4:$J$300,Trato_Diario!$B$4:$B$300,2,Trato_Diario!$A$4:$A$300,$A154)/SUMIFS(Trato_Diario!$G$4:$G$300,Trato_Diario!$B$4:$B$300,2,Trato_Diario!$A$4:$A$300,$A154))</f>
        <v/>
      </c>
      <c r="D154" s="28" t="str">
        <f>IF(OR($A154&gt;MAX(Trato_Diario!$A$4:$A$300),SUMIFS(Trato_Diario!$G$4:$G$300,Trato_Diario!$B$4:$B$300,3,Trato_Diario!$A$4:$A$300,$A154)=0),"",SUMIFS(Trato_Diario!$J$4:$J$300,Trato_Diario!$B$4:$B$300,3,Trato_Diario!$A$4:$A$300,$A154)/SUMIFS(Trato_Diario!$G$4:$G$300,Trato_Diario!$B$4:$B$300,3,Trato_Diario!$A$4:$A$300,$A154))</f>
        <v/>
      </c>
      <c r="E154" s="28" t="str">
        <f>IF(OR($A154&gt;MAX(Trato_Diario!$A$4:$A$300),SUMIFS(Trato_Diario!$G$4:$G$300,Trato_Diario!$B$4:$B$300,4,Trato_Diario!$A$4:$A$300,$A154)=0),"",SUMIFS(Trato_Diario!$J$4:$J$300,Trato_Diario!$B$4:$B$300,4,Trato_Diario!$A$4:$A$300,$A154)/SUMIFS(Trato_Diario!$G$4:$G$300,Trato_Diario!$B$4:$B$300,4,Trato_Diario!$A$4:$A$300,$A154))</f>
        <v/>
      </c>
      <c r="F154" s="28" t="str">
        <f>IF(OR($A154&gt;MAX(Trato_Diario!$A$4:$A$300),SUMIFS(Trato_Diario!$G$4:$G$300,Trato_Diario!$B$4:$B$300,5,Trato_Diario!$A$4:$A$300,$A154)=0),"",SUMIFS(Trato_Diario!$J$4:$J$300,Trato_Diario!$B$4:$B$300,5,Trato_Diario!$A$4:$A$300,$A154)/SUMIFS(Trato_Diario!$G$4:$G$300,Trato_Diario!$B$4:$B$300,5,Trato_Diario!$A$4:$A$300,$A154))</f>
        <v/>
      </c>
      <c r="G154" s="28" t="str">
        <f>IF(OR($A154&gt;MAX(Trato_Diario!$A$4:$A$300),SUMIFS(Trato_Diario!$G$4:$G$300,Trato_Diario!$B$4:$B$300,6,Trato_Diario!$A$4:$A$300,$A154)=0),"",SUMIFS(Trato_Diario!$J$4:$J$300,Trato_Diario!$B$4:$B$300,6,Trato_Diario!$A$4:$A$300,$A154)/SUMIFS(Trato_Diario!$G$4:$G$300,Trato_Diario!$B$4:$B$300,6,Trato_Diario!$A$4:$A$300,$A154))</f>
        <v/>
      </c>
      <c r="H154" s="28" t="str">
        <f>IF(OR($A154&gt;MAX(Trato_Diario!$A$4:$A$300),SUMIFS(Trato_Diario!$G$4:$G$300,Trato_Diario!$B$4:$B$300,7,Trato_Diario!$A$4:$A$300,$A154)=0),"",SUMIFS(Trato_Diario!$J$4:$J$300,Trato_Diario!$B$4:$B$300,7,Trato_Diario!$A$4:$A$300,$A154)/SUMIFS(Trato_Diario!$G$4:$G$300,Trato_Diario!$B$4:$B$300,7,Trato_Diario!$A$4:$A$300,$A154))</f>
        <v/>
      </c>
      <c r="I154" s="28" t="str">
        <f>IF(OR($A154&gt;MAX(Trato_Diario!$A$4:$A$300),SUMIFS(Trato_Diario!$G$4:$G$300,Trato_Diario!$B$4:$B$300,8,Trato_Diario!$A$4:$A$300,$A154)=0),"",SUMIFS(Trato_Diario!$J$4:$J$300,Trato_Diario!$B$4:$B$300,8,Trato_Diario!$A$4:$A$300,$A154)/SUMIFS(Trato_Diario!$G$4:$G$300,Trato_Diario!$B$4:$B$300,8,Trato_Diario!$A$4:$A$300,$A154))</f>
        <v/>
      </c>
      <c r="J154" s="28" t="str">
        <f>IF(OR($A154&gt;MAX(Trato_Diario!$A$4:$A$300),SUMIFS(Trato_Diario!$G$4:$G$300,Trato_Diario!$B$4:$B$300,9,Trato_Diario!$A$4:$A$300,$A154)=0),"",SUMIFS(Trato_Diario!$J$4:$J$300,Trato_Diario!$B$4:$B$300,9,Trato_Diario!$A$4:$A$300,$A154)/SUMIFS(Trato_Diario!$G$4:$G$300,Trato_Diario!$B$4:$B$300,9,Trato_Diario!$A$4:$A$300,$A154))</f>
        <v/>
      </c>
      <c r="K154" s="28" t="str">
        <f>IF(OR($A154&gt;MAX(Trato_Diario!$A$4:$A$300),SUMIFS(Trato_Diario!$G$4:$G$300,Trato_Diario!$B$4:$B$300,10,Trato_Diario!$A$4:$A$300,$A154)=0),"",SUMIFS(Trato_Diario!$J$4:$J$300,Trato_Diario!$B$4:$B$300,10,Trato_Diario!$A$4:$A$300,$A154)/SUMIFS(Trato_Diario!$G$4:$G$300,Trato_Diario!$B$4:$B$300,10,Trato_Diario!$A$4:$A$300,$A154))</f>
        <v/>
      </c>
      <c r="L154" s="76" t="str">
        <f>IF(OR($A154&gt;MAX(Trato_Diario!$A$4:$A$300),SUMIFS(Trato_Diario!$G$4:$G$300,Trato_Diario!$A$4:$A$300,$A154)=0),"",SUMIFS(Trato_Diario!$J$4:$J$300,Trato_Diario!$A$4:$A$300,$A154)/SUMIFS(Trato_Diario!$G$4:$G$300,Trato_Diario!$A$4:$A$300,$A154))</f>
        <v/>
      </c>
    </row>
    <row r="155" spans="1:12" ht="14.25" customHeight="1" x14ac:dyDescent="0.3">
      <c r="A155" s="85">
        <v>46364</v>
      </c>
      <c r="B155" s="26" t="str">
        <f>IF(OR($A155&gt;MAX(Trato_Diario!$A$4:$A$300),SUMIFS(Trato_Diario!$G$4:$G$300,Trato_Diario!$B$4:$B$300,1,Trato_Diario!$A$4:$A$300,$A155)=0),"",SUMIFS(Trato_Diario!$J$4:$J$300,Trato_Diario!$B$4:$B$300,1,Trato_Diario!$A$4:$A$300,$A155)/SUMIFS(Trato_Diario!$G$4:$G$300,Trato_Diario!$B$4:$B$300,1,Trato_Diario!$A$4:$A$300,$A155))</f>
        <v/>
      </c>
      <c r="C155" s="26" t="str">
        <f>IF(OR($A155&gt;MAX(Trato_Diario!$A$4:$A$300),SUMIFS(Trato_Diario!$G$4:$G$300,Trato_Diario!$B$4:$B$300,2,Trato_Diario!$A$4:$A$300,$A155)=0),"",SUMIFS(Trato_Diario!$J$4:$J$300,Trato_Diario!$B$4:$B$300,2,Trato_Diario!$A$4:$A$300,$A155)/SUMIFS(Trato_Diario!$G$4:$G$300,Trato_Diario!$B$4:$B$300,2,Trato_Diario!$A$4:$A$300,$A155))</f>
        <v/>
      </c>
      <c r="D155" s="26" t="str">
        <f>IF(OR($A155&gt;MAX(Trato_Diario!$A$4:$A$300),SUMIFS(Trato_Diario!$G$4:$G$300,Trato_Diario!$B$4:$B$300,3,Trato_Diario!$A$4:$A$300,$A155)=0),"",SUMIFS(Trato_Diario!$J$4:$J$300,Trato_Diario!$B$4:$B$300,3,Trato_Diario!$A$4:$A$300,$A155)/SUMIFS(Trato_Diario!$G$4:$G$300,Trato_Diario!$B$4:$B$300,3,Trato_Diario!$A$4:$A$300,$A155))</f>
        <v/>
      </c>
      <c r="E155" s="26" t="str">
        <f>IF(OR($A155&gt;MAX(Trato_Diario!$A$4:$A$300),SUMIFS(Trato_Diario!$G$4:$G$300,Trato_Diario!$B$4:$B$300,4,Trato_Diario!$A$4:$A$300,$A155)=0),"",SUMIFS(Trato_Diario!$J$4:$J$300,Trato_Diario!$B$4:$B$300,4,Trato_Diario!$A$4:$A$300,$A155)/SUMIFS(Trato_Diario!$G$4:$G$300,Trato_Diario!$B$4:$B$300,4,Trato_Diario!$A$4:$A$300,$A155))</f>
        <v/>
      </c>
      <c r="F155" s="26" t="str">
        <f>IF(OR($A155&gt;MAX(Trato_Diario!$A$4:$A$300),SUMIFS(Trato_Diario!$G$4:$G$300,Trato_Diario!$B$4:$B$300,5,Trato_Diario!$A$4:$A$300,$A155)=0),"",SUMIFS(Trato_Diario!$J$4:$J$300,Trato_Diario!$B$4:$B$300,5,Trato_Diario!$A$4:$A$300,$A155)/SUMIFS(Trato_Diario!$G$4:$G$300,Trato_Diario!$B$4:$B$300,5,Trato_Diario!$A$4:$A$300,$A155))</f>
        <v/>
      </c>
      <c r="G155" s="26" t="str">
        <f>IF(OR($A155&gt;MAX(Trato_Diario!$A$4:$A$300),SUMIFS(Trato_Diario!$G$4:$G$300,Trato_Diario!$B$4:$B$300,6,Trato_Diario!$A$4:$A$300,$A155)=0),"",SUMIFS(Trato_Diario!$J$4:$J$300,Trato_Diario!$B$4:$B$300,6,Trato_Diario!$A$4:$A$300,$A155)/SUMIFS(Trato_Diario!$G$4:$G$300,Trato_Diario!$B$4:$B$300,6,Trato_Diario!$A$4:$A$300,$A155))</f>
        <v/>
      </c>
      <c r="H155" s="26" t="str">
        <f>IF(OR($A155&gt;MAX(Trato_Diario!$A$4:$A$300),SUMIFS(Trato_Diario!$G$4:$G$300,Trato_Diario!$B$4:$B$300,7,Trato_Diario!$A$4:$A$300,$A155)=0),"",SUMIFS(Trato_Diario!$J$4:$J$300,Trato_Diario!$B$4:$B$300,7,Trato_Diario!$A$4:$A$300,$A155)/SUMIFS(Trato_Diario!$G$4:$G$300,Trato_Diario!$B$4:$B$300,7,Trato_Diario!$A$4:$A$300,$A155))</f>
        <v/>
      </c>
      <c r="I155" s="26" t="str">
        <f>IF(OR($A155&gt;MAX(Trato_Diario!$A$4:$A$300),SUMIFS(Trato_Diario!$G$4:$G$300,Trato_Diario!$B$4:$B$300,8,Trato_Diario!$A$4:$A$300,$A155)=0),"",SUMIFS(Trato_Diario!$J$4:$J$300,Trato_Diario!$B$4:$B$300,8,Trato_Diario!$A$4:$A$300,$A155)/SUMIFS(Trato_Diario!$G$4:$G$300,Trato_Diario!$B$4:$B$300,8,Trato_Diario!$A$4:$A$300,$A155))</f>
        <v/>
      </c>
      <c r="J155" s="26" t="str">
        <f>IF(OR($A155&gt;MAX(Trato_Diario!$A$4:$A$300),SUMIFS(Trato_Diario!$G$4:$G$300,Trato_Diario!$B$4:$B$300,9,Trato_Diario!$A$4:$A$300,$A155)=0),"",SUMIFS(Trato_Diario!$J$4:$J$300,Trato_Diario!$B$4:$B$300,9,Trato_Diario!$A$4:$A$300,$A155)/SUMIFS(Trato_Diario!$G$4:$G$300,Trato_Diario!$B$4:$B$300,9,Trato_Diario!$A$4:$A$300,$A155))</f>
        <v/>
      </c>
      <c r="K155" s="26" t="str">
        <f>IF(OR($A155&gt;MAX(Trato_Diario!$A$4:$A$300),SUMIFS(Trato_Diario!$G$4:$G$300,Trato_Diario!$B$4:$B$300,10,Trato_Diario!$A$4:$A$300,$A155)=0),"",SUMIFS(Trato_Diario!$J$4:$J$300,Trato_Diario!$B$4:$B$300,10,Trato_Diario!$A$4:$A$300,$A155)/SUMIFS(Trato_Diario!$G$4:$G$300,Trato_Diario!$B$4:$B$300,10,Trato_Diario!$A$4:$A$300,$A155))</f>
        <v/>
      </c>
      <c r="L155" s="74" t="str">
        <f>IF(OR($A155&gt;MAX(Trato_Diario!$A$4:$A$300),SUMIFS(Trato_Diario!$G$4:$G$300,Trato_Diario!$A$4:$A$300,$A155)=0),"",SUMIFS(Trato_Diario!$J$4:$J$300,Trato_Diario!$A$4:$A$300,$A155)/SUMIFS(Trato_Diario!$G$4:$G$300,Trato_Diario!$A$4:$A$300,$A155))</f>
        <v/>
      </c>
    </row>
    <row r="156" spans="1:12" ht="14.25" customHeight="1" x14ac:dyDescent="0.3">
      <c r="A156" s="86">
        <v>46365</v>
      </c>
      <c r="B156" s="28" t="str">
        <f>IF(OR($A156&gt;MAX(Trato_Diario!$A$4:$A$300),SUMIFS(Trato_Diario!$G$4:$G$300,Trato_Diario!$B$4:$B$300,1,Trato_Diario!$A$4:$A$300,$A156)=0),"",SUMIFS(Trato_Diario!$J$4:$J$300,Trato_Diario!$B$4:$B$300,1,Trato_Diario!$A$4:$A$300,$A156)/SUMIFS(Trato_Diario!$G$4:$G$300,Trato_Diario!$B$4:$B$300,1,Trato_Diario!$A$4:$A$300,$A156))</f>
        <v/>
      </c>
      <c r="C156" s="28" t="str">
        <f>IF(OR($A156&gt;MAX(Trato_Diario!$A$4:$A$300),SUMIFS(Trato_Diario!$G$4:$G$300,Trato_Diario!$B$4:$B$300,2,Trato_Diario!$A$4:$A$300,$A156)=0),"",SUMIFS(Trato_Diario!$J$4:$J$300,Trato_Diario!$B$4:$B$300,2,Trato_Diario!$A$4:$A$300,$A156)/SUMIFS(Trato_Diario!$G$4:$G$300,Trato_Diario!$B$4:$B$300,2,Trato_Diario!$A$4:$A$300,$A156))</f>
        <v/>
      </c>
      <c r="D156" s="28" t="str">
        <f>IF(OR($A156&gt;MAX(Trato_Diario!$A$4:$A$300),SUMIFS(Trato_Diario!$G$4:$G$300,Trato_Diario!$B$4:$B$300,3,Trato_Diario!$A$4:$A$300,$A156)=0),"",SUMIFS(Trato_Diario!$J$4:$J$300,Trato_Diario!$B$4:$B$300,3,Trato_Diario!$A$4:$A$300,$A156)/SUMIFS(Trato_Diario!$G$4:$G$300,Trato_Diario!$B$4:$B$300,3,Trato_Diario!$A$4:$A$300,$A156))</f>
        <v/>
      </c>
      <c r="E156" s="28" t="str">
        <f>IF(OR($A156&gt;MAX(Trato_Diario!$A$4:$A$300),SUMIFS(Trato_Diario!$G$4:$G$300,Trato_Diario!$B$4:$B$300,4,Trato_Diario!$A$4:$A$300,$A156)=0),"",SUMIFS(Trato_Diario!$J$4:$J$300,Trato_Diario!$B$4:$B$300,4,Trato_Diario!$A$4:$A$300,$A156)/SUMIFS(Trato_Diario!$G$4:$G$300,Trato_Diario!$B$4:$B$300,4,Trato_Diario!$A$4:$A$300,$A156))</f>
        <v/>
      </c>
      <c r="F156" s="28" t="str">
        <f>IF(OR($A156&gt;MAX(Trato_Diario!$A$4:$A$300),SUMIFS(Trato_Diario!$G$4:$G$300,Trato_Diario!$B$4:$B$300,5,Trato_Diario!$A$4:$A$300,$A156)=0),"",SUMIFS(Trato_Diario!$J$4:$J$300,Trato_Diario!$B$4:$B$300,5,Trato_Diario!$A$4:$A$300,$A156)/SUMIFS(Trato_Diario!$G$4:$G$300,Trato_Diario!$B$4:$B$300,5,Trato_Diario!$A$4:$A$300,$A156))</f>
        <v/>
      </c>
      <c r="G156" s="28" t="str">
        <f>IF(OR($A156&gt;MAX(Trato_Diario!$A$4:$A$300),SUMIFS(Trato_Diario!$G$4:$G$300,Trato_Diario!$B$4:$B$300,6,Trato_Diario!$A$4:$A$300,$A156)=0),"",SUMIFS(Trato_Diario!$J$4:$J$300,Trato_Diario!$B$4:$B$300,6,Trato_Diario!$A$4:$A$300,$A156)/SUMIFS(Trato_Diario!$G$4:$G$300,Trato_Diario!$B$4:$B$300,6,Trato_Diario!$A$4:$A$300,$A156))</f>
        <v/>
      </c>
      <c r="H156" s="28" t="str">
        <f>IF(OR($A156&gt;MAX(Trato_Diario!$A$4:$A$300),SUMIFS(Trato_Diario!$G$4:$G$300,Trato_Diario!$B$4:$B$300,7,Trato_Diario!$A$4:$A$300,$A156)=0),"",SUMIFS(Trato_Diario!$J$4:$J$300,Trato_Diario!$B$4:$B$300,7,Trato_Diario!$A$4:$A$300,$A156)/SUMIFS(Trato_Diario!$G$4:$G$300,Trato_Diario!$B$4:$B$300,7,Trato_Diario!$A$4:$A$300,$A156))</f>
        <v/>
      </c>
      <c r="I156" s="28" t="str">
        <f>IF(OR($A156&gt;MAX(Trato_Diario!$A$4:$A$300),SUMIFS(Trato_Diario!$G$4:$G$300,Trato_Diario!$B$4:$B$300,8,Trato_Diario!$A$4:$A$300,$A156)=0),"",SUMIFS(Trato_Diario!$J$4:$J$300,Trato_Diario!$B$4:$B$300,8,Trato_Diario!$A$4:$A$300,$A156)/SUMIFS(Trato_Diario!$G$4:$G$300,Trato_Diario!$B$4:$B$300,8,Trato_Diario!$A$4:$A$300,$A156))</f>
        <v/>
      </c>
      <c r="J156" s="28" t="str">
        <f>IF(OR($A156&gt;MAX(Trato_Diario!$A$4:$A$300),SUMIFS(Trato_Diario!$G$4:$G$300,Trato_Diario!$B$4:$B$300,9,Trato_Diario!$A$4:$A$300,$A156)=0),"",SUMIFS(Trato_Diario!$J$4:$J$300,Trato_Diario!$B$4:$B$300,9,Trato_Diario!$A$4:$A$300,$A156)/SUMIFS(Trato_Diario!$G$4:$G$300,Trato_Diario!$B$4:$B$300,9,Trato_Diario!$A$4:$A$300,$A156))</f>
        <v/>
      </c>
      <c r="K156" s="28" t="str">
        <f>IF(OR($A156&gt;MAX(Trato_Diario!$A$4:$A$300),SUMIFS(Trato_Diario!$G$4:$G$300,Trato_Diario!$B$4:$B$300,10,Trato_Diario!$A$4:$A$300,$A156)=0),"",SUMIFS(Trato_Diario!$J$4:$J$300,Trato_Diario!$B$4:$B$300,10,Trato_Diario!$A$4:$A$300,$A156)/SUMIFS(Trato_Diario!$G$4:$G$300,Trato_Diario!$B$4:$B$300,10,Trato_Diario!$A$4:$A$300,$A156))</f>
        <v/>
      </c>
      <c r="L156" s="76" t="str">
        <f>IF(OR($A156&gt;MAX(Trato_Diario!$A$4:$A$300),SUMIFS(Trato_Diario!$G$4:$G$300,Trato_Diario!$A$4:$A$300,$A156)=0),"",SUMIFS(Trato_Diario!$J$4:$J$300,Trato_Diario!$A$4:$A$300,$A156)/SUMIFS(Trato_Diario!$G$4:$G$300,Trato_Diario!$A$4:$A$300,$A156))</f>
        <v/>
      </c>
    </row>
    <row r="157" spans="1:12" ht="14.25" customHeight="1" x14ac:dyDescent="0.3">
      <c r="A157" s="85">
        <v>46366</v>
      </c>
      <c r="B157" s="26" t="str">
        <f>IF(OR($A157&gt;MAX(Trato_Diario!$A$4:$A$300),SUMIFS(Trato_Diario!$G$4:$G$300,Trato_Diario!$B$4:$B$300,1,Trato_Diario!$A$4:$A$300,$A157)=0),"",SUMIFS(Trato_Diario!$J$4:$J$300,Trato_Diario!$B$4:$B$300,1,Trato_Diario!$A$4:$A$300,$A157)/SUMIFS(Trato_Diario!$G$4:$G$300,Trato_Diario!$B$4:$B$300,1,Trato_Diario!$A$4:$A$300,$A157))</f>
        <v/>
      </c>
      <c r="C157" s="26" t="str">
        <f>IF(OR($A157&gt;MAX(Trato_Diario!$A$4:$A$300),SUMIFS(Trato_Diario!$G$4:$G$300,Trato_Diario!$B$4:$B$300,2,Trato_Diario!$A$4:$A$300,$A157)=0),"",SUMIFS(Trato_Diario!$J$4:$J$300,Trato_Diario!$B$4:$B$300,2,Trato_Diario!$A$4:$A$300,$A157)/SUMIFS(Trato_Diario!$G$4:$G$300,Trato_Diario!$B$4:$B$300,2,Trato_Diario!$A$4:$A$300,$A157))</f>
        <v/>
      </c>
      <c r="D157" s="26" t="str">
        <f>IF(OR($A157&gt;MAX(Trato_Diario!$A$4:$A$300),SUMIFS(Trato_Diario!$G$4:$G$300,Trato_Diario!$B$4:$B$300,3,Trato_Diario!$A$4:$A$300,$A157)=0),"",SUMIFS(Trato_Diario!$J$4:$J$300,Trato_Diario!$B$4:$B$300,3,Trato_Diario!$A$4:$A$300,$A157)/SUMIFS(Trato_Diario!$G$4:$G$300,Trato_Diario!$B$4:$B$300,3,Trato_Diario!$A$4:$A$300,$A157))</f>
        <v/>
      </c>
      <c r="E157" s="26" t="str">
        <f>IF(OR($A157&gt;MAX(Trato_Diario!$A$4:$A$300),SUMIFS(Trato_Diario!$G$4:$G$300,Trato_Diario!$B$4:$B$300,4,Trato_Diario!$A$4:$A$300,$A157)=0),"",SUMIFS(Trato_Diario!$J$4:$J$300,Trato_Diario!$B$4:$B$300,4,Trato_Diario!$A$4:$A$300,$A157)/SUMIFS(Trato_Diario!$G$4:$G$300,Trato_Diario!$B$4:$B$300,4,Trato_Diario!$A$4:$A$300,$A157))</f>
        <v/>
      </c>
      <c r="F157" s="26" t="str">
        <f>IF(OR($A157&gt;MAX(Trato_Diario!$A$4:$A$300),SUMIFS(Trato_Diario!$G$4:$G$300,Trato_Diario!$B$4:$B$300,5,Trato_Diario!$A$4:$A$300,$A157)=0),"",SUMIFS(Trato_Diario!$J$4:$J$300,Trato_Diario!$B$4:$B$300,5,Trato_Diario!$A$4:$A$300,$A157)/SUMIFS(Trato_Diario!$G$4:$G$300,Trato_Diario!$B$4:$B$300,5,Trato_Diario!$A$4:$A$300,$A157))</f>
        <v/>
      </c>
      <c r="G157" s="26" t="str">
        <f>IF(OR($A157&gt;MAX(Trato_Diario!$A$4:$A$300),SUMIFS(Trato_Diario!$G$4:$G$300,Trato_Diario!$B$4:$B$300,6,Trato_Diario!$A$4:$A$300,$A157)=0),"",SUMIFS(Trato_Diario!$J$4:$J$300,Trato_Diario!$B$4:$B$300,6,Trato_Diario!$A$4:$A$300,$A157)/SUMIFS(Trato_Diario!$G$4:$G$300,Trato_Diario!$B$4:$B$300,6,Trato_Diario!$A$4:$A$300,$A157))</f>
        <v/>
      </c>
      <c r="H157" s="26" t="str">
        <f>IF(OR($A157&gt;MAX(Trato_Diario!$A$4:$A$300),SUMIFS(Trato_Diario!$G$4:$G$300,Trato_Diario!$B$4:$B$300,7,Trato_Diario!$A$4:$A$300,$A157)=0),"",SUMIFS(Trato_Diario!$J$4:$J$300,Trato_Diario!$B$4:$B$300,7,Trato_Diario!$A$4:$A$300,$A157)/SUMIFS(Trato_Diario!$G$4:$G$300,Trato_Diario!$B$4:$B$300,7,Trato_Diario!$A$4:$A$300,$A157))</f>
        <v/>
      </c>
      <c r="I157" s="26" t="str">
        <f>IF(OR($A157&gt;MAX(Trato_Diario!$A$4:$A$300),SUMIFS(Trato_Diario!$G$4:$G$300,Trato_Diario!$B$4:$B$300,8,Trato_Diario!$A$4:$A$300,$A157)=0),"",SUMIFS(Trato_Diario!$J$4:$J$300,Trato_Diario!$B$4:$B$300,8,Trato_Diario!$A$4:$A$300,$A157)/SUMIFS(Trato_Diario!$G$4:$G$300,Trato_Diario!$B$4:$B$300,8,Trato_Diario!$A$4:$A$300,$A157))</f>
        <v/>
      </c>
      <c r="J157" s="26" t="str">
        <f>IF(OR($A157&gt;MAX(Trato_Diario!$A$4:$A$300),SUMIFS(Trato_Diario!$G$4:$G$300,Trato_Diario!$B$4:$B$300,9,Trato_Diario!$A$4:$A$300,$A157)=0),"",SUMIFS(Trato_Diario!$J$4:$J$300,Trato_Diario!$B$4:$B$300,9,Trato_Diario!$A$4:$A$300,$A157)/SUMIFS(Trato_Diario!$G$4:$G$300,Trato_Diario!$B$4:$B$300,9,Trato_Diario!$A$4:$A$300,$A157))</f>
        <v/>
      </c>
      <c r="K157" s="26" t="str">
        <f>IF(OR($A157&gt;MAX(Trato_Diario!$A$4:$A$300),SUMIFS(Trato_Diario!$G$4:$G$300,Trato_Diario!$B$4:$B$300,10,Trato_Diario!$A$4:$A$300,$A157)=0),"",SUMIFS(Trato_Diario!$J$4:$J$300,Trato_Diario!$B$4:$B$300,10,Trato_Diario!$A$4:$A$300,$A157)/SUMIFS(Trato_Diario!$G$4:$G$300,Trato_Diario!$B$4:$B$300,10,Trato_Diario!$A$4:$A$300,$A157))</f>
        <v/>
      </c>
      <c r="L157" s="74" t="str">
        <f>IF(OR($A157&gt;MAX(Trato_Diario!$A$4:$A$300),SUMIFS(Trato_Diario!$G$4:$G$300,Trato_Diario!$A$4:$A$300,$A157)=0),"",SUMIFS(Trato_Diario!$J$4:$J$300,Trato_Diario!$A$4:$A$300,$A157)/SUMIFS(Trato_Diario!$G$4:$G$300,Trato_Diario!$A$4:$A$300,$A157))</f>
        <v/>
      </c>
    </row>
    <row r="158" spans="1:12" ht="14.25" customHeight="1" x14ac:dyDescent="0.3">
      <c r="A158" s="86">
        <v>46367</v>
      </c>
      <c r="B158" s="28" t="str">
        <f>IF(OR($A158&gt;MAX(Trato_Diario!$A$4:$A$300),SUMIFS(Trato_Diario!$G$4:$G$300,Trato_Diario!$B$4:$B$300,1,Trato_Diario!$A$4:$A$300,$A158)=0),"",SUMIFS(Trato_Diario!$J$4:$J$300,Trato_Diario!$B$4:$B$300,1,Trato_Diario!$A$4:$A$300,$A158)/SUMIFS(Trato_Diario!$G$4:$G$300,Trato_Diario!$B$4:$B$300,1,Trato_Diario!$A$4:$A$300,$A158))</f>
        <v/>
      </c>
      <c r="C158" s="28" t="str">
        <f>IF(OR($A158&gt;MAX(Trato_Diario!$A$4:$A$300),SUMIFS(Trato_Diario!$G$4:$G$300,Trato_Diario!$B$4:$B$300,2,Trato_Diario!$A$4:$A$300,$A158)=0),"",SUMIFS(Trato_Diario!$J$4:$J$300,Trato_Diario!$B$4:$B$300,2,Trato_Diario!$A$4:$A$300,$A158)/SUMIFS(Trato_Diario!$G$4:$G$300,Trato_Diario!$B$4:$B$300,2,Trato_Diario!$A$4:$A$300,$A158))</f>
        <v/>
      </c>
      <c r="D158" s="28" t="str">
        <f>IF(OR($A158&gt;MAX(Trato_Diario!$A$4:$A$300),SUMIFS(Trato_Diario!$G$4:$G$300,Trato_Diario!$B$4:$B$300,3,Trato_Diario!$A$4:$A$300,$A158)=0),"",SUMIFS(Trato_Diario!$J$4:$J$300,Trato_Diario!$B$4:$B$300,3,Trato_Diario!$A$4:$A$300,$A158)/SUMIFS(Trato_Diario!$G$4:$G$300,Trato_Diario!$B$4:$B$300,3,Trato_Diario!$A$4:$A$300,$A158))</f>
        <v/>
      </c>
      <c r="E158" s="28" t="str">
        <f>IF(OR($A158&gt;MAX(Trato_Diario!$A$4:$A$300),SUMIFS(Trato_Diario!$G$4:$G$300,Trato_Diario!$B$4:$B$300,4,Trato_Diario!$A$4:$A$300,$A158)=0),"",SUMIFS(Trato_Diario!$J$4:$J$300,Trato_Diario!$B$4:$B$300,4,Trato_Diario!$A$4:$A$300,$A158)/SUMIFS(Trato_Diario!$G$4:$G$300,Trato_Diario!$B$4:$B$300,4,Trato_Diario!$A$4:$A$300,$A158))</f>
        <v/>
      </c>
      <c r="F158" s="28" t="str">
        <f>IF(OR($A158&gt;MAX(Trato_Diario!$A$4:$A$300),SUMIFS(Trato_Diario!$G$4:$G$300,Trato_Diario!$B$4:$B$300,5,Trato_Diario!$A$4:$A$300,$A158)=0),"",SUMIFS(Trato_Diario!$J$4:$J$300,Trato_Diario!$B$4:$B$300,5,Trato_Diario!$A$4:$A$300,$A158)/SUMIFS(Trato_Diario!$G$4:$G$300,Trato_Diario!$B$4:$B$300,5,Trato_Diario!$A$4:$A$300,$A158))</f>
        <v/>
      </c>
      <c r="G158" s="28" t="str">
        <f>IF(OR($A158&gt;MAX(Trato_Diario!$A$4:$A$300),SUMIFS(Trato_Diario!$G$4:$G$300,Trato_Diario!$B$4:$B$300,6,Trato_Diario!$A$4:$A$300,$A158)=0),"",SUMIFS(Trato_Diario!$J$4:$J$300,Trato_Diario!$B$4:$B$300,6,Trato_Diario!$A$4:$A$300,$A158)/SUMIFS(Trato_Diario!$G$4:$G$300,Trato_Diario!$B$4:$B$300,6,Trato_Diario!$A$4:$A$300,$A158))</f>
        <v/>
      </c>
      <c r="H158" s="28" t="str">
        <f>IF(OR($A158&gt;MAX(Trato_Diario!$A$4:$A$300),SUMIFS(Trato_Diario!$G$4:$G$300,Trato_Diario!$B$4:$B$300,7,Trato_Diario!$A$4:$A$300,$A158)=0),"",SUMIFS(Trato_Diario!$J$4:$J$300,Trato_Diario!$B$4:$B$300,7,Trato_Diario!$A$4:$A$300,$A158)/SUMIFS(Trato_Diario!$G$4:$G$300,Trato_Diario!$B$4:$B$300,7,Trato_Diario!$A$4:$A$300,$A158))</f>
        <v/>
      </c>
      <c r="I158" s="28" t="str">
        <f>IF(OR($A158&gt;MAX(Trato_Diario!$A$4:$A$300),SUMIFS(Trato_Diario!$G$4:$G$300,Trato_Diario!$B$4:$B$300,8,Trato_Diario!$A$4:$A$300,$A158)=0),"",SUMIFS(Trato_Diario!$J$4:$J$300,Trato_Diario!$B$4:$B$300,8,Trato_Diario!$A$4:$A$300,$A158)/SUMIFS(Trato_Diario!$G$4:$G$300,Trato_Diario!$B$4:$B$300,8,Trato_Diario!$A$4:$A$300,$A158))</f>
        <v/>
      </c>
      <c r="J158" s="28" t="str">
        <f>IF(OR($A158&gt;MAX(Trato_Diario!$A$4:$A$300),SUMIFS(Trato_Diario!$G$4:$G$300,Trato_Diario!$B$4:$B$300,9,Trato_Diario!$A$4:$A$300,$A158)=0),"",SUMIFS(Trato_Diario!$J$4:$J$300,Trato_Diario!$B$4:$B$300,9,Trato_Diario!$A$4:$A$300,$A158)/SUMIFS(Trato_Diario!$G$4:$G$300,Trato_Diario!$B$4:$B$300,9,Trato_Diario!$A$4:$A$300,$A158))</f>
        <v/>
      </c>
      <c r="K158" s="28" t="str">
        <f>IF(OR($A158&gt;MAX(Trato_Diario!$A$4:$A$300),SUMIFS(Trato_Diario!$G$4:$G$300,Trato_Diario!$B$4:$B$300,10,Trato_Diario!$A$4:$A$300,$A158)=0),"",SUMIFS(Trato_Diario!$J$4:$J$300,Trato_Diario!$B$4:$B$300,10,Trato_Diario!$A$4:$A$300,$A158)/SUMIFS(Trato_Diario!$G$4:$G$300,Trato_Diario!$B$4:$B$300,10,Trato_Diario!$A$4:$A$300,$A158))</f>
        <v/>
      </c>
      <c r="L158" s="76" t="str">
        <f>IF(OR($A158&gt;MAX(Trato_Diario!$A$4:$A$300),SUMIFS(Trato_Diario!$G$4:$G$300,Trato_Diario!$A$4:$A$300,$A158)=0),"",SUMIFS(Trato_Diario!$J$4:$J$300,Trato_Diario!$A$4:$A$300,$A158)/SUMIFS(Trato_Diario!$G$4:$G$300,Trato_Diario!$A$4:$A$300,$A158))</f>
        <v/>
      </c>
    </row>
    <row r="159" spans="1:12" ht="14.25" customHeight="1" x14ac:dyDescent="0.3">
      <c r="A159" s="85">
        <v>46368</v>
      </c>
      <c r="B159" s="26" t="str">
        <f>IF(OR($A159&gt;MAX(Trato_Diario!$A$4:$A$300),SUMIFS(Trato_Diario!$G$4:$G$300,Trato_Diario!$B$4:$B$300,1,Trato_Diario!$A$4:$A$300,$A159)=0),"",SUMIFS(Trato_Diario!$J$4:$J$300,Trato_Diario!$B$4:$B$300,1,Trato_Diario!$A$4:$A$300,$A159)/SUMIFS(Trato_Diario!$G$4:$G$300,Trato_Diario!$B$4:$B$300,1,Trato_Diario!$A$4:$A$300,$A159))</f>
        <v/>
      </c>
      <c r="C159" s="26" t="str">
        <f>IF(OR($A159&gt;MAX(Trato_Diario!$A$4:$A$300),SUMIFS(Trato_Diario!$G$4:$G$300,Trato_Diario!$B$4:$B$300,2,Trato_Diario!$A$4:$A$300,$A159)=0),"",SUMIFS(Trato_Diario!$J$4:$J$300,Trato_Diario!$B$4:$B$300,2,Trato_Diario!$A$4:$A$300,$A159)/SUMIFS(Trato_Diario!$G$4:$G$300,Trato_Diario!$B$4:$B$300,2,Trato_Diario!$A$4:$A$300,$A159))</f>
        <v/>
      </c>
      <c r="D159" s="26" t="str">
        <f>IF(OR($A159&gt;MAX(Trato_Diario!$A$4:$A$300),SUMIFS(Trato_Diario!$G$4:$G$300,Trato_Diario!$B$4:$B$300,3,Trato_Diario!$A$4:$A$300,$A159)=0),"",SUMIFS(Trato_Diario!$J$4:$J$300,Trato_Diario!$B$4:$B$300,3,Trato_Diario!$A$4:$A$300,$A159)/SUMIFS(Trato_Diario!$G$4:$G$300,Trato_Diario!$B$4:$B$300,3,Trato_Diario!$A$4:$A$300,$A159))</f>
        <v/>
      </c>
      <c r="E159" s="26" t="str">
        <f>IF(OR($A159&gt;MAX(Trato_Diario!$A$4:$A$300),SUMIFS(Trato_Diario!$G$4:$G$300,Trato_Diario!$B$4:$B$300,4,Trato_Diario!$A$4:$A$300,$A159)=0),"",SUMIFS(Trato_Diario!$J$4:$J$300,Trato_Diario!$B$4:$B$300,4,Trato_Diario!$A$4:$A$300,$A159)/SUMIFS(Trato_Diario!$G$4:$G$300,Trato_Diario!$B$4:$B$300,4,Trato_Diario!$A$4:$A$300,$A159))</f>
        <v/>
      </c>
      <c r="F159" s="26" t="str">
        <f>IF(OR($A159&gt;MAX(Trato_Diario!$A$4:$A$300),SUMIFS(Trato_Diario!$G$4:$G$300,Trato_Diario!$B$4:$B$300,5,Trato_Diario!$A$4:$A$300,$A159)=0),"",SUMIFS(Trato_Diario!$J$4:$J$300,Trato_Diario!$B$4:$B$300,5,Trato_Diario!$A$4:$A$300,$A159)/SUMIFS(Trato_Diario!$G$4:$G$300,Trato_Diario!$B$4:$B$300,5,Trato_Diario!$A$4:$A$300,$A159))</f>
        <v/>
      </c>
      <c r="G159" s="26" t="str">
        <f>IF(OR($A159&gt;MAX(Trato_Diario!$A$4:$A$300),SUMIFS(Trato_Diario!$G$4:$G$300,Trato_Diario!$B$4:$B$300,6,Trato_Diario!$A$4:$A$300,$A159)=0),"",SUMIFS(Trato_Diario!$J$4:$J$300,Trato_Diario!$B$4:$B$300,6,Trato_Diario!$A$4:$A$300,$A159)/SUMIFS(Trato_Diario!$G$4:$G$300,Trato_Diario!$B$4:$B$300,6,Trato_Diario!$A$4:$A$300,$A159))</f>
        <v/>
      </c>
      <c r="H159" s="26" t="str">
        <f>IF(OR($A159&gt;MAX(Trato_Diario!$A$4:$A$300),SUMIFS(Trato_Diario!$G$4:$G$300,Trato_Diario!$B$4:$B$300,7,Trato_Diario!$A$4:$A$300,$A159)=0),"",SUMIFS(Trato_Diario!$J$4:$J$300,Trato_Diario!$B$4:$B$300,7,Trato_Diario!$A$4:$A$300,$A159)/SUMIFS(Trato_Diario!$G$4:$G$300,Trato_Diario!$B$4:$B$300,7,Trato_Diario!$A$4:$A$300,$A159))</f>
        <v/>
      </c>
      <c r="I159" s="26" t="str">
        <f>IF(OR($A159&gt;MAX(Trato_Diario!$A$4:$A$300),SUMIFS(Trato_Diario!$G$4:$G$300,Trato_Diario!$B$4:$B$300,8,Trato_Diario!$A$4:$A$300,$A159)=0),"",SUMIFS(Trato_Diario!$J$4:$J$300,Trato_Diario!$B$4:$B$300,8,Trato_Diario!$A$4:$A$300,$A159)/SUMIFS(Trato_Diario!$G$4:$G$300,Trato_Diario!$B$4:$B$300,8,Trato_Diario!$A$4:$A$300,$A159))</f>
        <v/>
      </c>
      <c r="J159" s="26" t="str">
        <f>IF(OR($A159&gt;MAX(Trato_Diario!$A$4:$A$300),SUMIFS(Trato_Diario!$G$4:$G$300,Trato_Diario!$B$4:$B$300,9,Trato_Diario!$A$4:$A$300,$A159)=0),"",SUMIFS(Trato_Diario!$J$4:$J$300,Trato_Diario!$B$4:$B$300,9,Trato_Diario!$A$4:$A$300,$A159)/SUMIFS(Trato_Diario!$G$4:$G$300,Trato_Diario!$B$4:$B$300,9,Trato_Diario!$A$4:$A$300,$A159))</f>
        <v/>
      </c>
      <c r="K159" s="26" t="str">
        <f>IF(OR($A159&gt;MAX(Trato_Diario!$A$4:$A$300),SUMIFS(Trato_Diario!$G$4:$G$300,Trato_Diario!$B$4:$B$300,10,Trato_Diario!$A$4:$A$300,$A159)=0),"",SUMIFS(Trato_Diario!$J$4:$J$300,Trato_Diario!$B$4:$B$300,10,Trato_Diario!$A$4:$A$300,$A159)/SUMIFS(Trato_Diario!$G$4:$G$300,Trato_Diario!$B$4:$B$300,10,Trato_Diario!$A$4:$A$300,$A159))</f>
        <v/>
      </c>
      <c r="L159" s="74" t="str">
        <f>IF(OR($A159&gt;MAX(Trato_Diario!$A$4:$A$300),SUMIFS(Trato_Diario!$G$4:$G$300,Trato_Diario!$A$4:$A$300,$A159)=0),"",SUMIFS(Trato_Diario!$J$4:$J$300,Trato_Diario!$A$4:$A$300,$A159)/SUMIFS(Trato_Diario!$G$4:$G$300,Trato_Diario!$A$4:$A$300,$A159))</f>
        <v/>
      </c>
    </row>
    <row r="160" spans="1:12" ht="14.25" customHeight="1" x14ac:dyDescent="0.3">
      <c r="A160" s="86">
        <v>46369</v>
      </c>
      <c r="B160" s="28" t="str">
        <f>IF(OR($A160&gt;MAX(Trato_Diario!$A$4:$A$300),SUMIFS(Trato_Diario!$G$4:$G$300,Trato_Diario!$B$4:$B$300,1,Trato_Diario!$A$4:$A$300,$A160)=0),"",SUMIFS(Trato_Diario!$J$4:$J$300,Trato_Diario!$B$4:$B$300,1,Trato_Diario!$A$4:$A$300,$A160)/SUMIFS(Trato_Diario!$G$4:$G$300,Trato_Diario!$B$4:$B$300,1,Trato_Diario!$A$4:$A$300,$A160))</f>
        <v/>
      </c>
      <c r="C160" s="28" t="str">
        <f>IF(OR($A160&gt;MAX(Trato_Diario!$A$4:$A$300),SUMIFS(Trato_Diario!$G$4:$G$300,Trato_Diario!$B$4:$B$300,2,Trato_Diario!$A$4:$A$300,$A160)=0),"",SUMIFS(Trato_Diario!$J$4:$J$300,Trato_Diario!$B$4:$B$300,2,Trato_Diario!$A$4:$A$300,$A160)/SUMIFS(Trato_Diario!$G$4:$G$300,Trato_Diario!$B$4:$B$300,2,Trato_Diario!$A$4:$A$300,$A160))</f>
        <v/>
      </c>
      <c r="D160" s="28" t="str">
        <f>IF(OR($A160&gt;MAX(Trato_Diario!$A$4:$A$300),SUMIFS(Trato_Diario!$G$4:$G$300,Trato_Diario!$B$4:$B$300,3,Trato_Diario!$A$4:$A$300,$A160)=0),"",SUMIFS(Trato_Diario!$J$4:$J$300,Trato_Diario!$B$4:$B$300,3,Trato_Diario!$A$4:$A$300,$A160)/SUMIFS(Trato_Diario!$G$4:$G$300,Trato_Diario!$B$4:$B$300,3,Trato_Diario!$A$4:$A$300,$A160))</f>
        <v/>
      </c>
      <c r="E160" s="28" t="str">
        <f>IF(OR($A160&gt;MAX(Trato_Diario!$A$4:$A$300),SUMIFS(Trato_Diario!$G$4:$G$300,Trato_Diario!$B$4:$B$300,4,Trato_Diario!$A$4:$A$300,$A160)=0),"",SUMIFS(Trato_Diario!$J$4:$J$300,Trato_Diario!$B$4:$B$300,4,Trato_Diario!$A$4:$A$300,$A160)/SUMIFS(Trato_Diario!$G$4:$G$300,Trato_Diario!$B$4:$B$300,4,Trato_Diario!$A$4:$A$300,$A160))</f>
        <v/>
      </c>
      <c r="F160" s="28" t="str">
        <f>IF(OR($A160&gt;MAX(Trato_Diario!$A$4:$A$300),SUMIFS(Trato_Diario!$G$4:$G$300,Trato_Diario!$B$4:$B$300,5,Trato_Diario!$A$4:$A$300,$A160)=0),"",SUMIFS(Trato_Diario!$J$4:$J$300,Trato_Diario!$B$4:$B$300,5,Trato_Diario!$A$4:$A$300,$A160)/SUMIFS(Trato_Diario!$G$4:$G$300,Trato_Diario!$B$4:$B$300,5,Trato_Diario!$A$4:$A$300,$A160))</f>
        <v/>
      </c>
      <c r="G160" s="28" t="str">
        <f>IF(OR($A160&gt;MAX(Trato_Diario!$A$4:$A$300),SUMIFS(Trato_Diario!$G$4:$G$300,Trato_Diario!$B$4:$B$300,6,Trato_Diario!$A$4:$A$300,$A160)=0),"",SUMIFS(Trato_Diario!$J$4:$J$300,Trato_Diario!$B$4:$B$300,6,Trato_Diario!$A$4:$A$300,$A160)/SUMIFS(Trato_Diario!$G$4:$G$300,Trato_Diario!$B$4:$B$300,6,Trato_Diario!$A$4:$A$300,$A160))</f>
        <v/>
      </c>
      <c r="H160" s="28" t="str">
        <f>IF(OR($A160&gt;MAX(Trato_Diario!$A$4:$A$300),SUMIFS(Trato_Diario!$G$4:$G$300,Trato_Diario!$B$4:$B$300,7,Trato_Diario!$A$4:$A$300,$A160)=0),"",SUMIFS(Trato_Diario!$J$4:$J$300,Trato_Diario!$B$4:$B$300,7,Trato_Diario!$A$4:$A$300,$A160)/SUMIFS(Trato_Diario!$G$4:$G$300,Trato_Diario!$B$4:$B$300,7,Trato_Diario!$A$4:$A$300,$A160))</f>
        <v/>
      </c>
      <c r="I160" s="28" t="str">
        <f>IF(OR($A160&gt;MAX(Trato_Diario!$A$4:$A$300),SUMIFS(Trato_Diario!$G$4:$G$300,Trato_Diario!$B$4:$B$300,8,Trato_Diario!$A$4:$A$300,$A160)=0),"",SUMIFS(Trato_Diario!$J$4:$J$300,Trato_Diario!$B$4:$B$300,8,Trato_Diario!$A$4:$A$300,$A160)/SUMIFS(Trato_Diario!$G$4:$G$300,Trato_Diario!$B$4:$B$300,8,Trato_Diario!$A$4:$A$300,$A160))</f>
        <v/>
      </c>
      <c r="J160" s="28" t="str">
        <f>IF(OR($A160&gt;MAX(Trato_Diario!$A$4:$A$300),SUMIFS(Trato_Diario!$G$4:$G$300,Trato_Diario!$B$4:$B$300,9,Trato_Diario!$A$4:$A$300,$A160)=0),"",SUMIFS(Trato_Diario!$J$4:$J$300,Trato_Diario!$B$4:$B$300,9,Trato_Diario!$A$4:$A$300,$A160)/SUMIFS(Trato_Diario!$G$4:$G$300,Trato_Diario!$B$4:$B$300,9,Trato_Diario!$A$4:$A$300,$A160))</f>
        <v/>
      </c>
      <c r="K160" s="28" t="str">
        <f>IF(OR($A160&gt;MAX(Trato_Diario!$A$4:$A$300),SUMIFS(Trato_Diario!$G$4:$G$300,Trato_Diario!$B$4:$B$300,10,Trato_Diario!$A$4:$A$300,$A160)=0),"",SUMIFS(Trato_Diario!$J$4:$J$300,Trato_Diario!$B$4:$B$300,10,Trato_Diario!$A$4:$A$300,$A160)/SUMIFS(Trato_Diario!$G$4:$G$300,Trato_Diario!$B$4:$B$300,10,Trato_Diario!$A$4:$A$300,$A160))</f>
        <v/>
      </c>
      <c r="L160" s="76" t="str">
        <f>IF(OR($A160&gt;MAX(Trato_Diario!$A$4:$A$300),SUMIFS(Trato_Diario!$G$4:$G$300,Trato_Diario!$A$4:$A$300,$A160)=0),"",SUMIFS(Trato_Diario!$J$4:$J$300,Trato_Diario!$A$4:$A$300,$A160)/SUMIFS(Trato_Diario!$G$4:$G$300,Trato_Diario!$A$4:$A$300,$A160))</f>
        <v/>
      </c>
    </row>
    <row r="161" spans="1:12" ht="14.25" customHeight="1" x14ac:dyDescent="0.3">
      <c r="A161" s="85">
        <v>46370</v>
      </c>
      <c r="B161" s="26" t="str">
        <f>IF(OR($A161&gt;MAX(Trato_Diario!$A$4:$A$300),SUMIFS(Trato_Diario!$G$4:$G$300,Trato_Diario!$B$4:$B$300,1,Trato_Diario!$A$4:$A$300,$A161)=0),"",SUMIFS(Trato_Diario!$J$4:$J$300,Trato_Diario!$B$4:$B$300,1,Trato_Diario!$A$4:$A$300,$A161)/SUMIFS(Trato_Diario!$G$4:$G$300,Trato_Diario!$B$4:$B$300,1,Trato_Diario!$A$4:$A$300,$A161))</f>
        <v/>
      </c>
      <c r="C161" s="26" t="str">
        <f>IF(OR($A161&gt;MAX(Trato_Diario!$A$4:$A$300),SUMIFS(Trato_Diario!$G$4:$G$300,Trato_Diario!$B$4:$B$300,2,Trato_Diario!$A$4:$A$300,$A161)=0),"",SUMIFS(Trato_Diario!$J$4:$J$300,Trato_Diario!$B$4:$B$300,2,Trato_Diario!$A$4:$A$300,$A161)/SUMIFS(Trato_Diario!$G$4:$G$300,Trato_Diario!$B$4:$B$300,2,Trato_Diario!$A$4:$A$300,$A161))</f>
        <v/>
      </c>
      <c r="D161" s="26" t="str">
        <f>IF(OR($A161&gt;MAX(Trato_Diario!$A$4:$A$300),SUMIFS(Trato_Diario!$G$4:$G$300,Trato_Diario!$B$4:$B$300,3,Trato_Diario!$A$4:$A$300,$A161)=0),"",SUMIFS(Trato_Diario!$J$4:$J$300,Trato_Diario!$B$4:$B$300,3,Trato_Diario!$A$4:$A$300,$A161)/SUMIFS(Trato_Diario!$G$4:$G$300,Trato_Diario!$B$4:$B$300,3,Trato_Diario!$A$4:$A$300,$A161))</f>
        <v/>
      </c>
      <c r="E161" s="26" t="str">
        <f>IF(OR($A161&gt;MAX(Trato_Diario!$A$4:$A$300),SUMIFS(Trato_Diario!$G$4:$G$300,Trato_Diario!$B$4:$B$300,4,Trato_Diario!$A$4:$A$300,$A161)=0),"",SUMIFS(Trato_Diario!$J$4:$J$300,Trato_Diario!$B$4:$B$300,4,Trato_Diario!$A$4:$A$300,$A161)/SUMIFS(Trato_Diario!$G$4:$G$300,Trato_Diario!$B$4:$B$300,4,Trato_Diario!$A$4:$A$300,$A161))</f>
        <v/>
      </c>
      <c r="F161" s="26" t="str">
        <f>IF(OR($A161&gt;MAX(Trato_Diario!$A$4:$A$300),SUMIFS(Trato_Diario!$G$4:$G$300,Trato_Diario!$B$4:$B$300,5,Trato_Diario!$A$4:$A$300,$A161)=0),"",SUMIFS(Trato_Diario!$J$4:$J$300,Trato_Diario!$B$4:$B$300,5,Trato_Diario!$A$4:$A$300,$A161)/SUMIFS(Trato_Diario!$G$4:$G$300,Trato_Diario!$B$4:$B$300,5,Trato_Diario!$A$4:$A$300,$A161))</f>
        <v/>
      </c>
      <c r="G161" s="26" t="str">
        <f>IF(OR($A161&gt;MAX(Trato_Diario!$A$4:$A$300),SUMIFS(Trato_Diario!$G$4:$G$300,Trato_Diario!$B$4:$B$300,6,Trato_Diario!$A$4:$A$300,$A161)=0),"",SUMIFS(Trato_Diario!$J$4:$J$300,Trato_Diario!$B$4:$B$300,6,Trato_Diario!$A$4:$A$300,$A161)/SUMIFS(Trato_Diario!$G$4:$G$300,Trato_Diario!$B$4:$B$300,6,Trato_Diario!$A$4:$A$300,$A161))</f>
        <v/>
      </c>
      <c r="H161" s="26" t="str">
        <f>IF(OR($A161&gt;MAX(Trato_Diario!$A$4:$A$300),SUMIFS(Trato_Diario!$G$4:$G$300,Trato_Diario!$B$4:$B$300,7,Trato_Diario!$A$4:$A$300,$A161)=0),"",SUMIFS(Trato_Diario!$J$4:$J$300,Trato_Diario!$B$4:$B$300,7,Trato_Diario!$A$4:$A$300,$A161)/SUMIFS(Trato_Diario!$G$4:$G$300,Trato_Diario!$B$4:$B$300,7,Trato_Diario!$A$4:$A$300,$A161))</f>
        <v/>
      </c>
      <c r="I161" s="26" t="str">
        <f>IF(OR($A161&gt;MAX(Trato_Diario!$A$4:$A$300),SUMIFS(Trato_Diario!$G$4:$G$300,Trato_Diario!$B$4:$B$300,8,Trato_Diario!$A$4:$A$300,$A161)=0),"",SUMIFS(Trato_Diario!$J$4:$J$300,Trato_Diario!$B$4:$B$300,8,Trato_Diario!$A$4:$A$300,$A161)/SUMIFS(Trato_Diario!$G$4:$G$300,Trato_Diario!$B$4:$B$300,8,Trato_Diario!$A$4:$A$300,$A161))</f>
        <v/>
      </c>
      <c r="J161" s="26" t="str">
        <f>IF(OR($A161&gt;MAX(Trato_Diario!$A$4:$A$300),SUMIFS(Trato_Diario!$G$4:$G$300,Trato_Diario!$B$4:$B$300,9,Trato_Diario!$A$4:$A$300,$A161)=0),"",SUMIFS(Trato_Diario!$J$4:$J$300,Trato_Diario!$B$4:$B$300,9,Trato_Diario!$A$4:$A$300,$A161)/SUMIFS(Trato_Diario!$G$4:$G$300,Trato_Diario!$B$4:$B$300,9,Trato_Diario!$A$4:$A$300,$A161))</f>
        <v/>
      </c>
      <c r="K161" s="26" t="str">
        <f>IF(OR($A161&gt;MAX(Trato_Diario!$A$4:$A$300),SUMIFS(Trato_Diario!$G$4:$G$300,Trato_Diario!$B$4:$B$300,10,Trato_Diario!$A$4:$A$300,$A161)=0),"",SUMIFS(Trato_Diario!$J$4:$J$300,Trato_Diario!$B$4:$B$300,10,Trato_Diario!$A$4:$A$300,$A161)/SUMIFS(Trato_Diario!$G$4:$G$300,Trato_Diario!$B$4:$B$300,10,Trato_Diario!$A$4:$A$300,$A161))</f>
        <v/>
      </c>
      <c r="L161" s="74" t="str">
        <f>IF(OR($A161&gt;MAX(Trato_Diario!$A$4:$A$300),SUMIFS(Trato_Diario!$G$4:$G$300,Trato_Diario!$A$4:$A$300,$A161)=0),"",SUMIFS(Trato_Diario!$J$4:$J$300,Trato_Diario!$A$4:$A$300,$A161)/SUMIFS(Trato_Diario!$G$4:$G$300,Trato_Diario!$A$4:$A$300,$A161))</f>
        <v/>
      </c>
    </row>
    <row r="162" spans="1:12" ht="14.25" customHeight="1" x14ac:dyDescent="0.3">
      <c r="A162" s="86">
        <v>46371</v>
      </c>
      <c r="B162" s="28" t="str">
        <f>IF(OR($A162&gt;MAX(Trato_Diario!$A$4:$A$300),SUMIFS(Trato_Diario!$G$4:$G$300,Trato_Diario!$B$4:$B$300,1,Trato_Diario!$A$4:$A$300,$A162)=0),"",SUMIFS(Trato_Diario!$J$4:$J$300,Trato_Diario!$B$4:$B$300,1,Trato_Diario!$A$4:$A$300,$A162)/SUMIFS(Trato_Diario!$G$4:$G$300,Trato_Diario!$B$4:$B$300,1,Trato_Diario!$A$4:$A$300,$A162))</f>
        <v/>
      </c>
      <c r="C162" s="28" t="str">
        <f>IF(OR($A162&gt;MAX(Trato_Diario!$A$4:$A$300),SUMIFS(Trato_Diario!$G$4:$G$300,Trato_Diario!$B$4:$B$300,2,Trato_Diario!$A$4:$A$300,$A162)=0),"",SUMIFS(Trato_Diario!$J$4:$J$300,Trato_Diario!$B$4:$B$300,2,Trato_Diario!$A$4:$A$300,$A162)/SUMIFS(Trato_Diario!$G$4:$G$300,Trato_Diario!$B$4:$B$300,2,Trato_Diario!$A$4:$A$300,$A162))</f>
        <v/>
      </c>
      <c r="D162" s="28" t="str">
        <f>IF(OR($A162&gt;MAX(Trato_Diario!$A$4:$A$300),SUMIFS(Trato_Diario!$G$4:$G$300,Trato_Diario!$B$4:$B$300,3,Trato_Diario!$A$4:$A$300,$A162)=0),"",SUMIFS(Trato_Diario!$J$4:$J$300,Trato_Diario!$B$4:$B$300,3,Trato_Diario!$A$4:$A$300,$A162)/SUMIFS(Trato_Diario!$G$4:$G$300,Trato_Diario!$B$4:$B$300,3,Trato_Diario!$A$4:$A$300,$A162))</f>
        <v/>
      </c>
      <c r="E162" s="28" t="str">
        <f>IF(OR($A162&gt;MAX(Trato_Diario!$A$4:$A$300),SUMIFS(Trato_Diario!$G$4:$G$300,Trato_Diario!$B$4:$B$300,4,Trato_Diario!$A$4:$A$300,$A162)=0),"",SUMIFS(Trato_Diario!$J$4:$J$300,Trato_Diario!$B$4:$B$300,4,Trato_Diario!$A$4:$A$300,$A162)/SUMIFS(Trato_Diario!$G$4:$G$300,Trato_Diario!$B$4:$B$300,4,Trato_Diario!$A$4:$A$300,$A162))</f>
        <v/>
      </c>
      <c r="F162" s="28" t="str">
        <f>IF(OR($A162&gt;MAX(Trato_Diario!$A$4:$A$300),SUMIFS(Trato_Diario!$G$4:$G$300,Trato_Diario!$B$4:$B$300,5,Trato_Diario!$A$4:$A$300,$A162)=0),"",SUMIFS(Trato_Diario!$J$4:$J$300,Trato_Diario!$B$4:$B$300,5,Trato_Diario!$A$4:$A$300,$A162)/SUMIFS(Trato_Diario!$G$4:$G$300,Trato_Diario!$B$4:$B$300,5,Trato_Diario!$A$4:$A$300,$A162))</f>
        <v/>
      </c>
      <c r="G162" s="28" t="str">
        <f>IF(OR($A162&gt;MAX(Trato_Diario!$A$4:$A$300),SUMIFS(Trato_Diario!$G$4:$G$300,Trato_Diario!$B$4:$B$300,6,Trato_Diario!$A$4:$A$300,$A162)=0),"",SUMIFS(Trato_Diario!$J$4:$J$300,Trato_Diario!$B$4:$B$300,6,Trato_Diario!$A$4:$A$300,$A162)/SUMIFS(Trato_Diario!$G$4:$G$300,Trato_Diario!$B$4:$B$300,6,Trato_Diario!$A$4:$A$300,$A162))</f>
        <v/>
      </c>
      <c r="H162" s="28" t="str">
        <f>IF(OR($A162&gt;MAX(Trato_Diario!$A$4:$A$300),SUMIFS(Trato_Diario!$G$4:$G$300,Trato_Diario!$B$4:$B$300,7,Trato_Diario!$A$4:$A$300,$A162)=0),"",SUMIFS(Trato_Diario!$J$4:$J$300,Trato_Diario!$B$4:$B$300,7,Trato_Diario!$A$4:$A$300,$A162)/SUMIFS(Trato_Diario!$G$4:$G$300,Trato_Diario!$B$4:$B$300,7,Trato_Diario!$A$4:$A$300,$A162))</f>
        <v/>
      </c>
      <c r="I162" s="28" t="str">
        <f>IF(OR($A162&gt;MAX(Trato_Diario!$A$4:$A$300),SUMIFS(Trato_Diario!$G$4:$G$300,Trato_Diario!$B$4:$B$300,8,Trato_Diario!$A$4:$A$300,$A162)=0),"",SUMIFS(Trato_Diario!$J$4:$J$300,Trato_Diario!$B$4:$B$300,8,Trato_Diario!$A$4:$A$300,$A162)/SUMIFS(Trato_Diario!$G$4:$G$300,Trato_Diario!$B$4:$B$300,8,Trato_Diario!$A$4:$A$300,$A162))</f>
        <v/>
      </c>
      <c r="J162" s="28" t="str">
        <f>IF(OR($A162&gt;MAX(Trato_Diario!$A$4:$A$300),SUMIFS(Trato_Diario!$G$4:$G$300,Trato_Diario!$B$4:$B$300,9,Trato_Diario!$A$4:$A$300,$A162)=0),"",SUMIFS(Trato_Diario!$J$4:$J$300,Trato_Diario!$B$4:$B$300,9,Trato_Diario!$A$4:$A$300,$A162)/SUMIFS(Trato_Diario!$G$4:$G$300,Trato_Diario!$B$4:$B$300,9,Trato_Diario!$A$4:$A$300,$A162))</f>
        <v/>
      </c>
      <c r="K162" s="28" t="str">
        <f>IF(OR($A162&gt;MAX(Trato_Diario!$A$4:$A$300),SUMIFS(Trato_Diario!$G$4:$G$300,Trato_Diario!$B$4:$B$300,10,Trato_Diario!$A$4:$A$300,$A162)=0),"",SUMIFS(Trato_Diario!$J$4:$J$300,Trato_Diario!$B$4:$B$300,10,Trato_Diario!$A$4:$A$300,$A162)/SUMIFS(Trato_Diario!$G$4:$G$300,Trato_Diario!$B$4:$B$300,10,Trato_Diario!$A$4:$A$300,$A162))</f>
        <v/>
      </c>
      <c r="L162" s="76" t="str">
        <f>IF(OR($A162&gt;MAX(Trato_Diario!$A$4:$A$300),SUMIFS(Trato_Diario!$G$4:$G$300,Trato_Diario!$A$4:$A$300,$A162)=0),"",SUMIFS(Trato_Diario!$J$4:$J$300,Trato_Diario!$A$4:$A$300,$A162)/SUMIFS(Trato_Diario!$G$4:$G$300,Trato_Diario!$A$4:$A$300,$A162))</f>
        <v/>
      </c>
    </row>
    <row r="163" spans="1:12" ht="14.25" customHeight="1" x14ac:dyDescent="0.3">
      <c r="A163" s="85">
        <v>46372</v>
      </c>
      <c r="B163" s="26" t="str">
        <f>IF(OR($A163&gt;MAX(Trato_Diario!$A$4:$A$300),SUMIFS(Trato_Diario!$G$4:$G$300,Trato_Diario!$B$4:$B$300,1,Trato_Diario!$A$4:$A$300,$A163)=0),"",SUMIFS(Trato_Diario!$J$4:$J$300,Trato_Diario!$B$4:$B$300,1,Trato_Diario!$A$4:$A$300,$A163)/SUMIFS(Trato_Diario!$G$4:$G$300,Trato_Diario!$B$4:$B$300,1,Trato_Diario!$A$4:$A$300,$A163))</f>
        <v/>
      </c>
      <c r="C163" s="26" t="str">
        <f>IF(OR($A163&gt;MAX(Trato_Diario!$A$4:$A$300),SUMIFS(Trato_Diario!$G$4:$G$300,Trato_Diario!$B$4:$B$300,2,Trato_Diario!$A$4:$A$300,$A163)=0),"",SUMIFS(Trato_Diario!$J$4:$J$300,Trato_Diario!$B$4:$B$300,2,Trato_Diario!$A$4:$A$300,$A163)/SUMIFS(Trato_Diario!$G$4:$G$300,Trato_Diario!$B$4:$B$300,2,Trato_Diario!$A$4:$A$300,$A163))</f>
        <v/>
      </c>
      <c r="D163" s="26" t="str">
        <f>IF(OR($A163&gt;MAX(Trato_Diario!$A$4:$A$300),SUMIFS(Trato_Diario!$G$4:$G$300,Trato_Diario!$B$4:$B$300,3,Trato_Diario!$A$4:$A$300,$A163)=0),"",SUMIFS(Trato_Diario!$J$4:$J$300,Trato_Diario!$B$4:$B$300,3,Trato_Diario!$A$4:$A$300,$A163)/SUMIFS(Trato_Diario!$G$4:$G$300,Trato_Diario!$B$4:$B$300,3,Trato_Diario!$A$4:$A$300,$A163))</f>
        <v/>
      </c>
      <c r="E163" s="26" t="str">
        <f>IF(OR($A163&gt;MAX(Trato_Diario!$A$4:$A$300),SUMIFS(Trato_Diario!$G$4:$G$300,Trato_Diario!$B$4:$B$300,4,Trato_Diario!$A$4:$A$300,$A163)=0),"",SUMIFS(Trato_Diario!$J$4:$J$300,Trato_Diario!$B$4:$B$300,4,Trato_Diario!$A$4:$A$300,$A163)/SUMIFS(Trato_Diario!$G$4:$G$300,Trato_Diario!$B$4:$B$300,4,Trato_Diario!$A$4:$A$300,$A163))</f>
        <v/>
      </c>
      <c r="F163" s="26" t="str">
        <f>IF(OR($A163&gt;MAX(Trato_Diario!$A$4:$A$300),SUMIFS(Trato_Diario!$G$4:$G$300,Trato_Diario!$B$4:$B$300,5,Trato_Diario!$A$4:$A$300,$A163)=0),"",SUMIFS(Trato_Diario!$J$4:$J$300,Trato_Diario!$B$4:$B$300,5,Trato_Diario!$A$4:$A$300,$A163)/SUMIFS(Trato_Diario!$G$4:$G$300,Trato_Diario!$B$4:$B$300,5,Trato_Diario!$A$4:$A$300,$A163))</f>
        <v/>
      </c>
      <c r="G163" s="26" t="str">
        <f>IF(OR($A163&gt;MAX(Trato_Diario!$A$4:$A$300),SUMIFS(Trato_Diario!$G$4:$G$300,Trato_Diario!$B$4:$B$300,6,Trato_Diario!$A$4:$A$300,$A163)=0),"",SUMIFS(Trato_Diario!$J$4:$J$300,Trato_Diario!$B$4:$B$300,6,Trato_Diario!$A$4:$A$300,$A163)/SUMIFS(Trato_Diario!$G$4:$G$300,Trato_Diario!$B$4:$B$300,6,Trato_Diario!$A$4:$A$300,$A163))</f>
        <v/>
      </c>
      <c r="H163" s="26" t="str">
        <f>IF(OR($A163&gt;MAX(Trato_Diario!$A$4:$A$300),SUMIFS(Trato_Diario!$G$4:$G$300,Trato_Diario!$B$4:$B$300,7,Trato_Diario!$A$4:$A$300,$A163)=0),"",SUMIFS(Trato_Diario!$J$4:$J$300,Trato_Diario!$B$4:$B$300,7,Trato_Diario!$A$4:$A$300,$A163)/SUMIFS(Trato_Diario!$G$4:$G$300,Trato_Diario!$B$4:$B$300,7,Trato_Diario!$A$4:$A$300,$A163))</f>
        <v/>
      </c>
      <c r="I163" s="26" t="str">
        <f>IF(OR($A163&gt;MAX(Trato_Diario!$A$4:$A$300),SUMIFS(Trato_Diario!$G$4:$G$300,Trato_Diario!$B$4:$B$300,8,Trato_Diario!$A$4:$A$300,$A163)=0),"",SUMIFS(Trato_Diario!$J$4:$J$300,Trato_Diario!$B$4:$B$300,8,Trato_Diario!$A$4:$A$300,$A163)/SUMIFS(Trato_Diario!$G$4:$G$300,Trato_Diario!$B$4:$B$300,8,Trato_Diario!$A$4:$A$300,$A163))</f>
        <v/>
      </c>
      <c r="J163" s="26" t="str">
        <f>IF(OR($A163&gt;MAX(Trato_Diario!$A$4:$A$300),SUMIFS(Trato_Diario!$G$4:$G$300,Trato_Diario!$B$4:$B$300,9,Trato_Diario!$A$4:$A$300,$A163)=0),"",SUMIFS(Trato_Diario!$J$4:$J$300,Trato_Diario!$B$4:$B$300,9,Trato_Diario!$A$4:$A$300,$A163)/SUMIFS(Trato_Diario!$G$4:$G$300,Trato_Diario!$B$4:$B$300,9,Trato_Diario!$A$4:$A$300,$A163))</f>
        <v/>
      </c>
      <c r="K163" s="26" t="str">
        <f>IF(OR($A163&gt;MAX(Trato_Diario!$A$4:$A$300),SUMIFS(Trato_Diario!$G$4:$G$300,Trato_Diario!$B$4:$B$300,10,Trato_Diario!$A$4:$A$300,$A163)=0),"",SUMIFS(Trato_Diario!$J$4:$J$300,Trato_Diario!$B$4:$B$300,10,Trato_Diario!$A$4:$A$300,$A163)/SUMIFS(Trato_Diario!$G$4:$G$300,Trato_Diario!$B$4:$B$300,10,Trato_Diario!$A$4:$A$300,$A163))</f>
        <v/>
      </c>
      <c r="L163" s="74" t="str">
        <f>IF(OR($A163&gt;MAX(Trato_Diario!$A$4:$A$300),SUMIFS(Trato_Diario!$G$4:$G$300,Trato_Diario!$A$4:$A$300,$A163)=0),"",SUMIFS(Trato_Diario!$J$4:$J$300,Trato_Diario!$A$4:$A$300,$A163)/SUMIFS(Trato_Diario!$G$4:$G$300,Trato_Diario!$A$4:$A$300,$A163))</f>
        <v/>
      </c>
    </row>
    <row r="164" spans="1:12" ht="14.25" customHeight="1" x14ac:dyDescent="0.3">
      <c r="A164" s="86">
        <v>46373</v>
      </c>
      <c r="B164" s="28" t="str">
        <f>IF(OR($A164&gt;MAX(Trato_Diario!$A$4:$A$300),SUMIFS(Trato_Diario!$G$4:$G$300,Trato_Diario!$B$4:$B$300,1,Trato_Diario!$A$4:$A$300,$A164)=0),"",SUMIFS(Trato_Diario!$J$4:$J$300,Trato_Diario!$B$4:$B$300,1,Trato_Diario!$A$4:$A$300,$A164)/SUMIFS(Trato_Diario!$G$4:$G$300,Trato_Diario!$B$4:$B$300,1,Trato_Diario!$A$4:$A$300,$A164))</f>
        <v/>
      </c>
      <c r="C164" s="28" t="str">
        <f>IF(OR($A164&gt;MAX(Trato_Diario!$A$4:$A$300),SUMIFS(Trato_Diario!$G$4:$G$300,Trato_Diario!$B$4:$B$300,2,Trato_Diario!$A$4:$A$300,$A164)=0),"",SUMIFS(Trato_Diario!$J$4:$J$300,Trato_Diario!$B$4:$B$300,2,Trato_Diario!$A$4:$A$300,$A164)/SUMIFS(Trato_Diario!$G$4:$G$300,Trato_Diario!$B$4:$B$300,2,Trato_Diario!$A$4:$A$300,$A164))</f>
        <v/>
      </c>
      <c r="D164" s="28" t="str">
        <f>IF(OR($A164&gt;MAX(Trato_Diario!$A$4:$A$300),SUMIFS(Trato_Diario!$G$4:$G$300,Trato_Diario!$B$4:$B$300,3,Trato_Diario!$A$4:$A$300,$A164)=0),"",SUMIFS(Trato_Diario!$J$4:$J$300,Trato_Diario!$B$4:$B$300,3,Trato_Diario!$A$4:$A$300,$A164)/SUMIFS(Trato_Diario!$G$4:$G$300,Trato_Diario!$B$4:$B$300,3,Trato_Diario!$A$4:$A$300,$A164))</f>
        <v/>
      </c>
      <c r="E164" s="28" t="str">
        <f>IF(OR($A164&gt;MAX(Trato_Diario!$A$4:$A$300),SUMIFS(Trato_Diario!$G$4:$G$300,Trato_Diario!$B$4:$B$300,4,Trato_Diario!$A$4:$A$300,$A164)=0),"",SUMIFS(Trato_Diario!$J$4:$J$300,Trato_Diario!$B$4:$B$300,4,Trato_Diario!$A$4:$A$300,$A164)/SUMIFS(Trato_Diario!$G$4:$G$300,Trato_Diario!$B$4:$B$300,4,Trato_Diario!$A$4:$A$300,$A164))</f>
        <v/>
      </c>
      <c r="F164" s="28" t="str">
        <f>IF(OR($A164&gt;MAX(Trato_Diario!$A$4:$A$300),SUMIFS(Trato_Diario!$G$4:$G$300,Trato_Diario!$B$4:$B$300,5,Trato_Diario!$A$4:$A$300,$A164)=0),"",SUMIFS(Trato_Diario!$J$4:$J$300,Trato_Diario!$B$4:$B$300,5,Trato_Diario!$A$4:$A$300,$A164)/SUMIFS(Trato_Diario!$G$4:$G$300,Trato_Diario!$B$4:$B$300,5,Trato_Diario!$A$4:$A$300,$A164))</f>
        <v/>
      </c>
      <c r="G164" s="28" t="str">
        <f>IF(OR($A164&gt;MAX(Trato_Diario!$A$4:$A$300),SUMIFS(Trato_Diario!$G$4:$G$300,Trato_Diario!$B$4:$B$300,6,Trato_Diario!$A$4:$A$300,$A164)=0),"",SUMIFS(Trato_Diario!$J$4:$J$300,Trato_Diario!$B$4:$B$300,6,Trato_Diario!$A$4:$A$300,$A164)/SUMIFS(Trato_Diario!$G$4:$G$300,Trato_Diario!$B$4:$B$300,6,Trato_Diario!$A$4:$A$300,$A164))</f>
        <v/>
      </c>
      <c r="H164" s="28" t="str">
        <f>IF(OR($A164&gt;MAX(Trato_Diario!$A$4:$A$300),SUMIFS(Trato_Diario!$G$4:$G$300,Trato_Diario!$B$4:$B$300,7,Trato_Diario!$A$4:$A$300,$A164)=0),"",SUMIFS(Trato_Diario!$J$4:$J$300,Trato_Diario!$B$4:$B$300,7,Trato_Diario!$A$4:$A$300,$A164)/SUMIFS(Trato_Diario!$G$4:$G$300,Trato_Diario!$B$4:$B$300,7,Trato_Diario!$A$4:$A$300,$A164))</f>
        <v/>
      </c>
      <c r="I164" s="28" t="str">
        <f>IF(OR($A164&gt;MAX(Trato_Diario!$A$4:$A$300),SUMIFS(Trato_Diario!$G$4:$G$300,Trato_Diario!$B$4:$B$300,8,Trato_Diario!$A$4:$A$300,$A164)=0),"",SUMIFS(Trato_Diario!$J$4:$J$300,Trato_Diario!$B$4:$B$300,8,Trato_Diario!$A$4:$A$300,$A164)/SUMIFS(Trato_Diario!$G$4:$G$300,Trato_Diario!$B$4:$B$300,8,Trato_Diario!$A$4:$A$300,$A164))</f>
        <v/>
      </c>
      <c r="J164" s="28" t="str">
        <f>IF(OR($A164&gt;MAX(Trato_Diario!$A$4:$A$300),SUMIFS(Trato_Diario!$G$4:$G$300,Trato_Diario!$B$4:$B$300,9,Trato_Diario!$A$4:$A$300,$A164)=0),"",SUMIFS(Trato_Diario!$J$4:$J$300,Trato_Diario!$B$4:$B$300,9,Trato_Diario!$A$4:$A$300,$A164)/SUMIFS(Trato_Diario!$G$4:$G$300,Trato_Diario!$B$4:$B$300,9,Trato_Diario!$A$4:$A$300,$A164))</f>
        <v/>
      </c>
      <c r="K164" s="28" t="str">
        <f>IF(OR($A164&gt;MAX(Trato_Diario!$A$4:$A$300),SUMIFS(Trato_Diario!$G$4:$G$300,Trato_Diario!$B$4:$B$300,10,Trato_Diario!$A$4:$A$300,$A164)=0),"",SUMIFS(Trato_Diario!$J$4:$J$300,Trato_Diario!$B$4:$B$300,10,Trato_Diario!$A$4:$A$300,$A164)/SUMIFS(Trato_Diario!$G$4:$G$300,Trato_Diario!$B$4:$B$300,10,Trato_Diario!$A$4:$A$300,$A164))</f>
        <v/>
      </c>
      <c r="L164" s="76" t="str">
        <f>IF(OR($A164&gt;MAX(Trato_Diario!$A$4:$A$300),SUMIFS(Trato_Diario!$G$4:$G$300,Trato_Diario!$A$4:$A$300,$A164)=0),"",SUMIFS(Trato_Diario!$J$4:$J$300,Trato_Diario!$A$4:$A$300,$A164)/SUMIFS(Trato_Diario!$G$4:$G$300,Trato_Diario!$A$4:$A$300,$A164))</f>
        <v/>
      </c>
    </row>
    <row r="165" spans="1:12" ht="14.25" customHeight="1" x14ac:dyDescent="0.3">
      <c r="A165" s="85">
        <v>46374</v>
      </c>
      <c r="B165" s="26" t="str">
        <f>IF(OR($A165&gt;MAX(Trato_Diario!$A$4:$A$300),SUMIFS(Trato_Diario!$G$4:$G$300,Trato_Diario!$B$4:$B$300,1,Trato_Diario!$A$4:$A$300,$A165)=0),"",SUMIFS(Trato_Diario!$J$4:$J$300,Trato_Diario!$B$4:$B$300,1,Trato_Diario!$A$4:$A$300,$A165)/SUMIFS(Trato_Diario!$G$4:$G$300,Trato_Diario!$B$4:$B$300,1,Trato_Diario!$A$4:$A$300,$A165))</f>
        <v/>
      </c>
      <c r="C165" s="26" t="str">
        <f>IF(OR($A165&gt;MAX(Trato_Diario!$A$4:$A$300),SUMIFS(Trato_Diario!$G$4:$G$300,Trato_Diario!$B$4:$B$300,2,Trato_Diario!$A$4:$A$300,$A165)=0),"",SUMIFS(Trato_Diario!$J$4:$J$300,Trato_Diario!$B$4:$B$300,2,Trato_Diario!$A$4:$A$300,$A165)/SUMIFS(Trato_Diario!$G$4:$G$300,Trato_Diario!$B$4:$B$300,2,Trato_Diario!$A$4:$A$300,$A165))</f>
        <v/>
      </c>
      <c r="D165" s="26" t="str">
        <f>IF(OR($A165&gt;MAX(Trato_Diario!$A$4:$A$300),SUMIFS(Trato_Diario!$G$4:$G$300,Trato_Diario!$B$4:$B$300,3,Trato_Diario!$A$4:$A$300,$A165)=0),"",SUMIFS(Trato_Diario!$J$4:$J$300,Trato_Diario!$B$4:$B$300,3,Trato_Diario!$A$4:$A$300,$A165)/SUMIFS(Trato_Diario!$G$4:$G$300,Trato_Diario!$B$4:$B$300,3,Trato_Diario!$A$4:$A$300,$A165))</f>
        <v/>
      </c>
      <c r="E165" s="26" t="str">
        <f>IF(OR($A165&gt;MAX(Trato_Diario!$A$4:$A$300),SUMIFS(Trato_Diario!$G$4:$G$300,Trato_Diario!$B$4:$B$300,4,Trato_Diario!$A$4:$A$300,$A165)=0),"",SUMIFS(Trato_Diario!$J$4:$J$300,Trato_Diario!$B$4:$B$300,4,Trato_Diario!$A$4:$A$300,$A165)/SUMIFS(Trato_Diario!$G$4:$G$300,Trato_Diario!$B$4:$B$300,4,Trato_Diario!$A$4:$A$300,$A165))</f>
        <v/>
      </c>
      <c r="F165" s="26" t="str">
        <f>IF(OR($A165&gt;MAX(Trato_Diario!$A$4:$A$300),SUMIFS(Trato_Diario!$G$4:$G$300,Trato_Diario!$B$4:$B$300,5,Trato_Diario!$A$4:$A$300,$A165)=0),"",SUMIFS(Trato_Diario!$J$4:$J$300,Trato_Diario!$B$4:$B$300,5,Trato_Diario!$A$4:$A$300,$A165)/SUMIFS(Trato_Diario!$G$4:$G$300,Trato_Diario!$B$4:$B$300,5,Trato_Diario!$A$4:$A$300,$A165))</f>
        <v/>
      </c>
      <c r="G165" s="26" t="str">
        <f>IF(OR($A165&gt;MAX(Trato_Diario!$A$4:$A$300),SUMIFS(Trato_Diario!$G$4:$G$300,Trato_Diario!$B$4:$B$300,6,Trato_Diario!$A$4:$A$300,$A165)=0),"",SUMIFS(Trato_Diario!$J$4:$J$300,Trato_Diario!$B$4:$B$300,6,Trato_Diario!$A$4:$A$300,$A165)/SUMIFS(Trato_Diario!$G$4:$G$300,Trato_Diario!$B$4:$B$300,6,Trato_Diario!$A$4:$A$300,$A165))</f>
        <v/>
      </c>
      <c r="H165" s="26" t="str">
        <f>IF(OR($A165&gt;MAX(Trato_Diario!$A$4:$A$300),SUMIFS(Trato_Diario!$G$4:$G$300,Trato_Diario!$B$4:$B$300,7,Trato_Diario!$A$4:$A$300,$A165)=0),"",SUMIFS(Trato_Diario!$J$4:$J$300,Trato_Diario!$B$4:$B$300,7,Trato_Diario!$A$4:$A$300,$A165)/SUMIFS(Trato_Diario!$G$4:$G$300,Trato_Diario!$B$4:$B$300,7,Trato_Diario!$A$4:$A$300,$A165))</f>
        <v/>
      </c>
      <c r="I165" s="26" t="str">
        <f>IF(OR($A165&gt;MAX(Trato_Diario!$A$4:$A$300),SUMIFS(Trato_Diario!$G$4:$G$300,Trato_Diario!$B$4:$B$300,8,Trato_Diario!$A$4:$A$300,$A165)=0),"",SUMIFS(Trato_Diario!$J$4:$J$300,Trato_Diario!$B$4:$B$300,8,Trato_Diario!$A$4:$A$300,$A165)/SUMIFS(Trato_Diario!$G$4:$G$300,Trato_Diario!$B$4:$B$300,8,Trato_Diario!$A$4:$A$300,$A165))</f>
        <v/>
      </c>
      <c r="J165" s="26" t="str">
        <f>IF(OR($A165&gt;MAX(Trato_Diario!$A$4:$A$300),SUMIFS(Trato_Diario!$G$4:$G$300,Trato_Diario!$B$4:$B$300,9,Trato_Diario!$A$4:$A$300,$A165)=0),"",SUMIFS(Trato_Diario!$J$4:$J$300,Trato_Diario!$B$4:$B$300,9,Trato_Diario!$A$4:$A$300,$A165)/SUMIFS(Trato_Diario!$G$4:$G$300,Trato_Diario!$B$4:$B$300,9,Trato_Diario!$A$4:$A$300,$A165))</f>
        <v/>
      </c>
      <c r="K165" s="26" t="str">
        <f>IF(OR($A165&gt;MAX(Trato_Diario!$A$4:$A$300),SUMIFS(Trato_Diario!$G$4:$G$300,Trato_Diario!$B$4:$B$300,10,Trato_Diario!$A$4:$A$300,$A165)=0),"",SUMIFS(Trato_Diario!$J$4:$J$300,Trato_Diario!$B$4:$B$300,10,Trato_Diario!$A$4:$A$300,$A165)/SUMIFS(Trato_Diario!$G$4:$G$300,Trato_Diario!$B$4:$B$300,10,Trato_Diario!$A$4:$A$300,$A165))</f>
        <v/>
      </c>
      <c r="L165" s="74" t="str">
        <f>IF(OR($A165&gt;MAX(Trato_Diario!$A$4:$A$300),SUMIFS(Trato_Diario!$G$4:$G$300,Trato_Diario!$A$4:$A$300,$A165)=0),"",SUMIFS(Trato_Diario!$J$4:$J$300,Trato_Diario!$A$4:$A$300,$A165)/SUMIFS(Trato_Diario!$G$4:$G$300,Trato_Diario!$A$4:$A$300,$A165))</f>
        <v/>
      </c>
    </row>
    <row r="166" spans="1:12" ht="14.25" customHeight="1" x14ac:dyDescent="0.3">
      <c r="A166" s="86">
        <v>46375</v>
      </c>
      <c r="B166" s="28" t="str">
        <f>IF(OR($A166&gt;MAX(Trato_Diario!$A$4:$A$300),SUMIFS(Trato_Diario!$G$4:$G$300,Trato_Diario!$B$4:$B$300,1,Trato_Diario!$A$4:$A$300,$A166)=0),"",SUMIFS(Trato_Diario!$J$4:$J$300,Trato_Diario!$B$4:$B$300,1,Trato_Diario!$A$4:$A$300,$A166)/SUMIFS(Trato_Diario!$G$4:$G$300,Trato_Diario!$B$4:$B$300,1,Trato_Diario!$A$4:$A$300,$A166))</f>
        <v/>
      </c>
      <c r="C166" s="28" t="str">
        <f>IF(OR($A166&gt;MAX(Trato_Diario!$A$4:$A$300),SUMIFS(Trato_Diario!$G$4:$G$300,Trato_Diario!$B$4:$B$300,2,Trato_Diario!$A$4:$A$300,$A166)=0),"",SUMIFS(Trato_Diario!$J$4:$J$300,Trato_Diario!$B$4:$B$300,2,Trato_Diario!$A$4:$A$300,$A166)/SUMIFS(Trato_Diario!$G$4:$G$300,Trato_Diario!$B$4:$B$300,2,Trato_Diario!$A$4:$A$300,$A166))</f>
        <v/>
      </c>
      <c r="D166" s="28" t="str">
        <f>IF(OR($A166&gt;MAX(Trato_Diario!$A$4:$A$300),SUMIFS(Trato_Diario!$G$4:$G$300,Trato_Diario!$B$4:$B$300,3,Trato_Diario!$A$4:$A$300,$A166)=0),"",SUMIFS(Trato_Diario!$J$4:$J$300,Trato_Diario!$B$4:$B$300,3,Trato_Diario!$A$4:$A$300,$A166)/SUMIFS(Trato_Diario!$G$4:$G$300,Trato_Diario!$B$4:$B$300,3,Trato_Diario!$A$4:$A$300,$A166))</f>
        <v/>
      </c>
      <c r="E166" s="28" t="str">
        <f>IF(OR($A166&gt;MAX(Trato_Diario!$A$4:$A$300),SUMIFS(Trato_Diario!$G$4:$G$300,Trato_Diario!$B$4:$B$300,4,Trato_Diario!$A$4:$A$300,$A166)=0),"",SUMIFS(Trato_Diario!$J$4:$J$300,Trato_Diario!$B$4:$B$300,4,Trato_Diario!$A$4:$A$300,$A166)/SUMIFS(Trato_Diario!$G$4:$G$300,Trato_Diario!$B$4:$B$300,4,Trato_Diario!$A$4:$A$300,$A166))</f>
        <v/>
      </c>
      <c r="F166" s="28" t="str">
        <f>IF(OR($A166&gt;MAX(Trato_Diario!$A$4:$A$300),SUMIFS(Trato_Diario!$G$4:$G$300,Trato_Diario!$B$4:$B$300,5,Trato_Diario!$A$4:$A$300,$A166)=0),"",SUMIFS(Trato_Diario!$J$4:$J$300,Trato_Diario!$B$4:$B$300,5,Trato_Diario!$A$4:$A$300,$A166)/SUMIFS(Trato_Diario!$G$4:$G$300,Trato_Diario!$B$4:$B$300,5,Trato_Diario!$A$4:$A$300,$A166))</f>
        <v/>
      </c>
      <c r="G166" s="28" t="str">
        <f>IF(OR($A166&gt;MAX(Trato_Diario!$A$4:$A$300),SUMIFS(Trato_Diario!$G$4:$G$300,Trato_Diario!$B$4:$B$300,6,Trato_Diario!$A$4:$A$300,$A166)=0),"",SUMIFS(Trato_Diario!$J$4:$J$300,Trato_Diario!$B$4:$B$300,6,Trato_Diario!$A$4:$A$300,$A166)/SUMIFS(Trato_Diario!$G$4:$G$300,Trato_Diario!$B$4:$B$300,6,Trato_Diario!$A$4:$A$300,$A166))</f>
        <v/>
      </c>
      <c r="H166" s="28" t="str">
        <f>IF(OR($A166&gt;MAX(Trato_Diario!$A$4:$A$300),SUMIFS(Trato_Diario!$G$4:$G$300,Trato_Diario!$B$4:$B$300,7,Trato_Diario!$A$4:$A$300,$A166)=0),"",SUMIFS(Trato_Diario!$J$4:$J$300,Trato_Diario!$B$4:$B$300,7,Trato_Diario!$A$4:$A$300,$A166)/SUMIFS(Trato_Diario!$G$4:$G$300,Trato_Diario!$B$4:$B$300,7,Trato_Diario!$A$4:$A$300,$A166))</f>
        <v/>
      </c>
      <c r="I166" s="28" t="str">
        <f>IF(OR($A166&gt;MAX(Trato_Diario!$A$4:$A$300),SUMIFS(Trato_Diario!$G$4:$G$300,Trato_Diario!$B$4:$B$300,8,Trato_Diario!$A$4:$A$300,$A166)=0),"",SUMIFS(Trato_Diario!$J$4:$J$300,Trato_Diario!$B$4:$B$300,8,Trato_Diario!$A$4:$A$300,$A166)/SUMIFS(Trato_Diario!$G$4:$G$300,Trato_Diario!$B$4:$B$300,8,Trato_Diario!$A$4:$A$300,$A166))</f>
        <v/>
      </c>
      <c r="J166" s="28" t="str">
        <f>IF(OR($A166&gt;MAX(Trato_Diario!$A$4:$A$300),SUMIFS(Trato_Diario!$G$4:$G$300,Trato_Diario!$B$4:$B$300,9,Trato_Diario!$A$4:$A$300,$A166)=0),"",SUMIFS(Trato_Diario!$J$4:$J$300,Trato_Diario!$B$4:$B$300,9,Trato_Diario!$A$4:$A$300,$A166)/SUMIFS(Trato_Diario!$G$4:$G$300,Trato_Diario!$B$4:$B$300,9,Trato_Diario!$A$4:$A$300,$A166))</f>
        <v/>
      </c>
      <c r="K166" s="28" t="str">
        <f>IF(OR($A166&gt;MAX(Trato_Diario!$A$4:$A$300),SUMIFS(Trato_Diario!$G$4:$G$300,Trato_Diario!$B$4:$B$300,10,Trato_Diario!$A$4:$A$300,$A166)=0),"",SUMIFS(Trato_Diario!$J$4:$J$300,Trato_Diario!$B$4:$B$300,10,Trato_Diario!$A$4:$A$300,$A166)/SUMIFS(Trato_Diario!$G$4:$G$300,Trato_Diario!$B$4:$B$300,10,Trato_Diario!$A$4:$A$300,$A166))</f>
        <v/>
      </c>
      <c r="L166" s="76" t="str">
        <f>IF(OR($A166&gt;MAX(Trato_Diario!$A$4:$A$300),SUMIFS(Trato_Diario!$G$4:$G$300,Trato_Diario!$A$4:$A$300,$A166)=0),"",SUMIFS(Trato_Diario!$J$4:$J$300,Trato_Diario!$A$4:$A$300,$A166)/SUMIFS(Trato_Diario!$G$4:$G$300,Trato_Diario!$A$4:$A$300,$A166))</f>
        <v/>
      </c>
    </row>
    <row r="167" spans="1:12" ht="14.25" customHeight="1" x14ac:dyDescent="0.3">
      <c r="A167" s="85">
        <v>46376</v>
      </c>
      <c r="B167" s="26" t="str">
        <f>IF(OR($A167&gt;MAX(Trato_Diario!$A$4:$A$300),SUMIFS(Trato_Diario!$G$4:$G$300,Trato_Diario!$B$4:$B$300,1,Trato_Diario!$A$4:$A$300,$A167)=0),"",SUMIFS(Trato_Diario!$J$4:$J$300,Trato_Diario!$B$4:$B$300,1,Trato_Diario!$A$4:$A$300,$A167)/SUMIFS(Trato_Diario!$G$4:$G$300,Trato_Diario!$B$4:$B$300,1,Trato_Diario!$A$4:$A$300,$A167))</f>
        <v/>
      </c>
      <c r="C167" s="26" t="str">
        <f>IF(OR($A167&gt;MAX(Trato_Diario!$A$4:$A$300),SUMIFS(Trato_Diario!$G$4:$G$300,Trato_Diario!$B$4:$B$300,2,Trato_Diario!$A$4:$A$300,$A167)=0),"",SUMIFS(Trato_Diario!$J$4:$J$300,Trato_Diario!$B$4:$B$300,2,Trato_Diario!$A$4:$A$300,$A167)/SUMIFS(Trato_Diario!$G$4:$G$300,Trato_Diario!$B$4:$B$300,2,Trato_Diario!$A$4:$A$300,$A167))</f>
        <v/>
      </c>
      <c r="D167" s="26" t="str">
        <f>IF(OR($A167&gt;MAX(Trato_Diario!$A$4:$A$300),SUMIFS(Trato_Diario!$G$4:$G$300,Trato_Diario!$B$4:$B$300,3,Trato_Diario!$A$4:$A$300,$A167)=0),"",SUMIFS(Trato_Diario!$J$4:$J$300,Trato_Diario!$B$4:$B$300,3,Trato_Diario!$A$4:$A$300,$A167)/SUMIFS(Trato_Diario!$G$4:$G$300,Trato_Diario!$B$4:$B$300,3,Trato_Diario!$A$4:$A$300,$A167))</f>
        <v/>
      </c>
      <c r="E167" s="26" t="str">
        <f>IF(OR($A167&gt;MAX(Trato_Diario!$A$4:$A$300),SUMIFS(Trato_Diario!$G$4:$G$300,Trato_Diario!$B$4:$B$300,4,Trato_Diario!$A$4:$A$300,$A167)=0),"",SUMIFS(Trato_Diario!$J$4:$J$300,Trato_Diario!$B$4:$B$300,4,Trato_Diario!$A$4:$A$300,$A167)/SUMIFS(Trato_Diario!$G$4:$G$300,Trato_Diario!$B$4:$B$300,4,Trato_Diario!$A$4:$A$300,$A167))</f>
        <v/>
      </c>
      <c r="F167" s="26" t="str">
        <f>IF(OR($A167&gt;MAX(Trato_Diario!$A$4:$A$300),SUMIFS(Trato_Diario!$G$4:$G$300,Trato_Diario!$B$4:$B$300,5,Trato_Diario!$A$4:$A$300,$A167)=0),"",SUMIFS(Trato_Diario!$J$4:$J$300,Trato_Diario!$B$4:$B$300,5,Trato_Diario!$A$4:$A$300,$A167)/SUMIFS(Trato_Diario!$G$4:$G$300,Trato_Diario!$B$4:$B$300,5,Trato_Diario!$A$4:$A$300,$A167))</f>
        <v/>
      </c>
      <c r="G167" s="26" t="str">
        <f>IF(OR($A167&gt;MAX(Trato_Diario!$A$4:$A$300),SUMIFS(Trato_Diario!$G$4:$G$300,Trato_Diario!$B$4:$B$300,6,Trato_Diario!$A$4:$A$300,$A167)=0),"",SUMIFS(Trato_Diario!$J$4:$J$300,Trato_Diario!$B$4:$B$300,6,Trato_Diario!$A$4:$A$300,$A167)/SUMIFS(Trato_Diario!$G$4:$G$300,Trato_Diario!$B$4:$B$300,6,Trato_Diario!$A$4:$A$300,$A167))</f>
        <v/>
      </c>
      <c r="H167" s="26" t="str">
        <f>IF(OR($A167&gt;MAX(Trato_Diario!$A$4:$A$300),SUMIFS(Trato_Diario!$G$4:$G$300,Trato_Diario!$B$4:$B$300,7,Trato_Diario!$A$4:$A$300,$A167)=0),"",SUMIFS(Trato_Diario!$J$4:$J$300,Trato_Diario!$B$4:$B$300,7,Trato_Diario!$A$4:$A$300,$A167)/SUMIFS(Trato_Diario!$G$4:$G$300,Trato_Diario!$B$4:$B$300,7,Trato_Diario!$A$4:$A$300,$A167))</f>
        <v/>
      </c>
      <c r="I167" s="26" t="str">
        <f>IF(OR($A167&gt;MAX(Trato_Diario!$A$4:$A$300),SUMIFS(Trato_Diario!$G$4:$G$300,Trato_Diario!$B$4:$B$300,8,Trato_Diario!$A$4:$A$300,$A167)=0),"",SUMIFS(Trato_Diario!$J$4:$J$300,Trato_Diario!$B$4:$B$300,8,Trato_Diario!$A$4:$A$300,$A167)/SUMIFS(Trato_Diario!$G$4:$G$300,Trato_Diario!$B$4:$B$300,8,Trato_Diario!$A$4:$A$300,$A167))</f>
        <v/>
      </c>
      <c r="J167" s="26" t="str">
        <f>IF(OR($A167&gt;MAX(Trato_Diario!$A$4:$A$300),SUMIFS(Trato_Diario!$G$4:$G$300,Trato_Diario!$B$4:$B$300,9,Trato_Diario!$A$4:$A$300,$A167)=0),"",SUMIFS(Trato_Diario!$J$4:$J$300,Trato_Diario!$B$4:$B$300,9,Trato_Diario!$A$4:$A$300,$A167)/SUMIFS(Trato_Diario!$G$4:$G$300,Trato_Diario!$B$4:$B$300,9,Trato_Diario!$A$4:$A$300,$A167))</f>
        <v/>
      </c>
      <c r="K167" s="26" t="str">
        <f>IF(OR($A167&gt;MAX(Trato_Diario!$A$4:$A$300),SUMIFS(Trato_Diario!$G$4:$G$300,Trato_Diario!$B$4:$B$300,10,Trato_Diario!$A$4:$A$300,$A167)=0),"",SUMIFS(Trato_Diario!$J$4:$J$300,Trato_Diario!$B$4:$B$300,10,Trato_Diario!$A$4:$A$300,$A167)/SUMIFS(Trato_Diario!$G$4:$G$300,Trato_Diario!$B$4:$B$300,10,Trato_Diario!$A$4:$A$300,$A167))</f>
        <v/>
      </c>
      <c r="L167" s="74" t="str">
        <f>IF(OR($A167&gt;MAX(Trato_Diario!$A$4:$A$300),SUMIFS(Trato_Diario!$G$4:$G$300,Trato_Diario!$A$4:$A$300,$A167)=0),"",SUMIFS(Trato_Diario!$J$4:$J$300,Trato_Diario!$A$4:$A$300,$A167)/SUMIFS(Trato_Diario!$G$4:$G$300,Trato_Diario!$A$4:$A$300,$A167))</f>
        <v/>
      </c>
    </row>
    <row r="168" spans="1:12" ht="14.25" customHeight="1" x14ac:dyDescent="0.3">
      <c r="A168" s="86">
        <v>46377</v>
      </c>
      <c r="B168" s="28" t="str">
        <f>IF(OR($A168&gt;MAX(Trato_Diario!$A$4:$A$300),SUMIFS(Trato_Diario!$G$4:$G$300,Trato_Diario!$B$4:$B$300,1,Trato_Diario!$A$4:$A$300,$A168)=0),"",SUMIFS(Trato_Diario!$J$4:$J$300,Trato_Diario!$B$4:$B$300,1,Trato_Diario!$A$4:$A$300,$A168)/SUMIFS(Trato_Diario!$G$4:$G$300,Trato_Diario!$B$4:$B$300,1,Trato_Diario!$A$4:$A$300,$A168))</f>
        <v/>
      </c>
      <c r="C168" s="28" t="str">
        <f>IF(OR($A168&gt;MAX(Trato_Diario!$A$4:$A$300),SUMIFS(Trato_Diario!$G$4:$G$300,Trato_Diario!$B$4:$B$300,2,Trato_Diario!$A$4:$A$300,$A168)=0),"",SUMIFS(Trato_Diario!$J$4:$J$300,Trato_Diario!$B$4:$B$300,2,Trato_Diario!$A$4:$A$300,$A168)/SUMIFS(Trato_Diario!$G$4:$G$300,Trato_Diario!$B$4:$B$300,2,Trato_Diario!$A$4:$A$300,$A168))</f>
        <v/>
      </c>
      <c r="D168" s="28" t="str">
        <f>IF(OR($A168&gt;MAX(Trato_Diario!$A$4:$A$300),SUMIFS(Trato_Diario!$G$4:$G$300,Trato_Diario!$B$4:$B$300,3,Trato_Diario!$A$4:$A$300,$A168)=0),"",SUMIFS(Trato_Diario!$J$4:$J$300,Trato_Diario!$B$4:$B$300,3,Trato_Diario!$A$4:$A$300,$A168)/SUMIFS(Trato_Diario!$G$4:$G$300,Trato_Diario!$B$4:$B$300,3,Trato_Diario!$A$4:$A$300,$A168))</f>
        <v/>
      </c>
      <c r="E168" s="28" t="str">
        <f>IF(OR($A168&gt;MAX(Trato_Diario!$A$4:$A$300),SUMIFS(Trato_Diario!$G$4:$G$300,Trato_Diario!$B$4:$B$300,4,Trato_Diario!$A$4:$A$300,$A168)=0),"",SUMIFS(Trato_Diario!$J$4:$J$300,Trato_Diario!$B$4:$B$300,4,Trato_Diario!$A$4:$A$300,$A168)/SUMIFS(Trato_Diario!$G$4:$G$300,Trato_Diario!$B$4:$B$300,4,Trato_Diario!$A$4:$A$300,$A168))</f>
        <v/>
      </c>
      <c r="F168" s="28" t="str">
        <f>IF(OR($A168&gt;MAX(Trato_Diario!$A$4:$A$300),SUMIFS(Trato_Diario!$G$4:$G$300,Trato_Diario!$B$4:$B$300,5,Trato_Diario!$A$4:$A$300,$A168)=0),"",SUMIFS(Trato_Diario!$J$4:$J$300,Trato_Diario!$B$4:$B$300,5,Trato_Diario!$A$4:$A$300,$A168)/SUMIFS(Trato_Diario!$G$4:$G$300,Trato_Diario!$B$4:$B$300,5,Trato_Diario!$A$4:$A$300,$A168))</f>
        <v/>
      </c>
      <c r="G168" s="28" t="str">
        <f>IF(OR($A168&gt;MAX(Trato_Diario!$A$4:$A$300),SUMIFS(Trato_Diario!$G$4:$G$300,Trato_Diario!$B$4:$B$300,6,Trato_Diario!$A$4:$A$300,$A168)=0),"",SUMIFS(Trato_Diario!$J$4:$J$300,Trato_Diario!$B$4:$B$300,6,Trato_Diario!$A$4:$A$300,$A168)/SUMIFS(Trato_Diario!$G$4:$G$300,Trato_Diario!$B$4:$B$300,6,Trato_Diario!$A$4:$A$300,$A168))</f>
        <v/>
      </c>
      <c r="H168" s="28" t="str">
        <f>IF(OR($A168&gt;MAX(Trato_Diario!$A$4:$A$300),SUMIFS(Trato_Diario!$G$4:$G$300,Trato_Diario!$B$4:$B$300,7,Trato_Diario!$A$4:$A$300,$A168)=0),"",SUMIFS(Trato_Diario!$J$4:$J$300,Trato_Diario!$B$4:$B$300,7,Trato_Diario!$A$4:$A$300,$A168)/SUMIFS(Trato_Diario!$G$4:$G$300,Trato_Diario!$B$4:$B$300,7,Trato_Diario!$A$4:$A$300,$A168))</f>
        <v/>
      </c>
      <c r="I168" s="28" t="str">
        <f>IF(OR($A168&gt;MAX(Trato_Diario!$A$4:$A$300),SUMIFS(Trato_Diario!$G$4:$G$300,Trato_Diario!$B$4:$B$300,8,Trato_Diario!$A$4:$A$300,$A168)=0),"",SUMIFS(Trato_Diario!$J$4:$J$300,Trato_Diario!$B$4:$B$300,8,Trato_Diario!$A$4:$A$300,$A168)/SUMIFS(Trato_Diario!$G$4:$G$300,Trato_Diario!$B$4:$B$300,8,Trato_Diario!$A$4:$A$300,$A168))</f>
        <v/>
      </c>
      <c r="J168" s="28" t="str">
        <f>IF(OR($A168&gt;MAX(Trato_Diario!$A$4:$A$300),SUMIFS(Trato_Diario!$G$4:$G$300,Trato_Diario!$B$4:$B$300,9,Trato_Diario!$A$4:$A$300,$A168)=0),"",SUMIFS(Trato_Diario!$J$4:$J$300,Trato_Diario!$B$4:$B$300,9,Trato_Diario!$A$4:$A$300,$A168)/SUMIFS(Trato_Diario!$G$4:$G$300,Trato_Diario!$B$4:$B$300,9,Trato_Diario!$A$4:$A$300,$A168))</f>
        <v/>
      </c>
      <c r="K168" s="28" t="str">
        <f>IF(OR($A168&gt;MAX(Trato_Diario!$A$4:$A$300),SUMIFS(Trato_Diario!$G$4:$G$300,Trato_Diario!$B$4:$B$300,10,Trato_Diario!$A$4:$A$300,$A168)=0),"",SUMIFS(Trato_Diario!$J$4:$J$300,Trato_Diario!$B$4:$B$300,10,Trato_Diario!$A$4:$A$300,$A168)/SUMIFS(Trato_Diario!$G$4:$G$300,Trato_Diario!$B$4:$B$300,10,Trato_Diario!$A$4:$A$300,$A168))</f>
        <v/>
      </c>
      <c r="L168" s="76" t="str">
        <f>IF(OR($A168&gt;MAX(Trato_Diario!$A$4:$A$300),SUMIFS(Trato_Diario!$G$4:$G$300,Trato_Diario!$A$4:$A$300,$A168)=0),"",SUMIFS(Trato_Diario!$J$4:$J$300,Trato_Diario!$A$4:$A$300,$A168)/SUMIFS(Trato_Diario!$G$4:$G$300,Trato_Diario!$A$4:$A$300,$A168))</f>
        <v/>
      </c>
    </row>
    <row r="169" spans="1:12" ht="14.25" customHeight="1" x14ac:dyDescent="0.3">
      <c r="A169" s="85">
        <v>46378</v>
      </c>
      <c r="B169" s="26" t="str">
        <f>IF(OR($A169&gt;MAX(Trato_Diario!$A$4:$A$300),SUMIFS(Trato_Diario!$G$4:$G$300,Trato_Diario!$B$4:$B$300,1,Trato_Diario!$A$4:$A$300,$A169)=0),"",SUMIFS(Trato_Diario!$J$4:$J$300,Trato_Diario!$B$4:$B$300,1,Trato_Diario!$A$4:$A$300,$A169)/SUMIFS(Trato_Diario!$G$4:$G$300,Trato_Diario!$B$4:$B$300,1,Trato_Diario!$A$4:$A$300,$A169))</f>
        <v/>
      </c>
      <c r="C169" s="26" t="str">
        <f>IF(OR($A169&gt;MAX(Trato_Diario!$A$4:$A$300),SUMIFS(Trato_Diario!$G$4:$G$300,Trato_Diario!$B$4:$B$300,2,Trato_Diario!$A$4:$A$300,$A169)=0),"",SUMIFS(Trato_Diario!$J$4:$J$300,Trato_Diario!$B$4:$B$300,2,Trato_Diario!$A$4:$A$300,$A169)/SUMIFS(Trato_Diario!$G$4:$G$300,Trato_Diario!$B$4:$B$300,2,Trato_Diario!$A$4:$A$300,$A169))</f>
        <v/>
      </c>
      <c r="D169" s="26" t="str">
        <f>IF(OR($A169&gt;MAX(Trato_Diario!$A$4:$A$300),SUMIFS(Trato_Diario!$G$4:$G$300,Trato_Diario!$B$4:$B$300,3,Trato_Diario!$A$4:$A$300,$A169)=0),"",SUMIFS(Trato_Diario!$J$4:$J$300,Trato_Diario!$B$4:$B$300,3,Trato_Diario!$A$4:$A$300,$A169)/SUMIFS(Trato_Diario!$G$4:$G$300,Trato_Diario!$B$4:$B$300,3,Trato_Diario!$A$4:$A$300,$A169))</f>
        <v/>
      </c>
      <c r="E169" s="26" t="str">
        <f>IF(OR($A169&gt;MAX(Trato_Diario!$A$4:$A$300),SUMIFS(Trato_Diario!$G$4:$G$300,Trato_Diario!$B$4:$B$300,4,Trato_Diario!$A$4:$A$300,$A169)=0),"",SUMIFS(Trato_Diario!$J$4:$J$300,Trato_Diario!$B$4:$B$300,4,Trato_Diario!$A$4:$A$300,$A169)/SUMIFS(Trato_Diario!$G$4:$G$300,Trato_Diario!$B$4:$B$300,4,Trato_Diario!$A$4:$A$300,$A169))</f>
        <v/>
      </c>
      <c r="F169" s="26" t="str">
        <f>IF(OR($A169&gt;MAX(Trato_Diario!$A$4:$A$300),SUMIFS(Trato_Diario!$G$4:$G$300,Trato_Diario!$B$4:$B$300,5,Trato_Diario!$A$4:$A$300,$A169)=0),"",SUMIFS(Trato_Diario!$J$4:$J$300,Trato_Diario!$B$4:$B$300,5,Trato_Diario!$A$4:$A$300,$A169)/SUMIFS(Trato_Diario!$G$4:$G$300,Trato_Diario!$B$4:$B$300,5,Trato_Diario!$A$4:$A$300,$A169))</f>
        <v/>
      </c>
      <c r="G169" s="26" t="str">
        <f>IF(OR($A169&gt;MAX(Trato_Diario!$A$4:$A$300),SUMIFS(Trato_Diario!$G$4:$G$300,Trato_Diario!$B$4:$B$300,6,Trato_Diario!$A$4:$A$300,$A169)=0),"",SUMIFS(Trato_Diario!$J$4:$J$300,Trato_Diario!$B$4:$B$300,6,Trato_Diario!$A$4:$A$300,$A169)/SUMIFS(Trato_Diario!$G$4:$G$300,Trato_Diario!$B$4:$B$300,6,Trato_Diario!$A$4:$A$300,$A169))</f>
        <v/>
      </c>
      <c r="H169" s="26" t="str">
        <f>IF(OR($A169&gt;MAX(Trato_Diario!$A$4:$A$300),SUMIFS(Trato_Diario!$G$4:$G$300,Trato_Diario!$B$4:$B$300,7,Trato_Diario!$A$4:$A$300,$A169)=0),"",SUMIFS(Trato_Diario!$J$4:$J$300,Trato_Diario!$B$4:$B$300,7,Trato_Diario!$A$4:$A$300,$A169)/SUMIFS(Trato_Diario!$G$4:$G$300,Trato_Diario!$B$4:$B$300,7,Trato_Diario!$A$4:$A$300,$A169))</f>
        <v/>
      </c>
      <c r="I169" s="26" t="str">
        <f>IF(OR($A169&gt;MAX(Trato_Diario!$A$4:$A$300),SUMIFS(Trato_Diario!$G$4:$G$300,Trato_Diario!$B$4:$B$300,8,Trato_Diario!$A$4:$A$300,$A169)=0),"",SUMIFS(Trato_Diario!$J$4:$J$300,Trato_Diario!$B$4:$B$300,8,Trato_Diario!$A$4:$A$300,$A169)/SUMIFS(Trato_Diario!$G$4:$G$300,Trato_Diario!$B$4:$B$300,8,Trato_Diario!$A$4:$A$300,$A169))</f>
        <v/>
      </c>
      <c r="J169" s="26" t="str">
        <f>IF(OR($A169&gt;MAX(Trato_Diario!$A$4:$A$300),SUMIFS(Trato_Diario!$G$4:$G$300,Trato_Diario!$B$4:$B$300,9,Trato_Diario!$A$4:$A$300,$A169)=0),"",SUMIFS(Trato_Diario!$J$4:$J$300,Trato_Diario!$B$4:$B$300,9,Trato_Diario!$A$4:$A$300,$A169)/SUMIFS(Trato_Diario!$G$4:$G$300,Trato_Diario!$B$4:$B$300,9,Trato_Diario!$A$4:$A$300,$A169))</f>
        <v/>
      </c>
      <c r="K169" s="26" t="str">
        <f>IF(OR($A169&gt;MAX(Trato_Diario!$A$4:$A$300),SUMIFS(Trato_Diario!$G$4:$G$300,Trato_Diario!$B$4:$B$300,10,Trato_Diario!$A$4:$A$300,$A169)=0),"",SUMIFS(Trato_Diario!$J$4:$J$300,Trato_Diario!$B$4:$B$300,10,Trato_Diario!$A$4:$A$300,$A169)/SUMIFS(Trato_Diario!$G$4:$G$300,Trato_Diario!$B$4:$B$300,10,Trato_Diario!$A$4:$A$300,$A169))</f>
        <v/>
      </c>
      <c r="L169" s="74" t="str">
        <f>IF(OR($A169&gt;MAX(Trato_Diario!$A$4:$A$300),SUMIFS(Trato_Diario!$G$4:$G$300,Trato_Diario!$A$4:$A$300,$A169)=0),"",SUMIFS(Trato_Diario!$J$4:$J$300,Trato_Diario!$A$4:$A$300,$A169)/SUMIFS(Trato_Diario!$G$4:$G$300,Trato_Diario!$A$4:$A$300,$A169))</f>
        <v/>
      </c>
    </row>
    <row r="170" spans="1:12" ht="14.25" customHeight="1" x14ac:dyDescent="0.3">
      <c r="A170" s="86">
        <v>46379</v>
      </c>
      <c r="B170" s="28" t="str">
        <f>IF(OR($A170&gt;MAX(Trato_Diario!$A$4:$A$300),SUMIFS(Trato_Diario!$G$4:$G$300,Trato_Diario!$B$4:$B$300,1,Trato_Diario!$A$4:$A$300,$A170)=0),"",SUMIFS(Trato_Diario!$J$4:$J$300,Trato_Diario!$B$4:$B$300,1,Trato_Diario!$A$4:$A$300,$A170)/SUMIFS(Trato_Diario!$G$4:$G$300,Trato_Diario!$B$4:$B$300,1,Trato_Diario!$A$4:$A$300,$A170))</f>
        <v/>
      </c>
      <c r="C170" s="28" t="str">
        <f>IF(OR($A170&gt;MAX(Trato_Diario!$A$4:$A$300),SUMIFS(Trato_Diario!$G$4:$G$300,Trato_Diario!$B$4:$B$300,2,Trato_Diario!$A$4:$A$300,$A170)=0),"",SUMIFS(Trato_Diario!$J$4:$J$300,Trato_Diario!$B$4:$B$300,2,Trato_Diario!$A$4:$A$300,$A170)/SUMIFS(Trato_Diario!$G$4:$G$300,Trato_Diario!$B$4:$B$300,2,Trato_Diario!$A$4:$A$300,$A170))</f>
        <v/>
      </c>
      <c r="D170" s="28" t="str">
        <f>IF(OR($A170&gt;MAX(Trato_Diario!$A$4:$A$300),SUMIFS(Trato_Diario!$G$4:$G$300,Trato_Diario!$B$4:$B$300,3,Trato_Diario!$A$4:$A$300,$A170)=0),"",SUMIFS(Trato_Diario!$J$4:$J$300,Trato_Diario!$B$4:$B$300,3,Trato_Diario!$A$4:$A$300,$A170)/SUMIFS(Trato_Diario!$G$4:$G$300,Trato_Diario!$B$4:$B$300,3,Trato_Diario!$A$4:$A$300,$A170))</f>
        <v/>
      </c>
      <c r="E170" s="28" t="str">
        <f>IF(OR($A170&gt;MAX(Trato_Diario!$A$4:$A$300),SUMIFS(Trato_Diario!$G$4:$G$300,Trato_Diario!$B$4:$B$300,4,Trato_Diario!$A$4:$A$300,$A170)=0),"",SUMIFS(Trato_Diario!$J$4:$J$300,Trato_Diario!$B$4:$B$300,4,Trato_Diario!$A$4:$A$300,$A170)/SUMIFS(Trato_Diario!$G$4:$G$300,Trato_Diario!$B$4:$B$300,4,Trato_Diario!$A$4:$A$300,$A170))</f>
        <v/>
      </c>
      <c r="F170" s="28" t="str">
        <f>IF(OR($A170&gt;MAX(Trato_Diario!$A$4:$A$300),SUMIFS(Trato_Diario!$G$4:$G$300,Trato_Diario!$B$4:$B$300,5,Trato_Diario!$A$4:$A$300,$A170)=0),"",SUMIFS(Trato_Diario!$J$4:$J$300,Trato_Diario!$B$4:$B$300,5,Trato_Diario!$A$4:$A$300,$A170)/SUMIFS(Trato_Diario!$G$4:$G$300,Trato_Diario!$B$4:$B$300,5,Trato_Diario!$A$4:$A$300,$A170))</f>
        <v/>
      </c>
      <c r="G170" s="28" t="str">
        <f>IF(OR($A170&gt;MAX(Trato_Diario!$A$4:$A$300),SUMIFS(Trato_Diario!$G$4:$G$300,Trato_Diario!$B$4:$B$300,6,Trato_Diario!$A$4:$A$300,$A170)=0),"",SUMIFS(Trato_Diario!$J$4:$J$300,Trato_Diario!$B$4:$B$300,6,Trato_Diario!$A$4:$A$300,$A170)/SUMIFS(Trato_Diario!$G$4:$G$300,Trato_Diario!$B$4:$B$300,6,Trato_Diario!$A$4:$A$300,$A170))</f>
        <v/>
      </c>
      <c r="H170" s="28" t="str">
        <f>IF(OR($A170&gt;MAX(Trato_Diario!$A$4:$A$300),SUMIFS(Trato_Diario!$G$4:$G$300,Trato_Diario!$B$4:$B$300,7,Trato_Diario!$A$4:$A$300,$A170)=0),"",SUMIFS(Trato_Diario!$J$4:$J$300,Trato_Diario!$B$4:$B$300,7,Trato_Diario!$A$4:$A$300,$A170)/SUMIFS(Trato_Diario!$G$4:$G$300,Trato_Diario!$B$4:$B$300,7,Trato_Diario!$A$4:$A$300,$A170))</f>
        <v/>
      </c>
      <c r="I170" s="28" t="str">
        <f>IF(OR($A170&gt;MAX(Trato_Diario!$A$4:$A$300),SUMIFS(Trato_Diario!$G$4:$G$300,Trato_Diario!$B$4:$B$300,8,Trato_Diario!$A$4:$A$300,$A170)=0),"",SUMIFS(Trato_Diario!$J$4:$J$300,Trato_Diario!$B$4:$B$300,8,Trato_Diario!$A$4:$A$300,$A170)/SUMIFS(Trato_Diario!$G$4:$G$300,Trato_Diario!$B$4:$B$300,8,Trato_Diario!$A$4:$A$300,$A170))</f>
        <v/>
      </c>
      <c r="J170" s="28" t="str">
        <f>IF(OR($A170&gt;MAX(Trato_Diario!$A$4:$A$300),SUMIFS(Trato_Diario!$G$4:$G$300,Trato_Diario!$B$4:$B$300,9,Trato_Diario!$A$4:$A$300,$A170)=0),"",SUMIFS(Trato_Diario!$J$4:$J$300,Trato_Diario!$B$4:$B$300,9,Trato_Diario!$A$4:$A$300,$A170)/SUMIFS(Trato_Diario!$G$4:$G$300,Trato_Diario!$B$4:$B$300,9,Trato_Diario!$A$4:$A$300,$A170))</f>
        <v/>
      </c>
      <c r="K170" s="28" t="str">
        <f>IF(OR($A170&gt;MAX(Trato_Diario!$A$4:$A$300),SUMIFS(Trato_Diario!$G$4:$G$300,Trato_Diario!$B$4:$B$300,10,Trato_Diario!$A$4:$A$300,$A170)=0),"",SUMIFS(Trato_Diario!$J$4:$J$300,Trato_Diario!$B$4:$B$300,10,Trato_Diario!$A$4:$A$300,$A170)/SUMIFS(Trato_Diario!$G$4:$G$300,Trato_Diario!$B$4:$B$300,10,Trato_Diario!$A$4:$A$300,$A170))</f>
        <v/>
      </c>
      <c r="L170" s="76" t="str">
        <f>IF(OR($A170&gt;MAX(Trato_Diario!$A$4:$A$300),SUMIFS(Trato_Diario!$G$4:$G$300,Trato_Diario!$A$4:$A$300,$A170)=0),"",SUMIFS(Trato_Diario!$J$4:$J$300,Trato_Diario!$A$4:$A$300,$A170)/SUMIFS(Trato_Diario!$G$4:$G$300,Trato_Diario!$A$4:$A$300,$A170))</f>
        <v/>
      </c>
    </row>
    <row r="171" spans="1:12" ht="14.25" customHeight="1" x14ac:dyDescent="0.3">
      <c r="A171" s="85">
        <v>46380</v>
      </c>
      <c r="B171" s="26" t="str">
        <f>IF(OR($A171&gt;MAX(Trato_Diario!$A$4:$A$300),SUMIFS(Trato_Diario!$G$4:$G$300,Trato_Diario!$B$4:$B$300,1,Trato_Diario!$A$4:$A$300,$A171)=0),"",SUMIFS(Trato_Diario!$J$4:$J$300,Trato_Diario!$B$4:$B$300,1,Trato_Diario!$A$4:$A$300,$A171)/SUMIFS(Trato_Diario!$G$4:$G$300,Trato_Diario!$B$4:$B$300,1,Trato_Diario!$A$4:$A$300,$A171))</f>
        <v/>
      </c>
      <c r="C171" s="26" t="str">
        <f>IF(OR($A171&gt;MAX(Trato_Diario!$A$4:$A$300),SUMIFS(Trato_Diario!$G$4:$G$300,Trato_Diario!$B$4:$B$300,2,Trato_Diario!$A$4:$A$300,$A171)=0),"",SUMIFS(Trato_Diario!$J$4:$J$300,Trato_Diario!$B$4:$B$300,2,Trato_Diario!$A$4:$A$300,$A171)/SUMIFS(Trato_Diario!$G$4:$G$300,Trato_Diario!$B$4:$B$300,2,Trato_Diario!$A$4:$A$300,$A171))</f>
        <v/>
      </c>
      <c r="D171" s="26" t="str">
        <f>IF(OR($A171&gt;MAX(Trato_Diario!$A$4:$A$300),SUMIFS(Trato_Diario!$G$4:$G$300,Trato_Diario!$B$4:$B$300,3,Trato_Diario!$A$4:$A$300,$A171)=0),"",SUMIFS(Trato_Diario!$J$4:$J$300,Trato_Diario!$B$4:$B$300,3,Trato_Diario!$A$4:$A$300,$A171)/SUMIFS(Trato_Diario!$G$4:$G$300,Trato_Diario!$B$4:$B$300,3,Trato_Diario!$A$4:$A$300,$A171))</f>
        <v/>
      </c>
      <c r="E171" s="26" t="str">
        <f>IF(OR($A171&gt;MAX(Trato_Diario!$A$4:$A$300),SUMIFS(Trato_Diario!$G$4:$G$300,Trato_Diario!$B$4:$B$300,4,Trato_Diario!$A$4:$A$300,$A171)=0),"",SUMIFS(Trato_Diario!$J$4:$J$300,Trato_Diario!$B$4:$B$300,4,Trato_Diario!$A$4:$A$300,$A171)/SUMIFS(Trato_Diario!$G$4:$G$300,Trato_Diario!$B$4:$B$300,4,Trato_Diario!$A$4:$A$300,$A171))</f>
        <v/>
      </c>
      <c r="F171" s="26" t="str">
        <f>IF(OR($A171&gt;MAX(Trato_Diario!$A$4:$A$300),SUMIFS(Trato_Diario!$G$4:$G$300,Trato_Diario!$B$4:$B$300,5,Trato_Diario!$A$4:$A$300,$A171)=0),"",SUMIFS(Trato_Diario!$J$4:$J$300,Trato_Diario!$B$4:$B$300,5,Trato_Diario!$A$4:$A$300,$A171)/SUMIFS(Trato_Diario!$G$4:$G$300,Trato_Diario!$B$4:$B$300,5,Trato_Diario!$A$4:$A$300,$A171))</f>
        <v/>
      </c>
      <c r="G171" s="26" t="str">
        <f>IF(OR($A171&gt;MAX(Trato_Diario!$A$4:$A$300),SUMIFS(Trato_Diario!$G$4:$G$300,Trato_Diario!$B$4:$B$300,6,Trato_Diario!$A$4:$A$300,$A171)=0),"",SUMIFS(Trato_Diario!$J$4:$J$300,Trato_Diario!$B$4:$B$300,6,Trato_Diario!$A$4:$A$300,$A171)/SUMIFS(Trato_Diario!$G$4:$G$300,Trato_Diario!$B$4:$B$300,6,Trato_Diario!$A$4:$A$300,$A171))</f>
        <v/>
      </c>
      <c r="H171" s="26" t="str">
        <f>IF(OR($A171&gt;MAX(Trato_Diario!$A$4:$A$300),SUMIFS(Trato_Diario!$G$4:$G$300,Trato_Diario!$B$4:$B$300,7,Trato_Diario!$A$4:$A$300,$A171)=0),"",SUMIFS(Trato_Diario!$J$4:$J$300,Trato_Diario!$B$4:$B$300,7,Trato_Diario!$A$4:$A$300,$A171)/SUMIFS(Trato_Diario!$G$4:$G$300,Trato_Diario!$B$4:$B$300,7,Trato_Diario!$A$4:$A$300,$A171))</f>
        <v/>
      </c>
      <c r="I171" s="26" t="str">
        <f>IF(OR($A171&gt;MAX(Trato_Diario!$A$4:$A$300),SUMIFS(Trato_Diario!$G$4:$G$300,Trato_Diario!$B$4:$B$300,8,Trato_Diario!$A$4:$A$300,$A171)=0),"",SUMIFS(Trato_Diario!$J$4:$J$300,Trato_Diario!$B$4:$B$300,8,Trato_Diario!$A$4:$A$300,$A171)/SUMIFS(Trato_Diario!$G$4:$G$300,Trato_Diario!$B$4:$B$300,8,Trato_Diario!$A$4:$A$300,$A171))</f>
        <v/>
      </c>
      <c r="J171" s="26" t="str">
        <f>IF(OR($A171&gt;MAX(Trato_Diario!$A$4:$A$300),SUMIFS(Trato_Diario!$G$4:$G$300,Trato_Diario!$B$4:$B$300,9,Trato_Diario!$A$4:$A$300,$A171)=0),"",SUMIFS(Trato_Diario!$J$4:$J$300,Trato_Diario!$B$4:$B$300,9,Trato_Diario!$A$4:$A$300,$A171)/SUMIFS(Trato_Diario!$G$4:$G$300,Trato_Diario!$B$4:$B$300,9,Trato_Diario!$A$4:$A$300,$A171))</f>
        <v/>
      </c>
      <c r="K171" s="26" t="str">
        <f>IF(OR($A171&gt;MAX(Trato_Diario!$A$4:$A$300),SUMIFS(Trato_Diario!$G$4:$G$300,Trato_Diario!$B$4:$B$300,10,Trato_Diario!$A$4:$A$300,$A171)=0),"",SUMIFS(Trato_Diario!$J$4:$J$300,Trato_Diario!$B$4:$B$300,10,Trato_Diario!$A$4:$A$300,$A171)/SUMIFS(Trato_Diario!$G$4:$G$300,Trato_Diario!$B$4:$B$300,10,Trato_Diario!$A$4:$A$300,$A171))</f>
        <v/>
      </c>
      <c r="L171" s="74" t="str">
        <f>IF(OR($A171&gt;MAX(Trato_Diario!$A$4:$A$300),SUMIFS(Trato_Diario!$G$4:$G$300,Trato_Diario!$A$4:$A$300,$A171)=0),"",SUMIFS(Trato_Diario!$J$4:$J$300,Trato_Diario!$A$4:$A$300,$A171)/SUMIFS(Trato_Diario!$G$4:$G$300,Trato_Diario!$A$4:$A$300,$A171))</f>
        <v/>
      </c>
    </row>
    <row r="172" spans="1:12" ht="14.25" customHeight="1" x14ac:dyDescent="0.3">
      <c r="A172" s="86">
        <v>46381</v>
      </c>
      <c r="B172" s="28" t="str">
        <f>IF(OR($A172&gt;MAX(Trato_Diario!$A$4:$A$300),SUMIFS(Trato_Diario!$G$4:$G$300,Trato_Diario!$B$4:$B$300,1,Trato_Diario!$A$4:$A$300,$A172)=0),"",SUMIFS(Trato_Diario!$J$4:$J$300,Trato_Diario!$B$4:$B$300,1,Trato_Diario!$A$4:$A$300,$A172)/SUMIFS(Trato_Diario!$G$4:$G$300,Trato_Diario!$B$4:$B$300,1,Trato_Diario!$A$4:$A$300,$A172))</f>
        <v/>
      </c>
      <c r="C172" s="28" t="str">
        <f>IF(OR($A172&gt;MAX(Trato_Diario!$A$4:$A$300),SUMIFS(Trato_Diario!$G$4:$G$300,Trato_Diario!$B$4:$B$300,2,Trato_Diario!$A$4:$A$300,$A172)=0),"",SUMIFS(Trato_Diario!$J$4:$J$300,Trato_Diario!$B$4:$B$300,2,Trato_Diario!$A$4:$A$300,$A172)/SUMIFS(Trato_Diario!$G$4:$G$300,Trato_Diario!$B$4:$B$300,2,Trato_Diario!$A$4:$A$300,$A172))</f>
        <v/>
      </c>
      <c r="D172" s="28" t="str">
        <f>IF(OR($A172&gt;MAX(Trato_Diario!$A$4:$A$300),SUMIFS(Trato_Diario!$G$4:$G$300,Trato_Diario!$B$4:$B$300,3,Trato_Diario!$A$4:$A$300,$A172)=0),"",SUMIFS(Trato_Diario!$J$4:$J$300,Trato_Diario!$B$4:$B$300,3,Trato_Diario!$A$4:$A$300,$A172)/SUMIFS(Trato_Diario!$G$4:$G$300,Trato_Diario!$B$4:$B$300,3,Trato_Diario!$A$4:$A$300,$A172))</f>
        <v/>
      </c>
      <c r="E172" s="28" t="str">
        <f>IF(OR($A172&gt;MAX(Trato_Diario!$A$4:$A$300),SUMIFS(Trato_Diario!$G$4:$G$300,Trato_Diario!$B$4:$B$300,4,Trato_Diario!$A$4:$A$300,$A172)=0),"",SUMIFS(Trato_Diario!$J$4:$J$300,Trato_Diario!$B$4:$B$300,4,Trato_Diario!$A$4:$A$300,$A172)/SUMIFS(Trato_Diario!$G$4:$G$300,Trato_Diario!$B$4:$B$300,4,Trato_Diario!$A$4:$A$300,$A172))</f>
        <v/>
      </c>
      <c r="F172" s="28" t="str">
        <f>IF(OR($A172&gt;MAX(Trato_Diario!$A$4:$A$300),SUMIFS(Trato_Diario!$G$4:$G$300,Trato_Diario!$B$4:$B$300,5,Trato_Diario!$A$4:$A$300,$A172)=0),"",SUMIFS(Trato_Diario!$J$4:$J$300,Trato_Diario!$B$4:$B$300,5,Trato_Diario!$A$4:$A$300,$A172)/SUMIFS(Trato_Diario!$G$4:$G$300,Trato_Diario!$B$4:$B$300,5,Trato_Diario!$A$4:$A$300,$A172))</f>
        <v/>
      </c>
      <c r="G172" s="28" t="str">
        <f>IF(OR($A172&gt;MAX(Trato_Diario!$A$4:$A$300),SUMIFS(Trato_Diario!$G$4:$G$300,Trato_Diario!$B$4:$B$300,6,Trato_Diario!$A$4:$A$300,$A172)=0),"",SUMIFS(Trato_Diario!$J$4:$J$300,Trato_Diario!$B$4:$B$300,6,Trato_Diario!$A$4:$A$300,$A172)/SUMIFS(Trato_Diario!$G$4:$G$300,Trato_Diario!$B$4:$B$300,6,Trato_Diario!$A$4:$A$300,$A172))</f>
        <v/>
      </c>
      <c r="H172" s="28" t="str">
        <f>IF(OR($A172&gt;MAX(Trato_Diario!$A$4:$A$300),SUMIFS(Trato_Diario!$G$4:$G$300,Trato_Diario!$B$4:$B$300,7,Trato_Diario!$A$4:$A$300,$A172)=0),"",SUMIFS(Trato_Diario!$J$4:$J$300,Trato_Diario!$B$4:$B$300,7,Trato_Diario!$A$4:$A$300,$A172)/SUMIFS(Trato_Diario!$G$4:$G$300,Trato_Diario!$B$4:$B$300,7,Trato_Diario!$A$4:$A$300,$A172))</f>
        <v/>
      </c>
      <c r="I172" s="28" t="str">
        <f>IF(OR($A172&gt;MAX(Trato_Diario!$A$4:$A$300),SUMIFS(Trato_Diario!$G$4:$G$300,Trato_Diario!$B$4:$B$300,8,Trato_Diario!$A$4:$A$300,$A172)=0),"",SUMIFS(Trato_Diario!$J$4:$J$300,Trato_Diario!$B$4:$B$300,8,Trato_Diario!$A$4:$A$300,$A172)/SUMIFS(Trato_Diario!$G$4:$G$300,Trato_Diario!$B$4:$B$300,8,Trato_Diario!$A$4:$A$300,$A172))</f>
        <v/>
      </c>
      <c r="J172" s="28" t="str">
        <f>IF(OR($A172&gt;MAX(Trato_Diario!$A$4:$A$300),SUMIFS(Trato_Diario!$G$4:$G$300,Trato_Diario!$B$4:$B$300,9,Trato_Diario!$A$4:$A$300,$A172)=0),"",SUMIFS(Trato_Diario!$J$4:$J$300,Trato_Diario!$B$4:$B$300,9,Trato_Diario!$A$4:$A$300,$A172)/SUMIFS(Trato_Diario!$G$4:$G$300,Trato_Diario!$B$4:$B$300,9,Trato_Diario!$A$4:$A$300,$A172))</f>
        <v/>
      </c>
      <c r="K172" s="28" t="str">
        <f>IF(OR($A172&gt;MAX(Trato_Diario!$A$4:$A$300),SUMIFS(Trato_Diario!$G$4:$G$300,Trato_Diario!$B$4:$B$300,10,Trato_Diario!$A$4:$A$300,$A172)=0),"",SUMIFS(Trato_Diario!$J$4:$J$300,Trato_Diario!$B$4:$B$300,10,Trato_Diario!$A$4:$A$300,$A172)/SUMIFS(Trato_Diario!$G$4:$G$300,Trato_Diario!$B$4:$B$300,10,Trato_Diario!$A$4:$A$300,$A172))</f>
        <v/>
      </c>
      <c r="L172" s="76" t="str">
        <f>IF(OR($A172&gt;MAX(Trato_Diario!$A$4:$A$300),SUMIFS(Trato_Diario!$G$4:$G$300,Trato_Diario!$A$4:$A$300,$A172)=0),"",SUMIFS(Trato_Diario!$J$4:$J$300,Trato_Diario!$A$4:$A$300,$A172)/SUMIFS(Trato_Diario!$G$4:$G$300,Trato_Diario!$A$4:$A$300,$A172))</f>
        <v/>
      </c>
    </row>
    <row r="173" spans="1:12" ht="14.25" customHeight="1" x14ac:dyDescent="0.3">
      <c r="A173" s="85">
        <v>46382</v>
      </c>
      <c r="B173" s="26" t="str">
        <f>IF(OR($A173&gt;MAX(Trato_Diario!$A$4:$A$300),SUMIFS(Trato_Diario!$G$4:$G$300,Trato_Diario!$B$4:$B$300,1,Trato_Diario!$A$4:$A$300,$A173)=0),"",SUMIFS(Trato_Diario!$J$4:$J$300,Trato_Diario!$B$4:$B$300,1,Trato_Diario!$A$4:$A$300,$A173)/SUMIFS(Trato_Diario!$G$4:$G$300,Trato_Diario!$B$4:$B$300,1,Trato_Diario!$A$4:$A$300,$A173))</f>
        <v/>
      </c>
      <c r="C173" s="26" t="str">
        <f>IF(OR($A173&gt;MAX(Trato_Diario!$A$4:$A$300),SUMIFS(Trato_Diario!$G$4:$G$300,Trato_Diario!$B$4:$B$300,2,Trato_Diario!$A$4:$A$300,$A173)=0),"",SUMIFS(Trato_Diario!$J$4:$J$300,Trato_Diario!$B$4:$B$300,2,Trato_Diario!$A$4:$A$300,$A173)/SUMIFS(Trato_Diario!$G$4:$G$300,Trato_Diario!$B$4:$B$300,2,Trato_Diario!$A$4:$A$300,$A173))</f>
        <v/>
      </c>
      <c r="D173" s="26" t="str">
        <f>IF(OR($A173&gt;MAX(Trato_Diario!$A$4:$A$300),SUMIFS(Trato_Diario!$G$4:$G$300,Trato_Diario!$B$4:$B$300,3,Trato_Diario!$A$4:$A$300,$A173)=0),"",SUMIFS(Trato_Diario!$J$4:$J$300,Trato_Diario!$B$4:$B$300,3,Trato_Diario!$A$4:$A$300,$A173)/SUMIFS(Trato_Diario!$G$4:$G$300,Trato_Diario!$B$4:$B$300,3,Trato_Diario!$A$4:$A$300,$A173))</f>
        <v/>
      </c>
      <c r="E173" s="26" t="str">
        <f>IF(OR($A173&gt;MAX(Trato_Diario!$A$4:$A$300),SUMIFS(Trato_Diario!$G$4:$G$300,Trato_Diario!$B$4:$B$300,4,Trato_Diario!$A$4:$A$300,$A173)=0),"",SUMIFS(Trato_Diario!$J$4:$J$300,Trato_Diario!$B$4:$B$300,4,Trato_Diario!$A$4:$A$300,$A173)/SUMIFS(Trato_Diario!$G$4:$G$300,Trato_Diario!$B$4:$B$300,4,Trato_Diario!$A$4:$A$300,$A173))</f>
        <v/>
      </c>
      <c r="F173" s="26" t="str">
        <f>IF(OR($A173&gt;MAX(Trato_Diario!$A$4:$A$300),SUMIFS(Trato_Diario!$G$4:$G$300,Trato_Diario!$B$4:$B$300,5,Trato_Diario!$A$4:$A$300,$A173)=0),"",SUMIFS(Trato_Diario!$J$4:$J$300,Trato_Diario!$B$4:$B$300,5,Trato_Diario!$A$4:$A$300,$A173)/SUMIFS(Trato_Diario!$G$4:$G$300,Trato_Diario!$B$4:$B$300,5,Trato_Diario!$A$4:$A$300,$A173))</f>
        <v/>
      </c>
      <c r="G173" s="26" t="str">
        <f>IF(OR($A173&gt;MAX(Trato_Diario!$A$4:$A$300),SUMIFS(Trato_Diario!$G$4:$G$300,Trato_Diario!$B$4:$B$300,6,Trato_Diario!$A$4:$A$300,$A173)=0),"",SUMIFS(Trato_Diario!$J$4:$J$300,Trato_Diario!$B$4:$B$300,6,Trato_Diario!$A$4:$A$300,$A173)/SUMIFS(Trato_Diario!$G$4:$G$300,Trato_Diario!$B$4:$B$300,6,Trato_Diario!$A$4:$A$300,$A173))</f>
        <v/>
      </c>
      <c r="H173" s="26" t="str">
        <f>IF(OR($A173&gt;MAX(Trato_Diario!$A$4:$A$300),SUMIFS(Trato_Diario!$G$4:$G$300,Trato_Diario!$B$4:$B$300,7,Trato_Diario!$A$4:$A$300,$A173)=0),"",SUMIFS(Trato_Diario!$J$4:$J$300,Trato_Diario!$B$4:$B$300,7,Trato_Diario!$A$4:$A$300,$A173)/SUMIFS(Trato_Diario!$G$4:$G$300,Trato_Diario!$B$4:$B$300,7,Trato_Diario!$A$4:$A$300,$A173))</f>
        <v/>
      </c>
      <c r="I173" s="26" t="str">
        <f>IF(OR($A173&gt;MAX(Trato_Diario!$A$4:$A$300),SUMIFS(Trato_Diario!$G$4:$G$300,Trato_Diario!$B$4:$B$300,8,Trato_Diario!$A$4:$A$300,$A173)=0),"",SUMIFS(Trato_Diario!$J$4:$J$300,Trato_Diario!$B$4:$B$300,8,Trato_Diario!$A$4:$A$300,$A173)/SUMIFS(Trato_Diario!$G$4:$G$300,Trato_Diario!$B$4:$B$300,8,Trato_Diario!$A$4:$A$300,$A173))</f>
        <v/>
      </c>
      <c r="J173" s="26" t="str">
        <f>IF(OR($A173&gt;MAX(Trato_Diario!$A$4:$A$300),SUMIFS(Trato_Diario!$G$4:$G$300,Trato_Diario!$B$4:$B$300,9,Trato_Diario!$A$4:$A$300,$A173)=0),"",SUMIFS(Trato_Diario!$J$4:$J$300,Trato_Diario!$B$4:$B$300,9,Trato_Diario!$A$4:$A$300,$A173)/SUMIFS(Trato_Diario!$G$4:$G$300,Trato_Diario!$B$4:$B$300,9,Trato_Diario!$A$4:$A$300,$A173))</f>
        <v/>
      </c>
      <c r="K173" s="26" t="str">
        <f>IF(OR($A173&gt;MAX(Trato_Diario!$A$4:$A$300),SUMIFS(Trato_Diario!$G$4:$G$300,Trato_Diario!$B$4:$B$300,10,Trato_Diario!$A$4:$A$300,$A173)=0),"",SUMIFS(Trato_Diario!$J$4:$J$300,Trato_Diario!$B$4:$B$300,10,Trato_Diario!$A$4:$A$300,$A173)/SUMIFS(Trato_Diario!$G$4:$G$300,Trato_Diario!$B$4:$B$300,10,Trato_Diario!$A$4:$A$300,$A173))</f>
        <v/>
      </c>
      <c r="L173" s="74" t="str">
        <f>IF(OR($A173&gt;MAX(Trato_Diario!$A$4:$A$300),SUMIFS(Trato_Diario!$G$4:$G$300,Trato_Diario!$A$4:$A$300,$A173)=0),"",SUMIFS(Trato_Diario!$J$4:$J$300,Trato_Diario!$A$4:$A$300,$A173)/SUMIFS(Trato_Diario!$G$4:$G$300,Trato_Diario!$A$4:$A$300,$A173))</f>
        <v/>
      </c>
    </row>
    <row r="174" spans="1:12" ht="14.25" customHeight="1" x14ac:dyDescent="0.3">
      <c r="A174" s="86">
        <v>46383</v>
      </c>
      <c r="B174" s="28" t="str">
        <f>IF(OR($A174&gt;MAX(Trato_Diario!$A$4:$A$300),SUMIFS(Trato_Diario!$G$4:$G$300,Trato_Diario!$B$4:$B$300,1,Trato_Diario!$A$4:$A$300,$A174)=0),"",SUMIFS(Trato_Diario!$J$4:$J$300,Trato_Diario!$B$4:$B$300,1,Trato_Diario!$A$4:$A$300,$A174)/SUMIFS(Trato_Diario!$G$4:$G$300,Trato_Diario!$B$4:$B$300,1,Trato_Diario!$A$4:$A$300,$A174))</f>
        <v/>
      </c>
      <c r="C174" s="28" t="str">
        <f>IF(OR($A174&gt;MAX(Trato_Diario!$A$4:$A$300),SUMIFS(Trato_Diario!$G$4:$G$300,Trato_Diario!$B$4:$B$300,2,Trato_Diario!$A$4:$A$300,$A174)=0),"",SUMIFS(Trato_Diario!$J$4:$J$300,Trato_Diario!$B$4:$B$300,2,Trato_Diario!$A$4:$A$300,$A174)/SUMIFS(Trato_Diario!$G$4:$G$300,Trato_Diario!$B$4:$B$300,2,Trato_Diario!$A$4:$A$300,$A174))</f>
        <v/>
      </c>
      <c r="D174" s="28" t="str">
        <f>IF(OR($A174&gt;MAX(Trato_Diario!$A$4:$A$300),SUMIFS(Trato_Diario!$G$4:$G$300,Trato_Diario!$B$4:$B$300,3,Trato_Diario!$A$4:$A$300,$A174)=0),"",SUMIFS(Trato_Diario!$J$4:$J$300,Trato_Diario!$B$4:$B$300,3,Trato_Diario!$A$4:$A$300,$A174)/SUMIFS(Trato_Diario!$G$4:$G$300,Trato_Diario!$B$4:$B$300,3,Trato_Diario!$A$4:$A$300,$A174))</f>
        <v/>
      </c>
      <c r="E174" s="28" t="str">
        <f>IF(OR($A174&gt;MAX(Trato_Diario!$A$4:$A$300),SUMIFS(Trato_Diario!$G$4:$G$300,Trato_Diario!$B$4:$B$300,4,Trato_Diario!$A$4:$A$300,$A174)=0),"",SUMIFS(Trato_Diario!$J$4:$J$300,Trato_Diario!$B$4:$B$300,4,Trato_Diario!$A$4:$A$300,$A174)/SUMIFS(Trato_Diario!$G$4:$G$300,Trato_Diario!$B$4:$B$300,4,Trato_Diario!$A$4:$A$300,$A174))</f>
        <v/>
      </c>
      <c r="F174" s="28" t="str">
        <f>IF(OR($A174&gt;MAX(Trato_Diario!$A$4:$A$300),SUMIFS(Trato_Diario!$G$4:$G$300,Trato_Diario!$B$4:$B$300,5,Trato_Diario!$A$4:$A$300,$A174)=0),"",SUMIFS(Trato_Diario!$J$4:$J$300,Trato_Diario!$B$4:$B$300,5,Trato_Diario!$A$4:$A$300,$A174)/SUMIFS(Trato_Diario!$G$4:$G$300,Trato_Diario!$B$4:$B$300,5,Trato_Diario!$A$4:$A$300,$A174))</f>
        <v/>
      </c>
      <c r="G174" s="28" t="str">
        <f>IF(OR($A174&gt;MAX(Trato_Diario!$A$4:$A$300),SUMIFS(Trato_Diario!$G$4:$G$300,Trato_Diario!$B$4:$B$300,6,Trato_Diario!$A$4:$A$300,$A174)=0),"",SUMIFS(Trato_Diario!$J$4:$J$300,Trato_Diario!$B$4:$B$300,6,Trato_Diario!$A$4:$A$300,$A174)/SUMIFS(Trato_Diario!$G$4:$G$300,Trato_Diario!$B$4:$B$300,6,Trato_Diario!$A$4:$A$300,$A174))</f>
        <v/>
      </c>
      <c r="H174" s="28" t="str">
        <f>IF(OR($A174&gt;MAX(Trato_Diario!$A$4:$A$300),SUMIFS(Trato_Diario!$G$4:$G$300,Trato_Diario!$B$4:$B$300,7,Trato_Diario!$A$4:$A$300,$A174)=0),"",SUMIFS(Trato_Diario!$J$4:$J$300,Trato_Diario!$B$4:$B$300,7,Trato_Diario!$A$4:$A$300,$A174)/SUMIFS(Trato_Diario!$G$4:$G$300,Trato_Diario!$B$4:$B$300,7,Trato_Diario!$A$4:$A$300,$A174))</f>
        <v/>
      </c>
      <c r="I174" s="28" t="str">
        <f>IF(OR($A174&gt;MAX(Trato_Diario!$A$4:$A$300),SUMIFS(Trato_Diario!$G$4:$G$300,Trato_Diario!$B$4:$B$300,8,Trato_Diario!$A$4:$A$300,$A174)=0),"",SUMIFS(Trato_Diario!$J$4:$J$300,Trato_Diario!$B$4:$B$300,8,Trato_Diario!$A$4:$A$300,$A174)/SUMIFS(Trato_Diario!$G$4:$G$300,Trato_Diario!$B$4:$B$300,8,Trato_Diario!$A$4:$A$300,$A174))</f>
        <v/>
      </c>
      <c r="J174" s="28" t="str">
        <f>IF(OR($A174&gt;MAX(Trato_Diario!$A$4:$A$300),SUMIFS(Trato_Diario!$G$4:$G$300,Trato_Diario!$B$4:$B$300,9,Trato_Diario!$A$4:$A$300,$A174)=0),"",SUMIFS(Trato_Diario!$J$4:$J$300,Trato_Diario!$B$4:$B$300,9,Trato_Diario!$A$4:$A$300,$A174)/SUMIFS(Trato_Diario!$G$4:$G$300,Trato_Diario!$B$4:$B$300,9,Trato_Diario!$A$4:$A$300,$A174))</f>
        <v/>
      </c>
      <c r="K174" s="28" t="str">
        <f>IF(OR($A174&gt;MAX(Trato_Diario!$A$4:$A$300),SUMIFS(Trato_Diario!$G$4:$G$300,Trato_Diario!$B$4:$B$300,10,Trato_Diario!$A$4:$A$300,$A174)=0),"",SUMIFS(Trato_Diario!$J$4:$J$300,Trato_Diario!$B$4:$B$300,10,Trato_Diario!$A$4:$A$300,$A174)/SUMIFS(Trato_Diario!$G$4:$G$300,Trato_Diario!$B$4:$B$300,10,Trato_Diario!$A$4:$A$300,$A174))</f>
        <v/>
      </c>
      <c r="L174" s="76" t="str">
        <f>IF(OR($A174&gt;MAX(Trato_Diario!$A$4:$A$300),SUMIFS(Trato_Diario!$G$4:$G$300,Trato_Diario!$A$4:$A$300,$A174)=0),"",SUMIFS(Trato_Diario!$J$4:$J$300,Trato_Diario!$A$4:$A$300,$A174)/SUMIFS(Trato_Diario!$G$4:$G$300,Trato_Diario!$A$4:$A$300,$A174))</f>
        <v/>
      </c>
    </row>
    <row r="175" spans="1:12" ht="14.25" customHeight="1" x14ac:dyDescent="0.3">
      <c r="A175" s="85">
        <v>46384</v>
      </c>
      <c r="B175" s="26" t="str">
        <f>IF(OR($A175&gt;MAX(Trato_Diario!$A$4:$A$300),SUMIFS(Trato_Diario!$G$4:$G$300,Trato_Diario!$B$4:$B$300,1,Trato_Diario!$A$4:$A$300,$A175)=0),"",SUMIFS(Trato_Diario!$J$4:$J$300,Trato_Diario!$B$4:$B$300,1,Trato_Diario!$A$4:$A$300,$A175)/SUMIFS(Trato_Diario!$G$4:$G$300,Trato_Diario!$B$4:$B$300,1,Trato_Diario!$A$4:$A$300,$A175))</f>
        <v/>
      </c>
      <c r="C175" s="26" t="str">
        <f>IF(OR($A175&gt;MAX(Trato_Diario!$A$4:$A$300),SUMIFS(Trato_Diario!$G$4:$G$300,Trato_Diario!$B$4:$B$300,2,Trato_Diario!$A$4:$A$300,$A175)=0),"",SUMIFS(Trato_Diario!$J$4:$J$300,Trato_Diario!$B$4:$B$300,2,Trato_Diario!$A$4:$A$300,$A175)/SUMIFS(Trato_Diario!$G$4:$G$300,Trato_Diario!$B$4:$B$300,2,Trato_Diario!$A$4:$A$300,$A175))</f>
        <v/>
      </c>
      <c r="D175" s="26" t="str">
        <f>IF(OR($A175&gt;MAX(Trato_Diario!$A$4:$A$300),SUMIFS(Trato_Diario!$G$4:$G$300,Trato_Diario!$B$4:$B$300,3,Trato_Diario!$A$4:$A$300,$A175)=0),"",SUMIFS(Trato_Diario!$J$4:$J$300,Trato_Diario!$B$4:$B$300,3,Trato_Diario!$A$4:$A$300,$A175)/SUMIFS(Trato_Diario!$G$4:$G$300,Trato_Diario!$B$4:$B$300,3,Trato_Diario!$A$4:$A$300,$A175))</f>
        <v/>
      </c>
      <c r="E175" s="26" t="str">
        <f>IF(OR($A175&gt;MAX(Trato_Diario!$A$4:$A$300),SUMIFS(Trato_Diario!$G$4:$G$300,Trato_Diario!$B$4:$B$300,4,Trato_Diario!$A$4:$A$300,$A175)=0),"",SUMIFS(Trato_Diario!$J$4:$J$300,Trato_Diario!$B$4:$B$300,4,Trato_Diario!$A$4:$A$300,$A175)/SUMIFS(Trato_Diario!$G$4:$G$300,Trato_Diario!$B$4:$B$300,4,Trato_Diario!$A$4:$A$300,$A175))</f>
        <v/>
      </c>
      <c r="F175" s="26" t="str">
        <f>IF(OR($A175&gt;MAX(Trato_Diario!$A$4:$A$300),SUMIFS(Trato_Diario!$G$4:$G$300,Trato_Diario!$B$4:$B$300,5,Trato_Diario!$A$4:$A$300,$A175)=0),"",SUMIFS(Trato_Diario!$J$4:$J$300,Trato_Diario!$B$4:$B$300,5,Trato_Diario!$A$4:$A$300,$A175)/SUMIFS(Trato_Diario!$G$4:$G$300,Trato_Diario!$B$4:$B$300,5,Trato_Diario!$A$4:$A$300,$A175))</f>
        <v/>
      </c>
      <c r="G175" s="26" t="str">
        <f>IF(OR($A175&gt;MAX(Trato_Diario!$A$4:$A$300),SUMIFS(Trato_Diario!$G$4:$G$300,Trato_Diario!$B$4:$B$300,6,Trato_Diario!$A$4:$A$300,$A175)=0),"",SUMIFS(Trato_Diario!$J$4:$J$300,Trato_Diario!$B$4:$B$300,6,Trato_Diario!$A$4:$A$300,$A175)/SUMIFS(Trato_Diario!$G$4:$G$300,Trato_Diario!$B$4:$B$300,6,Trato_Diario!$A$4:$A$300,$A175))</f>
        <v/>
      </c>
      <c r="H175" s="26" t="str">
        <f>IF(OR($A175&gt;MAX(Trato_Diario!$A$4:$A$300),SUMIFS(Trato_Diario!$G$4:$G$300,Trato_Diario!$B$4:$B$300,7,Trato_Diario!$A$4:$A$300,$A175)=0),"",SUMIFS(Trato_Diario!$J$4:$J$300,Trato_Diario!$B$4:$B$300,7,Trato_Diario!$A$4:$A$300,$A175)/SUMIFS(Trato_Diario!$G$4:$G$300,Trato_Diario!$B$4:$B$300,7,Trato_Diario!$A$4:$A$300,$A175))</f>
        <v/>
      </c>
      <c r="I175" s="26" t="str">
        <f>IF(OR($A175&gt;MAX(Trato_Diario!$A$4:$A$300),SUMIFS(Trato_Diario!$G$4:$G$300,Trato_Diario!$B$4:$B$300,8,Trato_Diario!$A$4:$A$300,$A175)=0),"",SUMIFS(Trato_Diario!$J$4:$J$300,Trato_Diario!$B$4:$B$300,8,Trato_Diario!$A$4:$A$300,$A175)/SUMIFS(Trato_Diario!$G$4:$G$300,Trato_Diario!$B$4:$B$300,8,Trato_Diario!$A$4:$A$300,$A175))</f>
        <v/>
      </c>
      <c r="J175" s="26" t="str">
        <f>IF(OR($A175&gt;MAX(Trato_Diario!$A$4:$A$300),SUMIFS(Trato_Diario!$G$4:$G$300,Trato_Diario!$B$4:$B$300,9,Trato_Diario!$A$4:$A$300,$A175)=0),"",SUMIFS(Trato_Diario!$J$4:$J$300,Trato_Diario!$B$4:$B$300,9,Trato_Diario!$A$4:$A$300,$A175)/SUMIFS(Trato_Diario!$G$4:$G$300,Trato_Diario!$B$4:$B$300,9,Trato_Diario!$A$4:$A$300,$A175))</f>
        <v/>
      </c>
      <c r="K175" s="26" t="str">
        <f>IF(OR($A175&gt;MAX(Trato_Diario!$A$4:$A$300),SUMIFS(Trato_Diario!$G$4:$G$300,Trato_Diario!$B$4:$B$300,10,Trato_Diario!$A$4:$A$300,$A175)=0),"",SUMIFS(Trato_Diario!$J$4:$J$300,Trato_Diario!$B$4:$B$300,10,Trato_Diario!$A$4:$A$300,$A175)/SUMIFS(Trato_Diario!$G$4:$G$300,Trato_Diario!$B$4:$B$300,10,Trato_Diario!$A$4:$A$300,$A175))</f>
        <v/>
      </c>
      <c r="L175" s="74" t="str">
        <f>IF(OR($A175&gt;MAX(Trato_Diario!$A$4:$A$300),SUMIFS(Trato_Diario!$G$4:$G$300,Trato_Diario!$A$4:$A$300,$A175)=0),"",SUMIFS(Trato_Diario!$J$4:$J$300,Trato_Diario!$A$4:$A$300,$A175)/SUMIFS(Trato_Diario!$G$4:$G$300,Trato_Diario!$A$4:$A$300,$A175))</f>
        <v/>
      </c>
    </row>
    <row r="176" spans="1:12" ht="14.25" customHeight="1" x14ac:dyDescent="0.3">
      <c r="A176" s="86">
        <v>46385</v>
      </c>
      <c r="B176" s="28" t="str">
        <f>IF(OR($A176&gt;MAX(Trato_Diario!$A$4:$A$300),SUMIFS(Trato_Diario!$G$4:$G$300,Trato_Diario!$B$4:$B$300,1,Trato_Diario!$A$4:$A$300,$A176)=0),"",SUMIFS(Trato_Diario!$J$4:$J$300,Trato_Diario!$B$4:$B$300,1,Trato_Diario!$A$4:$A$300,$A176)/SUMIFS(Trato_Diario!$G$4:$G$300,Trato_Diario!$B$4:$B$300,1,Trato_Diario!$A$4:$A$300,$A176))</f>
        <v/>
      </c>
      <c r="C176" s="28" t="str">
        <f>IF(OR($A176&gt;MAX(Trato_Diario!$A$4:$A$300),SUMIFS(Trato_Diario!$G$4:$G$300,Trato_Diario!$B$4:$B$300,2,Trato_Diario!$A$4:$A$300,$A176)=0),"",SUMIFS(Trato_Diario!$J$4:$J$300,Trato_Diario!$B$4:$B$300,2,Trato_Diario!$A$4:$A$300,$A176)/SUMIFS(Trato_Diario!$G$4:$G$300,Trato_Diario!$B$4:$B$300,2,Trato_Diario!$A$4:$A$300,$A176))</f>
        <v/>
      </c>
      <c r="D176" s="28" t="str">
        <f>IF(OR($A176&gt;MAX(Trato_Diario!$A$4:$A$300),SUMIFS(Trato_Diario!$G$4:$G$300,Trato_Diario!$B$4:$B$300,3,Trato_Diario!$A$4:$A$300,$A176)=0),"",SUMIFS(Trato_Diario!$J$4:$J$300,Trato_Diario!$B$4:$B$300,3,Trato_Diario!$A$4:$A$300,$A176)/SUMIFS(Trato_Diario!$G$4:$G$300,Trato_Diario!$B$4:$B$300,3,Trato_Diario!$A$4:$A$300,$A176))</f>
        <v/>
      </c>
      <c r="E176" s="28" t="str">
        <f>IF(OR($A176&gt;MAX(Trato_Diario!$A$4:$A$300),SUMIFS(Trato_Diario!$G$4:$G$300,Trato_Diario!$B$4:$B$300,4,Trato_Diario!$A$4:$A$300,$A176)=0),"",SUMIFS(Trato_Diario!$J$4:$J$300,Trato_Diario!$B$4:$B$300,4,Trato_Diario!$A$4:$A$300,$A176)/SUMIFS(Trato_Diario!$G$4:$G$300,Trato_Diario!$B$4:$B$300,4,Trato_Diario!$A$4:$A$300,$A176))</f>
        <v/>
      </c>
      <c r="F176" s="28" t="str">
        <f>IF(OR($A176&gt;MAX(Trato_Diario!$A$4:$A$300),SUMIFS(Trato_Diario!$G$4:$G$300,Trato_Diario!$B$4:$B$300,5,Trato_Diario!$A$4:$A$300,$A176)=0),"",SUMIFS(Trato_Diario!$J$4:$J$300,Trato_Diario!$B$4:$B$300,5,Trato_Diario!$A$4:$A$300,$A176)/SUMIFS(Trato_Diario!$G$4:$G$300,Trato_Diario!$B$4:$B$300,5,Trato_Diario!$A$4:$A$300,$A176))</f>
        <v/>
      </c>
      <c r="G176" s="28" t="str">
        <f>IF(OR($A176&gt;MAX(Trato_Diario!$A$4:$A$300),SUMIFS(Trato_Diario!$G$4:$G$300,Trato_Diario!$B$4:$B$300,6,Trato_Diario!$A$4:$A$300,$A176)=0),"",SUMIFS(Trato_Diario!$J$4:$J$300,Trato_Diario!$B$4:$B$300,6,Trato_Diario!$A$4:$A$300,$A176)/SUMIFS(Trato_Diario!$G$4:$G$300,Trato_Diario!$B$4:$B$300,6,Trato_Diario!$A$4:$A$300,$A176))</f>
        <v/>
      </c>
      <c r="H176" s="28" t="str">
        <f>IF(OR($A176&gt;MAX(Trato_Diario!$A$4:$A$300),SUMIFS(Trato_Diario!$G$4:$G$300,Trato_Diario!$B$4:$B$300,7,Trato_Diario!$A$4:$A$300,$A176)=0),"",SUMIFS(Trato_Diario!$J$4:$J$300,Trato_Diario!$B$4:$B$300,7,Trato_Diario!$A$4:$A$300,$A176)/SUMIFS(Trato_Diario!$G$4:$G$300,Trato_Diario!$B$4:$B$300,7,Trato_Diario!$A$4:$A$300,$A176))</f>
        <v/>
      </c>
      <c r="I176" s="28" t="str">
        <f>IF(OR($A176&gt;MAX(Trato_Diario!$A$4:$A$300),SUMIFS(Trato_Diario!$G$4:$G$300,Trato_Diario!$B$4:$B$300,8,Trato_Diario!$A$4:$A$300,$A176)=0),"",SUMIFS(Trato_Diario!$J$4:$J$300,Trato_Diario!$B$4:$B$300,8,Trato_Diario!$A$4:$A$300,$A176)/SUMIFS(Trato_Diario!$G$4:$G$300,Trato_Diario!$B$4:$B$300,8,Trato_Diario!$A$4:$A$300,$A176))</f>
        <v/>
      </c>
      <c r="J176" s="28" t="str">
        <f>IF(OR($A176&gt;MAX(Trato_Diario!$A$4:$A$300),SUMIFS(Trato_Diario!$G$4:$G$300,Trato_Diario!$B$4:$B$300,9,Trato_Diario!$A$4:$A$300,$A176)=0),"",SUMIFS(Trato_Diario!$J$4:$J$300,Trato_Diario!$B$4:$B$300,9,Trato_Diario!$A$4:$A$300,$A176)/SUMIFS(Trato_Diario!$G$4:$G$300,Trato_Diario!$B$4:$B$300,9,Trato_Diario!$A$4:$A$300,$A176))</f>
        <v/>
      </c>
      <c r="K176" s="28" t="str">
        <f>IF(OR($A176&gt;MAX(Trato_Diario!$A$4:$A$300),SUMIFS(Trato_Diario!$G$4:$G$300,Trato_Diario!$B$4:$B$300,10,Trato_Diario!$A$4:$A$300,$A176)=0),"",SUMIFS(Trato_Diario!$J$4:$J$300,Trato_Diario!$B$4:$B$300,10,Trato_Diario!$A$4:$A$300,$A176)/SUMIFS(Trato_Diario!$G$4:$G$300,Trato_Diario!$B$4:$B$300,10,Trato_Diario!$A$4:$A$300,$A176))</f>
        <v/>
      </c>
      <c r="L176" s="76" t="str">
        <f>IF(OR($A176&gt;MAX(Trato_Diario!$A$4:$A$300),SUMIFS(Trato_Diario!$G$4:$G$300,Trato_Diario!$A$4:$A$300,$A176)=0),"",SUMIFS(Trato_Diario!$J$4:$J$300,Trato_Diario!$A$4:$A$300,$A176)/SUMIFS(Trato_Diario!$G$4:$G$300,Trato_Diario!$A$4:$A$300,$A176))</f>
        <v/>
      </c>
    </row>
    <row r="177" spans="1:12" ht="14.25" customHeight="1" x14ac:dyDescent="0.3">
      <c r="A177" s="85">
        <v>46386</v>
      </c>
      <c r="B177" s="26" t="str">
        <f>IF(OR($A177&gt;MAX(Trato_Diario!$A$4:$A$300),SUMIFS(Trato_Diario!$G$4:$G$300,Trato_Diario!$B$4:$B$300,1,Trato_Diario!$A$4:$A$300,$A177)=0),"",SUMIFS(Trato_Diario!$J$4:$J$300,Trato_Diario!$B$4:$B$300,1,Trato_Diario!$A$4:$A$300,$A177)/SUMIFS(Trato_Diario!$G$4:$G$300,Trato_Diario!$B$4:$B$300,1,Trato_Diario!$A$4:$A$300,$A177))</f>
        <v/>
      </c>
      <c r="C177" s="26" t="str">
        <f>IF(OR($A177&gt;MAX(Trato_Diario!$A$4:$A$300),SUMIFS(Trato_Diario!$G$4:$G$300,Trato_Diario!$B$4:$B$300,2,Trato_Diario!$A$4:$A$300,$A177)=0),"",SUMIFS(Trato_Diario!$J$4:$J$300,Trato_Diario!$B$4:$B$300,2,Trato_Diario!$A$4:$A$300,$A177)/SUMIFS(Trato_Diario!$G$4:$G$300,Trato_Diario!$B$4:$B$300,2,Trato_Diario!$A$4:$A$300,$A177))</f>
        <v/>
      </c>
      <c r="D177" s="26" t="str">
        <f>IF(OR($A177&gt;MAX(Trato_Diario!$A$4:$A$300),SUMIFS(Trato_Diario!$G$4:$G$300,Trato_Diario!$B$4:$B$300,3,Trato_Diario!$A$4:$A$300,$A177)=0),"",SUMIFS(Trato_Diario!$J$4:$J$300,Trato_Diario!$B$4:$B$300,3,Trato_Diario!$A$4:$A$300,$A177)/SUMIFS(Trato_Diario!$G$4:$G$300,Trato_Diario!$B$4:$B$300,3,Trato_Diario!$A$4:$A$300,$A177))</f>
        <v/>
      </c>
      <c r="E177" s="26" t="str">
        <f>IF(OR($A177&gt;MAX(Trato_Diario!$A$4:$A$300),SUMIFS(Trato_Diario!$G$4:$G$300,Trato_Diario!$B$4:$B$300,4,Trato_Diario!$A$4:$A$300,$A177)=0),"",SUMIFS(Trato_Diario!$J$4:$J$300,Trato_Diario!$B$4:$B$300,4,Trato_Diario!$A$4:$A$300,$A177)/SUMIFS(Trato_Diario!$G$4:$G$300,Trato_Diario!$B$4:$B$300,4,Trato_Diario!$A$4:$A$300,$A177))</f>
        <v/>
      </c>
      <c r="F177" s="26" t="str">
        <f>IF(OR($A177&gt;MAX(Trato_Diario!$A$4:$A$300),SUMIFS(Trato_Diario!$G$4:$G$300,Trato_Diario!$B$4:$B$300,5,Trato_Diario!$A$4:$A$300,$A177)=0),"",SUMIFS(Trato_Diario!$J$4:$J$300,Trato_Diario!$B$4:$B$300,5,Trato_Diario!$A$4:$A$300,$A177)/SUMIFS(Trato_Diario!$G$4:$G$300,Trato_Diario!$B$4:$B$300,5,Trato_Diario!$A$4:$A$300,$A177))</f>
        <v/>
      </c>
      <c r="G177" s="26" t="str">
        <f>IF(OR($A177&gt;MAX(Trato_Diario!$A$4:$A$300),SUMIFS(Trato_Diario!$G$4:$G$300,Trato_Diario!$B$4:$B$300,6,Trato_Diario!$A$4:$A$300,$A177)=0),"",SUMIFS(Trato_Diario!$J$4:$J$300,Trato_Diario!$B$4:$B$300,6,Trato_Diario!$A$4:$A$300,$A177)/SUMIFS(Trato_Diario!$G$4:$G$300,Trato_Diario!$B$4:$B$300,6,Trato_Diario!$A$4:$A$300,$A177))</f>
        <v/>
      </c>
      <c r="H177" s="26" t="str">
        <f>IF(OR($A177&gt;MAX(Trato_Diario!$A$4:$A$300),SUMIFS(Trato_Diario!$G$4:$G$300,Trato_Diario!$B$4:$B$300,7,Trato_Diario!$A$4:$A$300,$A177)=0),"",SUMIFS(Trato_Diario!$J$4:$J$300,Trato_Diario!$B$4:$B$300,7,Trato_Diario!$A$4:$A$300,$A177)/SUMIFS(Trato_Diario!$G$4:$G$300,Trato_Diario!$B$4:$B$300,7,Trato_Diario!$A$4:$A$300,$A177))</f>
        <v/>
      </c>
      <c r="I177" s="26" t="str">
        <f>IF(OR($A177&gt;MAX(Trato_Diario!$A$4:$A$300),SUMIFS(Trato_Diario!$G$4:$G$300,Trato_Diario!$B$4:$B$300,8,Trato_Diario!$A$4:$A$300,$A177)=0),"",SUMIFS(Trato_Diario!$J$4:$J$300,Trato_Diario!$B$4:$B$300,8,Trato_Diario!$A$4:$A$300,$A177)/SUMIFS(Trato_Diario!$G$4:$G$300,Trato_Diario!$B$4:$B$300,8,Trato_Diario!$A$4:$A$300,$A177))</f>
        <v/>
      </c>
      <c r="J177" s="26" t="str">
        <f>IF(OR($A177&gt;MAX(Trato_Diario!$A$4:$A$300),SUMIFS(Trato_Diario!$G$4:$G$300,Trato_Diario!$B$4:$B$300,9,Trato_Diario!$A$4:$A$300,$A177)=0),"",SUMIFS(Trato_Diario!$J$4:$J$300,Trato_Diario!$B$4:$B$300,9,Trato_Diario!$A$4:$A$300,$A177)/SUMIFS(Trato_Diario!$G$4:$G$300,Trato_Diario!$B$4:$B$300,9,Trato_Diario!$A$4:$A$300,$A177))</f>
        <v/>
      </c>
      <c r="K177" s="26" t="str">
        <f>IF(OR($A177&gt;MAX(Trato_Diario!$A$4:$A$300),SUMIFS(Trato_Diario!$G$4:$G$300,Trato_Diario!$B$4:$B$300,10,Trato_Diario!$A$4:$A$300,$A177)=0),"",SUMIFS(Trato_Diario!$J$4:$J$300,Trato_Diario!$B$4:$B$300,10,Trato_Diario!$A$4:$A$300,$A177)/SUMIFS(Trato_Diario!$G$4:$G$300,Trato_Diario!$B$4:$B$300,10,Trato_Diario!$A$4:$A$300,$A177))</f>
        <v/>
      </c>
      <c r="L177" s="74" t="str">
        <f>IF(OR($A177&gt;MAX(Trato_Diario!$A$4:$A$300),SUMIFS(Trato_Diario!$G$4:$G$300,Trato_Diario!$A$4:$A$300,$A177)=0),"",SUMIFS(Trato_Diario!$J$4:$J$300,Trato_Diario!$A$4:$A$300,$A177)/SUMIFS(Trato_Diario!$G$4:$G$300,Trato_Diario!$A$4:$A$300,$A177))</f>
        <v/>
      </c>
    </row>
    <row r="178" spans="1:12" ht="14.25" customHeight="1" x14ac:dyDescent="0.3">
      <c r="A178" s="86">
        <v>46387</v>
      </c>
      <c r="B178" s="28" t="str">
        <f>IF(OR($A178&gt;MAX(Trato_Diario!$A$4:$A$300),SUMIFS(Trato_Diario!$G$4:$G$300,Trato_Diario!$B$4:$B$300,1,Trato_Diario!$A$4:$A$300,$A178)=0),"",SUMIFS(Trato_Diario!$J$4:$J$300,Trato_Diario!$B$4:$B$300,1,Trato_Diario!$A$4:$A$300,$A178)/SUMIFS(Trato_Diario!$G$4:$G$300,Trato_Diario!$B$4:$B$300,1,Trato_Diario!$A$4:$A$300,$A178))</f>
        <v/>
      </c>
      <c r="C178" s="28" t="str">
        <f>IF(OR($A178&gt;MAX(Trato_Diario!$A$4:$A$300),SUMIFS(Trato_Diario!$G$4:$G$300,Trato_Diario!$B$4:$B$300,2,Trato_Diario!$A$4:$A$300,$A178)=0),"",SUMIFS(Trato_Diario!$J$4:$J$300,Trato_Diario!$B$4:$B$300,2,Trato_Diario!$A$4:$A$300,$A178)/SUMIFS(Trato_Diario!$G$4:$G$300,Trato_Diario!$B$4:$B$300,2,Trato_Diario!$A$4:$A$300,$A178))</f>
        <v/>
      </c>
      <c r="D178" s="28" t="str">
        <f>IF(OR($A178&gt;MAX(Trato_Diario!$A$4:$A$300),SUMIFS(Trato_Diario!$G$4:$G$300,Trato_Diario!$B$4:$B$300,3,Trato_Diario!$A$4:$A$300,$A178)=0),"",SUMIFS(Trato_Diario!$J$4:$J$300,Trato_Diario!$B$4:$B$300,3,Trato_Diario!$A$4:$A$300,$A178)/SUMIFS(Trato_Diario!$G$4:$G$300,Trato_Diario!$B$4:$B$300,3,Trato_Diario!$A$4:$A$300,$A178))</f>
        <v/>
      </c>
      <c r="E178" s="28" t="str">
        <f>IF(OR($A178&gt;MAX(Trato_Diario!$A$4:$A$300),SUMIFS(Trato_Diario!$G$4:$G$300,Trato_Diario!$B$4:$B$300,4,Trato_Diario!$A$4:$A$300,$A178)=0),"",SUMIFS(Trato_Diario!$J$4:$J$300,Trato_Diario!$B$4:$B$300,4,Trato_Diario!$A$4:$A$300,$A178)/SUMIFS(Trato_Diario!$G$4:$G$300,Trato_Diario!$B$4:$B$300,4,Trato_Diario!$A$4:$A$300,$A178))</f>
        <v/>
      </c>
      <c r="F178" s="28" t="str">
        <f>IF(OR($A178&gt;MAX(Trato_Diario!$A$4:$A$300),SUMIFS(Trato_Diario!$G$4:$G$300,Trato_Diario!$B$4:$B$300,5,Trato_Diario!$A$4:$A$300,$A178)=0),"",SUMIFS(Trato_Diario!$J$4:$J$300,Trato_Diario!$B$4:$B$300,5,Trato_Diario!$A$4:$A$300,$A178)/SUMIFS(Trato_Diario!$G$4:$G$300,Trato_Diario!$B$4:$B$300,5,Trato_Diario!$A$4:$A$300,$A178))</f>
        <v/>
      </c>
      <c r="G178" s="28" t="str">
        <f>IF(OR($A178&gt;MAX(Trato_Diario!$A$4:$A$300),SUMIFS(Trato_Diario!$G$4:$G$300,Trato_Diario!$B$4:$B$300,6,Trato_Diario!$A$4:$A$300,$A178)=0),"",SUMIFS(Trato_Diario!$J$4:$J$300,Trato_Diario!$B$4:$B$300,6,Trato_Diario!$A$4:$A$300,$A178)/SUMIFS(Trato_Diario!$G$4:$G$300,Trato_Diario!$B$4:$B$300,6,Trato_Diario!$A$4:$A$300,$A178))</f>
        <v/>
      </c>
      <c r="H178" s="28" t="str">
        <f>IF(OR($A178&gt;MAX(Trato_Diario!$A$4:$A$300),SUMIFS(Trato_Diario!$G$4:$G$300,Trato_Diario!$B$4:$B$300,7,Trato_Diario!$A$4:$A$300,$A178)=0),"",SUMIFS(Trato_Diario!$J$4:$J$300,Trato_Diario!$B$4:$B$300,7,Trato_Diario!$A$4:$A$300,$A178)/SUMIFS(Trato_Diario!$G$4:$G$300,Trato_Diario!$B$4:$B$300,7,Trato_Diario!$A$4:$A$300,$A178))</f>
        <v/>
      </c>
      <c r="I178" s="28" t="str">
        <f>IF(OR($A178&gt;MAX(Trato_Diario!$A$4:$A$300),SUMIFS(Trato_Diario!$G$4:$G$300,Trato_Diario!$B$4:$B$300,8,Trato_Diario!$A$4:$A$300,$A178)=0),"",SUMIFS(Trato_Diario!$J$4:$J$300,Trato_Diario!$B$4:$B$300,8,Trato_Diario!$A$4:$A$300,$A178)/SUMIFS(Trato_Diario!$G$4:$G$300,Trato_Diario!$B$4:$B$300,8,Trato_Diario!$A$4:$A$300,$A178))</f>
        <v/>
      </c>
      <c r="J178" s="28" t="str">
        <f>IF(OR($A178&gt;MAX(Trato_Diario!$A$4:$A$300),SUMIFS(Trato_Diario!$G$4:$G$300,Trato_Diario!$B$4:$B$300,9,Trato_Diario!$A$4:$A$300,$A178)=0),"",SUMIFS(Trato_Diario!$J$4:$J$300,Trato_Diario!$B$4:$B$300,9,Trato_Diario!$A$4:$A$300,$A178)/SUMIFS(Trato_Diario!$G$4:$G$300,Trato_Diario!$B$4:$B$300,9,Trato_Diario!$A$4:$A$300,$A178))</f>
        <v/>
      </c>
      <c r="K178" s="28" t="str">
        <f>IF(OR($A178&gt;MAX(Trato_Diario!$A$4:$A$300),SUMIFS(Trato_Diario!$G$4:$G$300,Trato_Diario!$B$4:$B$300,10,Trato_Diario!$A$4:$A$300,$A178)=0),"",SUMIFS(Trato_Diario!$J$4:$J$300,Trato_Diario!$B$4:$B$300,10,Trato_Diario!$A$4:$A$300,$A178)/SUMIFS(Trato_Diario!$G$4:$G$300,Trato_Diario!$B$4:$B$300,10,Trato_Diario!$A$4:$A$300,$A178))</f>
        <v/>
      </c>
      <c r="L178" s="76" t="str">
        <f>IF(OR($A178&gt;MAX(Trato_Diario!$A$4:$A$300),SUMIFS(Trato_Diario!$G$4:$G$300,Trato_Diario!$A$4:$A$300,$A178)=0),"",SUMIFS(Trato_Diario!$J$4:$J$300,Trato_Diario!$A$4:$A$300,$A178)/SUMIFS(Trato_Diario!$G$4:$G$300,Trato_Diario!$A$4:$A$300,$A178))</f>
        <v/>
      </c>
    </row>
    <row r="179" spans="1:12" ht="14.25" customHeight="1" x14ac:dyDescent="0.3">
      <c r="A179" s="85">
        <v>46388</v>
      </c>
      <c r="B179" s="26" t="str">
        <f>IF(OR($A179&gt;MAX(Trato_Diario!$A$4:$A$300),SUMIFS(Trato_Diario!$G$4:$G$300,Trato_Diario!$B$4:$B$300,1,Trato_Diario!$A$4:$A$300,$A179)=0),"",SUMIFS(Trato_Diario!$J$4:$J$300,Trato_Diario!$B$4:$B$300,1,Trato_Diario!$A$4:$A$300,$A179)/SUMIFS(Trato_Diario!$G$4:$G$300,Trato_Diario!$B$4:$B$300,1,Trato_Diario!$A$4:$A$300,$A179))</f>
        <v/>
      </c>
      <c r="C179" s="26" t="str">
        <f>IF(OR($A179&gt;MAX(Trato_Diario!$A$4:$A$300),SUMIFS(Trato_Diario!$G$4:$G$300,Trato_Diario!$B$4:$B$300,2,Trato_Diario!$A$4:$A$300,$A179)=0),"",SUMIFS(Trato_Diario!$J$4:$J$300,Trato_Diario!$B$4:$B$300,2,Trato_Diario!$A$4:$A$300,$A179)/SUMIFS(Trato_Diario!$G$4:$G$300,Trato_Diario!$B$4:$B$300,2,Trato_Diario!$A$4:$A$300,$A179))</f>
        <v/>
      </c>
      <c r="D179" s="26" t="str">
        <f>IF(OR($A179&gt;MAX(Trato_Diario!$A$4:$A$300),SUMIFS(Trato_Diario!$G$4:$G$300,Trato_Diario!$B$4:$B$300,3,Trato_Diario!$A$4:$A$300,$A179)=0),"",SUMIFS(Trato_Diario!$J$4:$J$300,Trato_Diario!$B$4:$B$300,3,Trato_Diario!$A$4:$A$300,$A179)/SUMIFS(Trato_Diario!$G$4:$G$300,Trato_Diario!$B$4:$B$300,3,Trato_Diario!$A$4:$A$300,$A179))</f>
        <v/>
      </c>
      <c r="E179" s="26" t="str">
        <f>IF(OR($A179&gt;MAX(Trato_Diario!$A$4:$A$300),SUMIFS(Trato_Diario!$G$4:$G$300,Trato_Diario!$B$4:$B$300,4,Trato_Diario!$A$4:$A$300,$A179)=0),"",SUMIFS(Trato_Diario!$J$4:$J$300,Trato_Diario!$B$4:$B$300,4,Trato_Diario!$A$4:$A$300,$A179)/SUMIFS(Trato_Diario!$G$4:$G$300,Trato_Diario!$B$4:$B$300,4,Trato_Diario!$A$4:$A$300,$A179))</f>
        <v/>
      </c>
      <c r="F179" s="26" t="str">
        <f>IF(OR($A179&gt;MAX(Trato_Diario!$A$4:$A$300),SUMIFS(Trato_Diario!$G$4:$G$300,Trato_Diario!$B$4:$B$300,5,Trato_Diario!$A$4:$A$300,$A179)=0),"",SUMIFS(Trato_Diario!$J$4:$J$300,Trato_Diario!$B$4:$B$300,5,Trato_Diario!$A$4:$A$300,$A179)/SUMIFS(Trato_Diario!$G$4:$G$300,Trato_Diario!$B$4:$B$300,5,Trato_Diario!$A$4:$A$300,$A179))</f>
        <v/>
      </c>
      <c r="G179" s="26" t="str">
        <f>IF(OR($A179&gt;MAX(Trato_Diario!$A$4:$A$300),SUMIFS(Trato_Diario!$G$4:$G$300,Trato_Diario!$B$4:$B$300,6,Trato_Diario!$A$4:$A$300,$A179)=0),"",SUMIFS(Trato_Diario!$J$4:$J$300,Trato_Diario!$B$4:$B$300,6,Trato_Diario!$A$4:$A$300,$A179)/SUMIFS(Trato_Diario!$G$4:$G$300,Trato_Diario!$B$4:$B$300,6,Trato_Diario!$A$4:$A$300,$A179))</f>
        <v/>
      </c>
      <c r="H179" s="26" t="str">
        <f>IF(OR($A179&gt;MAX(Trato_Diario!$A$4:$A$300),SUMIFS(Trato_Diario!$G$4:$G$300,Trato_Diario!$B$4:$B$300,7,Trato_Diario!$A$4:$A$300,$A179)=0),"",SUMIFS(Trato_Diario!$J$4:$J$300,Trato_Diario!$B$4:$B$300,7,Trato_Diario!$A$4:$A$300,$A179)/SUMIFS(Trato_Diario!$G$4:$G$300,Trato_Diario!$B$4:$B$300,7,Trato_Diario!$A$4:$A$300,$A179))</f>
        <v/>
      </c>
      <c r="I179" s="26" t="str">
        <f>IF(OR($A179&gt;MAX(Trato_Diario!$A$4:$A$300),SUMIFS(Trato_Diario!$G$4:$G$300,Trato_Diario!$B$4:$B$300,8,Trato_Diario!$A$4:$A$300,$A179)=0),"",SUMIFS(Trato_Diario!$J$4:$J$300,Trato_Diario!$B$4:$B$300,8,Trato_Diario!$A$4:$A$300,$A179)/SUMIFS(Trato_Diario!$G$4:$G$300,Trato_Diario!$B$4:$B$300,8,Trato_Diario!$A$4:$A$300,$A179))</f>
        <v/>
      </c>
      <c r="J179" s="26" t="str">
        <f>IF(OR($A179&gt;MAX(Trato_Diario!$A$4:$A$300),SUMIFS(Trato_Diario!$G$4:$G$300,Trato_Diario!$B$4:$B$300,9,Trato_Diario!$A$4:$A$300,$A179)=0),"",SUMIFS(Trato_Diario!$J$4:$J$300,Trato_Diario!$B$4:$B$300,9,Trato_Diario!$A$4:$A$300,$A179)/SUMIFS(Trato_Diario!$G$4:$G$300,Trato_Diario!$B$4:$B$300,9,Trato_Diario!$A$4:$A$300,$A179))</f>
        <v/>
      </c>
      <c r="K179" s="26" t="str">
        <f>IF(OR($A179&gt;MAX(Trato_Diario!$A$4:$A$300),SUMIFS(Trato_Diario!$G$4:$G$300,Trato_Diario!$B$4:$B$300,10,Trato_Diario!$A$4:$A$300,$A179)=0),"",SUMIFS(Trato_Diario!$J$4:$J$300,Trato_Diario!$B$4:$B$300,10,Trato_Diario!$A$4:$A$300,$A179)/SUMIFS(Trato_Diario!$G$4:$G$300,Trato_Diario!$B$4:$B$300,10,Trato_Diario!$A$4:$A$300,$A179))</f>
        <v/>
      </c>
      <c r="L179" s="74" t="str">
        <f>IF(OR($A179&gt;MAX(Trato_Diario!$A$4:$A$300),SUMIFS(Trato_Diario!$G$4:$G$300,Trato_Diario!$A$4:$A$300,$A179)=0),"",SUMIFS(Trato_Diario!$J$4:$J$300,Trato_Diario!$A$4:$A$300,$A179)/SUMIFS(Trato_Diario!$G$4:$G$300,Trato_Diario!$A$4:$A$300,$A179))</f>
        <v/>
      </c>
    </row>
    <row r="180" spans="1:12" ht="14.25" customHeight="1" x14ac:dyDescent="0.3">
      <c r="A180" s="86">
        <v>46389</v>
      </c>
      <c r="B180" s="28" t="str">
        <f>IF(OR($A180&gt;MAX(Trato_Diario!$A$4:$A$300),SUMIFS(Trato_Diario!$G$4:$G$300,Trato_Diario!$B$4:$B$300,1,Trato_Diario!$A$4:$A$300,$A180)=0),"",SUMIFS(Trato_Diario!$J$4:$J$300,Trato_Diario!$B$4:$B$300,1,Trato_Diario!$A$4:$A$300,$A180)/SUMIFS(Trato_Diario!$G$4:$G$300,Trato_Diario!$B$4:$B$300,1,Trato_Diario!$A$4:$A$300,$A180))</f>
        <v/>
      </c>
      <c r="C180" s="28" t="str">
        <f>IF(OR($A180&gt;MAX(Trato_Diario!$A$4:$A$300),SUMIFS(Trato_Diario!$G$4:$G$300,Trato_Diario!$B$4:$B$300,2,Trato_Diario!$A$4:$A$300,$A180)=0),"",SUMIFS(Trato_Diario!$J$4:$J$300,Trato_Diario!$B$4:$B$300,2,Trato_Diario!$A$4:$A$300,$A180)/SUMIFS(Trato_Diario!$G$4:$G$300,Trato_Diario!$B$4:$B$300,2,Trato_Diario!$A$4:$A$300,$A180))</f>
        <v/>
      </c>
      <c r="D180" s="28" t="str">
        <f>IF(OR($A180&gt;MAX(Trato_Diario!$A$4:$A$300),SUMIFS(Trato_Diario!$G$4:$G$300,Trato_Diario!$B$4:$B$300,3,Trato_Diario!$A$4:$A$300,$A180)=0),"",SUMIFS(Trato_Diario!$J$4:$J$300,Trato_Diario!$B$4:$B$300,3,Trato_Diario!$A$4:$A$300,$A180)/SUMIFS(Trato_Diario!$G$4:$G$300,Trato_Diario!$B$4:$B$300,3,Trato_Diario!$A$4:$A$300,$A180))</f>
        <v/>
      </c>
      <c r="E180" s="28" t="str">
        <f>IF(OR($A180&gt;MAX(Trato_Diario!$A$4:$A$300),SUMIFS(Trato_Diario!$G$4:$G$300,Trato_Diario!$B$4:$B$300,4,Trato_Diario!$A$4:$A$300,$A180)=0),"",SUMIFS(Trato_Diario!$J$4:$J$300,Trato_Diario!$B$4:$B$300,4,Trato_Diario!$A$4:$A$300,$A180)/SUMIFS(Trato_Diario!$G$4:$G$300,Trato_Diario!$B$4:$B$300,4,Trato_Diario!$A$4:$A$300,$A180))</f>
        <v/>
      </c>
      <c r="F180" s="28" t="str">
        <f>IF(OR($A180&gt;MAX(Trato_Diario!$A$4:$A$300),SUMIFS(Trato_Diario!$G$4:$G$300,Trato_Diario!$B$4:$B$300,5,Trato_Diario!$A$4:$A$300,$A180)=0),"",SUMIFS(Trato_Diario!$J$4:$J$300,Trato_Diario!$B$4:$B$300,5,Trato_Diario!$A$4:$A$300,$A180)/SUMIFS(Trato_Diario!$G$4:$G$300,Trato_Diario!$B$4:$B$300,5,Trato_Diario!$A$4:$A$300,$A180))</f>
        <v/>
      </c>
      <c r="G180" s="28" t="str">
        <f>IF(OR($A180&gt;MAX(Trato_Diario!$A$4:$A$300),SUMIFS(Trato_Diario!$G$4:$G$300,Trato_Diario!$B$4:$B$300,6,Trato_Diario!$A$4:$A$300,$A180)=0),"",SUMIFS(Trato_Diario!$J$4:$J$300,Trato_Diario!$B$4:$B$300,6,Trato_Diario!$A$4:$A$300,$A180)/SUMIFS(Trato_Diario!$G$4:$G$300,Trato_Diario!$B$4:$B$300,6,Trato_Diario!$A$4:$A$300,$A180))</f>
        <v/>
      </c>
      <c r="H180" s="28" t="str">
        <f>IF(OR($A180&gt;MAX(Trato_Diario!$A$4:$A$300),SUMIFS(Trato_Diario!$G$4:$G$300,Trato_Diario!$B$4:$B$300,7,Trato_Diario!$A$4:$A$300,$A180)=0),"",SUMIFS(Trato_Diario!$J$4:$J$300,Trato_Diario!$B$4:$B$300,7,Trato_Diario!$A$4:$A$300,$A180)/SUMIFS(Trato_Diario!$G$4:$G$300,Trato_Diario!$B$4:$B$300,7,Trato_Diario!$A$4:$A$300,$A180))</f>
        <v/>
      </c>
      <c r="I180" s="28" t="str">
        <f>IF(OR($A180&gt;MAX(Trato_Diario!$A$4:$A$300),SUMIFS(Trato_Diario!$G$4:$G$300,Trato_Diario!$B$4:$B$300,8,Trato_Diario!$A$4:$A$300,$A180)=0),"",SUMIFS(Trato_Diario!$J$4:$J$300,Trato_Diario!$B$4:$B$300,8,Trato_Diario!$A$4:$A$300,$A180)/SUMIFS(Trato_Diario!$G$4:$G$300,Trato_Diario!$B$4:$B$300,8,Trato_Diario!$A$4:$A$300,$A180))</f>
        <v/>
      </c>
      <c r="J180" s="28" t="str">
        <f>IF(OR($A180&gt;MAX(Trato_Diario!$A$4:$A$300),SUMIFS(Trato_Diario!$G$4:$G$300,Trato_Diario!$B$4:$B$300,9,Trato_Diario!$A$4:$A$300,$A180)=0),"",SUMIFS(Trato_Diario!$J$4:$J$300,Trato_Diario!$B$4:$B$300,9,Trato_Diario!$A$4:$A$300,$A180)/SUMIFS(Trato_Diario!$G$4:$G$300,Trato_Diario!$B$4:$B$300,9,Trato_Diario!$A$4:$A$300,$A180))</f>
        <v/>
      </c>
      <c r="K180" s="28" t="str">
        <f>IF(OR($A180&gt;MAX(Trato_Diario!$A$4:$A$300),SUMIFS(Trato_Diario!$G$4:$G$300,Trato_Diario!$B$4:$B$300,10,Trato_Diario!$A$4:$A$300,$A180)=0),"",SUMIFS(Trato_Diario!$J$4:$J$300,Trato_Diario!$B$4:$B$300,10,Trato_Diario!$A$4:$A$300,$A180)/SUMIFS(Trato_Diario!$G$4:$G$300,Trato_Diario!$B$4:$B$300,10,Trato_Diario!$A$4:$A$300,$A180))</f>
        <v/>
      </c>
      <c r="L180" s="76" t="str">
        <f>IF(OR($A180&gt;MAX(Trato_Diario!$A$4:$A$300),SUMIFS(Trato_Diario!$G$4:$G$300,Trato_Diario!$A$4:$A$300,$A180)=0),"",SUMIFS(Trato_Diario!$J$4:$J$300,Trato_Diario!$A$4:$A$300,$A180)/SUMIFS(Trato_Diario!$G$4:$G$300,Trato_Diario!$A$4:$A$300,$A180))</f>
        <v/>
      </c>
    </row>
    <row r="181" spans="1:12" ht="14.25" customHeight="1" x14ac:dyDescent="0.3">
      <c r="A181" s="85">
        <v>46390</v>
      </c>
      <c r="B181" s="26" t="str">
        <f>IF(OR($A181&gt;MAX(Trato_Diario!$A$4:$A$300),SUMIFS(Trato_Diario!$G$4:$G$300,Trato_Diario!$B$4:$B$300,1,Trato_Diario!$A$4:$A$300,$A181)=0),"",SUMIFS(Trato_Diario!$J$4:$J$300,Trato_Diario!$B$4:$B$300,1,Trato_Diario!$A$4:$A$300,$A181)/SUMIFS(Trato_Diario!$G$4:$G$300,Trato_Diario!$B$4:$B$300,1,Trato_Diario!$A$4:$A$300,$A181))</f>
        <v/>
      </c>
      <c r="C181" s="26" t="str">
        <f>IF(OR($A181&gt;MAX(Trato_Diario!$A$4:$A$300),SUMIFS(Trato_Diario!$G$4:$G$300,Trato_Diario!$B$4:$B$300,2,Trato_Diario!$A$4:$A$300,$A181)=0),"",SUMIFS(Trato_Diario!$J$4:$J$300,Trato_Diario!$B$4:$B$300,2,Trato_Diario!$A$4:$A$300,$A181)/SUMIFS(Trato_Diario!$G$4:$G$300,Trato_Diario!$B$4:$B$300,2,Trato_Diario!$A$4:$A$300,$A181))</f>
        <v/>
      </c>
      <c r="D181" s="26" t="str">
        <f>IF(OR($A181&gt;MAX(Trato_Diario!$A$4:$A$300),SUMIFS(Trato_Diario!$G$4:$G$300,Trato_Diario!$B$4:$B$300,3,Trato_Diario!$A$4:$A$300,$A181)=0),"",SUMIFS(Trato_Diario!$J$4:$J$300,Trato_Diario!$B$4:$B$300,3,Trato_Diario!$A$4:$A$300,$A181)/SUMIFS(Trato_Diario!$G$4:$G$300,Trato_Diario!$B$4:$B$300,3,Trato_Diario!$A$4:$A$300,$A181))</f>
        <v/>
      </c>
      <c r="E181" s="26" t="str">
        <f>IF(OR($A181&gt;MAX(Trato_Diario!$A$4:$A$300),SUMIFS(Trato_Diario!$G$4:$G$300,Trato_Diario!$B$4:$B$300,4,Trato_Diario!$A$4:$A$300,$A181)=0),"",SUMIFS(Trato_Diario!$J$4:$J$300,Trato_Diario!$B$4:$B$300,4,Trato_Diario!$A$4:$A$300,$A181)/SUMIFS(Trato_Diario!$G$4:$G$300,Trato_Diario!$B$4:$B$300,4,Trato_Diario!$A$4:$A$300,$A181))</f>
        <v/>
      </c>
      <c r="F181" s="26" t="str">
        <f>IF(OR($A181&gt;MAX(Trato_Diario!$A$4:$A$300),SUMIFS(Trato_Diario!$G$4:$G$300,Trato_Diario!$B$4:$B$300,5,Trato_Diario!$A$4:$A$300,$A181)=0),"",SUMIFS(Trato_Diario!$J$4:$J$300,Trato_Diario!$B$4:$B$300,5,Trato_Diario!$A$4:$A$300,$A181)/SUMIFS(Trato_Diario!$G$4:$G$300,Trato_Diario!$B$4:$B$300,5,Trato_Diario!$A$4:$A$300,$A181))</f>
        <v/>
      </c>
      <c r="G181" s="26" t="str">
        <f>IF(OR($A181&gt;MAX(Trato_Diario!$A$4:$A$300),SUMIFS(Trato_Diario!$G$4:$G$300,Trato_Diario!$B$4:$B$300,6,Trato_Diario!$A$4:$A$300,$A181)=0),"",SUMIFS(Trato_Diario!$J$4:$J$300,Trato_Diario!$B$4:$B$300,6,Trato_Diario!$A$4:$A$300,$A181)/SUMIFS(Trato_Diario!$G$4:$G$300,Trato_Diario!$B$4:$B$300,6,Trato_Diario!$A$4:$A$300,$A181))</f>
        <v/>
      </c>
      <c r="H181" s="26" t="str">
        <f>IF(OR($A181&gt;MAX(Trato_Diario!$A$4:$A$300),SUMIFS(Trato_Diario!$G$4:$G$300,Trato_Diario!$B$4:$B$300,7,Trato_Diario!$A$4:$A$300,$A181)=0),"",SUMIFS(Trato_Diario!$J$4:$J$300,Trato_Diario!$B$4:$B$300,7,Trato_Diario!$A$4:$A$300,$A181)/SUMIFS(Trato_Diario!$G$4:$G$300,Trato_Diario!$B$4:$B$300,7,Trato_Diario!$A$4:$A$300,$A181))</f>
        <v/>
      </c>
      <c r="I181" s="26" t="str">
        <f>IF(OR($A181&gt;MAX(Trato_Diario!$A$4:$A$300),SUMIFS(Trato_Diario!$G$4:$G$300,Trato_Diario!$B$4:$B$300,8,Trato_Diario!$A$4:$A$300,$A181)=0),"",SUMIFS(Trato_Diario!$J$4:$J$300,Trato_Diario!$B$4:$B$300,8,Trato_Diario!$A$4:$A$300,$A181)/SUMIFS(Trato_Diario!$G$4:$G$300,Trato_Diario!$B$4:$B$300,8,Trato_Diario!$A$4:$A$300,$A181))</f>
        <v/>
      </c>
      <c r="J181" s="26" t="str">
        <f>IF(OR($A181&gt;MAX(Trato_Diario!$A$4:$A$300),SUMIFS(Trato_Diario!$G$4:$G$300,Trato_Diario!$B$4:$B$300,9,Trato_Diario!$A$4:$A$300,$A181)=0),"",SUMIFS(Trato_Diario!$J$4:$J$300,Trato_Diario!$B$4:$B$300,9,Trato_Diario!$A$4:$A$300,$A181)/SUMIFS(Trato_Diario!$G$4:$G$300,Trato_Diario!$B$4:$B$300,9,Trato_Diario!$A$4:$A$300,$A181))</f>
        <v/>
      </c>
      <c r="K181" s="26" t="str">
        <f>IF(OR($A181&gt;MAX(Trato_Diario!$A$4:$A$300),SUMIFS(Trato_Diario!$G$4:$G$300,Trato_Diario!$B$4:$B$300,10,Trato_Diario!$A$4:$A$300,$A181)=0),"",SUMIFS(Trato_Diario!$J$4:$J$300,Trato_Diario!$B$4:$B$300,10,Trato_Diario!$A$4:$A$300,$A181)/SUMIFS(Trato_Diario!$G$4:$G$300,Trato_Diario!$B$4:$B$300,10,Trato_Diario!$A$4:$A$300,$A181))</f>
        <v/>
      </c>
      <c r="L181" s="74" t="str">
        <f>IF(OR($A181&gt;MAX(Trato_Diario!$A$4:$A$300),SUMIFS(Trato_Diario!$G$4:$G$300,Trato_Diario!$A$4:$A$300,$A181)=0),"",SUMIFS(Trato_Diario!$J$4:$J$300,Trato_Diario!$A$4:$A$300,$A181)/SUMIFS(Trato_Diario!$G$4:$G$300,Trato_Diario!$A$4:$A$300,$A181))</f>
        <v/>
      </c>
    </row>
    <row r="182" spans="1:12" ht="14.25" customHeight="1" x14ac:dyDescent="0.3">
      <c r="A182" s="86">
        <v>46391</v>
      </c>
      <c r="B182" s="28" t="str">
        <f>IF(OR($A182&gt;MAX(Trato_Diario!$A$4:$A$300),SUMIFS(Trato_Diario!$G$4:$G$300,Trato_Diario!$B$4:$B$300,1,Trato_Diario!$A$4:$A$300,$A182)=0),"",SUMIFS(Trato_Diario!$J$4:$J$300,Trato_Diario!$B$4:$B$300,1,Trato_Diario!$A$4:$A$300,$A182)/SUMIFS(Trato_Diario!$G$4:$G$300,Trato_Diario!$B$4:$B$300,1,Trato_Diario!$A$4:$A$300,$A182))</f>
        <v/>
      </c>
      <c r="C182" s="28" t="str">
        <f>IF(OR($A182&gt;MAX(Trato_Diario!$A$4:$A$300),SUMIFS(Trato_Diario!$G$4:$G$300,Trato_Diario!$B$4:$B$300,2,Trato_Diario!$A$4:$A$300,$A182)=0),"",SUMIFS(Trato_Diario!$J$4:$J$300,Trato_Diario!$B$4:$B$300,2,Trato_Diario!$A$4:$A$300,$A182)/SUMIFS(Trato_Diario!$G$4:$G$300,Trato_Diario!$B$4:$B$300,2,Trato_Diario!$A$4:$A$300,$A182))</f>
        <v/>
      </c>
      <c r="D182" s="28" t="str">
        <f>IF(OR($A182&gt;MAX(Trato_Diario!$A$4:$A$300),SUMIFS(Trato_Diario!$G$4:$G$300,Trato_Diario!$B$4:$B$300,3,Trato_Diario!$A$4:$A$300,$A182)=0),"",SUMIFS(Trato_Diario!$J$4:$J$300,Trato_Diario!$B$4:$B$300,3,Trato_Diario!$A$4:$A$300,$A182)/SUMIFS(Trato_Diario!$G$4:$G$300,Trato_Diario!$B$4:$B$300,3,Trato_Diario!$A$4:$A$300,$A182))</f>
        <v/>
      </c>
      <c r="E182" s="28" t="str">
        <f>IF(OR($A182&gt;MAX(Trato_Diario!$A$4:$A$300),SUMIFS(Trato_Diario!$G$4:$G$300,Trato_Diario!$B$4:$B$300,4,Trato_Diario!$A$4:$A$300,$A182)=0),"",SUMIFS(Trato_Diario!$J$4:$J$300,Trato_Diario!$B$4:$B$300,4,Trato_Diario!$A$4:$A$300,$A182)/SUMIFS(Trato_Diario!$G$4:$G$300,Trato_Diario!$B$4:$B$300,4,Trato_Diario!$A$4:$A$300,$A182))</f>
        <v/>
      </c>
      <c r="F182" s="28" t="str">
        <f>IF(OR($A182&gt;MAX(Trato_Diario!$A$4:$A$300),SUMIFS(Trato_Diario!$G$4:$G$300,Trato_Diario!$B$4:$B$300,5,Trato_Diario!$A$4:$A$300,$A182)=0),"",SUMIFS(Trato_Diario!$J$4:$J$300,Trato_Diario!$B$4:$B$300,5,Trato_Diario!$A$4:$A$300,$A182)/SUMIFS(Trato_Diario!$G$4:$G$300,Trato_Diario!$B$4:$B$300,5,Trato_Diario!$A$4:$A$300,$A182))</f>
        <v/>
      </c>
      <c r="G182" s="28" t="str">
        <f>IF(OR($A182&gt;MAX(Trato_Diario!$A$4:$A$300),SUMIFS(Trato_Diario!$G$4:$G$300,Trato_Diario!$B$4:$B$300,6,Trato_Diario!$A$4:$A$300,$A182)=0),"",SUMIFS(Trato_Diario!$J$4:$J$300,Trato_Diario!$B$4:$B$300,6,Trato_Diario!$A$4:$A$300,$A182)/SUMIFS(Trato_Diario!$G$4:$G$300,Trato_Diario!$B$4:$B$300,6,Trato_Diario!$A$4:$A$300,$A182))</f>
        <v/>
      </c>
      <c r="H182" s="28" t="str">
        <f>IF(OR($A182&gt;MAX(Trato_Diario!$A$4:$A$300),SUMIFS(Trato_Diario!$G$4:$G$300,Trato_Diario!$B$4:$B$300,7,Trato_Diario!$A$4:$A$300,$A182)=0),"",SUMIFS(Trato_Diario!$J$4:$J$300,Trato_Diario!$B$4:$B$300,7,Trato_Diario!$A$4:$A$300,$A182)/SUMIFS(Trato_Diario!$G$4:$G$300,Trato_Diario!$B$4:$B$300,7,Trato_Diario!$A$4:$A$300,$A182))</f>
        <v/>
      </c>
      <c r="I182" s="28" t="str">
        <f>IF(OR($A182&gt;MAX(Trato_Diario!$A$4:$A$300),SUMIFS(Trato_Diario!$G$4:$G$300,Trato_Diario!$B$4:$B$300,8,Trato_Diario!$A$4:$A$300,$A182)=0),"",SUMIFS(Trato_Diario!$J$4:$J$300,Trato_Diario!$B$4:$B$300,8,Trato_Diario!$A$4:$A$300,$A182)/SUMIFS(Trato_Diario!$G$4:$G$300,Trato_Diario!$B$4:$B$300,8,Trato_Diario!$A$4:$A$300,$A182))</f>
        <v/>
      </c>
      <c r="J182" s="28" t="str">
        <f>IF(OR($A182&gt;MAX(Trato_Diario!$A$4:$A$300),SUMIFS(Trato_Diario!$G$4:$G$300,Trato_Diario!$B$4:$B$300,9,Trato_Diario!$A$4:$A$300,$A182)=0),"",SUMIFS(Trato_Diario!$J$4:$J$300,Trato_Diario!$B$4:$B$300,9,Trato_Diario!$A$4:$A$300,$A182)/SUMIFS(Trato_Diario!$G$4:$G$300,Trato_Diario!$B$4:$B$300,9,Trato_Diario!$A$4:$A$300,$A182))</f>
        <v/>
      </c>
      <c r="K182" s="28" t="str">
        <f>IF(OR($A182&gt;MAX(Trato_Diario!$A$4:$A$300),SUMIFS(Trato_Diario!$G$4:$G$300,Trato_Diario!$B$4:$B$300,10,Trato_Diario!$A$4:$A$300,$A182)=0),"",SUMIFS(Trato_Diario!$J$4:$J$300,Trato_Diario!$B$4:$B$300,10,Trato_Diario!$A$4:$A$300,$A182)/SUMIFS(Trato_Diario!$G$4:$G$300,Trato_Diario!$B$4:$B$300,10,Trato_Diario!$A$4:$A$300,$A182))</f>
        <v/>
      </c>
      <c r="L182" s="76" t="str">
        <f>IF(OR($A182&gt;MAX(Trato_Diario!$A$4:$A$300),SUMIFS(Trato_Diario!$G$4:$G$300,Trato_Diario!$A$4:$A$300,$A182)=0),"",SUMIFS(Trato_Diario!$J$4:$J$300,Trato_Diario!$A$4:$A$300,$A182)/SUMIFS(Trato_Diario!$G$4:$G$300,Trato_Diario!$A$4:$A$300,$A182))</f>
        <v/>
      </c>
    </row>
    <row r="183" spans="1:12" ht="14.25" customHeight="1" x14ac:dyDescent="0.3">
      <c r="A183" s="85">
        <v>46392</v>
      </c>
      <c r="B183" s="26" t="str">
        <f>IF(OR($A183&gt;MAX(Trato_Diario!$A$4:$A$300),SUMIFS(Trato_Diario!$G$4:$G$300,Trato_Diario!$B$4:$B$300,1,Trato_Diario!$A$4:$A$300,$A183)=0),"",SUMIFS(Trato_Diario!$J$4:$J$300,Trato_Diario!$B$4:$B$300,1,Trato_Diario!$A$4:$A$300,$A183)/SUMIFS(Trato_Diario!$G$4:$G$300,Trato_Diario!$B$4:$B$300,1,Trato_Diario!$A$4:$A$300,$A183))</f>
        <v/>
      </c>
      <c r="C183" s="26" t="str">
        <f>IF(OR($A183&gt;MAX(Trato_Diario!$A$4:$A$300),SUMIFS(Trato_Diario!$G$4:$G$300,Trato_Diario!$B$4:$B$300,2,Trato_Diario!$A$4:$A$300,$A183)=0),"",SUMIFS(Trato_Diario!$J$4:$J$300,Trato_Diario!$B$4:$B$300,2,Trato_Diario!$A$4:$A$300,$A183)/SUMIFS(Trato_Diario!$G$4:$G$300,Trato_Diario!$B$4:$B$300,2,Trato_Diario!$A$4:$A$300,$A183))</f>
        <v/>
      </c>
      <c r="D183" s="26" t="str">
        <f>IF(OR($A183&gt;MAX(Trato_Diario!$A$4:$A$300),SUMIFS(Trato_Diario!$G$4:$G$300,Trato_Diario!$B$4:$B$300,3,Trato_Diario!$A$4:$A$300,$A183)=0),"",SUMIFS(Trato_Diario!$J$4:$J$300,Trato_Diario!$B$4:$B$300,3,Trato_Diario!$A$4:$A$300,$A183)/SUMIFS(Trato_Diario!$G$4:$G$300,Trato_Diario!$B$4:$B$300,3,Trato_Diario!$A$4:$A$300,$A183))</f>
        <v/>
      </c>
      <c r="E183" s="26" t="str">
        <f>IF(OR($A183&gt;MAX(Trato_Diario!$A$4:$A$300),SUMIFS(Trato_Diario!$G$4:$G$300,Trato_Diario!$B$4:$B$300,4,Trato_Diario!$A$4:$A$300,$A183)=0),"",SUMIFS(Trato_Diario!$J$4:$J$300,Trato_Diario!$B$4:$B$300,4,Trato_Diario!$A$4:$A$300,$A183)/SUMIFS(Trato_Diario!$G$4:$G$300,Trato_Diario!$B$4:$B$300,4,Trato_Diario!$A$4:$A$300,$A183))</f>
        <v/>
      </c>
      <c r="F183" s="26" t="str">
        <f>IF(OR($A183&gt;MAX(Trato_Diario!$A$4:$A$300),SUMIFS(Trato_Diario!$G$4:$G$300,Trato_Diario!$B$4:$B$300,5,Trato_Diario!$A$4:$A$300,$A183)=0),"",SUMIFS(Trato_Diario!$J$4:$J$300,Trato_Diario!$B$4:$B$300,5,Trato_Diario!$A$4:$A$300,$A183)/SUMIFS(Trato_Diario!$G$4:$G$300,Trato_Diario!$B$4:$B$300,5,Trato_Diario!$A$4:$A$300,$A183))</f>
        <v/>
      </c>
      <c r="G183" s="26" t="str">
        <f>IF(OR($A183&gt;MAX(Trato_Diario!$A$4:$A$300),SUMIFS(Trato_Diario!$G$4:$G$300,Trato_Diario!$B$4:$B$300,6,Trato_Diario!$A$4:$A$300,$A183)=0),"",SUMIFS(Trato_Diario!$J$4:$J$300,Trato_Diario!$B$4:$B$300,6,Trato_Diario!$A$4:$A$300,$A183)/SUMIFS(Trato_Diario!$G$4:$G$300,Trato_Diario!$B$4:$B$300,6,Trato_Diario!$A$4:$A$300,$A183))</f>
        <v/>
      </c>
      <c r="H183" s="26" t="str">
        <f>IF(OR($A183&gt;MAX(Trato_Diario!$A$4:$A$300),SUMIFS(Trato_Diario!$G$4:$G$300,Trato_Diario!$B$4:$B$300,7,Trato_Diario!$A$4:$A$300,$A183)=0),"",SUMIFS(Trato_Diario!$J$4:$J$300,Trato_Diario!$B$4:$B$300,7,Trato_Diario!$A$4:$A$300,$A183)/SUMIFS(Trato_Diario!$G$4:$G$300,Trato_Diario!$B$4:$B$300,7,Trato_Diario!$A$4:$A$300,$A183))</f>
        <v/>
      </c>
      <c r="I183" s="26" t="str">
        <f>IF(OR($A183&gt;MAX(Trato_Diario!$A$4:$A$300),SUMIFS(Trato_Diario!$G$4:$G$300,Trato_Diario!$B$4:$B$300,8,Trato_Diario!$A$4:$A$300,$A183)=0),"",SUMIFS(Trato_Diario!$J$4:$J$300,Trato_Diario!$B$4:$B$300,8,Trato_Diario!$A$4:$A$300,$A183)/SUMIFS(Trato_Diario!$G$4:$G$300,Trato_Diario!$B$4:$B$300,8,Trato_Diario!$A$4:$A$300,$A183))</f>
        <v/>
      </c>
      <c r="J183" s="26" t="str">
        <f>IF(OR($A183&gt;MAX(Trato_Diario!$A$4:$A$300),SUMIFS(Trato_Diario!$G$4:$G$300,Trato_Diario!$B$4:$B$300,9,Trato_Diario!$A$4:$A$300,$A183)=0),"",SUMIFS(Trato_Diario!$J$4:$J$300,Trato_Diario!$B$4:$B$300,9,Trato_Diario!$A$4:$A$300,$A183)/SUMIFS(Trato_Diario!$G$4:$G$300,Trato_Diario!$B$4:$B$300,9,Trato_Diario!$A$4:$A$300,$A183))</f>
        <v/>
      </c>
      <c r="K183" s="26" t="str">
        <f>IF(OR($A183&gt;MAX(Trato_Diario!$A$4:$A$300),SUMIFS(Trato_Diario!$G$4:$G$300,Trato_Diario!$B$4:$B$300,10,Trato_Diario!$A$4:$A$300,$A183)=0),"",SUMIFS(Trato_Diario!$J$4:$J$300,Trato_Diario!$B$4:$B$300,10,Trato_Diario!$A$4:$A$300,$A183)/SUMIFS(Trato_Diario!$G$4:$G$300,Trato_Diario!$B$4:$B$300,10,Trato_Diario!$A$4:$A$300,$A183))</f>
        <v/>
      </c>
      <c r="L183" s="74" t="str">
        <f>IF(OR($A183&gt;MAX(Trato_Diario!$A$4:$A$300),SUMIFS(Trato_Diario!$G$4:$G$300,Trato_Diario!$A$4:$A$300,$A183)=0),"",SUMIFS(Trato_Diario!$J$4:$J$300,Trato_Diario!$A$4:$A$300,$A183)/SUMIFS(Trato_Diario!$G$4:$G$300,Trato_Diario!$A$4:$A$300,$A183))</f>
        <v/>
      </c>
    </row>
    <row r="184" spans="1:12" ht="14.25" customHeight="1" x14ac:dyDescent="0.3">
      <c r="A184" s="86">
        <v>46393</v>
      </c>
      <c r="B184" s="28" t="str">
        <f>IF(OR($A184&gt;MAX(Trato_Diario!$A$4:$A$300),SUMIFS(Trato_Diario!$G$4:$G$300,Trato_Diario!$B$4:$B$300,1,Trato_Diario!$A$4:$A$300,$A184)=0),"",SUMIFS(Trato_Diario!$J$4:$J$300,Trato_Diario!$B$4:$B$300,1,Trato_Diario!$A$4:$A$300,$A184)/SUMIFS(Trato_Diario!$G$4:$G$300,Trato_Diario!$B$4:$B$300,1,Trato_Diario!$A$4:$A$300,$A184))</f>
        <v/>
      </c>
      <c r="C184" s="28" t="str">
        <f>IF(OR($A184&gt;MAX(Trato_Diario!$A$4:$A$300),SUMIFS(Trato_Diario!$G$4:$G$300,Trato_Diario!$B$4:$B$300,2,Trato_Diario!$A$4:$A$300,$A184)=0),"",SUMIFS(Trato_Diario!$J$4:$J$300,Trato_Diario!$B$4:$B$300,2,Trato_Diario!$A$4:$A$300,$A184)/SUMIFS(Trato_Diario!$G$4:$G$300,Trato_Diario!$B$4:$B$300,2,Trato_Diario!$A$4:$A$300,$A184))</f>
        <v/>
      </c>
      <c r="D184" s="28" t="str">
        <f>IF(OR($A184&gt;MAX(Trato_Diario!$A$4:$A$300),SUMIFS(Trato_Diario!$G$4:$G$300,Trato_Diario!$B$4:$B$300,3,Trato_Diario!$A$4:$A$300,$A184)=0),"",SUMIFS(Trato_Diario!$J$4:$J$300,Trato_Diario!$B$4:$B$300,3,Trato_Diario!$A$4:$A$300,$A184)/SUMIFS(Trato_Diario!$G$4:$G$300,Trato_Diario!$B$4:$B$300,3,Trato_Diario!$A$4:$A$300,$A184))</f>
        <v/>
      </c>
      <c r="E184" s="28" t="str">
        <f>IF(OR($A184&gt;MAX(Trato_Diario!$A$4:$A$300),SUMIFS(Trato_Diario!$G$4:$G$300,Trato_Diario!$B$4:$B$300,4,Trato_Diario!$A$4:$A$300,$A184)=0),"",SUMIFS(Trato_Diario!$J$4:$J$300,Trato_Diario!$B$4:$B$300,4,Trato_Diario!$A$4:$A$300,$A184)/SUMIFS(Trato_Diario!$G$4:$G$300,Trato_Diario!$B$4:$B$300,4,Trato_Diario!$A$4:$A$300,$A184))</f>
        <v/>
      </c>
      <c r="F184" s="28" t="str">
        <f>IF(OR($A184&gt;MAX(Trato_Diario!$A$4:$A$300),SUMIFS(Trato_Diario!$G$4:$G$300,Trato_Diario!$B$4:$B$300,5,Trato_Diario!$A$4:$A$300,$A184)=0),"",SUMIFS(Trato_Diario!$J$4:$J$300,Trato_Diario!$B$4:$B$300,5,Trato_Diario!$A$4:$A$300,$A184)/SUMIFS(Trato_Diario!$G$4:$G$300,Trato_Diario!$B$4:$B$300,5,Trato_Diario!$A$4:$A$300,$A184))</f>
        <v/>
      </c>
      <c r="G184" s="28" t="str">
        <f>IF(OR($A184&gt;MAX(Trato_Diario!$A$4:$A$300),SUMIFS(Trato_Diario!$G$4:$G$300,Trato_Diario!$B$4:$B$300,6,Trato_Diario!$A$4:$A$300,$A184)=0),"",SUMIFS(Trato_Diario!$J$4:$J$300,Trato_Diario!$B$4:$B$300,6,Trato_Diario!$A$4:$A$300,$A184)/SUMIFS(Trato_Diario!$G$4:$G$300,Trato_Diario!$B$4:$B$300,6,Trato_Diario!$A$4:$A$300,$A184))</f>
        <v/>
      </c>
      <c r="H184" s="28" t="str">
        <f>IF(OR($A184&gt;MAX(Trato_Diario!$A$4:$A$300),SUMIFS(Trato_Diario!$G$4:$G$300,Trato_Diario!$B$4:$B$300,7,Trato_Diario!$A$4:$A$300,$A184)=0),"",SUMIFS(Trato_Diario!$J$4:$J$300,Trato_Diario!$B$4:$B$300,7,Trato_Diario!$A$4:$A$300,$A184)/SUMIFS(Trato_Diario!$G$4:$G$300,Trato_Diario!$B$4:$B$300,7,Trato_Diario!$A$4:$A$300,$A184))</f>
        <v/>
      </c>
      <c r="I184" s="28" t="str">
        <f>IF(OR($A184&gt;MAX(Trato_Diario!$A$4:$A$300),SUMIFS(Trato_Diario!$G$4:$G$300,Trato_Diario!$B$4:$B$300,8,Trato_Diario!$A$4:$A$300,$A184)=0),"",SUMIFS(Trato_Diario!$J$4:$J$300,Trato_Diario!$B$4:$B$300,8,Trato_Diario!$A$4:$A$300,$A184)/SUMIFS(Trato_Diario!$G$4:$G$300,Trato_Diario!$B$4:$B$300,8,Trato_Diario!$A$4:$A$300,$A184))</f>
        <v/>
      </c>
      <c r="J184" s="28" t="str">
        <f>IF(OR($A184&gt;MAX(Trato_Diario!$A$4:$A$300),SUMIFS(Trato_Diario!$G$4:$G$300,Trato_Diario!$B$4:$B$300,9,Trato_Diario!$A$4:$A$300,$A184)=0),"",SUMIFS(Trato_Diario!$J$4:$J$300,Trato_Diario!$B$4:$B$300,9,Trato_Diario!$A$4:$A$300,$A184)/SUMIFS(Trato_Diario!$G$4:$G$300,Trato_Diario!$B$4:$B$300,9,Trato_Diario!$A$4:$A$300,$A184))</f>
        <v/>
      </c>
      <c r="K184" s="28" t="str">
        <f>IF(OR($A184&gt;MAX(Trato_Diario!$A$4:$A$300),SUMIFS(Trato_Diario!$G$4:$G$300,Trato_Diario!$B$4:$B$300,10,Trato_Diario!$A$4:$A$300,$A184)=0),"",SUMIFS(Trato_Diario!$J$4:$J$300,Trato_Diario!$B$4:$B$300,10,Trato_Diario!$A$4:$A$300,$A184)/SUMIFS(Trato_Diario!$G$4:$G$300,Trato_Diario!$B$4:$B$300,10,Trato_Diario!$A$4:$A$300,$A184))</f>
        <v/>
      </c>
      <c r="L184" s="76" t="str">
        <f>IF(OR($A184&gt;MAX(Trato_Diario!$A$4:$A$300),SUMIFS(Trato_Diario!$G$4:$G$300,Trato_Diario!$A$4:$A$300,$A184)=0),"",SUMIFS(Trato_Diario!$J$4:$J$300,Trato_Diario!$A$4:$A$300,$A184)/SUMIFS(Trato_Diario!$G$4:$G$300,Trato_Diario!$A$4:$A$300,$A184))</f>
        <v/>
      </c>
    </row>
    <row r="185" spans="1:12" ht="14.25" customHeight="1" x14ac:dyDescent="0.3">
      <c r="A185" s="85">
        <v>46394</v>
      </c>
      <c r="B185" s="26" t="str">
        <f>IF(OR($A185&gt;MAX(Trato_Diario!$A$4:$A$300),SUMIFS(Trato_Diario!$G$4:$G$300,Trato_Diario!$B$4:$B$300,1,Trato_Diario!$A$4:$A$300,$A185)=0),"",SUMIFS(Trato_Diario!$J$4:$J$300,Trato_Diario!$B$4:$B$300,1,Trato_Diario!$A$4:$A$300,$A185)/SUMIFS(Trato_Diario!$G$4:$G$300,Trato_Diario!$B$4:$B$300,1,Trato_Diario!$A$4:$A$300,$A185))</f>
        <v/>
      </c>
      <c r="C185" s="26" t="str">
        <f>IF(OR($A185&gt;MAX(Trato_Diario!$A$4:$A$300),SUMIFS(Trato_Diario!$G$4:$G$300,Trato_Diario!$B$4:$B$300,2,Trato_Diario!$A$4:$A$300,$A185)=0),"",SUMIFS(Trato_Diario!$J$4:$J$300,Trato_Diario!$B$4:$B$300,2,Trato_Diario!$A$4:$A$300,$A185)/SUMIFS(Trato_Diario!$G$4:$G$300,Trato_Diario!$B$4:$B$300,2,Trato_Diario!$A$4:$A$300,$A185))</f>
        <v/>
      </c>
      <c r="D185" s="26" t="str">
        <f>IF(OR($A185&gt;MAX(Trato_Diario!$A$4:$A$300),SUMIFS(Trato_Diario!$G$4:$G$300,Trato_Diario!$B$4:$B$300,3,Trato_Diario!$A$4:$A$300,$A185)=0),"",SUMIFS(Trato_Diario!$J$4:$J$300,Trato_Diario!$B$4:$B$300,3,Trato_Diario!$A$4:$A$300,$A185)/SUMIFS(Trato_Diario!$G$4:$G$300,Trato_Diario!$B$4:$B$300,3,Trato_Diario!$A$4:$A$300,$A185))</f>
        <v/>
      </c>
      <c r="E185" s="26" t="str">
        <f>IF(OR($A185&gt;MAX(Trato_Diario!$A$4:$A$300),SUMIFS(Trato_Diario!$G$4:$G$300,Trato_Diario!$B$4:$B$300,4,Trato_Diario!$A$4:$A$300,$A185)=0),"",SUMIFS(Trato_Diario!$J$4:$J$300,Trato_Diario!$B$4:$B$300,4,Trato_Diario!$A$4:$A$300,$A185)/SUMIFS(Trato_Diario!$G$4:$G$300,Trato_Diario!$B$4:$B$300,4,Trato_Diario!$A$4:$A$300,$A185))</f>
        <v/>
      </c>
      <c r="F185" s="26" t="str">
        <f>IF(OR($A185&gt;MAX(Trato_Diario!$A$4:$A$300),SUMIFS(Trato_Diario!$G$4:$G$300,Trato_Diario!$B$4:$B$300,5,Trato_Diario!$A$4:$A$300,$A185)=0),"",SUMIFS(Trato_Diario!$J$4:$J$300,Trato_Diario!$B$4:$B$300,5,Trato_Diario!$A$4:$A$300,$A185)/SUMIFS(Trato_Diario!$G$4:$G$300,Trato_Diario!$B$4:$B$300,5,Trato_Diario!$A$4:$A$300,$A185))</f>
        <v/>
      </c>
      <c r="G185" s="26" t="str">
        <f>IF(OR($A185&gt;MAX(Trato_Diario!$A$4:$A$300),SUMIFS(Trato_Diario!$G$4:$G$300,Trato_Diario!$B$4:$B$300,6,Trato_Diario!$A$4:$A$300,$A185)=0),"",SUMIFS(Trato_Diario!$J$4:$J$300,Trato_Diario!$B$4:$B$300,6,Trato_Diario!$A$4:$A$300,$A185)/SUMIFS(Trato_Diario!$G$4:$G$300,Trato_Diario!$B$4:$B$300,6,Trato_Diario!$A$4:$A$300,$A185))</f>
        <v/>
      </c>
      <c r="H185" s="26" t="str">
        <f>IF(OR($A185&gt;MAX(Trato_Diario!$A$4:$A$300),SUMIFS(Trato_Diario!$G$4:$G$300,Trato_Diario!$B$4:$B$300,7,Trato_Diario!$A$4:$A$300,$A185)=0),"",SUMIFS(Trato_Diario!$J$4:$J$300,Trato_Diario!$B$4:$B$300,7,Trato_Diario!$A$4:$A$300,$A185)/SUMIFS(Trato_Diario!$G$4:$G$300,Trato_Diario!$B$4:$B$300,7,Trato_Diario!$A$4:$A$300,$A185))</f>
        <v/>
      </c>
      <c r="I185" s="26" t="str">
        <f>IF(OR($A185&gt;MAX(Trato_Diario!$A$4:$A$300),SUMIFS(Trato_Diario!$G$4:$G$300,Trato_Diario!$B$4:$B$300,8,Trato_Diario!$A$4:$A$300,$A185)=0),"",SUMIFS(Trato_Diario!$J$4:$J$300,Trato_Diario!$B$4:$B$300,8,Trato_Diario!$A$4:$A$300,$A185)/SUMIFS(Trato_Diario!$G$4:$G$300,Trato_Diario!$B$4:$B$300,8,Trato_Diario!$A$4:$A$300,$A185))</f>
        <v/>
      </c>
      <c r="J185" s="26" t="str">
        <f>IF(OR($A185&gt;MAX(Trato_Diario!$A$4:$A$300),SUMIFS(Trato_Diario!$G$4:$G$300,Trato_Diario!$B$4:$B$300,9,Trato_Diario!$A$4:$A$300,$A185)=0),"",SUMIFS(Trato_Diario!$J$4:$J$300,Trato_Diario!$B$4:$B$300,9,Trato_Diario!$A$4:$A$300,$A185)/SUMIFS(Trato_Diario!$G$4:$G$300,Trato_Diario!$B$4:$B$300,9,Trato_Diario!$A$4:$A$300,$A185))</f>
        <v/>
      </c>
      <c r="K185" s="26" t="str">
        <f>IF(OR($A185&gt;MAX(Trato_Diario!$A$4:$A$300),SUMIFS(Trato_Diario!$G$4:$G$300,Trato_Diario!$B$4:$B$300,10,Trato_Diario!$A$4:$A$300,$A185)=0),"",SUMIFS(Trato_Diario!$J$4:$J$300,Trato_Diario!$B$4:$B$300,10,Trato_Diario!$A$4:$A$300,$A185)/SUMIFS(Trato_Diario!$G$4:$G$300,Trato_Diario!$B$4:$B$300,10,Trato_Diario!$A$4:$A$300,$A185))</f>
        <v/>
      </c>
      <c r="L185" s="74" t="str">
        <f>IF(OR($A185&gt;MAX(Trato_Diario!$A$4:$A$300),SUMIFS(Trato_Diario!$G$4:$G$300,Trato_Diario!$A$4:$A$300,$A185)=0),"",SUMIFS(Trato_Diario!$J$4:$J$300,Trato_Diario!$A$4:$A$300,$A185)/SUMIFS(Trato_Diario!$G$4:$G$300,Trato_Diario!$A$4:$A$300,$A185))</f>
        <v/>
      </c>
    </row>
    <row r="186" spans="1:12" ht="14.25" customHeight="1" x14ac:dyDescent="0.3">
      <c r="A186" s="86">
        <v>46395</v>
      </c>
      <c r="B186" s="28" t="str">
        <f>IF(OR($A186&gt;MAX(Trato_Diario!$A$4:$A$300),SUMIFS(Trato_Diario!$G$4:$G$300,Trato_Diario!$B$4:$B$300,1,Trato_Diario!$A$4:$A$300,$A186)=0),"",SUMIFS(Trato_Diario!$J$4:$J$300,Trato_Diario!$B$4:$B$300,1,Trato_Diario!$A$4:$A$300,$A186)/SUMIFS(Trato_Diario!$G$4:$G$300,Trato_Diario!$B$4:$B$300,1,Trato_Diario!$A$4:$A$300,$A186))</f>
        <v/>
      </c>
      <c r="C186" s="28" t="str">
        <f>IF(OR($A186&gt;MAX(Trato_Diario!$A$4:$A$300),SUMIFS(Trato_Diario!$G$4:$G$300,Trato_Diario!$B$4:$B$300,2,Trato_Diario!$A$4:$A$300,$A186)=0),"",SUMIFS(Trato_Diario!$J$4:$J$300,Trato_Diario!$B$4:$B$300,2,Trato_Diario!$A$4:$A$300,$A186)/SUMIFS(Trato_Diario!$G$4:$G$300,Trato_Diario!$B$4:$B$300,2,Trato_Diario!$A$4:$A$300,$A186))</f>
        <v/>
      </c>
      <c r="D186" s="28" t="str">
        <f>IF(OR($A186&gt;MAX(Trato_Diario!$A$4:$A$300),SUMIFS(Trato_Diario!$G$4:$G$300,Trato_Diario!$B$4:$B$300,3,Trato_Diario!$A$4:$A$300,$A186)=0),"",SUMIFS(Trato_Diario!$J$4:$J$300,Trato_Diario!$B$4:$B$300,3,Trato_Diario!$A$4:$A$300,$A186)/SUMIFS(Trato_Diario!$G$4:$G$300,Trato_Diario!$B$4:$B$300,3,Trato_Diario!$A$4:$A$300,$A186))</f>
        <v/>
      </c>
      <c r="E186" s="28" t="str">
        <f>IF(OR($A186&gt;MAX(Trato_Diario!$A$4:$A$300),SUMIFS(Trato_Diario!$G$4:$G$300,Trato_Diario!$B$4:$B$300,4,Trato_Diario!$A$4:$A$300,$A186)=0),"",SUMIFS(Trato_Diario!$J$4:$J$300,Trato_Diario!$B$4:$B$300,4,Trato_Diario!$A$4:$A$300,$A186)/SUMIFS(Trato_Diario!$G$4:$G$300,Trato_Diario!$B$4:$B$300,4,Trato_Diario!$A$4:$A$300,$A186))</f>
        <v/>
      </c>
      <c r="F186" s="28" t="str">
        <f>IF(OR($A186&gt;MAX(Trato_Diario!$A$4:$A$300),SUMIFS(Trato_Diario!$G$4:$G$300,Trato_Diario!$B$4:$B$300,5,Trato_Diario!$A$4:$A$300,$A186)=0),"",SUMIFS(Trato_Diario!$J$4:$J$300,Trato_Diario!$B$4:$B$300,5,Trato_Diario!$A$4:$A$300,$A186)/SUMIFS(Trato_Diario!$G$4:$G$300,Trato_Diario!$B$4:$B$300,5,Trato_Diario!$A$4:$A$300,$A186))</f>
        <v/>
      </c>
      <c r="G186" s="28" t="str">
        <f>IF(OR($A186&gt;MAX(Trato_Diario!$A$4:$A$300),SUMIFS(Trato_Diario!$G$4:$G$300,Trato_Diario!$B$4:$B$300,6,Trato_Diario!$A$4:$A$300,$A186)=0),"",SUMIFS(Trato_Diario!$J$4:$J$300,Trato_Diario!$B$4:$B$300,6,Trato_Diario!$A$4:$A$300,$A186)/SUMIFS(Trato_Diario!$G$4:$G$300,Trato_Diario!$B$4:$B$300,6,Trato_Diario!$A$4:$A$300,$A186))</f>
        <v/>
      </c>
      <c r="H186" s="28" t="str">
        <f>IF(OR($A186&gt;MAX(Trato_Diario!$A$4:$A$300),SUMIFS(Trato_Diario!$G$4:$G$300,Trato_Diario!$B$4:$B$300,7,Trato_Diario!$A$4:$A$300,$A186)=0),"",SUMIFS(Trato_Diario!$J$4:$J$300,Trato_Diario!$B$4:$B$300,7,Trato_Diario!$A$4:$A$300,$A186)/SUMIFS(Trato_Diario!$G$4:$G$300,Trato_Diario!$B$4:$B$300,7,Trato_Diario!$A$4:$A$300,$A186))</f>
        <v/>
      </c>
      <c r="I186" s="28" t="str">
        <f>IF(OR($A186&gt;MAX(Trato_Diario!$A$4:$A$300),SUMIFS(Trato_Diario!$G$4:$G$300,Trato_Diario!$B$4:$B$300,8,Trato_Diario!$A$4:$A$300,$A186)=0),"",SUMIFS(Trato_Diario!$J$4:$J$300,Trato_Diario!$B$4:$B$300,8,Trato_Diario!$A$4:$A$300,$A186)/SUMIFS(Trato_Diario!$G$4:$G$300,Trato_Diario!$B$4:$B$300,8,Trato_Diario!$A$4:$A$300,$A186))</f>
        <v/>
      </c>
      <c r="J186" s="28" t="str">
        <f>IF(OR($A186&gt;MAX(Trato_Diario!$A$4:$A$300),SUMIFS(Trato_Diario!$G$4:$G$300,Trato_Diario!$B$4:$B$300,9,Trato_Diario!$A$4:$A$300,$A186)=0),"",SUMIFS(Trato_Diario!$J$4:$J$300,Trato_Diario!$B$4:$B$300,9,Trato_Diario!$A$4:$A$300,$A186)/SUMIFS(Trato_Diario!$G$4:$G$300,Trato_Diario!$B$4:$B$300,9,Trato_Diario!$A$4:$A$300,$A186))</f>
        <v/>
      </c>
      <c r="K186" s="28" t="str">
        <f>IF(OR($A186&gt;MAX(Trato_Diario!$A$4:$A$300),SUMIFS(Trato_Diario!$G$4:$G$300,Trato_Diario!$B$4:$B$300,10,Trato_Diario!$A$4:$A$300,$A186)=0),"",SUMIFS(Trato_Diario!$J$4:$J$300,Trato_Diario!$B$4:$B$300,10,Trato_Diario!$A$4:$A$300,$A186)/SUMIFS(Trato_Diario!$G$4:$G$300,Trato_Diario!$B$4:$B$300,10,Trato_Diario!$A$4:$A$300,$A186))</f>
        <v/>
      </c>
      <c r="L186" s="76" t="str">
        <f>IF(OR($A186&gt;MAX(Trato_Diario!$A$4:$A$300),SUMIFS(Trato_Diario!$G$4:$G$300,Trato_Diario!$A$4:$A$300,$A186)=0),"",SUMIFS(Trato_Diario!$J$4:$J$300,Trato_Diario!$A$4:$A$300,$A186)/SUMIFS(Trato_Diario!$G$4:$G$300,Trato_Diario!$A$4:$A$300,$A186))</f>
        <v/>
      </c>
    </row>
    <row r="187" spans="1:12" ht="14.25" customHeight="1" x14ac:dyDescent="0.3">
      <c r="A187" s="85">
        <v>46396</v>
      </c>
      <c r="B187" s="26" t="str">
        <f>IF(OR($A187&gt;MAX(Trato_Diario!$A$4:$A$300),SUMIFS(Trato_Diario!$G$4:$G$300,Trato_Diario!$B$4:$B$300,1,Trato_Diario!$A$4:$A$300,$A187)=0),"",SUMIFS(Trato_Diario!$J$4:$J$300,Trato_Diario!$B$4:$B$300,1,Trato_Diario!$A$4:$A$300,$A187)/SUMIFS(Trato_Diario!$G$4:$G$300,Trato_Diario!$B$4:$B$300,1,Trato_Diario!$A$4:$A$300,$A187))</f>
        <v/>
      </c>
      <c r="C187" s="26" t="str">
        <f>IF(OR($A187&gt;MAX(Trato_Diario!$A$4:$A$300),SUMIFS(Trato_Diario!$G$4:$G$300,Trato_Diario!$B$4:$B$300,2,Trato_Diario!$A$4:$A$300,$A187)=0),"",SUMIFS(Trato_Diario!$J$4:$J$300,Trato_Diario!$B$4:$B$300,2,Trato_Diario!$A$4:$A$300,$A187)/SUMIFS(Trato_Diario!$G$4:$G$300,Trato_Diario!$B$4:$B$300,2,Trato_Diario!$A$4:$A$300,$A187))</f>
        <v/>
      </c>
      <c r="D187" s="26" t="str">
        <f>IF(OR($A187&gt;MAX(Trato_Diario!$A$4:$A$300),SUMIFS(Trato_Diario!$G$4:$G$300,Trato_Diario!$B$4:$B$300,3,Trato_Diario!$A$4:$A$300,$A187)=0),"",SUMIFS(Trato_Diario!$J$4:$J$300,Trato_Diario!$B$4:$B$300,3,Trato_Diario!$A$4:$A$300,$A187)/SUMIFS(Trato_Diario!$G$4:$G$300,Trato_Diario!$B$4:$B$300,3,Trato_Diario!$A$4:$A$300,$A187))</f>
        <v/>
      </c>
      <c r="E187" s="26" t="str">
        <f>IF(OR($A187&gt;MAX(Trato_Diario!$A$4:$A$300),SUMIFS(Trato_Diario!$G$4:$G$300,Trato_Diario!$B$4:$B$300,4,Trato_Diario!$A$4:$A$300,$A187)=0),"",SUMIFS(Trato_Diario!$J$4:$J$300,Trato_Diario!$B$4:$B$300,4,Trato_Diario!$A$4:$A$300,$A187)/SUMIFS(Trato_Diario!$G$4:$G$300,Trato_Diario!$B$4:$B$300,4,Trato_Diario!$A$4:$A$300,$A187))</f>
        <v/>
      </c>
      <c r="F187" s="26" t="str">
        <f>IF(OR($A187&gt;MAX(Trato_Diario!$A$4:$A$300),SUMIFS(Trato_Diario!$G$4:$G$300,Trato_Diario!$B$4:$B$300,5,Trato_Diario!$A$4:$A$300,$A187)=0),"",SUMIFS(Trato_Diario!$J$4:$J$300,Trato_Diario!$B$4:$B$300,5,Trato_Diario!$A$4:$A$300,$A187)/SUMIFS(Trato_Diario!$G$4:$G$300,Trato_Diario!$B$4:$B$300,5,Trato_Diario!$A$4:$A$300,$A187))</f>
        <v/>
      </c>
      <c r="G187" s="26" t="str">
        <f>IF(OR($A187&gt;MAX(Trato_Diario!$A$4:$A$300),SUMIFS(Trato_Diario!$G$4:$G$300,Trato_Diario!$B$4:$B$300,6,Trato_Diario!$A$4:$A$300,$A187)=0),"",SUMIFS(Trato_Diario!$J$4:$J$300,Trato_Diario!$B$4:$B$300,6,Trato_Diario!$A$4:$A$300,$A187)/SUMIFS(Trato_Diario!$G$4:$G$300,Trato_Diario!$B$4:$B$300,6,Trato_Diario!$A$4:$A$300,$A187))</f>
        <v/>
      </c>
      <c r="H187" s="26" t="str">
        <f>IF(OR($A187&gt;MAX(Trato_Diario!$A$4:$A$300),SUMIFS(Trato_Diario!$G$4:$G$300,Trato_Diario!$B$4:$B$300,7,Trato_Diario!$A$4:$A$300,$A187)=0),"",SUMIFS(Trato_Diario!$J$4:$J$300,Trato_Diario!$B$4:$B$300,7,Trato_Diario!$A$4:$A$300,$A187)/SUMIFS(Trato_Diario!$G$4:$G$300,Trato_Diario!$B$4:$B$300,7,Trato_Diario!$A$4:$A$300,$A187))</f>
        <v/>
      </c>
      <c r="I187" s="26" t="str">
        <f>IF(OR($A187&gt;MAX(Trato_Diario!$A$4:$A$300),SUMIFS(Trato_Diario!$G$4:$G$300,Trato_Diario!$B$4:$B$300,8,Trato_Diario!$A$4:$A$300,$A187)=0),"",SUMIFS(Trato_Diario!$J$4:$J$300,Trato_Diario!$B$4:$B$300,8,Trato_Diario!$A$4:$A$300,$A187)/SUMIFS(Trato_Diario!$G$4:$G$300,Trato_Diario!$B$4:$B$300,8,Trato_Diario!$A$4:$A$300,$A187))</f>
        <v/>
      </c>
      <c r="J187" s="26" t="str">
        <f>IF(OR($A187&gt;MAX(Trato_Diario!$A$4:$A$300),SUMIFS(Trato_Diario!$G$4:$G$300,Trato_Diario!$B$4:$B$300,9,Trato_Diario!$A$4:$A$300,$A187)=0),"",SUMIFS(Trato_Diario!$J$4:$J$300,Trato_Diario!$B$4:$B$300,9,Trato_Diario!$A$4:$A$300,$A187)/SUMIFS(Trato_Diario!$G$4:$G$300,Trato_Diario!$B$4:$B$300,9,Trato_Diario!$A$4:$A$300,$A187))</f>
        <v/>
      </c>
      <c r="K187" s="26" t="str">
        <f>IF(OR($A187&gt;MAX(Trato_Diario!$A$4:$A$300),SUMIFS(Trato_Diario!$G$4:$G$300,Trato_Diario!$B$4:$B$300,10,Trato_Diario!$A$4:$A$300,$A187)=0),"",SUMIFS(Trato_Diario!$J$4:$J$300,Trato_Diario!$B$4:$B$300,10,Trato_Diario!$A$4:$A$300,$A187)/SUMIFS(Trato_Diario!$G$4:$G$300,Trato_Diario!$B$4:$B$300,10,Trato_Diario!$A$4:$A$300,$A187))</f>
        <v/>
      </c>
      <c r="L187" s="74" t="str">
        <f>IF(OR($A187&gt;MAX(Trato_Diario!$A$4:$A$300),SUMIFS(Trato_Diario!$G$4:$G$300,Trato_Diario!$A$4:$A$300,$A187)=0),"",SUMIFS(Trato_Diario!$J$4:$J$300,Trato_Diario!$A$4:$A$300,$A187)/SUMIFS(Trato_Diario!$G$4:$G$300,Trato_Diario!$A$4:$A$300,$A187))</f>
        <v/>
      </c>
    </row>
    <row r="188" spans="1:12" ht="14.25" customHeight="1" x14ac:dyDescent="0.3">
      <c r="A188" s="86">
        <v>46397</v>
      </c>
      <c r="B188" s="28" t="str">
        <f>IF(OR($A188&gt;MAX(Trato_Diario!$A$4:$A$300),SUMIFS(Trato_Diario!$G$4:$G$300,Trato_Diario!$B$4:$B$300,1,Trato_Diario!$A$4:$A$300,$A188)=0),"",SUMIFS(Trato_Diario!$J$4:$J$300,Trato_Diario!$B$4:$B$300,1,Trato_Diario!$A$4:$A$300,$A188)/SUMIFS(Trato_Diario!$G$4:$G$300,Trato_Diario!$B$4:$B$300,1,Trato_Diario!$A$4:$A$300,$A188))</f>
        <v/>
      </c>
      <c r="C188" s="28" t="str">
        <f>IF(OR($A188&gt;MAX(Trato_Diario!$A$4:$A$300),SUMIFS(Trato_Diario!$G$4:$G$300,Trato_Diario!$B$4:$B$300,2,Trato_Diario!$A$4:$A$300,$A188)=0),"",SUMIFS(Trato_Diario!$J$4:$J$300,Trato_Diario!$B$4:$B$300,2,Trato_Diario!$A$4:$A$300,$A188)/SUMIFS(Trato_Diario!$G$4:$G$300,Trato_Diario!$B$4:$B$300,2,Trato_Diario!$A$4:$A$300,$A188))</f>
        <v/>
      </c>
      <c r="D188" s="28" t="str">
        <f>IF(OR($A188&gt;MAX(Trato_Diario!$A$4:$A$300),SUMIFS(Trato_Diario!$G$4:$G$300,Trato_Diario!$B$4:$B$300,3,Trato_Diario!$A$4:$A$300,$A188)=0),"",SUMIFS(Trato_Diario!$J$4:$J$300,Trato_Diario!$B$4:$B$300,3,Trato_Diario!$A$4:$A$300,$A188)/SUMIFS(Trato_Diario!$G$4:$G$300,Trato_Diario!$B$4:$B$300,3,Trato_Diario!$A$4:$A$300,$A188))</f>
        <v/>
      </c>
      <c r="E188" s="28" t="str">
        <f>IF(OR($A188&gt;MAX(Trato_Diario!$A$4:$A$300),SUMIFS(Trato_Diario!$G$4:$G$300,Trato_Diario!$B$4:$B$300,4,Trato_Diario!$A$4:$A$300,$A188)=0),"",SUMIFS(Trato_Diario!$J$4:$J$300,Trato_Diario!$B$4:$B$300,4,Trato_Diario!$A$4:$A$300,$A188)/SUMIFS(Trato_Diario!$G$4:$G$300,Trato_Diario!$B$4:$B$300,4,Trato_Diario!$A$4:$A$300,$A188))</f>
        <v/>
      </c>
      <c r="F188" s="28" t="str">
        <f>IF(OR($A188&gt;MAX(Trato_Diario!$A$4:$A$300),SUMIFS(Trato_Diario!$G$4:$G$300,Trato_Diario!$B$4:$B$300,5,Trato_Diario!$A$4:$A$300,$A188)=0),"",SUMIFS(Trato_Diario!$J$4:$J$300,Trato_Diario!$B$4:$B$300,5,Trato_Diario!$A$4:$A$300,$A188)/SUMIFS(Trato_Diario!$G$4:$G$300,Trato_Diario!$B$4:$B$300,5,Trato_Diario!$A$4:$A$300,$A188))</f>
        <v/>
      </c>
      <c r="G188" s="28" t="str">
        <f>IF(OR($A188&gt;MAX(Trato_Diario!$A$4:$A$300),SUMIFS(Trato_Diario!$G$4:$G$300,Trato_Diario!$B$4:$B$300,6,Trato_Diario!$A$4:$A$300,$A188)=0),"",SUMIFS(Trato_Diario!$J$4:$J$300,Trato_Diario!$B$4:$B$300,6,Trato_Diario!$A$4:$A$300,$A188)/SUMIFS(Trato_Diario!$G$4:$G$300,Trato_Diario!$B$4:$B$300,6,Trato_Diario!$A$4:$A$300,$A188))</f>
        <v/>
      </c>
      <c r="H188" s="28" t="str">
        <f>IF(OR($A188&gt;MAX(Trato_Diario!$A$4:$A$300),SUMIFS(Trato_Diario!$G$4:$G$300,Trato_Diario!$B$4:$B$300,7,Trato_Diario!$A$4:$A$300,$A188)=0),"",SUMIFS(Trato_Diario!$J$4:$J$300,Trato_Diario!$B$4:$B$300,7,Trato_Diario!$A$4:$A$300,$A188)/SUMIFS(Trato_Diario!$G$4:$G$300,Trato_Diario!$B$4:$B$300,7,Trato_Diario!$A$4:$A$300,$A188))</f>
        <v/>
      </c>
      <c r="I188" s="28" t="str">
        <f>IF(OR($A188&gt;MAX(Trato_Diario!$A$4:$A$300),SUMIFS(Trato_Diario!$G$4:$G$300,Trato_Diario!$B$4:$B$300,8,Trato_Diario!$A$4:$A$300,$A188)=0),"",SUMIFS(Trato_Diario!$J$4:$J$300,Trato_Diario!$B$4:$B$300,8,Trato_Diario!$A$4:$A$300,$A188)/SUMIFS(Trato_Diario!$G$4:$G$300,Trato_Diario!$B$4:$B$300,8,Trato_Diario!$A$4:$A$300,$A188))</f>
        <v/>
      </c>
      <c r="J188" s="28" t="str">
        <f>IF(OR($A188&gt;MAX(Trato_Diario!$A$4:$A$300),SUMIFS(Trato_Diario!$G$4:$G$300,Trato_Diario!$B$4:$B$300,9,Trato_Diario!$A$4:$A$300,$A188)=0),"",SUMIFS(Trato_Diario!$J$4:$J$300,Trato_Diario!$B$4:$B$300,9,Trato_Diario!$A$4:$A$300,$A188)/SUMIFS(Trato_Diario!$G$4:$G$300,Trato_Diario!$B$4:$B$300,9,Trato_Diario!$A$4:$A$300,$A188))</f>
        <v/>
      </c>
      <c r="K188" s="28" t="str">
        <f>IF(OR($A188&gt;MAX(Trato_Diario!$A$4:$A$300),SUMIFS(Trato_Diario!$G$4:$G$300,Trato_Diario!$B$4:$B$300,10,Trato_Diario!$A$4:$A$300,$A188)=0),"",SUMIFS(Trato_Diario!$J$4:$J$300,Trato_Diario!$B$4:$B$300,10,Trato_Diario!$A$4:$A$300,$A188)/SUMIFS(Trato_Diario!$G$4:$G$300,Trato_Diario!$B$4:$B$300,10,Trato_Diario!$A$4:$A$300,$A188))</f>
        <v/>
      </c>
      <c r="L188" s="76" t="str">
        <f>IF(OR($A188&gt;MAX(Trato_Diario!$A$4:$A$300),SUMIFS(Trato_Diario!$G$4:$G$300,Trato_Diario!$A$4:$A$300,$A188)=0),"",SUMIFS(Trato_Diario!$J$4:$J$300,Trato_Diario!$A$4:$A$300,$A188)/SUMIFS(Trato_Diario!$G$4:$G$300,Trato_Diario!$A$4:$A$300,$A188))</f>
        <v/>
      </c>
    </row>
    <row r="189" spans="1:12" ht="14.25" customHeight="1" x14ac:dyDescent="0.3">
      <c r="A189" s="85">
        <v>46398</v>
      </c>
      <c r="B189" s="26" t="str">
        <f>IF(OR($A189&gt;MAX(Trato_Diario!$A$4:$A$300),SUMIFS(Trato_Diario!$G$4:$G$300,Trato_Diario!$B$4:$B$300,1,Trato_Diario!$A$4:$A$300,$A189)=0),"",SUMIFS(Trato_Diario!$J$4:$J$300,Trato_Diario!$B$4:$B$300,1,Trato_Diario!$A$4:$A$300,$A189)/SUMIFS(Trato_Diario!$G$4:$G$300,Trato_Diario!$B$4:$B$300,1,Trato_Diario!$A$4:$A$300,$A189))</f>
        <v/>
      </c>
      <c r="C189" s="26" t="str">
        <f>IF(OR($A189&gt;MAX(Trato_Diario!$A$4:$A$300),SUMIFS(Trato_Diario!$G$4:$G$300,Trato_Diario!$B$4:$B$300,2,Trato_Diario!$A$4:$A$300,$A189)=0),"",SUMIFS(Trato_Diario!$J$4:$J$300,Trato_Diario!$B$4:$B$300,2,Trato_Diario!$A$4:$A$300,$A189)/SUMIFS(Trato_Diario!$G$4:$G$300,Trato_Diario!$B$4:$B$300,2,Trato_Diario!$A$4:$A$300,$A189))</f>
        <v/>
      </c>
      <c r="D189" s="26" t="str">
        <f>IF(OR($A189&gt;MAX(Trato_Diario!$A$4:$A$300),SUMIFS(Trato_Diario!$G$4:$G$300,Trato_Diario!$B$4:$B$300,3,Trato_Diario!$A$4:$A$300,$A189)=0),"",SUMIFS(Trato_Diario!$J$4:$J$300,Trato_Diario!$B$4:$B$300,3,Trato_Diario!$A$4:$A$300,$A189)/SUMIFS(Trato_Diario!$G$4:$G$300,Trato_Diario!$B$4:$B$300,3,Trato_Diario!$A$4:$A$300,$A189))</f>
        <v/>
      </c>
      <c r="E189" s="26" t="str">
        <f>IF(OR($A189&gt;MAX(Trato_Diario!$A$4:$A$300),SUMIFS(Trato_Diario!$G$4:$G$300,Trato_Diario!$B$4:$B$300,4,Trato_Diario!$A$4:$A$300,$A189)=0),"",SUMIFS(Trato_Diario!$J$4:$J$300,Trato_Diario!$B$4:$B$300,4,Trato_Diario!$A$4:$A$300,$A189)/SUMIFS(Trato_Diario!$G$4:$G$300,Trato_Diario!$B$4:$B$300,4,Trato_Diario!$A$4:$A$300,$A189))</f>
        <v/>
      </c>
      <c r="F189" s="26" t="str">
        <f>IF(OR($A189&gt;MAX(Trato_Diario!$A$4:$A$300),SUMIFS(Trato_Diario!$G$4:$G$300,Trato_Diario!$B$4:$B$300,5,Trato_Diario!$A$4:$A$300,$A189)=0),"",SUMIFS(Trato_Diario!$J$4:$J$300,Trato_Diario!$B$4:$B$300,5,Trato_Diario!$A$4:$A$300,$A189)/SUMIFS(Trato_Diario!$G$4:$G$300,Trato_Diario!$B$4:$B$300,5,Trato_Diario!$A$4:$A$300,$A189))</f>
        <v/>
      </c>
      <c r="G189" s="26" t="str">
        <f>IF(OR($A189&gt;MAX(Trato_Diario!$A$4:$A$300),SUMIFS(Trato_Diario!$G$4:$G$300,Trato_Diario!$B$4:$B$300,6,Trato_Diario!$A$4:$A$300,$A189)=0),"",SUMIFS(Trato_Diario!$J$4:$J$300,Trato_Diario!$B$4:$B$300,6,Trato_Diario!$A$4:$A$300,$A189)/SUMIFS(Trato_Diario!$G$4:$G$300,Trato_Diario!$B$4:$B$300,6,Trato_Diario!$A$4:$A$300,$A189))</f>
        <v/>
      </c>
      <c r="H189" s="26" t="str">
        <f>IF(OR($A189&gt;MAX(Trato_Diario!$A$4:$A$300),SUMIFS(Trato_Diario!$G$4:$G$300,Trato_Diario!$B$4:$B$300,7,Trato_Diario!$A$4:$A$300,$A189)=0),"",SUMIFS(Trato_Diario!$J$4:$J$300,Trato_Diario!$B$4:$B$300,7,Trato_Diario!$A$4:$A$300,$A189)/SUMIFS(Trato_Diario!$G$4:$G$300,Trato_Diario!$B$4:$B$300,7,Trato_Diario!$A$4:$A$300,$A189))</f>
        <v/>
      </c>
      <c r="I189" s="26" t="str">
        <f>IF(OR($A189&gt;MAX(Trato_Diario!$A$4:$A$300),SUMIFS(Trato_Diario!$G$4:$G$300,Trato_Diario!$B$4:$B$300,8,Trato_Diario!$A$4:$A$300,$A189)=0),"",SUMIFS(Trato_Diario!$J$4:$J$300,Trato_Diario!$B$4:$B$300,8,Trato_Diario!$A$4:$A$300,$A189)/SUMIFS(Trato_Diario!$G$4:$G$300,Trato_Diario!$B$4:$B$300,8,Trato_Diario!$A$4:$A$300,$A189))</f>
        <v/>
      </c>
      <c r="J189" s="26" t="str">
        <f>IF(OR($A189&gt;MAX(Trato_Diario!$A$4:$A$300),SUMIFS(Trato_Diario!$G$4:$G$300,Trato_Diario!$B$4:$B$300,9,Trato_Diario!$A$4:$A$300,$A189)=0),"",SUMIFS(Trato_Diario!$J$4:$J$300,Trato_Diario!$B$4:$B$300,9,Trato_Diario!$A$4:$A$300,$A189)/SUMIFS(Trato_Diario!$G$4:$G$300,Trato_Diario!$B$4:$B$300,9,Trato_Diario!$A$4:$A$300,$A189))</f>
        <v/>
      </c>
      <c r="K189" s="26" t="str">
        <f>IF(OR($A189&gt;MAX(Trato_Diario!$A$4:$A$300),SUMIFS(Trato_Diario!$G$4:$G$300,Trato_Diario!$B$4:$B$300,10,Trato_Diario!$A$4:$A$300,$A189)=0),"",SUMIFS(Trato_Diario!$J$4:$J$300,Trato_Diario!$B$4:$B$300,10,Trato_Diario!$A$4:$A$300,$A189)/SUMIFS(Trato_Diario!$G$4:$G$300,Trato_Diario!$B$4:$B$300,10,Trato_Diario!$A$4:$A$300,$A189))</f>
        <v/>
      </c>
      <c r="L189" s="74" t="str">
        <f>IF(OR($A189&gt;MAX(Trato_Diario!$A$4:$A$300),SUMIFS(Trato_Diario!$G$4:$G$300,Trato_Diario!$A$4:$A$300,$A189)=0),"",SUMIFS(Trato_Diario!$J$4:$J$300,Trato_Diario!$A$4:$A$300,$A189)/SUMIFS(Trato_Diario!$G$4:$G$300,Trato_Diario!$A$4:$A$300,$A189))</f>
        <v/>
      </c>
    </row>
    <row r="190" spans="1:12" ht="14.25" customHeight="1" x14ac:dyDescent="0.3">
      <c r="A190" s="86">
        <v>46399</v>
      </c>
      <c r="B190" s="28" t="str">
        <f>IF(OR($A190&gt;MAX(Trato_Diario!$A$4:$A$300),SUMIFS(Trato_Diario!$G$4:$G$300,Trato_Diario!$B$4:$B$300,1,Trato_Diario!$A$4:$A$300,$A190)=0),"",SUMIFS(Trato_Diario!$J$4:$J$300,Trato_Diario!$B$4:$B$300,1,Trato_Diario!$A$4:$A$300,$A190)/SUMIFS(Trato_Diario!$G$4:$G$300,Trato_Diario!$B$4:$B$300,1,Trato_Diario!$A$4:$A$300,$A190))</f>
        <v/>
      </c>
      <c r="C190" s="28" t="str">
        <f>IF(OR($A190&gt;MAX(Trato_Diario!$A$4:$A$300),SUMIFS(Trato_Diario!$G$4:$G$300,Trato_Diario!$B$4:$B$300,2,Trato_Diario!$A$4:$A$300,$A190)=0),"",SUMIFS(Trato_Diario!$J$4:$J$300,Trato_Diario!$B$4:$B$300,2,Trato_Diario!$A$4:$A$300,$A190)/SUMIFS(Trato_Diario!$G$4:$G$300,Trato_Diario!$B$4:$B$300,2,Trato_Diario!$A$4:$A$300,$A190))</f>
        <v/>
      </c>
      <c r="D190" s="28" t="str">
        <f>IF(OR($A190&gt;MAX(Trato_Diario!$A$4:$A$300),SUMIFS(Trato_Diario!$G$4:$G$300,Trato_Diario!$B$4:$B$300,3,Trato_Diario!$A$4:$A$300,$A190)=0),"",SUMIFS(Trato_Diario!$J$4:$J$300,Trato_Diario!$B$4:$B$300,3,Trato_Diario!$A$4:$A$300,$A190)/SUMIFS(Trato_Diario!$G$4:$G$300,Trato_Diario!$B$4:$B$300,3,Trato_Diario!$A$4:$A$300,$A190))</f>
        <v/>
      </c>
      <c r="E190" s="28" t="str">
        <f>IF(OR($A190&gt;MAX(Trato_Diario!$A$4:$A$300),SUMIFS(Trato_Diario!$G$4:$G$300,Trato_Diario!$B$4:$B$300,4,Trato_Diario!$A$4:$A$300,$A190)=0),"",SUMIFS(Trato_Diario!$J$4:$J$300,Trato_Diario!$B$4:$B$300,4,Trato_Diario!$A$4:$A$300,$A190)/SUMIFS(Trato_Diario!$G$4:$G$300,Trato_Diario!$B$4:$B$300,4,Trato_Diario!$A$4:$A$300,$A190))</f>
        <v/>
      </c>
      <c r="F190" s="28" t="str">
        <f>IF(OR($A190&gt;MAX(Trato_Diario!$A$4:$A$300),SUMIFS(Trato_Diario!$G$4:$G$300,Trato_Diario!$B$4:$B$300,5,Trato_Diario!$A$4:$A$300,$A190)=0),"",SUMIFS(Trato_Diario!$J$4:$J$300,Trato_Diario!$B$4:$B$300,5,Trato_Diario!$A$4:$A$300,$A190)/SUMIFS(Trato_Diario!$G$4:$G$300,Trato_Diario!$B$4:$B$300,5,Trato_Diario!$A$4:$A$300,$A190))</f>
        <v/>
      </c>
      <c r="G190" s="28" t="str">
        <f>IF(OR($A190&gt;MAX(Trato_Diario!$A$4:$A$300),SUMIFS(Trato_Diario!$G$4:$G$300,Trato_Diario!$B$4:$B$300,6,Trato_Diario!$A$4:$A$300,$A190)=0),"",SUMIFS(Trato_Diario!$J$4:$J$300,Trato_Diario!$B$4:$B$300,6,Trato_Diario!$A$4:$A$300,$A190)/SUMIFS(Trato_Diario!$G$4:$G$300,Trato_Diario!$B$4:$B$300,6,Trato_Diario!$A$4:$A$300,$A190))</f>
        <v/>
      </c>
      <c r="H190" s="28" t="str">
        <f>IF(OR($A190&gt;MAX(Trato_Diario!$A$4:$A$300),SUMIFS(Trato_Diario!$G$4:$G$300,Trato_Diario!$B$4:$B$300,7,Trato_Diario!$A$4:$A$300,$A190)=0),"",SUMIFS(Trato_Diario!$J$4:$J$300,Trato_Diario!$B$4:$B$300,7,Trato_Diario!$A$4:$A$300,$A190)/SUMIFS(Trato_Diario!$G$4:$G$300,Trato_Diario!$B$4:$B$300,7,Trato_Diario!$A$4:$A$300,$A190))</f>
        <v/>
      </c>
      <c r="I190" s="28" t="str">
        <f>IF(OR($A190&gt;MAX(Trato_Diario!$A$4:$A$300),SUMIFS(Trato_Diario!$G$4:$G$300,Trato_Diario!$B$4:$B$300,8,Trato_Diario!$A$4:$A$300,$A190)=0),"",SUMIFS(Trato_Diario!$J$4:$J$300,Trato_Diario!$B$4:$B$300,8,Trato_Diario!$A$4:$A$300,$A190)/SUMIFS(Trato_Diario!$G$4:$G$300,Trato_Diario!$B$4:$B$300,8,Trato_Diario!$A$4:$A$300,$A190))</f>
        <v/>
      </c>
      <c r="J190" s="28" t="str">
        <f>IF(OR($A190&gt;MAX(Trato_Diario!$A$4:$A$300),SUMIFS(Trato_Diario!$G$4:$G$300,Trato_Diario!$B$4:$B$300,9,Trato_Diario!$A$4:$A$300,$A190)=0),"",SUMIFS(Trato_Diario!$J$4:$J$300,Trato_Diario!$B$4:$B$300,9,Trato_Diario!$A$4:$A$300,$A190)/SUMIFS(Trato_Diario!$G$4:$G$300,Trato_Diario!$B$4:$B$300,9,Trato_Diario!$A$4:$A$300,$A190))</f>
        <v/>
      </c>
      <c r="K190" s="28" t="str">
        <f>IF(OR($A190&gt;MAX(Trato_Diario!$A$4:$A$300),SUMIFS(Trato_Diario!$G$4:$G$300,Trato_Diario!$B$4:$B$300,10,Trato_Diario!$A$4:$A$300,$A190)=0),"",SUMIFS(Trato_Diario!$J$4:$J$300,Trato_Diario!$B$4:$B$300,10,Trato_Diario!$A$4:$A$300,$A190)/SUMIFS(Trato_Diario!$G$4:$G$300,Trato_Diario!$B$4:$B$300,10,Trato_Diario!$A$4:$A$300,$A190))</f>
        <v/>
      </c>
      <c r="L190" s="76" t="str">
        <f>IF(OR($A190&gt;MAX(Trato_Diario!$A$4:$A$300),SUMIFS(Trato_Diario!$G$4:$G$300,Trato_Diario!$A$4:$A$300,$A190)=0),"",SUMIFS(Trato_Diario!$J$4:$J$300,Trato_Diario!$A$4:$A$300,$A190)/SUMIFS(Trato_Diario!$G$4:$G$300,Trato_Diario!$A$4:$A$300,$A190))</f>
        <v/>
      </c>
    </row>
  </sheetData>
  <mergeCells count="3">
    <mergeCell ref="A1:L1"/>
    <mergeCell ref="A2:L2"/>
    <mergeCell ref="A9:L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9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1" customWidth="1"/>
    <col min="3" max="3" width="14" customWidth="1"/>
    <col min="4" max="4" width="15" customWidth="1"/>
    <col min="5" max="5" width="12" customWidth="1"/>
    <col min="6" max="6" width="14" customWidth="1"/>
    <col min="7" max="7" width="12" customWidth="1"/>
    <col min="8" max="8" width="16" customWidth="1"/>
    <col min="9" max="9" width="15" customWidth="1"/>
    <col min="10" max="10" width="16" customWidth="1"/>
    <col min="11" max="11" width="17" customWidth="1"/>
    <col min="12" max="12" width="18" customWidth="1"/>
    <col min="13" max="13" width="15" customWidth="1"/>
    <col min="14" max="14" width="16" customWidth="1"/>
    <col min="15" max="15" width="24" customWidth="1"/>
  </cols>
  <sheetData>
    <row r="1" spans="1:15" ht="24" customHeight="1" x14ac:dyDescent="0.3">
      <c r="A1" s="7" t="s">
        <v>153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9.75" customHeight="1" x14ac:dyDescent="0.3">
      <c r="A2" s="6" t="s">
        <v>154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30" customHeight="1" x14ac:dyDescent="0.3">
      <c r="A3" s="15" t="s">
        <v>45</v>
      </c>
      <c r="B3" s="15" t="s">
        <v>155</v>
      </c>
      <c r="C3" s="15" t="s">
        <v>102</v>
      </c>
      <c r="D3" s="15" t="s">
        <v>156</v>
      </c>
      <c r="E3" s="15" t="s">
        <v>157</v>
      </c>
      <c r="F3" s="15" t="s">
        <v>158</v>
      </c>
      <c r="G3" s="15" t="s">
        <v>134</v>
      </c>
      <c r="H3" s="15" t="s">
        <v>159</v>
      </c>
      <c r="I3" s="15" t="s">
        <v>110</v>
      </c>
      <c r="J3" s="15" t="s">
        <v>130</v>
      </c>
      <c r="K3" s="15" t="s">
        <v>160</v>
      </c>
      <c r="L3" s="15" t="s">
        <v>161</v>
      </c>
      <c r="M3" s="15" t="s">
        <v>162</v>
      </c>
      <c r="N3" s="15" t="s">
        <v>163</v>
      </c>
      <c r="O3" s="15" t="s">
        <v>51</v>
      </c>
    </row>
    <row r="4" spans="1:15" ht="15" customHeight="1" x14ac:dyDescent="0.3">
      <c r="A4" s="87">
        <f>Parâmetros!$C$4</f>
        <v>46238</v>
      </c>
      <c r="B4" s="88">
        <f>COUNTA(Cadastro_Animais!$B$3:$B$5001)</f>
        <v>646</v>
      </c>
      <c r="C4" s="88">
        <f>IFERROR(AVERAGE(Cadastro_Animais!$I$3:$I$5001),"")</f>
        <v>400.51702786377712</v>
      </c>
      <c r="D4" s="89" t="str">
        <f>IFERROR(AVERAGE(Cadastro_Animais!$L$3:$L$5001),"")</f>
        <v/>
      </c>
      <c r="E4" s="90">
        <f>SUM(Cadastro_Animais!$M$3:$M$5001)</f>
        <v>9141.9346666666352</v>
      </c>
      <c r="F4" s="88">
        <f>SUM(Cadastro_Animais!$K$3:$K$5001)</f>
        <v>0</v>
      </c>
      <c r="G4" s="90">
        <f>SUM(Cadastro_Animais!$N$3:$N$5001)</f>
        <v>0</v>
      </c>
      <c r="H4" s="88">
        <f>Calculadora_Trato!$G$18</f>
        <v>11800</v>
      </c>
      <c r="I4" s="91">
        <f>Parâmetros!$C$6</f>
        <v>0.82269999999999999</v>
      </c>
      <c r="J4" s="92">
        <f>Calculadora_Trato!$M$18</f>
        <v>9707.86</v>
      </c>
      <c r="K4" s="92">
        <f>IFERROR(Calculadora_Trato!$M$18/COUNTA(Cadastro_Animais!$B$3:$B$5001),"")</f>
        <v>15.027647058823531</v>
      </c>
      <c r="L4" s="92" t="str">
        <f>IF(Custo_Nutricao_Lote!$L$16&lt;=0,"",Custo_Nutricao_Lote!$I$16/Custo_Nutricao_Lote!$L$16)</f>
        <v/>
      </c>
      <c r="M4" s="92">
        <f>Parâmetros!$C$5</f>
        <v>320</v>
      </c>
      <c r="N4" s="92">
        <f>SUM(Cadastro_Animais!$O$3:$O$5001)</f>
        <v>2925419.0933333328</v>
      </c>
      <c r="O4" s="93" t="str">
        <f>"AO VIVO — não colar valores nesta linha"</f>
        <v>AO VIVO — não colar valores nesta linha</v>
      </c>
    </row>
    <row r="6" spans="1:15" ht="15" customHeight="1" x14ac:dyDescent="0.3">
      <c r="A6" s="1" t="s">
        <v>164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0" customHeight="1" x14ac:dyDescent="0.3">
      <c r="A7" s="15" t="s">
        <v>45</v>
      </c>
      <c r="B7" s="15" t="s">
        <v>155</v>
      </c>
      <c r="C7" s="15" t="s">
        <v>102</v>
      </c>
      <c r="D7" s="15" t="s">
        <v>156</v>
      </c>
      <c r="E7" s="15" t="s">
        <v>157</v>
      </c>
      <c r="F7" s="15" t="s">
        <v>158</v>
      </c>
      <c r="G7" s="15" t="s">
        <v>134</v>
      </c>
      <c r="H7" s="15" t="s">
        <v>159</v>
      </c>
      <c r="I7" s="15" t="s">
        <v>110</v>
      </c>
      <c r="J7" s="15" t="s">
        <v>130</v>
      </c>
      <c r="K7" s="15" t="s">
        <v>160</v>
      </c>
      <c r="L7" s="15" t="s">
        <v>161</v>
      </c>
      <c r="M7" s="15" t="s">
        <v>162</v>
      </c>
      <c r="N7" s="15" t="s">
        <v>163</v>
      </c>
      <c r="O7" s="15" t="s">
        <v>51</v>
      </c>
    </row>
    <row r="8" spans="1:15" ht="15" customHeight="1" x14ac:dyDescent="0.3">
      <c r="A8" s="94">
        <v>46238</v>
      </c>
      <c r="B8" s="95">
        <v>646</v>
      </c>
      <c r="C8" s="95">
        <v>400.517027863777</v>
      </c>
      <c r="D8" s="96"/>
      <c r="E8" s="97">
        <v>9141.9346666666697</v>
      </c>
      <c r="F8" s="95">
        <v>0</v>
      </c>
      <c r="G8" s="97">
        <v>0</v>
      </c>
      <c r="H8" s="95">
        <v>12518.5</v>
      </c>
      <c r="I8" s="98">
        <v>0.52910000000000001</v>
      </c>
      <c r="J8" s="99">
        <v>6623.5383499999998</v>
      </c>
      <c r="K8" s="99">
        <v>10.253155340557299</v>
      </c>
      <c r="L8" s="99"/>
      <c r="M8" s="99">
        <v>320</v>
      </c>
      <c r="N8" s="99">
        <v>2925419.09333333</v>
      </c>
      <c r="O8" s="72" t="s">
        <v>165</v>
      </c>
    </row>
    <row r="9" spans="1:15" ht="15" customHeight="1" x14ac:dyDescent="0.3">
      <c r="A9" s="94"/>
      <c r="B9" s="95"/>
      <c r="C9" s="95"/>
      <c r="D9" s="96"/>
      <c r="E9" s="97"/>
      <c r="F9" s="95"/>
      <c r="G9" s="97"/>
      <c r="H9" s="95"/>
      <c r="I9" s="98"/>
      <c r="J9" s="99"/>
      <c r="K9" s="99"/>
      <c r="L9" s="99"/>
      <c r="M9" s="99"/>
      <c r="N9" s="99"/>
      <c r="O9" s="100"/>
    </row>
    <row r="10" spans="1:15" ht="15" customHeight="1" x14ac:dyDescent="0.3">
      <c r="A10" s="94"/>
      <c r="B10" s="95"/>
      <c r="C10" s="95"/>
      <c r="D10" s="96"/>
      <c r="E10" s="97"/>
      <c r="F10" s="95"/>
      <c r="G10" s="97"/>
      <c r="H10" s="95"/>
      <c r="I10" s="98"/>
      <c r="J10" s="99"/>
      <c r="K10" s="99"/>
      <c r="L10" s="99"/>
      <c r="M10" s="99"/>
      <c r="N10" s="99"/>
      <c r="O10" s="100"/>
    </row>
    <row r="11" spans="1:15" ht="15" customHeight="1" x14ac:dyDescent="0.3">
      <c r="A11" s="94"/>
      <c r="B11" s="95"/>
      <c r="C11" s="95"/>
      <c r="D11" s="96"/>
      <c r="E11" s="97"/>
      <c r="F11" s="95"/>
      <c r="G11" s="97"/>
      <c r="H11" s="95"/>
      <c r="I11" s="98"/>
      <c r="J11" s="99"/>
      <c r="K11" s="99"/>
      <c r="L11" s="99"/>
      <c r="M11" s="99"/>
      <c r="N11" s="99"/>
      <c r="O11" s="100"/>
    </row>
    <row r="12" spans="1:15" ht="15" customHeight="1" x14ac:dyDescent="0.3">
      <c r="A12" s="94"/>
      <c r="B12" s="95"/>
      <c r="C12" s="95"/>
      <c r="D12" s="96"/>
      <c r="E12" s="97"/>
      <c r="F12" s="95"/>
      <c r="G12" s="97"/>
      <c r="H12" s="95"/>
      <c r="I12" s="98"/>
      <c r="J12" s="99"/>
      <c r="K12" s="99"/>
      <c r="L12" s="99"/>
      <c r="M12" s="99"/>
      <c r="N12" s="99"/>
      <c r="O12" s="100"/>
    </row>
    <row r="13" spans="1:15" ht="15" customHeight="1" x14ac:dyDescent="0.3">
      <c r="A13" s="94"/>
      <c r="B13" s="95"/>
      <c r="C13" s="95"/>
      <c r="D13" s="96"/>
      <c r="E13" s="97"/>
      <c r="F13" s="95"/>
      <c r="G13" s="97"/>
      <c r="H13" s="95"/>
      <c r="I13" s="98"/>
      <c r="J13" s="99"/>
      <c r="K13" s="99"/>
      <c r="L13" s="99"/>
      <c r="M13" s="99"/>
      <c r="N13" s="99"/>
      <c r="O13" s="100"/>
    </row>
    <row r="14" spans="1:15" ht="15" customHeight="1" x14ac:dyDescent="0.3">
      <c r="A14" s="94"/>
      <c r="B14" s="95"/>
      <c r="C14" s="95"/>
      <c r="D14" s="96"/>
      <c r="E14" s="97"/>
      <c r="F14" s="95"/>
      <c r="G14" s="97"/>
      <c r="H14" s="95"/>
      <c r="I14" s="98"/>
      <c r="J14" s="99"/>
      <c r="K14" s="99"/>
      <c r="L14" s="99"/>
      <c r="M14" s="99"/>
      <c r="N14" s="99"/>
      <c r="O14" s="100"/>
    </row>
    <row r="15" spans="1:15" ht="15" customHeight="1" x14ac:dyDescent="0.3">
      <c r="A15" s="94"/>
      <c r="B15" s="95"/>
      <c r="C15" s="95"/>
      <c r="D15" s="96"/>
      <c r="E15" s="97"/>
      <c r="F15" s="95"/>
      <c r="G15" s="97"/>
      <c r="H15" s="95"/>
      <c r="I15" s="98"/>
      <c r="J15" s="99"/>
      <c r="K15" s="99"/>
      <c r="L15" s="99"/>
      <c r="M15" s="99"/>
      <c r="N15" s="99"/>
      <c r="O15" s="100"/>
    </row>
    <row r="16" spans="1:15" ht="15" customHeight="1" x14ac:dyDescent="0.3">
      <c r="A16" s="94"/>
      <c r="B16" s="95"/>
      <c r="C16" s="95"/>
      <c r="D16" s="96"/>
      <c r="E16" s="97"/>
      <c r="F16" s="95"/>
      <c r="G16" s="97"/>
      <c r="H16" s="95"/>
      <c r="I16" s="98"/>
      <c r="J16" s="99"/>
      <c r="K16" s="99"/>
      <c r="L16" s="99"/>
      <c r="M16" s="99"/>
      <c r="N16" s="99"/>
      <c r="O16" s="100"/>
    </row>
    <row r="17" spans="1:15" ht="15" customHeight="1" x14ac:dyDescent="0.3">
      <c r="A17" s="94"/>
      <c r="B17" s="95"/>
      <c r="C17" s="95"/>
      <c r="D17" s="96"/>
      <c r="E17" s="97"/>
      <c r="F17" s="95"/>
      <c r="G17" s="97"/>
      <c r="H17" s="95"/>
      <c r="I17" s="98"/>
      <c r="J17" s="99"/>
      <c r="K17" s="99"/>
      <c r="L17" s="99"/>
      <c r="M17" s="99"/>
      <c r="N17" s="99"/>
      <c r="O17" s="100"/>
    </row>
    <row r="18" spans="1:15" ht="15" customHeight="1" x14ac:dyDescent="0.3">
      <c r="A18" s="94"/>
      <c r="B18" s="95"/>
      <c r="C18" s="95"/>
      <c r="D18" s="96"/>
      <c r="E18" s="97"/>
      <c r="F18" s="95"/>
      <c r="G18" s="97"/>
      <c r="H18" s="95"/>
      <c r="I18" s="98"/>
      <c r="J18" s="99"/>
      <c r="K18" s="99"/>
      <c r="L18" s="99"/>
      <c r="M18" s="99"/>
      <c r="N18" s="99"/>
      <c r="O18" s="100"/>
    </row>
    <row r="19" spans="1:15" ht="15" customHeight="1" x14ac:dyDescent="0.3">
      <c r="A19" s="94"/>
      <c r="B19" s="95"/>
      <c r="C19" s="95"/>
      <c r="D19" s="96"/>
      <c r="E19" s="97"/>
      <c r="F19" s="95"/>
      <c r="G19" s="97"/>
      <c r="H19" s="95"/>
      <c r="I19" s="98"/>
      <c r="J19" s="99"/>
      <c r="K19" s="99"/>
      <c r="L19" s="99"/>
      <c r="M19" s="99"/>
      <c r="N19" s="99"/>
      <c r="O19" s="100"/>
    </row>
    <row r="20" spans="1:15" ht="15" customHeight="1" x14ac:dyDescent="0.3">
      <c r="A20" s="94"/>
      <c r="B20" s="95"/>
      <c r="C20" s="95"/>
      <c r="D20" s="96"/>
      <c r="E20" s="97"/>
      <c r="F20" s="95"/>
      <c r="G20" s="97"/>
      <c r="H20" s="95"/>
      <c r="I20" s="98"/>
      <c r="J20" s="99"/>
      <c r="K20" s="99"/>
      <c r="L20" s="99"/>
      <c r="M20" s="99"/>
      <c r="N20" s="99"/>
      <c r="O20" s="100"/>
    </row>
    <row r="21" spans="1:15" ht="15" customHeight="1" x14ac:dyDescent="0.3">
      <c r="A21" s="94"/>
      <c r="B21" s="95"/>
      <c r="C21" s="95"/>
      <c r="D21" s="96"/>
      <c r="E21" s="97"/>
      <c r="F21" s="95"/>
      <c r="G21" s="97"/>
      <c r="H21" s="95"/>
      <c r="I21" s="98"/>
      <c r="J21" s="99"/>
      <c r="K21" s="99"/>
      <c r="L21" s="99"/>
      <c r="M21" s="99"/>
      <c r="N21" s="99"/>
      <c r="O21" s="100"/>
    </row>
    <row r="22" spans="1:15" ht="15" customHeight="1" x14ac:dyDescent="0.3">
      <c r="A22" s="94"/>
      <c r="B22" s="95"/>
      <c r="C22" s="95"/>
      <c r="D22" s="96"/>
      <c r="E22" s="97"/>
      <c r="F22" s="95"/>
      <c r="G22" s="97"/>
      <c r="H22" s="95"/>
      <c r="I22" s="98"/>
      <c r="J22" s="99"/>
      <c r="K22" s="99"/>
      <c r="L22" s="99"/>
      <c r="M22" s="99"/>
      <c r="N22" s="99"/>
      <c r="O22" s="100"/>
    </row>
    <row r="23" spans="1:15" ht="15" customHeight="1" x14ac:dyDescent="0.3">
      <c r="A23" s="94"/>
      <c r="B23" s="95"/>
      <c r="C23" s="95"/>
      <c r="D23" s="96"/>
      <c r="E23" s="97"/>
      <c r="F23" s="95"/>
      <c r="G23" s="97"/>
      <c r="H23" s="95"/>
      <c r="I23" s="98"/>
      <c r="J23" s="99"/>
      <c r="K23" s="99"/>
      <c r="L23" s="99"/>
      <c r="M23" s="99"/>
      <c r="N23" s="99"/>
      <c r="O23" s="100"/>
    </row>
    <row r="24" spans="1:15" ht="15" customHeight="1" x14ac:dyDescent="0.3">
      <c r="A24" s="94"/>
      <c r="B24" s="95"/>
      <c r="C24" s="95"/>
      <c r="D24" s="96"/>
      <c r="E24" s="97"/>
      <c r="F24" s="95"/>
      <c r="G24" s="97"/>
      <c r="H24" s="95"/>
      <c r="I24" s="98"/>
      <c r="J24" s="99"/>
      <c r="K24" s="99"/>
      <c r="L24" s="99"/>
      <c r="M24" s="99"/>
      <c r="N24" s="99"/>
      <c r="O24" s="100"/>
    </row>
    <row r="25" spans="1:15" ht="15" customHeight="1" x14ac:dyDescent="0.3">
      <c r="A25" s="94"/>
      <c r="B25" s="95"/>
      <c r="C25" s="95"/>
      <c r="D25" s="96"/>
      <c r="E25" s="97"/>
      <c r="F25" s="95"/>
      <c r="G25" s="97"/>
      <c r="H25" s="95"/>
      <c r="I25" s="98"/>
      <c r="J25" s="99"/>
      <c r="K25" s="99"/>
      <c r="L25" s="99"/>
      <c r="M25" s="99"/>
      <c r="N25" s="99"/>
      <c r="O25" s="100"/>
    </row>
    <row r="26" spans="1:15" ht="15" customHeight="1" x14ac:dyDescent="0.3">
      <c r="A26" s="94"/>
      <c r="B26" s="95"/>
      <c r="C26" s="95"/>
      <c r="D26" s="96"/>
      <c r="E26" s="97"/>
      <c r="F26" s="95"/>
      <c r="G26" s="97"/>
      <c r="H26" s="95"/>
      <c r="I26" s="98"/>
      <c r="J26" s="99"/>
      <c r="K26" s="99"/>
      <c r="L26" s="99"/>
      <c r="M26" s="99"/>
      <c r="N26" s="99"/>
      <c r="O26" s="100"/>
    </row>
    <row r="27" spans="1:15" ht="15" customHeight="1" x14ac:dyDescent="0.3">
      <c r="A27" s="94"/>
      <c r="B27" s="95"/>
      <c r="C27" s="95"/>
      <c r="D27" s="96"/>
      <c r="E27" s="97"/>
      <c r="F27" s="95"/>
      <c r="G27" s="97"/>
      <c r="H27" s="95"/>
      <c r="I27" s="98"/>
      <c r="J27" s="99"/>
      <c r="K27" s="99"/>
      <c r="L27" s="99"/>
      <c r="M27" s="99"/>
      <c r="N27" s="99"/>
      <c r="O27" s="100"/>
    </row>
    <row r="28" spans="1:15" ht="15" customHeight="1" x14ac:dyDescent="0.3">
      <c r="A28" s="94"/>
      <c r="B28" s="95"/>
      <c r="C28" s="95"/>
      <c r="D28" s="96"/>
      <c r="E28" s="97"/>
      <c r="F28" s="95"/>
      <c r="G28" s="97"/>
      <c r="H28" s="95"/>
      <c r="I28" s="98"/>
      <c r="J28" s="99"/>
      <c r="K28" s="99"/>
      <c r="L28" s="99"/>
      <c r="M28" s="99"/>
      <c r="N28" s="99"/>
      <c r="O28" s="100"/>
    </row>
    <row r="29" spans="1:15" ht="15" customHeight="1" x14ac:dyDescent="0.3">
      <c r="A29" s="94"/>
      <c r="B29" s="95"/>
      <c r="C29" s="95"/>
      <c r="D29" s="96"/>
      <c r="E29" s="97"/>
      <c r="F29" s="95"/>
      <c r="G29" s="97"/>
      <c r="H29" s="95"/>
      <c r="I29" s="98"/>
      <c r="J29" s="99"/>
      <c r="K29" s="99"/>
      <c r="L29" s="99"/>
      <c r="M29" s="99"/>
      <c r="N29" s="99"/>
      <c r="O29" s="100"/>
    </row>
    <row r="30" spans="1:15" ht="15" customHeight="1" x14ac:dyDescent="0.3">
      <c r="A30" s="94"/>
      <c r="B30" s="95"/>
      <c r="C30" s="95"/>
      <c r="D30" s="96"/>
      <c r="E30" s="97"/>
      <c r="F30" s="95"/>
      <c r="G30" s="97"/>
      <c r="H30" s="95"/>
      <c r="I30" s="98"/>
      <c r="J30" s="99"/>
      <c r="K30" s="99"/>
      <c r="L30" s="99"/>
      <c r="M30" s="99"/>
      <c r="N30" s="99"/>
      <c r="O30" s="100"/>
    </row>
    <row r="31" spans="1:15" ht="15" customHeight="1" x14ac:dyDescent="0.3">
      <c r="A31" s="94"/>
      <c r="B31" s="95"/>
      <c r="C31" s="95"/>
      <c r="D31" s="96"/>
      <c r="E31" s="97"/>
      <c r="F31" s="95"/>
      <c r="G31" s="97"/>
      <c r="H31" s="95"/>
      <c r="I31" s="98"/>
      <c r="J31" s="99"/>
      <c r="K31" s="99"/>
      <c r="L31" s="99"/>
      <c r="M31" s="99"/>
      <c r="N31" s="99"/>
      <c r="O31" s="100"/>
    </row>
    <row r="32" spans="1:15" ht="15" customHeight="1" x14ac:dyDescent="0.3">
      <c r="A32" s="94"/>
      <c r="B32" s="95"/>
      <c r="C32" s="95"/>
      <c r="D32" s="96"/>
      <c r="E32" s="97"/>
      <c r="F32" s="95"/>
      <c r="G32" s="97"/>
      <c r="H32" s="95"/>
      <c r="I32" s="98"/>
      <c r="J32" s="99"/>
      <c r="K32" s="99"/>
      <c r="L32" s="99"/>
      <c r="M32" s="99"/>
      <c r="N32" s="99"/>
      <c r="O32" s="100"/>
    </row>
    <row r="33" spans="1:15" ht="15" customHeight="1" x14ac:dyDescent="0.3">
      <c r="A33" s="94"/>
      <c r="B33" s="95"/>
      <c r="C33" s="95"/>
      <c r="D33" s="96"/>
      <c r="E33" s="97"/>
      <c r="F33" s="95"/>
      <c r="G33" s="97"/>
      <c r="H33" s="95"/>
      <c r="I33" s="98"/>
      <c r="J33" s="99"/>
      <c r="K33" s="99"/>
      <c r="L33" s="99"/>
      <c r="M33" s="99"/>
      <c r="N33" s="99"/>
      <c r="O33" s="100"/>
    </row>
    <row r="34" spans="1:15" ht="15" customHeight="1" x14ac:dyDescent="0.3">
      <c r="A34" s="94"/>
      <c r="B34" s="95"/>
      <c r="C34" s="95"/>
      <c r="D34" s="96"/>
      <c r="E34" s="97"/>
      <c r="F34" s="95"/>
      <c r="G34" s="97"/>
      <c r="H34" s="95"/>
      <c r="I34" s="98"/>
      <c r="J34" s="99"/>
      <c r="K34" s="99"/>
      <c r="L34" s="99"/>
      <c r="M34" s="99"/>
      <c r="N34" s="99"/>
      <c r="O34" s="100"/>
    </row>
    <row r="35" spans="1:15" ht="15" customHeight="1" x14ac:dyDescent="0.3">
      <c r="A35" s="94"/>
      <c r="B35" s="95"/>
      <c r="C35" s="95"/>
      <c r="D35" s="96"/>
      <c r="E35" s="97"/>
      <c r="F35" s="95"/>
      <c r="G35" s="97"/>
      <c r="H35" s="95"/>
      <c r="I35" s="98"/>
      <c r="J35" s="99"/>
      <c r="K35" s="99"/>
      <c r="L35" s="99"/>
      <c r="M35" s="99"/>
      <c r="N35" s="99"/>
      <c r="O35" s="100"/>
    </row>
    <row r="36" spans="1:15" ht="15" customHeight="1" x14ac:dyDescent="0.3">
      <c r="A36" s="94"/>
      <c r="B36" s="95"/>
      <c r="C36" s="95"/>
      <c r="D36" s="96"/>
      <c r="E36" s="97"/>
      <c r="F36" s="95"/>
      <c r="G36" s="97"/>
      <c r="H36" s="95"/>
      <c r="I36" s="98"/>
      <c r="J36" s="99"/>
      <c r="K36" s="99"/>
      <c r="L36" s="99"/>
      <c r="M36" s="99"/>
      <c r="N36" s="99"/>
      <c r="O36" s="100"/>
    </row>
    <row r="37" spans="1:15" ht="15" customHeight="1" x14ac:dyDescent="0.3">
      <c r="A37" s="94"/>
      <c r="B37" s="95"/>
      <c r="C37" s="95"/>
      <c r="D37" s="96"/>
      <c r="E37" s="97"/>
      <c r="F37" s="95"/>
      <c r="G37" s="97"/>
      <c r="H37" s="95"/>
      <c r="I37" s="98"/>
      <c r="J37" s="99"/>
      <c r="K37" s="99"/>
      <c r="L37" s="99"/>
      <c r="M37" s="99"/>
      <c r="N37" s="99"/>
      <c r="O37" s="100"/>
    </row>
    <row r="38" spans="1:15" ht="15" customHeight="1" x14ac:dyDescent="0.3">
      <c r="A38" s="94"/>
      <c r="B38" s="95"/>
      <c r="C38" s="95"/>
      <c r="D38" s="96"/>
      <c r="E38" s="97"/>
      <c r="F38" s="95"/>
      <c r="G38" s="97"/>
      <c r="H38" s="95"/>
      <c r="I38" s="98"/>
      <c r="J38" s="99"/>
      <c r="K38" s="99"/>
      <c r="L38" s="99"/>
      <c r="M38" s="99"/>
      <c r="N38" s="99"/>
      <c r="O38" s="100"/>
    </row>
    <row r="39" spans="1:15" ht="15" customHeight="1" x14ac:dyDescent="0.3">
      <c r="A39" s="94"/>
      <c r="B39" s="95"/>
      <c r="C39" s="95"/>
      <c r="D39" s="96"/>
      <c r="E39" s="97"/>
      <c r="F39" s="95"/>
      <c r="G39" s="97"/>
      <c r="H39" s="95"/>
      <c r="I39" s="98"/>
      <c r="J39" s="99"/>
      <c r="K39" s="99"/>
      <c r="L39" s="99"/>
      <c r="M39" s="99"/>
      <c r="N39" s="99"/>
      <c r="O39" s="100"/>
    </row>
    <row r="40" spans="1:15" ht="15" customHeight="1" x14ac:dyDescent="0.3">
      <c r="A40" s="94"/>
      <c r="B40" s="95"/>
      <c r="C40" s="95"/>
      <c r="D40" s="96"/>
      <c r="E40" s="97"/>
      <c r="F40" s="95"/>
      <c r="G40" s="97"/>
      <c r="H40" s="95"/>
      <c r="I40" s="98"/>
      <c r="J40" s="99"/>
      <c r="K40" s="99"/>
      <c r="L40" s="99"/>
      <c r="M40" s="99"/>
      <c r="N40" s="99"/>
      <c r="O40" s="100"/>
    </row>
    <row r="41" spans="1:15" ht="15" customHeight="1" x14ac:dyDescent="0.3">
      <c r="A41" s="94"/>
      <c r="B41" s="95"/>
      <c r="C41" s="95"/>
      <c r="D41" s="96"/>
      <c r="E41" s="97"/>
      <c r="F41" s="95"/>
      <c r="G41" s="97"/>
      <c r="H41" s="95"/>
      <c r="I41" s="98"/>
      <c r="J41" s="99"/>
      <c r="K41" s="99"/>
      <c r="L41" s="99"/>
      <c r="M41" s="99"/>
      <c r="N41" s="99"/>
      <c r="O41" s="100"/>
    </row>
    <row r="42" spans="1:15" ht="15" customHeight="1" x14ac:dyDescent="0.3">
      <c r="A42" s="94"/>
      <c r="B42" s="95"/>
      <c r="C42" s="95"/>
      <c r="D42" s="96"/>
      <c r="E42" s="97"/>
      <c r="F42" s="95"/>
      <c r="G42" s="97"/>
      <c r="H42" s="95"/>
      <c r="I42" s="98"/>
      <c r="J42" s="99"/>
      <c r="K42" s="99"/>
      <c r="L42" s="99"/>
      <c r="M42" s="99"/>
      <c r="N42" s="99"/>
      <c r="O42" s="100"/>
    </row>
    <row r="43" spans="1:15" ht="15" customHeight="1" x14ac:dyDescent="0.3">
      <c r="A43" s="94"/>
      <c r="B43" s="95"/>
      <c r="C43" s="95"/>
      <c r="D43" s="96"/>
      <c r="E43" s="97"/>
      <c r="F43" s="95"/>
      <c r="G43" s="97"/>
      <c r="H43" s="95"/>
      <c r="I43" s="98"/>
      <c r="J43" s="99"/>
      <c r="K43" s="99"/>
      <c r="L43" s="99"/>
      <c r="M43" s="99"/>
      <c r="N43" s="99"/>
      <c r="O43" s="100"/>
    </row>
    <row r="44" spans="1:15" ht="15" customHeight="1" x14ac:dyDescent="0.3">
      <c r="A44" s="94"/>
      <c r="B44" s="95"/>
      <c r="C44" s="95"/>
      <c r="D44" s="96"/>
      <c r="E44" s="97"/>
      <c r="F44" s="95"/>
      <c r="G44" s="97"/>
      <c r="H44" s="95"/>
      <c r="I44" s="98"/>
      <c r="J44" s="99"/>
      <c r="K44" s="99"/>
      <c r="L44" s="99"/>
      <c r="M44" s="99"/>
      <c r="N44" s="99"/>
      <c r="O44" s="100"/>
    </row>
    <row r="45" spans="1:15" ht="15" customHeight="1" x14ac:dyDescent="0.3">
      <c r="A45" s="94"/>
      <c r="B45" s="95"/>
      <c r="C45" s="95"/>
      <c r="D45" s="96"/>
      <c r="E45" s="97"/>
      <c r="F45" s="95"/>
      <c r="G45" s="97"/>
      <c r="H45" s="95"/>
      <c r="I45" s="98"/>
      <c r="J45" s="99"/>
      <c r="K45" s="99"/>
      <c r="L45" s="99"/>
      <c r="M45" s="99"/>
      <c r="N45" s="99"/>
      <c r="O45" s="100"/>
    </row>
    <row r="46" spans="1:15" ht="15" customHeight="1" x14ac:dyDescent="0.3">
      <c r="A46" s="94"/>
      <c r="B46" s="95"/>
      <c r="C46" s="95"/>
      <c r="D46" s="96"/>
      <c r="E46" s="97"/>
      <c r="F46" s="95"/>
      <c r="G46" s="97"/>
      <c r="H46" s="95"/>
      <c r="I46" s="98"/>
      <c r="J46" s="99"/>
      <c r="K46" s="99"/>
      <c r="L46" s="99"/>
      <c r="M46" s="99"/>
      <c r="N46" s="99"/>
      <c r="O46" s="100"/>
    </row>
    <row r="47" spans="1:15" ht="15" customHeight="1" x14ac:dyDescent="0.3">
      <c r="A47" s="94"/>
      <c r="B47" s="95"/>
      <c r="C47" s="95"/>
      <c r="D47" s="96"/>
      <c r="E47" s="97"/>
      <c r="F47" s="95"/>
      <c r="G47" s="97"/>
      <c r="H47" s="95"/>
      <c r="I47" s="98"/>
      <c r="J47" s="99"/>
      <c r="K47" s="99"/>
      <c r="L47" s="99"/>
      <c r="M47" s="99"/>
      <c r="N47" s="99"/>
      <c r="O47" s="100"/>
    </row>
    <row r="48" spans="1:15" ht="15" customHeight="1" x14ac:dyDescent="0.3">
      <c r="A48" s="94"/>
      <c r="B48" s="95"/>
      <c r="C48" s="95"/>
      <c r="D48" s="96"/>
      <c r="E48" s="97"/>
      <c r="F48" s="95"/>
      <c r="G48" s="97"/>
      <c r="H48" s="95"/>
      <c r="I48" s="98"/>
      <c r="J48" s="99"/>
      <c r="K48" s="99"/>
      <c r="L48" s="99"/>
      <c r="M48" s="99"/>
      <c r="N48" s="99"/>
      <c r="O48" s="100"/>
    </row>
    <row r="49" spans="1:15" ht="15" customHeight="1" x14ac:dyDescent="0.3">
      <c r="A49" s="94"/>
      <c r="B49" s="95"/>
      <c r="C49" s="95"/>
      <c r="D49" s="96"/>
      <c r="E49" s="97"/>
      <c r="F49" s="95"/>
      <c r="G49" s="97"/>
      <c r="H49" s="95"/>
      <c r="I49" s="98"/>
      <c r="J49" s="99"/>
      <c r="K49" s="99"/>
      <c r="L49" s="99"/>
      <c r="M49" s="99"/>
      <c r="N49" s="99"/>
      <c r="O49" s="100"/>
    </row>
    <row r="50" spans="1:15" ht="15" customHeight="1" x14ac:dyDescent="0.3">
      <c r="A50" s="94"/>
      <c r="B50" s="95"/>
      <c r="C50" s="95"/>
      <c r="D50" s="96"/>
      <c r="E50" s="97"/>
      <c r="F50" s="95"/>
      <c r="G50" s="97"/>
      <c r="H50" s="95"/>
      <c r="I50" s="98"/>
      <c r="J50" s="99"/>
      <c r="K50" s="99"/>
      <c r="L50" s="99"/>
      <c r="M50" s="99"/>
      <c r="N50" s="99"/>
      <c r="O50" s="100"/>
    </row>
    <row r="51" spans="1:15" ht="15" customHeight="1" x14ac:dyDescent="0.3">
      <c r="A51" s="94"/>
      <c r="B51" s="95"/>
      <c r="C51" s="95"/>
      <c r="D51" s="96"/>
      <c r="E51" s="97"/>
      <c r="F51" s="95"/>
      <c r="G51" s="97"/>
      <c r="H51" s="95"/>
      <c r="I51" s="98"/>
      <c r="J51" s="99"/>
      <c r="K51" s="99"/>
      <c r="L51" s="99"/>
      <c r="M51" s="99"/>
      <c r="N51" s="99"/>
      <c r="O51" s="100"/>
    </row>
    <row r="52" spans="1:15" ht="15" customHeight="1" x14ac:dyDescent="0.3">
      <c r="A52" s="94"/>
      <c r="B52" s="95"/>
      <c r="C52" s="95"/>
      <c r="D52" s="96"/>
      <c r="E52" s="97"/>
      <c r="F52" s="95"/>
      <c r="G52" s="97"/>
      <c r="H52" s="95"/>
      <c r="I52" s="98"/>
      <c r="J52" s="99"/>
      <c r="K52" s="99"/>
      <c r="L52" s="99"/>
      <c r="M52" s="99"/>
      <c r="N52" s="99"/>
      <c r="O52" s="100"/>
    </row>
    <row r="53" spans="1:15" ht="15" customHeight="1" x14ac:dyDescent="0.3">
      <c r="A53" s="94"/>
      <c r="B53" s="95"/>
      <c r="C53" s="95"/>
      <c r="D53" s="96"/>
      <c r="E53" s="97"/>
      <c r="F53" s="95"/>
      <c r="G53" s="97"/>
      <c r="H53" s="95"/>
      <c r="I53" s="98"/>
      <c r="J53" s="99"/>
      <c r="K53" s="99"/>
      <c r="L53" s="99"/>
      <c r="M53" s="99"/>
      <c r="N53" s="99"/>
      <c r="O53" s="100"/>
    </row>
    <row r="54" spans="1:15" ht="15" customHeight="1" x14ac:dyDescent="0.3">
      <c r="A54" s="94"/>
      <c r="B54" s="95"/>
      <c r="C54" s="95"/>
      <c r="D54" s="96"/>
      <c r="E54" s="97"/>
      <c r="F54" s="95"/>
      <c r="G54" s="97"/>
      <c r="H54" s="95"/>
      <c r="I54" s="98"/>
      <c r="J54" s="99"/>
      <c r="K54" s="99"/>
      <c r="L54" s="99"/>
      <c r="M54" s="99"/>
      <c r="N54" s="99"/>
      <c r="O54" s="100"/>
    </row>
    <row r="55" spans="1:15" ht="15" customHeight="1" x14ac:dyDescent="0.3">
      <c r="A55" s="94"/>
      <c r="B55" s="95"/>
      <c r="C55" s="95"/>
      <c r="D55" s="96"/>
      <c r="E55" s="97"/>
      <c r="F55" s="95"/>
      <c r="G55" s="97"/>
      <c r="H55" s="95"/>
      <c r="I55" s="98"/>
      <c r="J55" s="99"/>
      <c r="K55" s="99"/>
      <c r="L55" s="99"/>
      <c r="M55" s="99"/>
      <c r="N55" s="99"/>
      <c r="O55" s="100"/>
    </row>
    <row r="56" spans="1:15" ht="15" customHeight="1" x14ac:dyDescent="0.3">
      <c r="A56" s="94"/>
      <c r="B56" s="95"/>
      <c r="C56" s="95"/>
      <c r="D56" s="96"/>
      <c r="E56" s="97"/>
      <c r="F56" s="95"/>
      <c r="G56" s="97"/>
      <c r="H56" s="95"/>
      <c r="I56" s="98"/>
      <c r="J56" s="99"/>
      <c r="K56" s="99"/>
      <c r="L56" s="99"/>
      <c r="M56" s="99"/>
      <c r="N56" s="99"/>
      <c r="O56" s="100"/>
    </row>
    <row r="57" spans="1:15" ht="15" customHeight="1" x14ac:dyDescent="0.3">
      <c r="A57" s="94"/>
      <c r="B57" s="95"/>
      <c r="C57" s="95"/>
      <c r="D57" s="96"/>
      <c r="E57" s="97"/>
      <c r="F57" s="95"/>
      <c r="G57" s="97"/>
      <c r="H57" s="95"/>
      <c r="I57" s="98"/>
      <c r="J57" s="99"/>
      <c r="K57" s="99"/>
      <c r="L57" s="99"/>
      <c r="M57" s="99"/>
      <c r="N57" s="99"/>
      <c r="O57" s="100"/>
    </row>
    <row r="58" spans="1:15" ht="15" customHeight="1" x14ac:dyDescent="0.3">
      <c r="A58" s="94"/>
      <c r="B58" s="95"/>
      <c r="C58" s="95"/>
      <c r="D58" s="96"/>
      <c r="E58" s="97"/>
      <c r="F58" s="95"/>
      <c r="G58" s="97"/>
      <c r="H58" s="95"/>
      <c r="I58" s="98"/>
      <c r="J58" s="99"/>
      <c r="K58" s="99"/>
      <c r="L58" s="99"/>
      <c r="M58" s="99"/>
      <c r="N58" s="99"/>
      <c r="O58" s="100"/>
    </row>
    <row r="59" spans="1:15" ht="15" customHeight="1" x14ac:dyDescent="0.3">
      <c r="A59" s="94"/>
      <c r="B59" s="95"/>
      <c r="C59" s="95"/>
      <c r="D59" s="96"/>
      <c r="E59" s="97"/>
      <c r="F59" s="95"/>
      <c r="G59" s="97"/>
      <c r="H59" s="95"/>
      <c r="I59" s="98"/>
      <c r="J59" s="99"/>
      <c r="K59" s="99"/>
      <c r="L59" s="99"/>
      <c r="M59" s="99"/>
      <c r="N59" s="99"/>
      <c r="O59" s="100"/>
    </row>
  </sheetData>
  <mergeCells count="3">
    <mergeCell ref="A1:O1"/>
    <mergeCell ref="A2:O2"/>
    <mergeCell ref="A6:O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648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3" customWidth="1"/>
    <col min="3" max="3" width="16" customWidth="1"/>
    <col min="4" max="4" width="22" customWidth="1"/>
    <col min="5" max="5" width="9" customWidth="1"/>
    <col min="6" max="6" width="13" customWidth="1"/>
    <col min="7" max="7" width="15" customWidth="1"/>
    <col min="8" max="8" width="17" customWidth="1"/>
    <col min="9" max="9" width="13" customWidth="1"/>
    <col min="10" max="10" width="12" customWidth="1"/>
    <col min="11" max="11" width="13" customWidth="1"/>
    <col min="12" max="12" width="11" customWidth="1"/>
    <col min="13" max="13" width="9" customWidth="1"/>
    <col min="14" max="14" width="10" customWidth="1"/>
    <col min="15" max="15" width="15" customWidth="1"/>
    <col min="16" max="16" width="10" customWidth="1"/>
  </cols>
  <sheetData>
    <row r="1" spans="1:16" ht="24" customHeight="1" x14ac:dyDescent="0.3">
      <c r="A1" s="7" t="s">
        <v>166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30" customHeight="1" x14ac:dyDescent="0.3">
      <c r="A2" s="15" t="s">
        <v>167</v>
      </c>
      <c r="B2" s="15" t="s">
        <v>168</v>
      </c>
      <c r="C2" s="15" t="s">
        <v>169</v>
      </c>
      <c r="D2" s="15" t="s">
        <v>170</v>
      </c>
      <c r="E2" s="15" t="s">
        <v>100</v>
      </c>
      <c r="F2" s="15" t="s">
        <v>171</v>
      </c>
      <c r="G2" s="15" t="s">
        <v>172</v>
      </c>
      <c r="H2" s="15" t="s">
        <v>173</v>
      </c>
      <c r="I2" s="15" t="s">
        <v>174</v>
      </c>
      <c r="J2" s="15" t="s">
        <v>175</v>
      </c>
      <c r="K2" s="15" t="s">
        <v>176</v>
      </c>
      <c r="L2" s="15" t="s">
        <v>177</v>
      </c>
      <c r="M2" s="15" t="s">
        <v>178</v>
      </c>
      <c r="N2" s="15" t="s">
        <v>179</v>
      </c>
      <c r="O2" s="15" t="s">
        <v>180</v>
      </c>
      <c r="P2" s="15" t="s">
        <v>181</v>
      </c>
    </row>
    <row r="3" spans="1:16" ht="15" customHeight="1" x14ac:dyDescent="0.3">
      <c r="A3" s="60">
        <v>1</v>
      </c>
      <c r="B3" s="60" t="s">
        <v>182</v>
      </c>
      <c r="C3" s="101" t="s">
        <v>183</v>
      </c>
      <c r="D3" s="101" t="s">
        <v>184</v>
      </c>
      <c r="E3" s="60">
        <v>1</v>
      </c>
      <c r="F3" s="85">
        <v>46220</v>
      </c>
      <c r="G3" s="35">
        <v>456</v>
      </c>
      <c r="H3" s="85">
        <f>IF(COUNTIFS(Pesagens!$B$3:$B$5001,$B3)=0,"",_xlfn.MAXIFS(Pesagens!$A$3:$A$5001,Pesagens!$B$3:$B$5001,$B3,Pesagens!$E$3:$E$5001,"&lt;&gt;"))</f>
        <v>46220</v>
      </c>
      <c r="I3" s="35">
        <f>IF($H3="","",IFERROR(AVERAGEIFS(Pesagens!$E$3:$E$5001,Pesagens!$B$3:$B$5001,$B3,Pesagens!$A$3:$A$5001,$H3),""))</f>
        <v>456</v>
      </c>
      <c r="J3" s="60">
        <f>IF(F3="","",Parâmetros!$C$4-F3)</f>
        <v>18</v>
      </c>
      <c r="K3" s="35">
        <f t="shared" ref="K3:K66" si="0">IF(OR(I3="",G3=""),"",I3-G3)</f>
        <v>0</v>
      </c>
      <c r="L3" s="102" t="str">
        <f t="shared" ref="L3:L66" si="1">IF(OR(I3="",G3="",H3&lt;=F3),"",(I3-G3)/(H3-F3))</f>
        <v/>
      </c>
      <c r="M3" s="103">
        <f>IF(I3="","",I3*Parâmetros!$C$8/15)</f>
        <v>16.112000000000002</v>
      </c>
      <c r="N3" s="103">
        <f>IF(K3="","",K3*Parâmetros!$C$8/15)</f>
        <v>0</v>
      </c>
      <c r="O3" s="26">
        <f>IF(M3="","",M3*Parâmetros!$C$5)</f>
        <v>5155.84</v>
      </c>
      <c r="P3" s="60" t="str">
        <f>IF(L3="","",IF(L3&gt;=Parâmetros!$C$10,"Sim","Não"))</f>
        <v/>
      </c>
    </row>
    <row r="4" spans="1:16" ht="15" customHeight="1" x14ac:dyDescent="0.3">
      <c r="A4" s="64">
        <v>2</v>
      </c>
      <c r="B4" s="64" t="s">
        <v>185</v>
      </c>
      <c r="C4" s="104" t="s">
        <v>183</v>
      </c>
      <c r="D4" s="104" t="s">
        <v>184</v>
      </c>
      <c r="E4" s="64">
        <v>1</v>
      </c>
      <c r="F4" s="86">
        <v>46220</v>
      </c>
      <c r="G4" s="40">
        <v>444</v>
      </c>
      <c r="H4" s="86">
        <f>IF(COUNTIFS(Pesagens!$B$3:$B$5001,$B4)=0,"",_xlfn.MAXIFS(Pesagens!$A$3:$A$5001,Pesagens!$B$3:$B$5001,$B4,Pesagens!$E$3:$E$5001,"&lt;&gt;"))</f>
        <v>46220</v>
      </c>
      <c r="I4" s="40">
        <f>IF($H4="","",IFERROR(AVERAGEIFS(Pesagens!$E$3:$E$5001,Pesagens!$B$3:$B$5001,$B4,Pesagens!$A$3:$A$5001,$H4),""))</f>
        <v>444</v>
      </c>
      <c r="J4" s="64">
        <f>IF(F4="","",Parâmetros!$C$4-F4)</f>
        <v>18</v>
      </c>
      <c r="K4" s="40">
        <f t="shared" si="0"/>
        <v>0</v>
      </c>
      <c r="L4" s="105" t="str">
        <f t="shared" si="1"/>
        <v/>
      </c>
      <c r="M4" s="106">
        <f>IF(I4="","",I4*Parâmetros!$C$8/15)</f>
        <v>15.688000000000001</v>
      </c>
      <c r="N4" s="106">
        <f>IF(K4="","",K4*Parâmetros!$C$8/15)</f>
        <v>0</v>
      </c>
      <c r="O4" s="28">
        <f>IF(M4="","",M4*Parâmetros!$C$5)</f>
        <v>5020.16</v>
      </c>
      <c r="P4" s="64" t="str">
        <f>IF(L4="","",IF(L4&gt;=Parâmetros!$C$10,"Sim","Não"))</f>
        <v/>
      </c>
    </row>
    <row r="5" spans="1:16" ht="15" customHeight="1" x14ac:dyDescent="0.3">
      <c r="A5" s="60">
        <v>3</v>
      </c>
      <c r="B5" s="60" t="s">
        <v>186</v>
      </c>
      <c r="C5" s="101" t="s">
        <v>183</v>
      </c>
      <c r="D5" s="101" t="s">
        <v>184</v>
      </c>
      <c r="E5" s="60">
        <v>1</v>
      </c>
      <c r="F5" s="85">
        <v>46220</v>
      </c>
      <c r="G5" s="35">
        <v>466</v>
      </c>
      <c r="H5" s="85">
        <f>IF(COUNTIFS(Pesagens!$B$3:$B$5001,$B5)=0,"",_xlfn.MAXIFS(Pesagens!$A$3:$A$5001,Pesagens!$B$3:$B$5001,$B5,Pesagens!$E$3:$E$5001,"&lt;&gt;"))</f>
        <v>46220</v>
      </c>
      <c r="I5" s="35">
        <f>IF($H5="","",IFERROR(AVERAGEIFS(Pesagens!$E$3:$E$5001,Pesagens!$B$3:$B$5001,$B5,Pesagens!$A$3:$A$5001,$H5),""))</f>
        <v>466</v>
      </c>
      <c r="J5" s="60">
        <f>IF(F5="","",Parâmetros!$C$4-F5)</f>
        <v>18</v>
      </c>
      <c r="K5" s="35">
        <f t="shared" si="0"/>
        <v>0</v>
      </c>
      <c r="L5" s="102" t="str">
        <f t="shared" si="1"/>
        <v/>
      </c>
      <c r="M5" s="103">
        <f>IF(I5="","",I5*Parâmetros!$C$8/15)</f>
        <v>16.465333333333334</v>
      </c>
      <c r="N5" s="103">
        <f>IF(K5="","",K5*Parâmetros!$C$8/15)</f>
        <v>0</v>
      </c>
      <c r="O5" s="26">
        <f>IF(M5="","",M5*Parâmetros!$C$5)</f>
        <v>5268.9066666666668</v>
      </c>
      <c r="P5" s="60" t="str">
        <f>IF(L5="","",IF(L5&gt;=Parâmetros!$C$10,"Sim","Não"))</f>
        <v/>
      </c>
    </row>
    <row r="6" spans="1:16" ht="15" customHeight="1" x14ac:dyDescent="0.3">
      <c r="A6" s="64">
        <v>4</v>
      </c>
      <c r="B6" s="64" t="s">
        <v>187</v>
      </c>
      <c r="C6" s="104" t="s">
        <v>183</v>
      </c>
      <c r="D6" s="104" t="s">
        <v>184</v>
      </c>
      <c r="E6" s="64">
        <v>1</v>
      </c>
      <c r="F6" s="86">
        <v>46220</v>
      </c>
      <c r="G6" s="40">
        <v>476</v>
      </c>
      <c r="H6" s="86">
        <f>IF(COUNTIFS(Pesagens!$B$3:$B$5001,$B6)=0,"",_xlfn.MAXIFS(Pesagens!$A$3:$A$5001,Pesagens!$B$3:$B$5001,$B6,Pesagens!$E$3:$E$5001,"&lt;&gt;"))</f>
        <v>46220</v>
      </c>
      <c r="I6" s="40">
        <f>IF($H6="","",IFERROR(AVERAGEIFS(Pesagens!$E$3:$E$5001,Pesagens!$B$3:$B$5001,$B6,Pesagens!$A$3:$A$5001,$H6),""))</f>
        <v>476</v>
      </c>
      <c r="J6" s="64">
        <f>IF(F6="","",Parâmetros!$C$4-F6)</f>
        <v>18</v>
      </c>
      <c r="K6" s="40">
        <f t="shared" si="0"/>
        <v>0</v>
      </c>
      <c r="L6" s="105" t="str">
        <f t="shared" si="1"/>
        <v/>
      </c>
      <c r="M6" s="106">
        <f>IF(I6="","",I6*Parâmetros!$C$8/15)</f>
        <v>16.818666666666665</v>
      </c>
      <c r="N6" s="106">
        <f>IF(K6="","",K6*Parâmetros!$C$8/15)</f>
        <v>0</v>
      </c>
      <c r="O6" s="28">
        <f>IF(M6="","",M6*Parâmetros!$C$5)</f>
        <v>5381.9733333333334</v>
      </c>
      <c r="P6" s="64" t="str">
        <f>IF(L6="","",IF(L6&gt;=Parâmetros!$C$10,"Sim","Não"))</f>
        <v/>
      </c>
    </row>
    <row r="7" spans="1:16" ht="15" customHeight="1" x14ac:dyDescent="0.3">
      <c r="A7" s="60">
        <v>5</v>
      </c>
      <c r="B7" s="60" t="s">
        <v>188</v>
      </c>
      <c r="C7" s="101" t="s">
        <v>183</v>
      </c>
      <c r="D7" s="101" t="s">
        <v>184</v>
      </c>
      <c r="E7" s="60">
        <v>1</v>
      </c>
      <c r="F7" s="85">
        <v>46220</v>
      </c>
      <c r="G7" s="35">
        <v>460</v>
      </c>
      <c r="H7" s="85">
        <f>IF(COUNTIFS(Pesagens!$B$3:$B$5001,$B7)=0,"",_xlfn.MAXIFS(Pesagens!$A$3:$A$5001,Pesagens!$B$3:$B$5001,$B7,Pesagens!$E$3:$E$5001,"&lt;&gt;"))</f>
        <v>46220</v>
      </c>
      <c r="I7" s="35">
        <f>IF($H7="","",IFERROR(AVERAGEIFS(Pesagens!$E$3:$E$5001,Pesagens!$B$3:$B$5001,$B7,Pesagens!$A$3:$A$5001,$H7),""))</f>
        <v>460</v>
      </c>
      <c r="J7" s="60">
        <f>IF(F7="","",Parâmetros!$C$4-F7)</f>
        <v>18</v>
      </c>
      <c r="K7" s="35">
        <f t="shared" si="0"/>
        <v>0</v>
      </c>
      <c r="L7" s="102" t="str">
        <f t="shared" si="1"/>
        <v/>
      </c>
      <c r="M7" s="103">
        <f>IF(I7="","",I7*Parâmetros!$C$8/15)</f>
        <v>16.253333333333334</v>
      </c>
      <c r="N7" s="103">
        <f>IF(K7="","",K7*Parâmetros!$C$8/15)</f>
        <v>0</v>
      </c>
      <c r="O7" s="26">
        <f>IF(M7="","",M7*Parâmetros!$C$5)</f>
        <v>5201.0666666666666</v>
      </c>
      <c r="P7" s="60" t="str">
        <f>IF(L7="","",IF(L7&gt;=Parâmetros!$C$10,"Sim","Não"))</f>
        <v/>
      </c>
    </row>
    <row r="8" spans="1:16" ht="15" customHeight="1" x14ac:dyDescent="0.3">
      <c r="A8" s="64">
        <v>6</v>
      </c>
      <c r="B8" s="64" t="s">
        <v>189</v>
      </c>
      <c r="C8" s="104" t="s">
        <v>183</v>
      </c>
      <c r="D8" s="104" t="s">
        <v>184</v>
      </c>
      <c r="E8" s="64">
        <v>1</v>
      </c>
      <c r="F8" s="86">
        <v>46220</v>
      </c>
      <c r="G8" s="40">
        <v>469</v>
      </c>
      <c r="H8" s="86">
        <f>IF(COUNTIFS(Pesagens!$B$3:$B$5001,$B8)=0,"",_xlfn.MAXIFS(Pesagens!$A$3:$A$5001,Pesagens!$B$3:$B$5001,$B8,Pesagens!$E$3:$E$5001,"&lt;&gt;"))</f>
        <v>46220</v>
      </c>
      <c r="I8" s="40">
        <f>IF($H8="","",IFERROR(AVERAGEIFS(Pesagens!$E$3:$E$5001,Pesagens!$B$3:$B$5001,$B8,Pesagens!$A$3:$A$5001,$H8),""))</f>
        <v>469</v>
      </c>
      <c r="J8" s="64">
        <f>IF(F8="","",Parâmetros!$C$4-F8)</f>
        <v>18</v>
      </c>
      <c r="K8" s="40">
        <f t="shared" si="0"/>
        <v>0</v>
      </c>
      <c r="L8" s="105" t="str">
        <f t="shared" si="1"/>
        <v/>
      </c>
      <c r="M8" s="106">
        <f>IF(I8="","",I8*Parâmetros!$C$8/15)</f>
        <v>16.571333333333335</v>
      </c>
      <c r="N8" s="106">
        <f>IF(K8="","",K8*Parâmetros!$C$8/15)</f>
        <v>0</v>
      </c>
      <c r="O8" s="28">
        <f>IF(M8="","",M8*Parâmetros!$C$5)</f>
        <v>5302.8266666666677</v>
      </c>
      <c r="P8" s="64" t="str">
        <f>IF(L8="","",IF(L8&gt;=Parâmetros!$C$10,"Sim","Não"))</f>
        <v/>
      </c>
    </row>
    <row r="9" spans="1:16" ht="15" customHeight="1" x14ac:dyDescent="0.3">
      <c r="A9" s="60">
        <v>7</v>
      </c>
      <c r="B9" s="60" t="s">
        <v>190</v>
      </c>
      <c r="C9" s="101" t="s">
        <v>183</v>
      </c>
      <c r="D9" s="101" t="s">
        <v>184</v>
      </c>
      <c r="E9" s="60">
        <v>1</v>
      </c>
      <c r="F9" s="85">
        <v>46220</v>
      </c>
      <c r="G9" s="35">
        <v>441</v>
      </c>
      <c r="H9" s="85">
        <f>IF(COUNTIFS(Pesagens!$B$3:$B$5001,$B9)=0,"",_xlfn.MAXIFS(Pesagens!$A$3:$A$5001,Pesagens!$B$3:$B$5001,$B9,Pesagens!$E$3:$E$5001,"&lt;&gt;"))</f>
        <v>46220</v>
      </c>
      <c r="I9" s="35">
        <f>IF($H9="","",IFERROR(AVERAGEIFS(Pesagens!$E$3:$E$5001,Pesagens!$B$3:$B$5001,$B9,Pesagens!$A$3:$A$5001,$H9),""))</f>
        <v>441</v>
      </c>
      <c r="J9" s="60">
        <f>IF(F9="","",Parâmetros!$C$4-F9)</f>
        <v>18</v>
      </c>
      <c r="K9" s="35">
        <f t="shared" si="0"/>
        <v>0</v>
      </c>
      <c r="L9" s="102" t="str">
        <f t="shared" si="1"/>
        <v/>
      </c>
      <c r="M9" s="103">
        <f>IF(I9="","",I9*Parâmetros!$C$8/15)</f>
        <v>15.582000000000001</v>
      </c>
      <c r="N9" s="103">
        <f>IF(K9="","",K9*Parâmetros!$C$8/15)</f>
        <v>0</v>
      </c>
      <c r="O9" s="26">
        <f>IF(M9="","",M9*Parâmetros!$C$5)</f>
        <v>4986.24</v>
      </c>
      <c r="P9" s="60" t="str">
        <f>IF(L9="","",IF(L9&gt;=Parâmetros!$C$10,"Sim","Não"))</f>
        <v/>
      </c>
    </row>
    <row r="10" spans="1:16" ht="15" customHeight="1" x14ac:dyDescent="0.3">
      <c r="A10" s="64">
        <v>8</v>
      </c>
      <c r="B10" s="64" t="s">
        <v>191</v>
      </c>
      <c r="C10" s="104" t="s">
        <v>183</v>
      </c>
      <c r="D10" s="104" t="s">
        <v>184</v>
      </c>
      <c r="E10" s="64">
        <v>1</v>
      </c>
      <c r="F10" s="86">
        <v>46220</v>
      </c>
      <c r="G10" s="40">
        <v>465</v>
      </c>
      <c r="H10" s="86">
        <f>IF(COUNTIFS(Pesagens!$B$3:$B$5001,$B10)=0,"",_xlfn.MAXIFS(Pesagens!$A$3:$A$5001,Pesagens!$B$3:$B$5001,$B10,Pesagens!$E$3:$E$5001,"&lt;&gt;"))</f>
        <v>46220</v>
      </c>
      <c r="I10" s="40">
        <f>IF($H10="","",IFERROR(AVERAGEIFS(Pesagens!$E$3:$E$5001,Pesagens!$B$3:$B$5001,$B10,Pesagens!$A$3:$A$5001,$H10),""))</f>
        <v>465</v>
      </c>
      <c r="J10" s="64">
        <f>IF(F10="","",Parâmetros!$C$4-F10)</f>
        <v>18</v>
      </c>
      <c r="K10" s="40">
        <f t="shared" si="0"/>
        <v>0</v>
      </c>
      <c r="L10" s="105" t="str">
        <f t="shared" si="1"/>
        <v/>
      </c>
      <c r="M10" s="106">
        <f>IF(I10="","",I10*Parâmetros!$C$8/15)</f>
        <v>16.43</v>
      </c>
      <c r="N10" s="106">
        <f>IF(K10="","",K10*Parâmetros!$C$8/15)</f>
        <v>0</v>
      </c>
      <c r="O10" s="28">
        <f>IF(M10="","",M10*Parâmetros!$C$5)</f>
        <v>5257.6</v>
      </c>
      <c r="P10" s="64" t="str">
        <f>IF(L10="","",IF(L10&gt;=Parâmetros!$C$10,"Sim","Não"))</f>
        <v/>
      </c>
    </row>
    <row r="11" spans="1:16" ht="15" customHeight="1" x14ac:dyDescent="0.3">
      <c r="A11" s="60">
        <v>9</v>
      </c>
      <c r="B11" s="60" t="s">
        <v>192</v>
      </c>
      <c r="C11" s="101" t="s">
        <v>183</v>
      </c>
      <c r="D11" s="101" t="s">
        <v>184</v>
      </c>
      <c r="E11" s="60">
        <v>1</v>
      </c>
      <c r="F11" s="85">
        <v>46220</v>
      </c>
      <c r="G11" s="35">
        <v>440</v>
      </c>
      <c r="H11" s="85">
        <f>IF(COUNTIFS(Pesagens!$B$3:$B$5001,$B11)=0,"",_xlfn.MAXIFS(Pesagens!$A$3:$A$5001,Pesagens!$B$3:$B$5001,$B11,Pesagens!$E$3:$E$5001,"&lt;&gt;"))</f>
        <v>46220</v>
      </c>
      <c r="I11" s="35">
        <f>IF($H11="","",IFERROR(AVERAGEIFS(Pesagens!$E$3:$E$5001,Pesagens!$B$3:$B$5001,$B11,Pesagens!$A$3:$A$5001,$H11),""))</f>
        <v>440</v>
      </c>
      <c r="J11" s="60">
        <f>IF(F11="","",Parâmetros!$C$4-F11)</f>
        <v>18</v>
      </c>
      <c r="K11" s="35">
        <f t="shared" si="0"/>
        <v>0</v>
      </c>
      <c r="L11" s="102" t="str">
        <f t="shared" si="1"/>
        <v/>
      </c>
      <c r="M11" s="103">
        <f>IF(I11="","",I11*Parâmetros!$C$8/15)</f>
        <v>15.546666666666669</v>
      </c>
      <c r="N11" s="103">
        <f>IF(K11="","",K11*Parâmetros!$C$8/15)</f>
        <v>0</v>
      </c>
      <c r="O11" s="26">
        <f>IF(M11="","",M11*Parâmetros!$C$5)</f>
        <v>4974.9333333333343</v>
      </c>
      <c r="P11" s="60" t="str">
        <f>IF(L11="","",IF(L11&gt;=Parâmetros!$C$10,"Sim","Não"))</f>
        <v/>
      </c>
    </row>
    <row r="12" spans="1:16" ht="15" customHeight="1" x14ac:dyDescent="0.3">
      <c r="A12" s="64">
        <v>10</v>
      </c>
      <c r="B12" s="64" t="s">
        <v>193</v>
      </c>
      <c r="C12" s="104" t="s">
        <v>183</v>
      </c>
      <c r="D12" s="104" t="s">
        <v>184</v>
      </c>
      <c r="E12" s="64">
        <v>1</v>
      </c>
      <c r="F12" s="86">
        <v>46220</v>
      </c>
      <c r="G12" s="40">
        <v>460</v>
      </c>
      <c r="H12" s="86">
        <f>IF(COUNTIFS(Pesagens!$B$3:$B$5001,$B12)=0,"",_xlfn.MAXIFS(Pesagens!$A$3:$A$5001,Pesagens!$B$3:$B$5001,$B12,Pesagens!$E$3:$E$5001,"&lt;&gt;"))</f>
        <v>46220</v>
      </c>
      <c r="I12" s="40">
        <f>IF($H12="","",IFERROR(AVERAGEIFS(Pesagens!$E$3:$E$5001,Pesagens!$B$3:$B$5001,$B12,Pesagens!$A$3:$A$5001,$H12),""))</f>
        <v>460</v>
      </c>
      <c r="J12" s="64">
        <f>IF(F12="","",Parâmetros!$C$4-F12)</f>
        <v>18</v>
      </c>
      <c r="K12" s="40">
        <f t="shared" si="0"/>
        <v>0</v>
      </c>
      <c r="L12" s="105" t="str">
        <f t="shared" si="1"/>
        <v/>
      </c>
      <c r="M12" s="106">
        <f>IF(I12="","",I12*Parâmetros!$C$8/15)</f>
        <v>16.253333333333334</v>
      </c>
      <c r="N12" s="106">
        <f>IF(K12="","",K12*Parâmetros!$C$8/15)</f>
        <v>0</v>
      </c>
      <c r="O12" s="28">
        <f>IF(M12="","",M12*Parâmetros!$C$5)</f>
        <v>5201.0666666666666</v>
      </c>
      <c r="P12" s="64" t="str">
        <f>IF(L12="","",IF(L12&gt;=Parâmetros!$C$10,"Sim","Não"))</f>
        <v/>
      </c>
    </row>
    <row r="13" spans="1:16" ht="15" customHeight="1" x14ac:dyDescent="0.3">
      <c r="A13" s="60">
        <v>11</v>
      </c>
      <c r="B13" s="60" t="s">
        <v>194</v>
      </c>
      <c r="C13" s="101" t="s">
        <v>183</v>
      </c>
      <c r="D13" s="101" t="s">
        <v>184</v>
      </c>
      <c r="E13" s="60">
        <v>1</v>
      </c>
      <c r="F13" s="85">
        <v>46220</v>
      </c>
      <c r="G13" s="35">
        <v>461</v>
      </c>
      <c r="H13" s="85">
        <f>IF(COUNTIFS(Pesagens!$B$3:$B$5001,$B13)=0,"",_xlfn.MAXIFS(Pesagens!$A$3:$A$5001,Pesagens!$B$3:$B$5001,$B13,Pesagens!$E$3:$E$5001,"&lt;&gt;"))</f>
        <v>46220</v>
      </c>
      <c r="I13" s="35">
        <f>IF($H13="","",IFERROR(AVERAGEIFS(Pesagens!$E$3:$E$5001,Pesagens!$B$3:$B$5001,$B13,Pesagens!$A$3:$A$5001,$H13),""))</f>
        <v>461</v>
      </c>
      <c r="J13" s="60">
        <f>IF(F13="","",Parâmetros!$C$4-F13)</f>
        <v>18</v>
      </c>
      <c r="K13" s="35">
        <f t="shared" si="0"/>
        <v>0</v>
      </c>
      <c r="L13" s="102" t="str">
        <f t="shared" si="1"/>
        <v/>
      </c>
      <c r="M13" s="103">
        <f>IF(I13="","",I13*Parâmetros!$C$8/15)</f>
        <v>16.288666666666668</v>
      </c>
      <c r="N13" s="103">
        <f>IF(K13="","",K13*Parâmetros!$C$8/15)</f>
        <v>0</v>
      </c>
      <c r="O13" s="26">
        <f>IF(M13="","",M13*Parâmetros!$C$5)</f>
        <v>5212.3733333333339</v>
      </c>
      <c r="P13" s="60" t="str">
        <f>IF(L13="","",IF(L13&gt;=Parâmetros!$C$10,"Sim","Não"))</f>
        <v/>
      </c>
    </row>
    <row r="14" spans="1:16" ht="15" customHeight="1" x14ac:dyDescent="0.3">
      <c r="A14" s="64">
        <v>12</v>
      </c>
      <c r="B14" s="64" t="s">
        <v>195</v>
      </c>
      <c r="C14" s="104" t="s">
        <v>183</v>
      </c>
      <c r="D14" s="104" t="s">
        <v>184</v>
      </c>
      <c r="E14" s="64">
        <v>1</v>
      </c>
      <c r="F14" s="86">
        <v>46220</v>
      </c>
      <c r="G14" s="40">
        <v>447</v>
      </c>
      <c r="H14" s="86">
        <f>IF(COUNTIFS(Pesagens!$B$3:$B$5001,$B14)=0,"",_xlfn.MAXIFS(Pesagens!$A$3:$A$5001,Pesagens!$B$3:$B$5001,$B14,Pesagens!$E$3:$E$5001,"&lt;&gt;"))</f>
        <v>46220</v>
      </c>
      <c r="I14" s="40">
        <f>IF($H14="","",IFERROR(AVERAGEIFS(Pesagens!$E$3:$E$5001,Pesagens!$B$3:$B$5001,$B14,Pesagens!$A$3:$A$5001,$H14),""))</f>
        <v>447</v>
      </c>
      <c r="J14" s="64">
        <f>IF(F14="","",Parâmetros!$C$4-F14)</f>
        <v>18</v>
      </c>
      <c r="K14" s="40">
        <f t="shared" si="0"/>
        <v>0</v>
      </c>
      <c r="L14" s="105" t="str">
        <f t="shared" si="1"/>
        <v/>
      </c>
      <c r="M14" s="106">
        <f>IF(I14="","",I14*Parâmetros!$C$8/15)</f>
        <v>15.794000000000002</v>
      </c>
      <c r="N14" s="106">
        <f>IF(K14="","",K14*Parâmetros!$C$8/15)</f>
        <v>0</v>
      </c>
      <c r="O14" s="28">
        <f>IF(M14="","",M14*Parâmetros!$C$5)</f>
        <v>5054.0800000000008</v>
      </c>
      <c r="P14" s="64" t="str">
        <f>IF(L14="","",IF(L14&gt;=Parâmetros!$C$10,"Sim","Não"))</f>
        <v/>
      </c>
    </row>
    <row r="15" spans="1:16" ht="15" customHeight="1" x14ac:dyDescent="0.3">
      <c r="A15" s="60">
        <v>13</v>
      </c>
      <c r="B15" s="60" t="s">
        <v>196</v>
      </c>
      <c r="C15" s="101" t="s">
        <v>183</v>
      </c>
      <c r="D15" s="101" t="s">
        <v>184</v>
      </c>
      <c r="E15" s="60">
        <v>1</v>
      </c>
      <c r="F15" s="85">
        <v>46220</v>
      </c>
      <c r="G15" s="35">
        <v>458</v>
      </c>
      <c r="H15" s="85">
        <f>IF(COUNTIFS(Pesagens!$B$3:$B$5001,$B15)=0,"",_xlfn.MAXIFS(Pesagens!$A$3:$A$5001,Pesagens!$B$3:$B$5001,$B15,Pesagens!$E$3:$E$5001,"&lt;&gt;"))</f>
        <v>46220</v>
      </c>
      <c r="I15" s="35">
        <f>IF($H15="","",IFERROR(AVERAGEIFS(Pesagens!$E$3:$E$5001,Pesagens!$B$3:$B$5001,$B15,Pesagens!$A$3:$A$5001,$H15),""))</f>
        <v>458</v>
      </c>
      <c r="J15" s="60">
        <f>IF(F15="","",Parâmetros!$C$4-F15)</f>
        <v>18</v>
      </c>
      <c r="K15" s="35">
        <f t="shared" si="0"/>
        <v>0</v>
      </c>
      <c r="L15" s="102" t="str">
        <f t="shared" si="1"/>
        <v/>
      </c>
      <c r="M15" s="103">
        <f>IF(I15="","",I15*Parâmetros!$C$8/15)</f>
        <v>16.182666666666666</v>
      </c>
      <c r="N15" s="103">
        <f>IF(K15="","",K15*Parâmetros!$C$8/15)</f>
        <v>0</v>
      </c>
      <c r="O15" s="26">
        <f>IF(M15="","",M15*Parâmetros!$C$5)</f>
        <v>5178.4533333333329</v>
      </c>
      <c r="P15" s="60" t="str">
        <f>IF(L15="","",IF(L15&gt;=Parâmetros!$C$10,"Sim","Não"))</f>
        <v/>
      </c>
    </row>
    <row r="16" spans="1:16" ht="15" customHeight="1" x14ac:dyDescent="0.3">
      <c r="A16" s="64">
        <v>14</v>
      </c>
      <c r="B16" s="64" t="s">
        <v>197</v>
      </c>
      <c r="C16" s="104" t="s">
        <v>183</v>
      </c>
      <c r="D16" s="104" t="s">
        <v>184</v>
      </c>
      <c r="E16" s="64">
        <v>1</v>
      </c>
      <c r="F16" s="86">
        <v>46220</v>
      </c>
      <c r="G16" s="40">
        <v>458</v>
      </c>
      <c r="H16" s="86">
        <f>IF(COUNTIFS(Pesagens!$B$3:$B$5001,$B16)=0,"",_xlfn.MAXIFS(Pesagens!$A$3:$A$5001,Pesagens!$B$3:$B$5001,$B16,Pesagens!$E$3:$E$5001,"&lt;&gt;"))</f>
        <v>46220</v>
      </c>
      <c r="I16" s="40">
        <f>IF($H16="","",IFERROR(AVERAGEIFS(Pesagens!$E$3:$E$5001,Pesagens!$B$3:$B$5001,$B16,Pesagens!$A$3:$A$5001,$H16),""))</f>
        <v>458</v>
      </c>
      <c r="J16" s="64">
        <f>IF(F16="","",Parâmetros!$C$4-F16)</f>
        <v>18</v>
      </c>
      <c r="K16" s="40">
        <f t="shared" si="0"/>
        <v>0</v>
      </c>
      <c r="L16" s="105" t="str">
        <f t="shared" si="1"/>
        <v/>
      </c>
      <c r="M16" s="106">
        <f>IF(I16="","",I16*Parâmetros!$C$8/15)</f>
        <v>16.182666666666666</v>
      </c>
      <c r="N16" s="106">
        <f>IF(K16="","",K16*Parâmetros!$C$8/15)</f>
        <v>0</v>
      </c>
      <c r="O16" s="28">
        <f>IF(M16="","",M16*Parâmetros!$C$5)</f>
        <v>5178.4533333333329</v>
      </c>
      <c r="P16" s="64" t="str">
        <f>IF(L16="","",IF(L16&gt;=Parâmetros!$C$10,"Sim","Não"))</f>
        <v/>
      </c>
    </row>
    <row r="17" spans="1:16" ht="15" customHeight="1" x14ac:dyDescent="0.3">
      <c r="A17" s="60">
        <v>15</v>
      </c>
      <c r="B17" s="60" t="s">
        <v>198</v>
      </c>
      <c r="C17" s="101" t="s">
        <v>183</v>
      </c>
      <c r="D17" s="101" t="s">
        <v>184</v>
      </c>
      <c r="E17" s="60">
        <v>1</v>
      </c>
      <c r="F17" s="85">
        <v>46220</v>
      </c>
      <c r="G17" s="35">
        <v>462</v>
      </c>
      <c r="H17" s="85">
        <f>IF(COUNTIFS(Pesagens!$B$3:$B$5001,$B17)=0,"",_xlfn.MAXIFS(Pesagens!$A$3:$A$5001,Pesagens!$B$3:$B$5001,$B17,Pesagens!$E$3:$E$5001,"&lt;&gt;"))</f>
        <v>46220</v>
      </c>
      <c r="I17" s="35">
        <f>IF($H17="","",IFERROR(AVERAGEIFS(Pesagens!$E$3:$E$5001,Pesagens!$B$3:$B$5001,$B17,Pesagens!$A$3:$A$5001,$H17),""))</f>
        <v>462</v>
      </c>
      <c r="J17" s="60">
        <f>IF(F17="","",Parâmetros!$C$4-F17)</f>
        <v>18</v>
      </c>
      <c r="K17" s="35">
        <f t="shared" si="0"/>
        <v>0</v>
      </c>
      <c r="L17" s="102" t="str">
        <f t="shared" si="1"/>
        <v/>
      </c>
      <c r="M17" s="103">
        <f>IF(I17="","",I17*Parâmetros!$C$8/15)</f>
        <v>16.324000000000002</v>
      </c>
      <c r="N17" s="103">
        <f>IF(K17="","",K17*Parâmetros!$C$8/15)</f>
        <v>0</v>
      </c>
      <c r="O17" s="26">
        <f>IF(M17="","",M17*Parâmetros!$C$5)</f>
        <v>5223.68</v>
      </c>
      <c r="P17" s="60" t="str">
        <f>IF(L17="","",IF(L17&gt;=Parâmetros!$C$10,"Sim","Não"))</f>
        <v/>
      </c>
    </row>
    <row r="18" spans="1:16" ht="15" customHeight="1" x14ac:dyDescent="0.3">
      <c r="A18" s="64">
        <v>16</v>
      </c>
      <c r="B18" s="64" t="s">
        <v>199</v>
      </c>
      <c r="C18" s="104" t="s">
        <v>183</v>
      </c>
      <c r="D18" s="104" t="s">
        <v>184</v>
      </c>
      <c r="E18" s="64">
        <v>1</v>
      </c>
      <c r="F18" s="86">
        <v>46220</v>
      </c>
      <c r="G18" s="40">
        <v>474</v>
      </c>
      <c r="H18" s="86">
        <f>IF(COUNTIFS(Pesagens!$B$3:$B$5001,$B18)=0,"",_xlfn.MAXIFS(Pesagens!$A$3:$A$5001,Pesagens!$B$3:$B$5001,$B18,Pesagens!$E$3:$E$5001,"&lt;&gt;"))</f>
        <v>46220</v>
      </c>
      <c r="I18" s="40">
        <f>IF($H18="","",IFERROR(AVERAGEIFS(Pesagens!$E$3:$E$5001,Pesagens!$B$3:$B$5001,$B18,Pesagens!$A$3:$A$5001,$H18),""))</f>
        <v>474</v>
      </c>
      <c r="J18" s="64">
        <f>IF(F18="","",Parâmetros!$C$4-F18)</f>
        <v>18</v>
      </c>
      <c r="K18" s="40">
        <f t="shared" si="0"/>
        <v>0</v>
      </c>
      <c r="L18" s="105" t="str">
        <f t="shared" si="1"/>
        <v/>
      </c>
      <c r="M18" s="106">
        <f>IF(I18="","",I18*Parâmetros!$C$8/15)</f>
        <v>16.748000000000001</v>
      </c>
      <c r="N18" s="106">
        <f>IF(K18="","",K18*Parâmetros!$C$8/15)</f>
        <v>0</v>
      </c>
      <c r="O18" s="28">
        <f>IF(M18="","",M18*Parâmetros!$C$5)</f>
        <v>5359.3600000000006</v>
      </c>
      <c r="P18" s="64" t="str">
        <f>IF(L18="","",IF(L18&gt;=Parâmetros!$C$10,"Sim","Não"))</f>
        <v/>
      </c>
    </row>
    <row r="19" spans="1:16" ht="15" customHeight="1" x14ac:dyDescent="0.3">
      <c r="A19" s="60">
        <v>17</v>
      </c>
      <c r="B19" s="60" t="s">
        <v>200</v>
      </c>
      <c r="C19" s="101" t="s">
        <v>183</v>
      </c>
      <c r="D19" s="101" t="s">
        <v>184</v>
      </c>
      <c r="E19" s="60">
        <v>1</v>
      </c>
      <c r="F19" s="85">
        <v>46220</v>
      </c>
      <c r="G19" s="35">
        <v>447</v>
      </c>
      <c r="H19" s="85">
        <f>IF(COUNTIFS(Pesagens!$B$3:$B$5001,$B19)=0,"",_xlfn.MAXIFS(Pesagens!$A$3:$A$5001,Pesagens!$B$3:$B$5001,$B19,Pesagens!$E$3:$E$5001,"&lt;&gt;"))</f>
        <v>46220</v>
      </c>
      <c r="I19" s="35">
        <f>IF($H19="","",IFERROR(AVERAGEIFS(Pesagens!$E$3:$E$5001,Pesagens!$B$3:$B$5001,$B19,Pesagens!$A$3:$A$5001,$H19),""))</f>
        <v>447</v>
      </c>
      <c r="J19" s="60">
        <f>IF(F19="","",Parâmetros!$C$4-F19)</f>
        <v>18</v>
      </c>
      <c r="K19" s="35">
        <f t="shared" si="0"/>
        <v>0</v>
      </c>
      <c r="L19" s="102" t="str">
        <f t="shared" si="1"/>
        <v/>
      </c>
      <c r="M19" s="103">
        <f>IF(I19="","",I19*Parâmetros!$C$8/15)</f>
        <v>15.794000000000002</v>
      </c>
      <c r="N19" s="103">
        <f>IF(K19="","",K19*Parâmetros!$C$8/15)</f>
        <v>0</v>
      </c>
      <c r="O19" s="26">
        <f>IF(M19="","",M19*Parâmetros!$C$5)</f>
        <v>5054.0800000000008</v>
      </c>
      <c r="P19" s="60" t="str">
        <f>IF(L19="","",IF(L19&gt;=Parâmetros!$C$10,"Sim","Não"))</f>
        <v/>
      </c>
    </row>
    <row r="20" spans="1:16" ht="15" customHeight="1" x14ac:dyDescent="0.3">
      <c r="A20" s="64">
        <v>18</v>
      </c>
      <c r="B20" s="64" t="s">
        <v>201</v>
      </c>
      <c r="C20" s="104" t="s">
        <v>183</v>
      </c>
      <c r="D20" s="104" t="s">
        <v>184</v>
      </c>
      <c r="E20" s="64">
        <v>1</v>
      </c>
      <c r="F20" s="86">
        <v>46220</v>
      </c>
      <c r="G20" s="40">
        <v>459</v>
      </c>
      <c r="H20" s="86">
        <f>IF(COUNTIFS(Pesagens!$B$3:$B$5001,$B20)=0,"",_xlfn.MAXIFS(Pesagens!$A$3:$A$5001,Pesagens!$B$3:$B$5001,$B20,Pesagens!$E$3:$E$5001,"&lt;&gt;"))</f>
        <v>46220</v>
      </c>
      <c r="I20" s="40">
        <f>IF($H20="","",IFERROR(AVERAGEIFS(Pesagens!$E$3:$E$5001,Pesagens!$B$3:$B$5001,$B20,Pesagens!$A$3:$A$5001,$H20),""))</f>
        <v>459</v>
      </c>
      <c r="J20" s="64">
        <f>IF(F20="","",Parâmetros!$C$4-F20)</f>
        <v>18</v>
      </c>
      <c r="K20" s="40">
        <f t="shared" si="0"/>
        <v>0</v>
      </c>
      <c r="L20" s="105" t="str">
        <f t="shared" si="1"/>
        <v/>
      </c>
      <c r="M20" s="106">
        <f>IF(I20="","",I20*Parâmetros!$C$8/15)</f>
        <v>16.218</v>
      </c>
      <c r="N20" s="106">
        <f>IF(K20="","",K20*Parâmetros!$C$8/15)</f>
        <v>0</v>
      </c>
      <c r="O20" s="28">
        <f>IF(M20="","",M20*Parâmetros!$C$5)</f>
        <v>5189.76</v>
      </c>
      <c r="P20" s="64" t="str">
        <f>IF(L20="","",IF(L20&gt;=Parâmetros!$C$10,"Sim","Não"))</f>
        <v/>
      </c>
    </row>
    <row r="21" spans="1:16" ht="15" customHeight="1" x14ac:dyDescent="0.3">
      <c r="A21" s="60">
        <v>19</v>
      </c>
      <c r="B21" s="60" t="s">
        <v>202</v>
      </c>
      <c r="C21" s="101" t="s">
        <v>183</v>
      </c>
      <c r="D21" s="101" t="s">
        <v>184</v>
      </c>
      <c r="E21" s="60">
        <v>1</v>
      </c>
      <c r="F21" s="85">
        <v>46220</v>
      </c>
      <c r="G21" s="35">
        <v>446</v>
      </c>
      <c r="H21" s="85">
        <f>IF(COUNTIFS(Pesagens!$B$3:$B$5001,$B21)=0,"",_xlfn.MAXIFS(Pesagens!$A$3:$A$5001,Pesagens!$B$3:$B$5001,$B21,Pesagens!$E$3:$E$5001,"&lt;&gt;"))</f>
        <v>46220</v>
      </c>
      <c r="I21" s="35">
        <f>IF($H21="","",IFERROR(AVERAGEIFS(Pesagens!$E$3:$E$5001,Pesagens!$B$3:$B$5001,$B21,Pesagens!$A$3:$A$5001,$H21),""))</f>
        <v>446</v>
      </c>
      <c r="J21" s="60">
        <f>IF(F21="","",Parâmetros!$C$4-F21)</f>
        <v>18</v>
      </c>
      <c r="K21" s="35">
        <f t="shared" si="0"/>
        <v>0</v>
      </c>
      <c r="L21" s="102" t="str">
        <f t="shared" si="1"/>
        <v/>
      </c>
      <c r="M21" s="103">
        <f>IF(I21="","",I21*Parâmetros!$C$8/15)</f>
        <v>15.758666666666668</v>
      </c>
      <c r="N21" s="103">
        <f>IF(K21="","",K21*Parâmetros!$C$8/15)</f>
        <v>0</v>
      </c>
      <c r="O21" s="26">
        <f>IF(M21="","",M21*Parâmetros!$C$5)</f>
        <v>5042.7733333333335</v>
      </c>
      <c r="P21" s="60" t="str">
        <f>IF(L21="","",IF(L21&gt;=Parâmetros!$C$10,"Sim","Não"))</f>
        <v/>
      </c>
    </row>
    <row r="22" spans="1:16" ht="15" customHeight="1" x14ac:dyDescent="0.3">
      <c r="A22" s="64">
        <v>20</v>
      </c>
      <c r="B22" s="64" t="s">
        <v>203</v>
      </c>
      <c r="C22" s="104" t="s">
        <v>183</v>
      </c>
      <c r="D22" s="104" t="s">
        <v>184</v>
      </c>
      <c r="E22" s="64">
        <v>1</v>
      </c>
      <c r="F22" s="86">
        <v>46220</v>
      </c>
      <c r="G22" s="40">
        <v>464</v>
      </c>
      <c r="H22" s="86">
        <f>IF(COUNTIFS(Pesagens!$B$3:$B$5001,$B22)=0,"",_xlfn.MAXIFS(Pesagens!$A$3:$A$5001,Pesagens!$B$3:$B$5001,$B22,Pesagens!$E$3:$E$5001,"&lt;&gt;"))</f>
        <v>46220</v>
      </c>
      <c r="I22" s="40">
        <f>IF($H22="","",IFERROR(AVERAGEIFS(Pesagens!$E$3:$E$5001,Pesagens!$B$3:$B$5001,$B22,Pesagens!$A$3:$A$5001,$H22),""))</f>
        <v>464</v>
      </c>
      <c r="J22" s="64">
        <f>IF(F22="","",Parâmetros!$C$4-F22)</f>
        <v>18</v>
      </c>
      <c r="K22" s="40">
        <f t="shared" si="0"/>
        <v>0</v>
      </c>
      <c r="L22" s="105" t="str">
        <f t="shared" si="1"/>
        <v/>
      </c>
      <c r="M22" s="106">
        <f>IF(I22="","",I22*Parâmetros!$C$8/15)</f>
        <v>16.394666666666669</v>
      </c>
      <c r="N22" s="106">
        <f>IF(K22="","",K22*Parâmetros!$C$8/15)</f>
        <v>0</v>
      </c>
      <c r="O22" s="28">
        <f>IF(M22="","",M22*Parâmetros!$C$5)</f>
        <v>5246.293333333334</v>
      </c>
      <c r="P22" s="64" t="str">
        <f>IF(L22="","",IF(L22&gt;=Parâmetros!$C$10,"Sim","Não"))</f>
        <v/>
      </c>
    </row>
    <row r="23" spans="1:16" ht="15" customHeight="1" x14ac:dyDescent="0.3">
      <c r="A23" s="60">
        <v>21</v>
      </c>
      <c r="B23" s="60" t="s">
        <v>204</v>
      </c>
      <c r="C23" s="101" t="s">
        <v>183</v>
      </c>
      <c r="D23" s="101" t="s">
        <v>184</v>
      </c>
      <c r="E23" s="60">
        <v>1</v>
      </c>
      <c r="F23" s="85">
        <v>46220</v>
      </c>
      <c r="G23" s="35">
        <v>440</v>
      </c>
      <c r="H23" s="85">
        <f>IF(COUNTIFS(Pesagens!$B$3:$B$5001,$B23)=0,"",_xlfn.MAXIFS(Pesagens!$A$3:$A$5001,Pesagens!$B$3:$B$5001,$B23,Pesagens!$E$3:$E$5001,"&lt;&gt;"))</f>
        <v>46220</v>
      </c>
      <c r="I23" s="35">
        <f>IF($H23="","",IFERROR(AVERAGEIFS(Pesagens!$E$3:$E$5001,Pesagens!$B$3:$B$5001,$B23,Pesagens!$A$3:$A$5001,$H23),""))</f>
        <v>440</v>
      </c>
      <c r="J23" s="60">
        <f>IF(F23="","",Parâmetros!$C$4-F23)</f>
        <v>18</v>
      </c>
      <c r="K23" s="35">
        <f t="shared" si="0"/>
        <v>0</v>
      </c>
      <c r="L23" s="102" t="str">
        <f t="shared" si="1"/>
        <v/>
      </c>
      <c r="M23" s="103">
        <f>IF(I23="","",I23*Parâmetros!$C$8/15)</f>
        <v>15.546666666666669</v>
      </c>
      <c r="N23" s="103">
        <f>IF(K23="","",K23*Parâmetros!$C$8/15)</f>
        <v>0</v>
      </c>
      <c r="O23" s="26">
        <f>IF(M23="","",M23*Parâmetros!$C$5)</f>
        <v>4974.9333333333343</v>
      </c>
      <c r="P23" s="60" t="str">
        <f>IF(L23="","",IF(L23&gt;=Parâmetros!$C$10,"Sim","Não"))</f>
        <v/>
      </c>
    </row>
    <row r="24" spans="1:16" ht="15" customHeight="1" x14ac:dyDescent="0.3">
      <c r="A24" s="64">
        <v>22</v>
      </c>
      <c r="B24" s="64" t="s">
        <v>205</v>
      </c>
      <c r="C24" s="104" t="s">
        <v>183</v>
      </c>
      <c r="D24" s="104" t="s">
        <v>184</v>
      </c>
      <c r="E24" s="64">
        <v>1</v>
      </c>
      <c r="F24" s="86">
        <v>46220</v>
      </c>
      <c r="G24" s="40">
        <v>443</v>
      </c>
      <c r="H24" s="86">
        <f>IF(COUNTIFS(Pesagens!$B$3:$B$5001,$B24)=0,"",_xlfn.MAXIFS(Pesagens!$A$3:$A$5001,Pesagens!$B$3:$B$5001,$B24,Pesagens!$E$3:$E$5001,"&lt;&gt;"))</f>
        <v>46220</v>
      </c>
      <c r="I24" s="40">
        <f>IF($H24="","",IFERROR(AVERAGEIFS(Pesagens!$E$3:$E$5001,Pesagens!$B$3:$B$5001,$B24,Pesagens!$A$3:$A$5001,$H24),""))</f>
        <v>443</v>
      </c>
      <c r="J24" s="64">
        <f>IF(F24="","",Parâmetros!$C$4-F24)</f>
        <v>18</v>
      </c>
      <c r="K24" s="40">
        <f t="shared" si="0"/>
        <v>0</v>
      </c>
      <c r="L24" s="105" t="str">
        <f t="shared" si="1"/>
        <v/>
      </c>
      <c r="M24" s="106">
        <f>IF(I24="","",I24*Parâmetros!$C$8/15)</f>
        <v>15.652666666666669</v>
      </c>
      <c r="N24" s="106">
        <f>IF(K24="","",K24*Parâmetros!$C$8/15)</f>
        <v>0</v>
      </c>
      <c r="O24" s="28">
        <f>IF(M24="","",M24*Parâmetros!$C$5)</f>
        <v>5008.8533333333344</v>
      </c>
      <c r="P24" s="64" t="str">
        <f>IF(L24="","",IF(L24&gt;=Parâmetros!$C$10,"Sim","Não"))</f>
        <v/>
      </c>
    </row>
    <row r="25" spans="1:16" ht="15" customHeight="1" x14ac:dyDescent="0.3">
      <c r="A25" s="60">
        <v>23</v>
      </c>
      <c r="B25" s="60" t="s">
        <v>206</v>
      </c>
      <c r="C25" s="101" t="s">
        <v>183</v>
      </c>
      <c r="D25" s="101" t="s">
        <v>184</v>
      </c>
      <c r="E25" s="60">
        <v>1</v>
      </c>
      <c r="F25" s="85">
        <v>46220</v>
      </c>
      <c r="G25" s="35">
        <v>459</v>
      </c>
      <c r="H25" s="85">
        <f>IF(COUNTIFS(Pesagens!$B$3:$B$5001,$B25)=0,"",_xlfn.MAXIFS(Pesagens!$A$3:$A$5001,Pesagens!$B$3:$B$5001,$B25,Pesagens!$E$3:$E$5001,"&lt;&gt;"))</f>
        <v>46220</v>
      </c>
      <c r="I25" s="35">
        <f>IF($H25="","",IFERROR(AVERAGEIFS(Pesagens!$E$3:$E$5001,Pesagens!$B$3:$B$5001,$B25,Pesagens!$A$3:$A$5001,$H25),""))</f>
        <v>459</v>
      </c>
      <c r="J25" s="60">
        <f>IF(F25="","",Parâmetros!$C$4-F25)</f>
        <v>18</v>
      </c>
      <c r="K25" s="35">
        <f t="shared" si="0"/>
        <v>0</v>
      </c>
      <c r="L25" s="102" t="str">
        <f t="shared" si="1"/>
        <v/>
      </c>
      <c r="M25" s="103">
        <f>IF(I25="","",I25*Parâmetros!$C$8/15)</f>
        <v>16.218</v>
      </c>
      <c r="N25" s="103">
        <f>IF(K25="","",K25*Parâmetros!$C$8/15)</f>
        <v>0</v>
      </c>
      <c r="O25" s="26">
        <f>IF(M25="","",M25*Parâmetros!$C$5)</f>
        <v>5189.76</v>
      </c>
      <c r="P25" s="60" t="str">
        <f>IF(L25="","",IF(L25&gt;=Parâmetros!$C$10,"Sim","Não"))</f>
        <v/>
      </c>
    </row>
    <row r="26" spans="1:16" ht="15" customHeight="1" x14ac:dyDescent="0.3">
      <c r="A26" s="64">
        <v>24</v>
      </c>
      <c r="B26" s="64" t="s">
        <v>207</v>
      </c>
      <c r="C26" s="104" t="s">
        <v>183</v>
      </c>
      <c r="D26" s="104" t="s">
        <v>184</v>
      </c>
      <c r="E26" s="64">
        <v>1</v>
      </c>
      <c r="F26" s="86">
        <v>46220</v>
      </c>
      <c r="G26" s="40">
        <v>440</v>
      </c>
      <c r="H26" s="86">
        <f>IF(COUNTIFS(Pesagens!$B$3:$B$5001,$B26)=0,"",_xlfn.MAXIFS(Pesagens!$A$3:$A$5001,Pesagens!$B$3:$B$5001,$B26,Pesagens!$E$3:$E$5001,"&lt;&gt;"))</f>
        <v>46220</v>
      </c>
      <c r="I26" s="40">
        <f>IF($H26="","",IFERROR(AVERAGEIFS(Pesagens!$E$3:$E$5001,Pesagens!$B$3:$B$5001,$B26,Pesagens!$A$3:$A$5001,$H26),""))</f>
        <v>440</v>
      </c>
      <c r="J26" s="64">
        <f>IF(F26="","",Parâmetros!$C$4-F26)</f>
        <v>18</v>
      </c>
      <c r="K26" s="40">
        <f t="shared" si="0"/>
        <v>0</v>
      </c>
      <c r="L26" s="105" t="str">
        <f t="shared" si="1"/>
        <v/>
      </c>
      <c r="M26" s="106">
        <f>IF(I26="","",I26*Parâmetros!$C$8/15)</f>
        <v>15.546666666666669</v>
      </c>
      <c r="N26" s="106">
        <f>IF(K26="","",K26*Parâmetros!$C$8/15)</f>
        <v>0</v>
      </c>
      <c r="O26" s="28">
        <f>IF(M26="","",M26*Parâmetros!$C$5)</f>
        <v>4974.9333333333343</v>
      </c>
      <c r="P26" s="64" t="str">
        <f>IF(L26="","",IF(L26&gt;=Parâmetros!$C$10,"Sim","Não"))</f>
        <v/>
      </c>
    </row>
    <row r="27" spans="1:16" ht="15" customHeight="1" x14ac:dyDescent="0.3">
      <c r="A27" s="60">
        <v>25</v>
      </c>
      <c r="B27" s="60" t="s">
        <v>208</v>
      </c>
      <c r="C27" s="101" t="s">
        <v>183</v>
      </c>
      <c r="D27" s="101" t="s">
        <v>184</v>
      </c>
      <c r="E27" s="60">
        <v>1</v>
      </c>
      <c r="F27" s="85">
        <v>46220</v>
      </c>
      <c r="G27" s="35">
        <v>467</v>
      </c>
      <c r="H27" s="85">
        <f>IF(COUNTIFS(Pesagens!$B$3:$B$5001,$B27)=0,"",_xlfn.MAXIFS(Pesagens!$A$3:$A$5001,Pesagens!$B$3:$B$5001,$B27,Pesagens!$E$3:$E$5001,"&lt;&gt;"))</f>
        <v>46220</v>
      </c>
      <c r="I27" s="35">
        <f>IF($H27="","",IFERROR(AVERAGEIFS(Pesagens!$E$3:$E$5001,Pesagens!$B$3:$B$5001,$B27,Pesagens!$A$3:$A$5001,$H27),""))</f>
        <v>467</v>
      </c>
      <c r="J27" s="60">
        <f>IF(F27="","",Parâmetros!$C$4-F27)</f>
        <v>18</v>
      </c>
      <c r="K27" s="35">
        <f t="shared" si="0"/>
        <v>0</v>
      </c>
      <c r="L27" s="102" t="str">
        <f t="shared" si="1"/>
        <v/>
      </c>
      <c r="M27" s="103">
        <f>IF(I27="","",I27*Parâmetros!$C$8/15)</f>
        <v>16.500666666666667</v>
      </c>
      <c r="N27" s="103">
        <f>IF(K27="","",K27*Parâmetros!$C$8/15)</f>
        <v>0</v>
      </c>
      <c r="O27" s="26">
        <f>IF(M27="","",M27*Parâmetros!$C$5)</f>
        <v>5280.2133333333331</v>
      </c>
      <c r="P27" s="60" t="str">
        <f>IF(L27="","",IF(L27&gt;=Parâmetros!$C$10,"Sim","Não"))</f>
        <v/>
      </c>
    </row>
    <row r="28" spans="1:16" ht="15" customHeight="1" x14ac:dyDescent="0.3">
      <c r="A28" s="64">
        <v>26</v>
      </c>
      <c r="B28" s="64" t="s">
        <v>209</v>
      </c>
      <c r="C28" s="104" t="s">
        <v>183</v>
      </c>
      <c r="D28" s="104" t="s">
        <v>184</v>
      </c>
      <c r="E28" s="64">
        <v>1</v>
      </c>
      <c r="F28" s="86">
        <v>46220</v>
      </c>
      <c r="G28" s="40">
        <v>460</v>
      </c>
      <c r="H28" s="86">
        <f>IF(COUNTIFS(Pesagens!$B$3:$B$5001,$B28)=0,"",_xlfn.MAXIFS(Pesagens!$A$3:$A$5001,Pesagens!$B$3:$B$5001,$B28,Pesagens!$E$3:$E$5001,"&lt;&gt;"))</f>
        <v>46220</v>
      </c>
      <c r="I28" s="40">
        <f>IF($H28="","",IFERROR(AVERAGEIFS(Pesagens!$E$3:$E$5001,Pesagens!$B$3:$B$5001,$B28,Pesagens!$A$3:$A$5001,$H28),""))</f>
        <v>460</v>
      </c>
      <c r="J28" s="64">
        <f>IF(F28="","",Parâmetros!$C$4-F28)</f>
        <v>18</v>
      </c>
      <c r="K28" s="40">
        <f t="shared" si="0"/>
        <v>0</v>
      </c>
      <c r="L28" s="105" t="str">
        <f t="shared" si="1"/>
        <v/>
      </c>
      <c r="M28" s="106">
        <f>IF(I28="","",I28*Parâmetros!$C$8/15)</f>
        <v>16.253333333333334</v>
      </c>
      <c r="N28" s="106">
        <f>IF(K28="","",K28*Parâmetros!$C$8/15)</f>
        <v>0</v>
      </c>
      <c r="O28" s="28">
        <f>IF(M28="","",M28*Parâmetros!$C$5)</f>
        <v>5201.0666666666666</v>
      </c>
      <c r="P28" s="64" t="str">
        <f>IF(L28="","",IF(L28&gt;=Parâmetros!$C$10,"Sim","Não"))</f>
        <v/>
      </c>
    </row>
    <row r="29" spans="1:16" ht="15" customHeight="1" x14ac:dyDescent="0.3">
      <c r="A29" s="60">
        <v>27</v>
      </c>
      <c r="B29" s="60" t="s">
        <v>210</v>
      </c>
      <c r="C29" s="101" t="s">
        <v>183</v>
      </c>
      <c r="D29" s="101" t="s">
        <v>184</v>
      </c>
      <c r="E29" s="60">
        <v>1</v>
      </c>
      <c r="F29" s="85">
        <v>46220</v>
      </c>
      <c r="G29" s="35">
        <v>445</v>
      </c>
      <c r="H29" s="85">
        <f>IF(COUNTIFS(Pesagens!$B$3:$B$5001,$B29)=0,"",_xlfn.MAXIFS(Pesagens!$A$3:$A$5001,Pesagens!$B$3:$B$5001,$B29,Pesagens!$E$3:$E$5001,"&lt;&gt;"))</f>
        <v>46220</v>
      </c>
      <c r="I29" s="35">
        <f>IF($H29="","",IFERROR(AVERAGEIFS(Pesagens!$E$3:$E$5001,Pesagens!$B$3:$B$5001,$B29,Pesagens!$A$3:$A$5001,$H29),""))</f>
        <v>445</v>
      </c>
      <c r="J29" s="60">
        <f>IF(F29="","",Parâmetros!$C$4-F29)</f>
        <v>18</v>
      </c>
      <c r="K29" s="35">
        <f t="shared" si="0"/>
        <v>0</v>
      </c>
      <c r="L29" s="102" t="str">
        <f t="shared" si="1"/>
        <v/>
      </c>
      <c r="M29" s="103">
        <f>IF(I29="","",I29*Parâmetros!$C$8/15)</f>
        <v>15.723333333333334</v>
      </c>
      <c r="N29" s="103">
        <f>IF(K29="","",K29*Parâmetros!$C$8/15)</f>
        <v>0</v>
      </c>
      <c r="O29" s="26">
        <f>IF(M29="","",M29*Parâmetros!$C$5)</f>
        <v>5031.4666666666672</v>
      </c>
      <c r="P29" s="60" t="str">
        <f>IF(L29="","",IF(L29&gt;=Parâmetros!$C$10,"Sim","Não"))</f>
        <v/>
      </c>
    </row>
    <row r="30" spans="1:16" ht="15" customHeight="1" x14ac:dyDescent="0.3">
      <c r="A30" s="64">
        <v>28</v>
      </c>
      <c r="B30" s="64" t="s">
        <v>211</v>
      </c>
      <c r="C30" s="104" t="s">
        <v>183</v>
      </c>
      <c r="D30" s="104" t="s">
        <v>184</v>
      </c>
      <c r="E30" s="64">
        <v>1</v>
      </c>
      <c r="F30" s="86">
        <v>46220</v>
      </c>
      <c r="G30" s="40">
        <v>466</v>
      </c>
      <c r="H30" s="86">
        <f>IF(COUNTIFS(Pesagens!$B$3:$B$5001,$B30)=0,"",_xlfn.MAXIFS(Pesagens!$A$3:$A$5001,Pesagens!$B$3:$B$5001,$B30,Pesagens!$E$3:$E$5001,"&lt;&gt;"))</f>
        <v>46220</v>
      </c>
      <c r="I30" s="40">
        <f>IF($H30="","",IFERROR(AVERAGEIFS(Pesagens!$E$3:$E$5001,Pesagens!$B$3:$B$5001,$B30,Pesagens!$A$3:$A$5001,$H30),""))</f>
        <v>466</v>
      </c>
      <c r="J30" s="64">
        <f>IF(F30="","",Parâmetros!$C$4-F30)</f>
        <v>18</v>
      </c>
      <c r="K30" s="40">
        <f t="shared" si="0"/>
        <v>0</v>
      </c>
      <c r="L30" s="105" t="str">
        <f t="shared" si="1"/>
        <v/>
      </c>
      <c r="M30" s="106">
        <f>IF(I30="","",I30*Parâmetros!$C$8/15)</f>
        <v>16.465333333333334</v>
      </c>
      <c r="N30" s="106">
        <f>IF(K30="","",K30*Parâmetros!$C$8/15)</f>
        <v>0</v>
      </c>
      <c r="O30" s="28">
        <f>IF(M30="","",M30*Parâmetros!$C$5)</f>
        <v>5268.9066666666668</v>
      </c>
      <c r="P30" s="64" t="str">
        <f>IF(L30="","",IF(L30&gt;=Parâmetros!$C$10,"Sim","Não"))</f>
        <v/>
      </c>
    </row>
    <row r="31" spans="1:16" ht="15" customHeight="1" x14ac:dyDescent="0.3">
      <c r="A31" s="60">
        <v>29</v>
      </c>
      <c r="B31" s="60" t="s">
        <v>212</v>
      </c>
      <c r="C31" s="101" t="s">
        <v>183</v>
      </c>
      <c r="D31" s="101" t="s">
        <v>184</v>
      </c>
      <c r="E31" s="60">
        <v>1</v>
      </c>
      <c r="F31" s="85">
        <v>46220</v>
      </c>
      <c r="G31" s="35">
        <v>451</v>
      </c>
      <c r="H31" s="85">
        <f>IF(COUNTIFS(Pesagens!$B$3:$B$5001,$B31)=0,"",_xlfn.MAXIFS(Pesagens!$A$3:$A$5001,Pesagens!$B$3:$B$5001,$B31,Pesagens!$E$3:$E$5001,"&lt;&gt;"))</f>
        <v>46220</v>
      </c>
      <c r="I31" s="35">
        <f>IF($H31="","",IFERROR(AVERAGEIFS(Pesagens!$E$3:$E$5001,Pesagens!$B$3:$B$5001,$B31,Pesagens!$A$3:$A$5001,$H31),""))</f>
        <v>451</v>
      </c>
      <c r="J31" s="60">
        <f>IF(F31="","",Parâmetros!$C$4-F31)</f>
        <v>18</v>
      </c>
      <c r="K31" s="35">
        <f t="shared" si="0"/>
        <v>0</v>
      </c>
      <c r="L31" s="102" t="str">
        <f t="shared" si="1"/>
        <v/>
      </c>
      <c r="M31" s="103">
        <f>IF(I31="","",I31*Parâmetros!$C$8/15)</f>
        <v>15.935333333333334</v>
      </c>
      <c r="N31" s="103">
        <f>IF(K31="","",K31*Parâmetros!$C$8/15)</f>
        <v>0</v>
      </c>
      <c r="O31" s="26">
        <f>IF(M31="","",M31*Parâmetros!$C$5)</f>
        <v>5099.3066666666673</v>
      </c>
      <c r="P31" s="60" t="str">
        <f>IF(L31="","",IF(L31&gt;=Parâmetros!$C$10,"Sim","Não"))</f>
        <v/>
      </c>
    </row>
    <row r="32" spans="1:16" ht="15" customHeight="1" x14ac:dyDescent="0.3">
      <c r="A32" s="64">
        <v>30</v>
      </c>
      <c r="B32" s="64" t="s">
        <v>213</v>
      </c>
      <c r="C32" s="104" t="s">
        <v>183</v>
      </c>
      <c r="D32" s="104" t="s">
        <v>184</v>
      </c>
      <c r="E32" s="64">
        <v>1</v>
      </c>
      <c r="F32" s="86">
        <v>46220</v>
      </c>
      <c r="G32" s="40">
        <v>460</v>
      </c>
      <c r="H32" s="86">
        <f>IF(COUNTIFS(Pesagens!$B$3:$B$5001,$B32)=0,"",_xlfn.MAXIFS(Pesagens!$A$3:$A$5001,Pesagens!$B$3:$B$5001,$B32,Pesagens!$E$3:$E$5001,"&lt;&gt;"))</f>
        <v>46220</v>
      </c>
      <c r="I32" s="40">
        <f>IF($H32="","",IFERROR(AVERAGEIFS(Pesagens!$E$3:$E$5001,Pesagens!$B$3:$B$5001,$B32,Pesagens!$A$3:$A$5001,$H32),""))</f>
        <v>460</v>
      </c>
      <c r="J32" s="64">
        <f>IF(F32="","",Parâmetros!$C$4-F32)</f>
        <v>18</v>
      </c>
      <c r="K32" s="40">
        <f t="shared" si="0"/>
        <v>0</v>
      </c>
      <c r="L32" s="105" t="str">
        <f t="shared" si="1"/>
        <v/>
      </c>
      <c r="M32" s="106">
        <f>IF(I32="","",I32*Parâmetros!$C$8/15)</f>
        <v>16.253333333333334</v>
      </c>
      <c r="N32" s="106">
        <f>IF(K32="","",K32*Parâmetros!$C$8/15)</f>
        <v>0</v>
      </c>
      <c r="O32" s="28">
        <f>IF(M32="","",M32*Parâmetros!$C$5)</f>
        <v>5201.0666666666666</v>
      </c>
      <c r="P32" s="64" t="str">
        <f>IF(L32="","",IF(L32&gt;=Parâmetros!$C$10,"Sim","Não"))</f>
        <v/>
      </c>
    </row>
    <row r="33" spans="1:16" ht="15" customHeight="1" x14ac:dyDescent="0.3">
      <c r="A33" s="60">
        <v>31</v>
      </c>
      <c r="B33" s="60" t="s">
        <v>214</v>
      </c>
      <c r="C33" s="101" t="s">
        <v>183</v>
      </c>
      <c r="D33" s="101" t="s">
        <v>184</v>
      </c>
      <c r="E33" s="60">
        <v>1</v>
      </c>
      <c r="F33" s="85">
        <v>46220</v>
      </c>
      <c r="G33" s="35">
        <v>460</v>
      </c>
      <c r="H33" s="85">
        <f>IF(COUNTIFS(Pesagens!$B$3:$B$5001,$B33)=0,"",_xlfn.MAXIFS(Pesagens!$A$3:$A$5001,Pesagens!$B$3:$B$5001,$B33,Pesagens!$E$3:$E$5001,"&lt;&gt;"))</f>
        <v>46220</v>
      </c>
      <c r="I33" s="35">
        <f>IF($H33="","",IFERROR(AVERAGEIFS(Pesagens!$E$3:$E$5001,Pesagens!$B$3:$B$5001,$B33,Pesagens!$A$3:$A$5001,$H33),""))</f>
        <v>460</v>
      </c>
      <c r="J33" s="60">
        <f>IF(F33="","",Parâmetros!$C$4-F33)</f>
        <v>18</v>
      </c>
      <c r="K33" s="35">
        <f t="shared" si="0"/>
        <v>0</v>
      </c>
      <c r="L33" s="102" t="str">
        <f t="shared" si="1"/>
        <v/>
      </c>
      <c r="M33" s="103">
        <f>IF(I33="","",I33*Parâmetros!$C$8/15)</f>
        <v>16.253333333333334</v>
      </c>
      <c r="N33" s="103">
        <f>IF(K33="","",K33*Parâmetros!$C$8/15)</f>
        <v>0</v>
      </c>
      <c r="O33" s="26">
        <f>IF(M33="","",M33*Parâmetros!$C$5)</f>
        <v>5201.0666666666666</v>
      </c>
      <c r="P33" s="60" t="str">
        <f>IF(L33="","",IF(L33&gt;=Parâmetros!$C$10,"Sim","Não"))</f>
        <v/>
      </c>
    </row>
    <row r="34" spans="1:16" ht="15" customHeight="1" x14ac:dyDescent="0.3">
      <c r="A34" s="64">
        <v>32</v>
      </c>
      <c r="B34" s="64" t="s">
        <v>215</v>
      </c>
      <c r="C34" s="104" t="s">
        <v>183</v>
      </c>
      <c r="D34" s="104" t="s">
        <v>184</v>
      </c>
      <c r="E34" s="64">
        <v>1</v>
      </c>
      <c r="F34" s="86">
        <v>46220</v>
      </c>
      <c r="G34" s="40">
        <v>455</v>
      </c>
      <c r="H34" s="86">
        <f>IF(COUNTIFS(Pesagens!$B$3:$B$5001,$B34)=0,"",_xlfn.MAXIFS(Pesagens!$A$3:$A$5001,Pesagens!$B$3:$B$5001,$B34,Pesagens!$E$3:$E$5001,"&lt;&gt;"))</f>
        <v>46220</v>
      </c>
      <c r="I34" s="40">
        <f>IF($H34="","",IFERROR(AVERAGEIFS(Pesagens!$E$3:$E$5001,Pesagens!$B$3:$B$5001,$B34,Pesagens!$A$3:$A$5001,$H34),""))</f>
        <v>455</v>
      </c>
      <c r="J34" s="64">
        <f>IF(F34="","",Parâmetros!$C$4-F34)</f>
        <v>18</v>
      </c>
      <c r="K34" s="40">
        <f t="shared" si="0"/>
        <v>0</v>
      </c>
      <c r="L34" s="105" t="str">
        <f t="shared" si="1"/>
        <v/>
      </c>
      <c r="M34" s="106">
        <f>IF(I34="","",I34*Parâmetros!$C$8/15)</f>
        <v>16.076666666666668</v>
      </c>
      <c r="N34" s="106">
        <f>IF(K34="","",K34*Parâmetros!$C$8/15)</f>
        <v>0</v>
      </c>
      <c r="O34" s="28">
        <f>IF(M34="","",M34*Parâmetros!$C$5)</f>
        <v>5144.5333333333338</v>
      </c>
      <c r="P34" s="64" t="str">
        <f>IF(L34="","",IF(L34&gt;=Parâmetros!$C$10,"Sim","Não"))</f>
        <v/>
      </c>
    </row>
    <row r="35" spans="1:16" ht="15" customHeight="1" x14ac:dyDescent="0.3">
      <c r="A35" s="60">
        <v>33</v>
      </c>
      <c r="B35" s="60" t="s">
        <v>216</v>
      </c>
      <c r="C35" s="101" t="s">
        <v>183</v>
      </c>
      <c r="D35" s="101" t="s">
        <v>184</v>
      </c>
      <c r="E35" s="60">
        <v>1</v>
      </c>
      <c r="F35" s="85">
        <v>46220</v>
      </c>
      <c r="G35" s="35">
        <v>474</v>
      </c>
      <c r="H35" s="85">
        <f>IF(COUNTIFS(Pesagens!$B$3:$B$5001,$B35)=0,"",_xlfn.MAXIFS(Pesagens!$A$3:$A$5001,Pesagens!$B$3:$B$5001,$B35,Pesagens!$E$3:$E$5001,"&lt;&gt;"))</f>
        <v>46220</v>
      </c>
      <c r="I35" s="35">
        <f>IF($H35="","",IFERROR(AVERAGEIFS(Pesagens!$E$3:$E$5001,Pesagens!$B$3:$B$5001,$B35,Pesagens!$A$3:$A$5001,$H35),""))</f>
        <v>474</v>
      </c>
      <c r="J35" s="60">
        <f>IF(F35="","",Parâmetros!$C$4-F35)</f>
        <v>18</v>
      </c>
      <c r="K35" s="35">
        <f t="shared" si="0"/>
        <v>0</v>
      </c>
      <c r="L35" s="102" t="str">
        <f t="shared" si="1"/>
        <v/>
      </c>
      <c r="M35" s="103">
        <f>IF(I35="","",I35*Parâmetros!$C$8/15)</f>
        <v>16.748000000000001</v>
      </c>
      <c r="N35" s="103">
        <f>IF(K35="","",K35*Parâmetros!$C$8/15)</f>
        <v>0</v>
      </c>
      <c r="O35" s="26">
        <f>IF(M35="","",M35*Parâmetros!$C$5)</f>
        <v>5359.3600000000006</v>
      </c>
      <c r="P35" s="60" t="str">
        <f>IF(L35="","",IF(L35&gt;=Parâmetros!$C$10,"Sim","Não"))</f>
        <v/>
      </c>
    </row>
    <row r="36" spans="1:16" ht="15" customHeight="1" x14ac:dyDescent="0.3">
      <c r="A36" s="64">
        <v>34</v>
      </c>
      <c r="B36" s="64" t="s">
        <v>217</v>
      </c>
      <c r="C36" s="104" t="s">
        <v>183</v>
      </c>
      <c r="D36" s="104" t="s">
        <v>184</v>
      </c>
      <c r="E36" s="64">
        <v>1</v>
      </c>
      <c r="F36" s="86">
        <v>46220</v>
      </c>
      <c r="G36" s="40">
        <v>453</v>
      </c>
      <c r="H36" s="86">
        <f>IF(COUNTIFS(Pesagens!$B$3:$B$5001,$B36)=0,"",_xlfn.MAXIFS(Pesagens!$A$3:$A$5001,Pesagens!$B$3:$B$5001,$B36,Pesagens!$E$3:$E$5001,"&lt;&gt;"))</f>
        <v>46220</v>
      </c>
      <c r="I36" s="40">
        <f>IF($H36="","",IFERROR(AVERAGEIFS(Pesagens!$E$3:$E$5001,Pesagens!$B$3:$B$5001,$B36,Pesagens!$A$3:$A$5001,$H36),""))</f>
        <v>453</v>
      </c>
      <c r="J36" s="64">
        <f>IF(F36="","",Parâmetros!$C$4-F36)</f>
        <v>18</v>
      </c>
      <c r="K36" s="40">
        <f t="shared" si="0"/>
        <v>0</v>
      </c>
      <c r="L36" s="105" t="str">
        <f t="shared" si="1"/>
        <v/>
      </c>
      <c r="M36" s="106">
        <f>IF(I36="","",I36*Parâmetros!$C$8/15)</f>
        <v>16.006</v>
      </c>
      <c r="N36" s="106">
        <f>IF(K36="","",K36*Parâmetros!$C$8/15)</f>
        <v>0</v>
      </c>
      <c r="O36" s="28">
        <f>IF(M36="","",M36*Parâmetros!$C$5)</f>
        <v>5121.92</v>
      </c>
      <c r="P36" s="64" t="str">
        <f>IF(L36="","",IF(L36&gt;=Parâmetros!$C$10,"Sim","Não"))</f>
        <v/>
      </c>
    </row>
    <row r="37" spans="1:16" ht="15" customHeight="1" x14ac:dyDescent="0.3">
      <c r="A37" s="60">
        <v>35</v>
      </c>
      <c r="B37" s="60" t="s">
        <v>218</v>
      </c>
      <c r="C37" s="101" t="s">
        <v>183</v>
      </c>
      <c r="D37" s="101" t="s">
        <v>184</v>
      </c>
      <c r="E37" s="60">
        <v>1</v>
      </c>
      <c r="F37" s="85">
        <v>46220</v>
      </c>
      <c r="G37" s="35">
        <v>441</v>
      </c>
      <c r="H37" s="85">
        <f>IF(COUNTIFS(Pesagens!$B$3:$B$5001,$B37)=0,"",_xlfn.MAXIFS(Pesagens!$A$3:$A$5001,Pesagens!$B$3:$B$5001,$B37,Pesagens!$E$3:$E$5001,"&lt;&gt;"))</f>
        <v>46220</v>
      </c>
      <c r="I37" s="35">
        <f>IF($H37="","",IFERROR(AVERAGEIFS(Pesagens!$E$3:$E$5001,Pesagens!$B$3:$B$5001,$B37,Pesagens!$A$3:$A$5001,$H37),""))</f>
        <v>441</v>
      </c>
      <c r="J37" s="60">
        <f>IF(F37="","",Parâmetros!$C$4-F37)</f>
        <v>18</v>
      </c>
      <c r="K37" s="35">
        <f t="shared" si="0"/>
        <v>0</v>
      </c>
      <c r="L37" s="102" t="str">
        <f t="shared" si="1"/>
        <v/>
      </c>
      <c r="M37" s="103">
        <f>IF(I37="","",I37*Parâmetros!$C$8/15)</f>
        <v>15.582000000000001</v>
      </c>
      <c r="N37" s="103">
        <f>IF(K37="","",K37*Parâmetros!$C$8/15)</f>
        <v>0</v>
      </c>
      <c r="O37" s="26">
        <f>IF(M37="","",M37*Parâmetros!$C$5)</f>
        <v>4986.24</v>
      </c>
      <c r="P37" s="60" t="str">
        <f>IF(L37="","",IF(L37&gt;=Parâmetros!$C$10,"Sim","Não"))</f>
        <v/>
      </c>
    </row>
    <row r="38" spans="1:16" ht="15" customHeight="1" x14ac:dyDescent="0.3">
      <c r="A38" s="64">
        <v>36</v>
      </c>
      <c r="B38" s="64" t="s">
        <v>219</v>
      </c>
      <c r="C38" s="104" t="s">
        <v>183</v>
      </c>
      <c r="D38" s="104" t="s">
        <v>184</v>
      </c>
      <c r="E38" s="64">
        <v>1</v>
      </c>
      <c r="F38" s="86">
        <v>46220</v>
      </c>
      <c r="G38" s="40">
        <v>448</v>
      </c>
      <c r="H38" s="86">
        <f>IF(COUNTIFS(Pesagens!$B$3:$B$5001,$B38)=0,"",_xlfn.MAXIFS(Pesagens!$A$3:$A$5001,Pesagens!$B$3:$B$5001,$B38,Pesagens!$E$3:$E$5001,"&lt;&gt;"))</f>
        <v>46220</v>
      </c>
      <c r="I38" s="40">
        <f>IF($H38="","",IFERROR(AVERAGEIFS(Pesagens!$E$3:$E$5001,Pesagens!$B$3:$B$5001,$B38,Pesagens!$A$3:$A$5001,$H38),""))</f>
        <v>448</v>
      </c>
      <c r="J38" s="64">
        <f>IF(F38="","",Parâmetros!$C$4-F38)</f>
        <v>18</v>
      </c>
      <c r="K38" s="40">
        <f t="shared" si="0"/>
        <v>0</v>
      </c>
      <c r="L38" s="105" t="str">
        <f t="shared" si="1"/>
        <v/>
      </c>
      <c r="M38" s="106">
        <f>IF(I38="","",I38*Parâmetros!$C$8/15)</f>
        <v>15.829333333333333</v>
      </c>
      <c r="N38" s="106">
        <f>IF(K38="","",K38*Parâmetros!$C$8/15)</f>
        <v>0</v>
      </c>
      <c r="O38" s="28">
        <f>IF(M38="","",M38*Parâmetros!$C$5)</f>
        <v>5065.3866666666663</v>
      </c>
      <c r="P38" s="64" t="str">
        <f>IF(L38="","",IF(L38&gt;=Parâmetros!$C$10,"Sim","Não"))</f>
        <v/>
      </c>
    </row>
    <row r="39" spans="1:16" ht="15" customHeight="1" x14ac:dyDescent="0.3">
      <c r="A39" s="60">
        <v>37</v>
      </c>
      <c r="B39" s="60" t="s">
        <v>220</v>
      </c>
      <c r="C39" s="101" t="s">
        <v>183</v>
      </c>
      <c r="D39" s="101" t="s">
        <v>184</v>
      </c>
      <c r="E39" s="60">
        <v>1</v>
      </c>
      <c r="F39" s="85">
        <v>46220</v>
      </c>
      <c r="G39" s="35">
        <v>475</v>
      </c>
      <c r="H39" s="85">
        <f>IF(COUNTIFS(Pesagens!$B$3:$B$5001,$B39)=0,"",_xlfn.MAXIFS(Pesagens!$A$3:$A$5001,Pesagens!$B$3:$B$5001,$B39,Pesagens!$E$3:$E$5001,"&lt;&gt;"))</f>
        <v>46220</v>
      </c>
      <c r="I39" s="35">
        <f>IF($H39="","",IFERROR(AVERAGEIFS(Pesagens!$E$3:$E$5001,Pesagens!$B$3:$B$5001,$B39,Pesagens!$A$3:$A$5001,$H39),""))</f>
        <v>475</v>
      </c>
      <c r="J39" s="60">
        <f>IF(F39="","",Parâmetros!$C$4-F39)</f>
        <v>18</v>
      </c>
      <c r="K39" s="35">
        <f t="shared" si="0"/>
        <v>0</v>
      </c>
      <c r="L39" s="102" t="str">
        <f t="shared" si="1"/>
        <v/>
      </c>
      <c r="M39" s="103">
        <f>IF(I39="","",I39*Parâmetros!$C$8/15)</f>
        <v>16.783333333333335</v>
      </c>
      <c r="N39" s="103">
        <f>IF(K39="","",K39*Parâmetros!$C$8/15)</f>
        <v>0</v>
      </c>
      <c r="O39" s="26">
        <f>IF(M39="","",M39*Parâmetros!$C$5)</f>
        <v>5370.666666666667</v>
      </c>
      <c r="P39" s="60" t="str">
        <f>IF(L39="","",IF(L39&gt;=Parâmetros!$C$10,"Sim","Não"))</f>
        <v/>
      </c>
    </row>
    <row r="40" spans="1:16" ht="15" customHeight="1" x14ac:dyDescent="0.3">
      <c r="A40" s="64">
        <v>38</v>
      </c>
      <c r="B40" s="64" t="s">
        <v>221</v>
      </c>
      <c r="C40" s="104" t="s">
        <v>183</v>
      </c>
      <c r="D40" s="104" t="s">
        <v>184</v>
      </c>
      <c r="E40" s="64">
        <v>1</v>
      </c>
      <c r="F40" s="86">
        <v>46220</v>
      </c>
      <c r="G40" s="40">
        <v>440</v>
      </c>
      <c r="H40" s="86">
        <f>IF(COUNTIFS(Pesagens!$B$3:$B$5001,$B40)=0,"",_xlfn.MAXIFS(Pesagens!$A$3:$A$5001,Pesagens!$B$3:$B$5001,$B40,Pesagens!$E$3:$E$5001,"&lt;&gt;"))</f>
        <v>46220</v>
      </c>
      <c r="I40" s="40">
        <f>IF($H40="","",IFERROR(AVERAGEIFS(Pesagens!$E$3:$E$5001,Pesagens!$B$3:$B$5001,$B40,Pesagens!$A$3:$A$5001,$H40),""))</f>
        <v>440</v>
      </c>
      <c r="J40" s="64">
        <f>IF(F40="","",Parâmetros!$C$4-F40)</f>
        <v>18</v>
      </c>
      <c r="K40" s="40">
        <f t="shared" si="0"/>
        <v>0</v>
      </c>
      <c r="L40" s="105" t="str">
        <f t="shared" si="1"/>
        <v/>
      </c>
      <c r="M40" s="106">
        <f>IF(I40="","",I40*Parâmetros!$C$8/15)</f>
        <v>15.546666666666669</v>
      </c>
      <c r="N40" s="106">
        <f>IF(K40="","",K40*Parâmetros!$C$8/15)</f>
        <v>0</v>
      </c>
      <c r="O40" s="28">
        <f>IF(M40="","",M40*Parâmetros!$C$5)</f>
        <v>4974.9333333333343</v>
      </c>
      <c r="P40" s="64" t="str">
        <f>IF(L40="","",IF(L40&gt;=Parâmetros!$C$10,"Sim","Não"))</f>
        <v/>
      </c>
    </row>
    <row r="41" spans="1:16" ht="15" customHeight="1" x14ac:dyDescent="0.3">
      <c r="A41" s="60">
        <v>39</v>
      </c>
      <c r="B41" s="60" t="s">
        <v>222</v>
      </c>
      <c r="C41" s="101" t="s">
        <v>183</v>
      </c>
      <c r="D41" s="101" t="s">
        <v>184</v>
      </c>
      <c r="E41" s="60">
        <v>1</v>
      </c>
      <c r="F41" s="85">
        <v>46220</v>
      </c>
      <c r="G41" s="35">
        <v>460</v>
      </c>
      <c r="H41" s="85">
        <f>IF(COUNTIFS(Pesagens!$B$3:$B$5001,$B41)=0,"",_xlfn.MAXIFS(Pesagens!$A$3:$A$5001,Pesagens!$B$3:$B$5001,$B41,Pesagens!$E$3:$E$5001,"&lt;&gt;"))</f>
        <v>46220</v>
      </c>
      <c r="I41" s="35">
        <f>IF($H41="","",IFERROR(AVERAGEIFS(Pesagens!$E$3:$E$5001,Pesagens!$B$3:$B$5001,$B41,Pesagens!$A$3:$A$5001,$H41),""))</f>
        <v>460</v>
      </c>
      <c r="J41" s="60">
        <f>IF(F41="","",Parâmetros!$C$4-F41)</f>
        <v>18</v>
      </c>
      <c r="K41" s="35">
        <f t="shared" si="0"/>
        <v>0</v>
      </c>
      <c r="L41" s="102" t="str">
        <f t="shared" si="1"/>
        <v/>
      </c>
      <c r="M41" s="103">
        <f>IF(I41="","",I41*Parâmetros!$C$8/15)</f>
        <v>16.253333333333334</v>
      </c>
      <c r="N41" s="103">
        <f>IF(K41="","",K41*Parâmetros!$C$8/15)</f>
        <v>0</v>
      </c>
      <c r="O41" s="26">
        <f>IF(M41="","",M41*Parâmetros!$C$5)</f>
        <v>5201.0666666666666</v>
      </c>
      <c r="P41" s="60" t="str">
        <f>IF(L41="","",IF(L41&gt;=Parâmetros!$C$10,"Sim","Não"))</f>
        <v/>
      </c>
    </row>
    <row r="42" spans="1:16" ht="15" customHeight="1" x14ac:dyDescent="0.3">
      <c r="A42" s="64">
        <v>40</v>
      </c>
      <c r="B42" s="64" t="s">
        <v>223</v>
      </c>
      <c r="C42" s="104" t="s">
        <v>183</v>
      </c>
      <c r="D42" s="104" t="s">
        <v>184</v>
      </c>
      <c r="E42" s="64">
        <v>1</v>
      </c>
      <c r="F42" s="86">
        <v>46220</v>
      </c>
      <c r="G42" s="40">
        <v>454</v>
      </c>
      <c r="H42" s="86">
        <f>IF(COUNTIFS(Pesagens!$B$3:$B$5001,$B42)=0,"",_xlfn.MAXIFS(Pesagens!$A$3:$A$5001,Pesagens!$B$3:$B$5001,$B42,Pesagens!$E$3:$E$5001,"&lt;&gt;"))</f>
        <v>46220</v>
      </c>
      <c r="I42" s="40">
        <f>IF($H42="","",IFERROR(AVERAGEIFS(Pesagens!$E$3:$E$5001,Pesagens!$B$3:$B$5001,$B42,Pesagens!$A$3:$A$5001,$H42),""))</f>
        <v>454</v>
      </c>
      <c r="J42" s="64">
        <f>IF(F42="","",Parâmetros!$C$4-F42)</f>
        <v>18</v>
      </c>
      <c r="K42" s="40">
        <f t="shared" si="0"/>
        <v>0</v>
      </c>
      <c r="L42" s="105" t="str">
        <f t="shared" si="1"/>
        <v/>
      </c>
      <c r="M42" s="106">
        <f>IF(I42="","",I42*Parâmetros!$C$8/15)</f>
        <v>16.041333333333334</v>
      </c>
      <c r="N42" s="106">
        <f>IF(K42="","",K42*Parâmetros!$C$8/15)</f>
        <v>0</v>
      </c>
      <c r="O42" s="28">
        <f>IF(M42="","",M42*Parâmetros!$C$5)</f>
        <v>5133.2266666666674</v>
      </c>
      <c r="P42" s="64" t="str">
        <f>IF(L42="","",IF(L42&gt;=Parâmetros!$C$10,"Sim","Não"))</f>
        <v/>
      </c>
    </row>
    <row r="43" spans="1:16" ht="15" customHeight="1" x14ac:dyDescent="0.3">
      <c r="A43" s="60">
        <v>41</v>
      </c>
      <c r="B43" s="60" t="s">
        <v>224</v>
      </c>
      <c r="C43" s="101" t="s">
        <v>183</v>
      </c>
      <c r="D43" s="101" t="s">
        <v>184</v>
      </c>
      <c r="E43" s="60">
        <v>1</v>
      </c>
      <c r="F43" s="85">
        <v>46220</v>
      </c>
      <c r="G43" s="35">
        <v>450</v>
      </c>
      <c r="H43" s="85">
        <f>IF(COUNTIFS(Pesagens!$B$3:$B$5001,$B43)=0,"",_xlfn.MAXIFS(Pesagens!$A$3:$A$5001,Pesagens!$B$3:$B$5001,$B43,Pesagens!$E$3:$E$5001,"&lt;&gt;"))</f>
        <v>46220</v>
      </c>
      <c r="I43" s="35">
        <f>IF($H43="","",IFERROR(AVERAGEIFS(Pesagens!$E$3:$E$5001,Pesagens!$B$3:$B$5001,$B43,Pesagens!$A$3:$A$5001,$H43),""))</f>
        <v>450</v>
      </c>
      <c r="J43" s="60">
        <f>IF(F43="","",Parâmetros!$C$4-F43)</f>
        <v>18</v>
      </c>
      <c r="K43" s="35">
        <f t="shared" si="0"/>
        <v>0</v>
      </c>
      <c r="L43" s="102" t="str">
        <f t="shared" si="1"/>
        <v/>
      </c>
      <c r="M43" s="103">
        <f>IF(I43="","",I43*Parâmetros!$C$8/15)</f>
        <v>15.9</v>
      </c>
      <c r="N43" s="103">
        <f>IF(K43="","",K43*Parâmetros!$C$8/15)</f>
        <v>0</v>
      </c>
      <c r="O43" s="26">
        <f>IF(M43="","",M43*Parâmetros!$C$5)</f>
        <v>5088</v>
      </c>
      <c r="P43" s="60" t="str">
        <f>IF(L43="","",IF(L43&gt;=Parâmetros!$C$10,"Sim","Não"))</f>
        <v/>
      </c>
    </row>
    <row r="44" spans="1:16" ht="15" customHeight="1" x14ac:dyDescent="0.3">
      <c r="A44" s="64">
        <v>42</v>
      </c>
      <c r="B44" s="64" t="s">
        <v>225</v>
      </c>
      <c r="C44" s="104" t="s">
        <v>183</v>
      </c>
      <c r="D44" s="104" t="s">
        <v>184</v>
      </c>
      <c r="E44" s="64">
        <v>1</v>
      </c>
      <c r="F44" s="86">
        <v>46220</v>
      </c>
      <c r="G44" s="40">
        <v>467</v>
      </c>
      <c r="H44" s="86">
        <f>IF(COUNTIFS(Pesagens!$B$3:$B$5001,$B44)=0,"",_xlfn.MAXIFS(Pesagens!$A$3:$A$5001,Pesagens!$B$3:$B$5001,$B44,Pesagens!$E$3:$E$5001,"&lt;&gt;"))</f>
        <v>46220</v>
      </c>
      <c r="I44" s="40">
        <f>IF($H44="","",IFERROR(AVERAGEIFS(Pesagens!$E$3:$E$5001,Pesagens!$B$3:$B$5001,$B44,Pesagens!$A$3:$A$5001,$H44),""))</f>
        <v>467</v>
      </c>
      <c r="J44" s="64">
        <f>IF(F44="","",Parâmetros!$C$4-F44)</f>
        <v>18</v>
      </c>
      <c r="K44" s="40">
        <f t="shared" si="0"/>
        <v>0</v>
      </c>
      <c r="L44" s="105" t="str">
        <f t="shared" si="1"/>
        <v/>
      </c>
      <c r="M44" s="106">
        <f>IF(I44="","",I44*Parâmetros!$C$8/15)</f>
        <v>16.500666666666667</v>
      </c>
      <c r="N44" s="106">
        <f>IF(K44="","",K44*Parâmetros!$C$8/15)</f>
        <v>0</v>
      </c>
      <c r="O44" s="28">
        <f>IF(M44="","",M44*Parâmetros!$C$5)</f>
        <v>5280.2133333333331</v>
      </c>
      <c r="P44" s="64" t="str">
        <f>IF(L44="","",IF(L44&gt;=Parâmetros!$C$10,"Sim","Não"))</f>
        <v/>
      </c>
    </row>
    <row r="45" spans="1:16" ht="15" customHeight="1" x14ac:dyDescent="0.3">
      <c r="A45" s="60">
        <v>43</v>
      </c>
      <c r="B45" s="60" t="s">
        <v>226</v>
      </c>
      <c r="C45" s="101" t="s">
        <v>183</v>
      </c>
      <c r="D45" s="101" t="s">
        <v>184</v>
      </c>
      <c r="E45" s="60">
        <v>1</v>
      </c>
      <c r="F45" s="85">
        <v>46220</v>
      </c>
      <c r="G45" s="35">
        <v>464</v>
      </c>
      <c r="H45" s="85">
        <f>IF(COUNTIFS(Pesagens!$B$3:$B$5001,$B45)=0,"",_xlfn.MAXIFS(Pesagens!$A$3:$A$5001,Pesagens!$B$3:$B$5001,$B45,Pesagens!$E$3:$E$5001,"&lt;&gt;"))</f>
        <v>46220</v>
      </c>
      <c r="I45" s="35">
        <f>IF($H45="","",IFERROR(AVERAGEIFS(Pesagens!$E$3:$E$5001,Pesagens!$B$3:$B$5001,$B45,Pesagens!$A$3:$A$5001,$H45),""))</f>
        <v>464</v>
      </c>
      <c r="J45" s="60">
        <f>IF(F45="","",Parâmetros!$C$4-F45)</f>
        <v>18</v>
      </c>
      <c r="K45" s="35">
        <f t="shared" si="0"/>
        <v>0</v>
      </c>
      <c r="L45" s="102" t="str">
        <f t="shared" si="1"/>
        <v/>
      </c>
      <c r="M45" s="103">
        <f>IF(I45="","",I45*Parâmetros!$C$8/15)</f>
        <v>16.394666666666669</v>
      </c>
      <c r="N45" s="103">
        <f>IF(K45="","",K45*Parâmetros!$C$8/15)</f>
        <v>0</v>
      </c>
      <c r="O45" s="26">
        <f>IF(M45="","",M45*Parâmetros!$C$5)</f>
        <v>5246.293333333334</v>
      </c>
      <c r="P45" s="60" t="str">
        <f>IF(L45="","",IF(L45&gt;=Parâmetros!$C$10,"Sim","Não"))</f>
        <v/>
      </c>
    </row>
    <row r="46" spans="1:16" ht="15" customHeight="1" x14ac:dyDescent="0.3">
      <c r="A46" s="64">
        <v>44</v>
      </c>
      <c r="B46" s="64" t="s">
        <v>227</v>
      </c>
      <c r="C46" s="104" t="s">
        <v>183</v>
      </c>
      <c r="D46" s="104" t="s">
        <v>184</v>
      </c>
      <c r="E46" s="64">
        <v>1</v>
      </c>
      <c r="F46" s="86">
        <v>46220</v>
      </c>
      <c r="G46" s="40">
        <v>435</v>
      </c>
      <c r="H46" s="86">
        <f>IF(COUNTIFS(Pesagens!$B$3:$B$5001,$B46)=0,"",_xlfn.MAXIFS(Pesagens!$A$3:$A$5001,Pesagens!$B$3:$B$5001,$B46,Pesagens!$E$3:$E$5001,"&lt;&gt;"))</f>
        <v>46220</v>
      </c>
      <c r="I46" s="40">
        <f>IF($H46="","",IFERROR(AVERAGEIFS(Pesagens!$E$3:$E$5001,Pesagens!$B$3:$B$5001,$B46,Pesagens!$A$3:$A$5001,$H46),""))</f>
        <v>435</v>
      </c>
      <c r="J46" s="64">
        <f>IF(F46="","",Parâmetros!$C$4-F46)</f>
        <v>18</v>
      </c>
      <c r="K46" s="40">
        <f t="shared" si="0"/>
        <v>0</v>
      </c>
      <c r="L46" s="105" t="str">
        <f t="shared" si="1"/>
        <v/>
      </c>
      <c r="M46" s="106">
        <f>IF(I46="","",I46*Parâmetros!$C$8/15)</f>
        <v>15.370000000000001</v>
      </c>
      <c r="N46" s="106">
        <f>IF(K46="","",K46*Parâmetros!$C$8/15)</f>
        <v>0</v>
      </c>
      <c r="O46" s="28">
        <f>IF(M46="","",M46*Parâmetros!$C$5)</f>
        <v>4918.4000000000005</v>
      </c>
      <c r="P46" s="64" t="str">
        <f>IF(L46="","",IF(L46&gt;=Parâmetros!$C$10,"Sim","Não"))</f>
        <v/>
      </c>
    </row>
    <row r="47" spans="1:16" ht="15" customHeight="1" x14ac:dyDescent="0.3">
      <c r="A47" s="60">
        <v>45</v>
      </c>
      <c r="B47" s="60" t="s">
        <v>228</v>
      </c>
      <c r="C47" s="101" t="s">
        <v>183</v>
      </c>
      <c r="D47" s="101" t="s">
        <v>184</v>
      </c>
      <c r="E47" s="60">
        <v>1</v>
      </c>
      <c r="F47" s="85">
        <v>46220</v>
      </c>
      <c r="G47" s="35">
        <v>471</v>
      </c>
      <c r="H47" s="85">
        <f>IF(COUNTIFS(Pesagens!$B$3:$B$5001,$B47)=0,"",_xlfn.MAXIFS(Pesagens!$A$3:$A$5001,Pesagens!$B$3:$B$5001,$B47,Pesagens!$E$3:$E$5001,"&lt;&gt;"))</f>
        <v>46220</v>
      </c>
      <c r="I47" s="35">
        <f>IF($H47="","",IFERROR(AVERAGEIFS(Pesagens!$E$3:$E$5001,Pesagens!$B$3:$B$5001,$B47,Pesagens!$A$3:$A$5001,$H47),""))</f>
        <v>471</v>
      </c>
      <c r="J47" s="60">
        <f>IF(F47="","",Parâmetros!$C$4-F47)</f>
        <v>18</v>
      </c>
      <c r="K47" s="35">
        <f t="shared" si="0"/>
        <v>0</v>
      </c>
      <c r="L47" s="102" t="str">
        <f t="shared" si="1"/>
        <v/>
      </c>
      <c r="M47" s="103">
        <f>IF(I47="","",I47*Parâmetros!$C$8/15)</f>
        <v>16.642000000000003</v>
      </c>
      <c r="N47" s="103">
        <f>IF(K47="","",K47*Parâmetros!$C$8/15)</f>
        <v>0</v>
      </c>
      <c r="O47" s="26">
        <f>IF(M47="","",M47*Parâmetros!$C$5)</f>
        <v>5325.4400000000005</v>
      </c>
      <c r="P47" s="60" t="str">
        <f>IF(L47="","",IF(L47&gt;=Parâmetros!$C$10,"Sim","Não"))</f>
        <v/>
      </c>
    </row>
    <row r="48" spans="1:16" ht="15" customHeight="1" x14ac:dyDescent="0.3">
      <c r="A48" s="64">
        <v>46</v>
      </c>
      <c r="B48" s="64" t="s">
        <v>229</v>
      </c>
      <c r="C48" s="104" t="s">
        <v>183</v>
      </c>
      <c r="D48" s="104" t="s">
        <v>184</v>
      </c>
      <c r="E48" s="64">
        <v>1</v>
      </c>
      <c r="F48" s="86">
        <v>46220</v>
      </c>
      <c r="G48" s="40">
        <v>457</v>
      </c>
      <c r="H48" s="86">
        <f>IF(COUNTIFS(Pesagens!$B$3:$B$5001,$B48)=0,"",_xlfn.MAXIFS(Pesagens!$A$3:$A$5001,Pesagens!$B$3:$B$5001,$B48,Pesagens!$E$3:$E$5001,"&lt;&gt;"))</f>
        <v>46220</v>
      </c>
      <c r="I48" s="40">
        <f>IF($H48="","",IFERROR(AVERAGEIFS(Pesagens!$E$3:$E$5001,Pesagens!$B$3:$B$5001,$B48,Pesagens!$A$3:$A$5001,$H48),""))</f>
        <v>457</v>
      </c>
      <c r="J48" s="64">
        <f>IF(F48="","",Parâmetros!$C$4-F48)</f>
        <v>18</v>
      </c>
      <c r="K48" s="40">
        <f t="shared" si="0"/>
        <v>0</v>
      </c>
      <c r="L48" s="105" t="str">
        <f t="shared" si="1"/>
        <v/>
      </c>
      <c r="M48" s="106">
        <f>IF(I48="","",I48*Parâmetros!$C$8/15)</f>
        <v>16.147333333333332</v>
      </c>
      <c r="N48" s="106">
        <f>IF(K48="","",K48*Parâmetros!$C$8/15)</f>
        <v>0</v>
      </c>
      <c r="O48" s="28">
        <f>IF(M48="","",M48*Parâmetros!$C$5)</f>
        <v>5167.1466666666665</v>
      </c>
      <c r="P48" s="64" t="str">
        <f>IF(L48="","",IF(L48&gt;=Parâmetros!$C$10,"Sim","Não"))</f>
        <v/>
      </c>
    </row>
    <row r="49" spans="1:16" ht="15" customHeight="1" x14ac:dyDescent="0.3">
      <c r="A49" s="60">
        <v>47</v>
      </c>
      <c r="B49" s="60" t="s">
        <v>230</v>
      </c>
      <c r="C49" s="101" t="s">
        <v>183</v>
      </c>
      <c r="D49" s="101" t="s">
        <v>184</v>
      </c>
      <c r="E49" s="60">
        <v>1</v>
      </c>
      <c r="F49" s="85">
        <v>46220</v>
      </c>
      <c r="G49" s="35">
        <v>445</v>
      </c>
      <c r="H49" s="85">
        <f>IF(COUNTIFS(Pesagens!$B$3:$B$5001,$B49)=0,"",_xlfn.MAXIFS(Pesagens!$A$3:$A$5001,Pesagens!$B$3:$B$5001,$B49,Pesagens!$E$3:$E$5001,"&lt;&gt;"))</f>
        <v>46220</v>
      </c>
      <c r="I49" s="35">
        <f>IF($H49="","",IFERROR(AVERAGEIFS(Pesagens!$E$3:$E$5001,Pesagens!$B$3:$B$5001,$B49,Pesagens!$A$3:$A$5001,$H49),""))</f>
        <v>445</v>
      </c>
      <c r="J49" s="60">
        <f>IF(F49="","",Parâmetros!$C$4-F49)</f>
        <v>18</v>
      </c>
      <c r="K49" s="35">
        <f t="shared" si="0"/>
        <v>0</v>
      </c>
      <c r="L49" s="102" t="str">
        <f t="shared" si="1"/>
        <v/>
      </c>
      <c r="M49" s="103">
        <f>IF(I49="","",I49*Parâmetros!$C$8/15)</f>
        <v>15.723333333333334</v>
      </c>
      <c r="N49" s="103">
        <f>IF(K49="","",K49*Parâmetros!$C$8/15)</f>
        <v>0</v>
      </c>
      <c r="O49" s="26">
        <f>IF(M49="","",M49*Parâmetros!$C$5)</f>
        <v>5031.4666666666672</v>
      </c>
      <c r="P49" s="60" t="str">
        <f>IF(L49="","",IF(L49&gt;=Parâmetros!$C$10,"Sim","Não"))</f>
        <v/>
      </c>
    </row>
    <row r="50" spans="1:16" ht="15" customHeight="1" x14ac:dyDescent="0.3">
      <c r="A50" s="64">
        <v>48</v>
      </c>
      <c r="B50" s="64" t="s">
        <v>231</v>
      </c>
      <c r="C50" s="104" t="s">
        <v>183</v>
      </c>
      <c r="D50" s="104" t="s">
        <v>184</v>
      </c>
      <c r="E50" s="64">
        <v>1</v>
      </c>
      <c r="F50" s="86">
        <v>46220</v>
      </c>
      <c r="G50" s="40">
        <v>440</v>
      </c>
      <c r="H50" s="86">
        <f>IF(COUNTIFS(Pesagens!$B$3:$B$5001,$B50)=0,"",_xlfn.MAXIFS(Pesagens!$A$3:$A$5001,Pesagens!$B$3:$B$5001,$B50,Pesagens!$E$3:$E$5001,"&lt;&gt;"))</f>
        <v>46220</v>
      </c>
      <c r="I50" s="40">
        <f>IF($H50="","",IFERROR(AVERAGEIFS(Pesagens!$E$3:$E$5001,Pesagens!$B$3:$B$5001,$B50,Pesagens!$A$3:$A$5001,$H50),""))</f>
        <v>440</v>
      </c>
      <c r="J50" s="64">
        <f>IF(F50="","",Parâmetros!$C$4-F50)</f>
        <v>18</v>
      </c>
      <c r="K50" s="40">
        <f t="shared" si="0"/>
        <v>0</v>
      </c>
      <c r="L50" s="105" t="str">
        <f t="shared" si="1"/>
        <v/>
      </c>
      <c r="M50" s="106">
        <f>IF(I50="","",I50*Parâmetros!$C$8/15)</f>
        <v>15.546666666666669</v>
      </c>
      <c r="N50" s="106">
        <f>IF(K50="","",K50*Parâmetros!$C$8/15)</f>
        <v>0</v>
      </c>
      <c r="O50" s="28">
        <f>IF(M50="","",M50*Parâmetros!$C$5)</f>
        <v>4974.9333333333343</v>
      </c>
      <c r="P50" s="64" t="str">
        <f>IF(L50="","",IF(L50&gt;=Parâmetros!$C$10,"Sim","Não"))</f>
        <v/>
      </c>
    </row>
    <row r="51" spans="1:16" ht="15" customHeight="1" x14ac:dyDescent="0.3">
      <c r="A51" s="60">
        <v>49</v>
      </c>
      <c r="B51" s="60" t="s">
        <v>232</v>
      </c>
      <c r="C51" s="101" t="s">
        <v>183</v>
      </c>
      <c r="D51" s="101" t="s">
        <v>184</v>
      </c>
      <c r="E51" s="60">
        <v>1</v>
      </c>
      <c r="F51" s="85">
        <v>46220</v>
      </c>
      <c r="G51" s="35">
        <v>458</v>
      </c>
      <c r="H51" s="85">
        <f>IF(COUNTIFS(Pesagens!$B$3:$B$5001,$B51)=0,"",_xlfn.MAXIFS(Pesagens!$A$3:$A$5001,Pesagens!$B$3:$B$5001,$B51,Pesagens!$E$3:$E$5001,"&lt;&gt;"))</f>
        <v>46220</v>
      </c>
      <c r="I51" s="35">
        <f>IF($H51="","",IFERROR(AVERAGEIFS(Pesagens!$E$3:$E$5001,Pesagens!$B$3:$B$5001,$B51,Pesagens!$A$3:$A$5001,$H51),""))</f>
        <v>458</v>
      </c>
      <c r="J51" s="60">
        <f>IF(F51="","",Parâmetros!$C$4-F51)</f>
        <v>18</v>
      </c>
      <c r="K51" s="35">
        <f t="shared" si="0"/>
        <v>0</v>
      </c>
      <c r="L51" s="102" t="str">
        <f t="shared" si="1"/>
        <v/>
      </c>
      <c r="M51" s="103">
        <f>IF(I51="","",I51*Parâmetros!$C$8/15)</f>
        <v>16.182666666666666</v>
      </c>
      <c r="N51" s="103">
        <f>IF(K51="","",K51*Parâmetros!$C$8/15)</f>
        <v>0</v>
      </c>
      <c r="O51" s="26">
        <f>IF(M51="","",M51*Parâmetros!$C$5)</f>
        <v>5178.4533333333329</v>
      </c>
      <c r="P51" s="60" t="str">
        <f>IF(L51="","",IF(L51&gt;=Parâmetros!$C$10,"Sim","Não"))</f>
        <v/>
      </c>
    </row>
    <row r="52" spans="1:16" ht="15" customHeight="1" x14ac:dyDescent="0.3">
      <c r="A52" s="64">
        <v>50</v>
      </c>
      <c r="B52" s="64" t="s">
        <v>233</v>
      </c>
      <c r="C52" s="104" t="s">
        <v>183</v>
      </c>
      <c r="D52" s="104" t="s">
        <v>184</v>
      </c>
      <c r="E52" s="64">
        <v>1</v>
      </c>
      <c r="F52" s="86">
        <v>46220</v>
      </c>
      <c r="G52" s="40">
        <v>451</v>
      </c>
      <c r="H52" s="86">
        <f>IF(COUNTIFS(Pesagens!$B$3:$B$5001,$B52)=0,"",_xlfn.MAXIFS(Pesagens!$A$3:$A$5001,Pesagens!$B$3:$B$5001,$B52,Pesagens!$E$3:$E$5001,"&lt;&gt;"))</f>
        <v>46220</v>
      </c>
      <c r="I52" s="40">
        <f>IF($H52="","",IFERROR(AVERAGEIFS(Pesagens!$E$3:$E$5001,Pesagens!$B$3:$B$5001,$B52,Pesagens!$A$3:$A$5001,$H52),""))</f>
        <v>451</v>
      </c>
      <c r="J52" s="64">
        <f>IF(F52="","",Parâmetros!$C$4-F52)</f>
        <v>18</v>
      </c>
      <c r="K52" s="40">
        <f t="shared" si="0"/>
        <v>0</v>
      </c>
      <c r="L52" s="105" t="str">
        <f t="shared" si="1"/>
        <v/>
      </c>
      <c r="M52" s="106">
        <f>IF(I52="","",I52*Parâmetros!$C$8/15)</f>
        <v>15.935333333333334</v>
      </c>
      <c r="N52" s="106">
        <f>IF(K52="","",K52*Parâmetros!$C$8/15)</f>
        <v>0</v>
      </c>
      <c r="O52" s="28">
        <f>IF(M52="","",M52*Parâmetros!$C$5)</f>
        <v>5099.3066666666673</v>
      </c>
      <c r="P52" s="64" t="str">
        <f>IF(L52="","",IF(L52&gt;=Parâmetros!$C$10,"Sim","Não"))</f>
        <v/>
      </c>
    </row>
    <row r="53" spans="1:16" ht="15" customHeight="1" x14ac:dyDescent="0.3">
      <c r="A53" s="60">
        <v>51</v>
      </c>
      <c r="B53" s="60" t="s">
        <v>234</v>
      </c>
      <c r="C53" s="101" t="s">
        <v>183</v>
      </c>
      <c r="D53" s="101" t="s">
        <v>184</v>
      </c>
      <c r="E53" s="60">
        <v>1</v>
      </c>
      <c r="F53" s="85">
        <v>46220</v>
      </c>
      <c r="G53" s="35">
        <v>455</v>
      </c>
      <c r="H53" s="85">
        <f>IF(COUNTIFS(Pesagens!$B$3:$B$5001,$B53)=0,"",_xlfn.MAXIFS(Pesagens!$A$3:$A$5001,Pesagens!$B$3:$B$5001,$B53,Pesagens!$E$3:$E$5001,"&lt;&gt;"))</f>
        <v>46220</v>
      </c>
      <c r="I53" s="35">
        <f>IF($H53="","",IFERROR(AVERAGEIFS(Pesagens!$E$3:$E$5001,Pesagens!$B$3:$B$5001,$B53,Pesagens!$A$3:$A$5001,$H53),""))</f>
        <v>455</v>
      </c>
      <c r="J53" s="60">
        <f>IF(F53="","",Parâmetros!$C$4-F53)</f>
        <v>18</v>
      </c>
      <c r="K53" s="35">
        <f t="shared" si="0"/>
        <v>0</v>
      </c>
      <c r="L53" s="102" t="str">
        <f t="shared" si="1"/>
        <v/>
      </c>
      <c r="M53" s="103">
        <f>IF(I53="","",I53*Parâmetros!$C$8/15)</f>
        <v>16.076666666666668</v>
      </c>
      <c r="N53" s="103">
        <f>IF(K53="","",K53*Parâmetros!$C$8/15)</f>
        <v>0</v>
      </c>
      <c r="O53" s="26">
        <f>IF(M53="","",M53*Parâmetros!$C$5)</f>
        <v>5144.5333333333338</v>
      </c>
      <c r="P53" s="60" t="str">
        <f>IF(L53="","",IF(L53&gt;=Parâmetros!$C$10,"Sim","Não"))</f>
        <v/>
      </c>
    </row>
    <row r="54" spans="1:16" ht="15" customHeight="1" x14ac:dyDescent="0.3">
      <c r="A54" s="64">
        <v>52</v>
      </c>
      <c r="B54" s="64" t="s">
        <v>235</v>
      </c>
      <c r="C54" s="104" t="s">
        <v>183</v>
      </c>
      <c r="D54" s="104" t="s">
        <v>184</v>
      </c>
      <c r="E54" s="64">
        <v>1</v>
      </c>
      <c r="F54" s="86">
        <v>46220</v>
      </c>
      <c r="G54" s="40">
        <v>458</v>
      </c>
      <c r="H54" s="86">
        <f>IF(COUNTIFS(Pesagens!$B$3:$B$5001,$B54)=0,"",_xlfn.MAXIFS(Pesagens!$A$3:$A$5001,Pesagens!$B$3:$B$5001,$B54,Pesagens!$E$3:$E$5001,"&lt;&gt;"))</f>
        <v>46220</v>
      </c>
      <c r="I54" s="40">
        <f>IF($H54="","",IFERROR(AVERAGEIFS(Pesagens!$E$3:$E$5001,Pesagens!$B$3:$B$5001,$B54,Pesagens!$A$3:$A$5001,$H54),""))</f>
        <v>458</v>
      </c>
      <c r="J54" s="64">
        <f>IF(F54="","",Parâmetros!$C$4-F54)</f>
        <v>18</v>
      </c>
      <c r="K54" s="40">
        <f t="shared" si="0"/>
        <v>0</v>
      </c>
      <c r="L54" s="105" t="str">
        <f t="shared" si="1"/>
        <v/>
      </c>
      <c r="M54" s="106">
        <f>IF(I54="","",I54*Parâmetros!$C$8/15)</f>
        <v>16.182666666666666</v>
      </c>
      <c r="N54" s="106">
        <f>IF(K54="","",K54*Parâmetros!$C$8/15)</f>
        <v>0</v>
      </c>
      <c r="O54" s="28">
        <f>IF(M54="","",M54*Parâmetros!$C$5)</f>
        <v>5178.4533333333329</v>
      </c>
      <c r="P54" s="64" t="str">
        <f>IF(L54="","",IF(L54&gt;=Parâmetros!$C$10,"Sim","Não"))</f>
        <v/>
      </c>
    </row>
    <row r="55" spans="1:16" ht="15" customHeight="1" x14ac:dyDescent="0.3">
      <c r="A55" s="60">
        <v>53</v>
      </c>
      <c r="B55" s="60" t="s">
        <v>236</v>
      </c>
      <c r="C55" s="101" t="s">
        <v>183</v>
      </c>
      <c r="D55" s="101" t="s">
        <v>184</v>
      </c>
      <c r="E55" s="60">
        <v>1</v>
      </c>
      <c r="F55" s="85">
        <v>46220</v>
      </c>
      <c r="G55" s="35">
        <v>456</v>
      </c>
      <c r="H55" s="85">
        <f>IF(COUNTIFS(Pesagens!$B$3:$B$5001,$B55)=0,"",_xlfn.MAXIFS(Pesagens!$A$3:$A$5001,Pesagens!$B$3:$B$5001,$B55,Pesagens!$E$3:$E$5001,"&lt;&gt;"))</f>
        <v>46220</v>
      </c>
      <c r="I55" s="35">
        <f>IF($H55="","",IFERROR(AVERAGEIFS(Pesagens!$E$3:$E$5001,Pesagens!$B$3:$B$5001,$B55,Pesagens!$A$3:$A$5001,$H55),""))</f>
        <v>456</v>
      </c>
      <c r="J55" s="60">
        <f>IF(F55="","",Parâmetros!$C$4-F55)</f>
        <v>18</v>
      </c>
      <c r="K55" s="35">
        <f t="shared" si="0"/>
        <v>0</v>
      </c>
      <c r="L55" s="102" t="str">
        <f t="shared" si="1"/>
        <v/>
      </c>
      <c r="M55" s="103">
        <f>IF(I55="","",I55*Parâmetros!$C$8/15)</f>
        <v>16.112000000000002</v>
      </c>
      <c r="N55" s="103">
        <f>IF(K55="","",K55*Parâmetros!$C$8/15)</f>
        <v>0</v>
      </c>
      <c r="O55" s="26">
        <f>IF(M55="","",M55*Parâmetros!$C$5)</f>
        <v>5155.84</v>
      </c>
      <c r="P55" s="60" t="str">
        <f>IF(L55="","",IF(L55&gt;=Parâmetros!$C$10,"Sim","Não"))</f>
        <v/>
      </c>
    </row>
    <row r="56" spans="1:16" ht="15" customHeight="1" x14ac:dyDescent="0.3">
      <c r="A56" s="64">
        <v>54</v>
      </c>
      <c r="B56" s="64" t="s">
        <v>237</v>
      </c>
      <c r="C56" s="104" t="s">
        <v>183</v>
      </c>
      <c r="D56" s="104" t="s">
        <v>184</v>
      </c>
      <c r="E56" s="64">
        <v>1</v>
      </c>
      <c r="F56" s="86">
        <v>46220</v>
      </c>
      <c r="G56" s="40">
        <v>458</v>
      </c>
      <c r="H56" s="86">
        <f>IF(COUNTIFS(Pesagens!$B$3:$B$5001,$B56)=0,"",_xlfn.MAXIFS(Pesagens!$A$3:$A$5001,Pesagens!$B$3:$B$5001,$B56,Pesagens!$E$3:$E$5001,"&lt;&gt;"))</f>
        <v>46220</v>
      </c>
      <c r="I56" s="40">
        <f>IF($H56="","",IFERROR(AVERAGEIFS(Pesagens!$E$3:$E$5001,Pesagens!$B$3:$B$5001,$B56,Pesagens!$A$3:$A$5001,$H56),""))</f>
        <v>458</v>
      </c>
      <c r="J56" s="64">
        <f>IF(F56="","",Parâmetros!$C$4-F56)</f>
        <v>18</v>
      </c>
      <c r="K56" s="40">
        <f t="shared" si="0"/>
        <v>0</v>
      </c>
      <c r="L56" s="105" t="str">
        <f t="shared" si="1"/>
        <v/>
      </c>
      <c r="M56" s="106">
        <f>IF(I56="","",I56*Parâmetros!$C$8/15)</f>
        <v>16.182666666666666</v>
      </c>
      <c r="N56" s="106">
        <f>IF(K56="","",K56*Parâmetros!$C$8/15)</f>
        <v>0</v>
      </c>
      <c r="O56" s="28">
        <f>IF(M56="","",M56*Parâmetros!$C$5)</f>
        <v>5178.4533333333329</v>
      </c>
      <c r="P56" s="64" t="str">
        <f>IF(L56="","",IF(L56&gt;=Parâmetros!$C$10,"Sim","Não"))</f>
        <v/>
      </c>
    </row>
    <row r="57" spans="1:16" ht="15" customHeight="1" x14ac:dyDescent="0.3">
      <c r="A57" s="60">
        <v>55</v>
      </c>
      <c r="B57" s="60" t="s">
        <v>238</v>
      </c>
      <c r="C57" s="101" t="s">
        <v>183</v>
      </c>
      <c r="D57" s="101" t="s">
        <v>184</v>
      </c>
      <c r="E57" s="60">
        <v>1</v>
      </c>
      <c r="F57" s="85">
        <v>46220</v>
      </c>
      <c r="G57" s="35">
        <v>460</v>
      </c>
      <c r="H57" s="85">
        <f>IF(COUNTIFS(Pesagens!$B$3:$B$5001,$B57)=0,"",_xlfn.MAXIFS(Pesagens!$A$3:$A$5001,Pesagens!$B$3:$B$5001,$B57,Pesagens!$E$3:$E$5001,"&lt;&gt;"))</f>
        <v>46220</v>
      </c>
      <c r="I57" s="35">
        <f>IF($H57="","",IFERROR(AVERAGEIFS(Pesagens!$E$3:$E$5001,Pesagens!$B$3:$B$5001,$B57,Pesagens!$A$3:$A$5001,$H57),""))</f>
        <v>460</v>
      </c>
      <c r="J57" s="60">
        <f>IF(F57="","",Parâmetros!$C$4-F57)</f>
        <v>18</v>
      </c>
      <c r="K57" s="35">
        <f t="shared" si="0"/>
        <v>0</v>
      </c>
      <c r="L57" s="102" t="str">
        <f t="shared" si="1"/>
        <v/>
      </c>
      <c r="M57" s="103">
        <f>IF(I57="","",I57*Parâmetros!$C$8/15)</f>
        <v>16.253333333333334</v>
      </c>
      <c r="N57" s="103">
        <f>IF(K57="","",K57*Parâmetros!$C$8/15)</f>
        <v>0</v>
      </c>
      <c r="O57" s="26">
        <f>IF(M57="","",M57*Parâmetros!$C$5)</f>
        <v>5201.0666666666666</v>
      </c>
      <c r="P57" s="60" t="str">
        <f>IF(L57="","",IF(L57&gt;=Parâmetros!$C$10,"Sim","Não"))</f>
        <v/>
      </c>
    </row>
    <row r="58" spans="1:16" ht="15" customHeight="1" x14ac:dyDescent="0.3">
      <c r="A58" s="64">
        <v>56</v>
      </c>
      <c r="B58" s="64" t="s">
        <v>239</v>
      </c>
      <c r="C58" s="104" t="s">
        <v>183</v>
      </c>
      <c r="D58" s="104" t="s">
        <v>184</v>
      </c>
      <c r="E58" s="64">
        <v>1</v>
      </c>
      <c r="F58" s="86">
        <v>46220</v>
      </c>
      <c r="G58" s="40">
        <v>448</v>
      </c>
      <c r="H58" s="86">
        <f>IF(COUNTIFS(Pesagens!$B$3:$B$5001,$B58)=0,"",_xlfn.MAXIFS(Pesagens!$A$3:$A$5001,Pesagens!$B$3:$B$5001,$B58,Pesagens!$E$3:$E$5001,"&lt;&gt;"))</f>
        <v>46220</v>
      </c>
      <c r="I58" s="40">
        <f>IF($H58="","",IFERROR(AVERAGEIFS(Pesagens!$E$3:$E$5001,Pesagens!$B$3:$B$5001,$B58,Pesagens!$A$3:$A$5001,$H58),""))</f>
        <v>448</v>
      </c>
      <c r="J58" s="64">
        <f>IF(F58="","",Parâmetros!$C$4-F58)</f>
        <v>18</v>
      </c>
      <c r="K58" s="40">
        <f t="shared" si="0"/>
        <v>0</v>
      </c>
      <c r="L58" s="105" t="str">
        <f t="shared" si="1"/>
        <v/>
      </c>
      <c r="M58" s="106">
        <f>IF(I58="","",I58*Parâmetros!$C$8/15)</f>
        <v>15.829333333333333</v>
      </c>
      <c r="N58" s="106">
        <f>IF(K58="","",K58*Parâmetros!$C$8/15)</f>
        <v>0</v>
      </c>
      <c r="O58" s="28">
        <f>IF(M58="","",M58*Parâmetros!$C$5)</f>
        <v>5065.3866666666663</v>
      </c>
      <c r="P58" s="64" t="str">
        <f>IF(L58="","",IF(L58&gt;=Parâmetros!$C$10,"Sim","Não"))</f>
        <v/>
      </c>
    </row>
    <row r="59" spans="1:16" ht="15" customHeight="1" x14ac:dyDescent="0.3">
      <c r="A59" s="60">
        <v>57</v>
      </c>
      <c r="B59" s="60" t="s">
        <v>240</v>
      </c>
      <c r="C59" s="101" t="s">
        <v>183</v>
      </c>
      <c r="D59" s="101" t="s">
        <v>184</v>
      </c>
      <c r="E59" s="60">
        <v>1</v>
      </c>
      <c r="F59" s="85">
        <v>46220</v>
      </c>
      <c r="G59" s="35">
        <v>452</v>
      </c>
      <c r="H59" s="85">
        <f>IF(COUNTIFS(Pesagens!$B$3:$B$5001,$B59)=0,"",_xlfn.MAXIFS(Pesagens!$A$3:$A$5001,Pesagens!$B$3:$B$5001,$B59,Pesagens!$E$3:$E$5001,"&lt;&gt;"))</f>
        <v>46220</v>
      </c>
      <c r="I59" s="35">
        <f>IF($H59="","",IFERROR(AVERAGEIFS(Pesagens!$E$3:$E$5001,Pesagens!$B$3:$B$5001,$B59,Pesagens!$A$3:$A$5001,$H59),""))</f>
        <v>452</v>
      </c>
      <c r="J59" s="60">
        <f>IF(F59="","",Parâmetros!$C$4-F59)</f>
        <v>18</v>
      </c>
      <c r="K59" s="35">
        <f t="shared" si="0"/>
        <v>0</v>
      </c>
      <c r="L59" s="102" t="str">
        <f t="shared" si="1"/>
        <v/>
      </c>
      <c r="M59" s="103">
        <f>IF(I59="","",I59*Parâmetros!$C$8/15)</f>
        <v>15.970666666666666</v>
      </c>
      <c r="N59" s="103">
        <f>IF(K59="","",K59*Parâmetros!$C$8/15)</f>
        <v>0</v>
      </c>
      <c r="O59" s="26">
        <f>IF(M59="","",M59*Parâmetros!$C$5)</f>
        <v>5110.6133333333328</v>
      </c>
      <c r="P59" s="60" t="str">
        <f>IF(L59="","",IF(L59&gt;=Parâmetros!$C$10,"Sim","Não"))</f>
        <v/>
      </c>
    </row>
    <row r="60" spans="1:16" ht="15" customHeight="1" x14ac:dyDescent="0.3">
      <c r="A60" s="64">
        <v>58</v>
      </c>
      <c r="B60" s="64" t="s">
        <v>241</v>
      </c>
      <c r="C60" s="104" t="s">
        <v>183</v>
      </c>
      <c r="D60" s="104" t="s">
        <v>184</v>
      </c>
      <c r="E60" s="64">
        <v>1</v>
      </c>
      <c r="F60" s="86">
        <v>46220</v>
      </c>
      <c r="G60" s="40">
        <v>473</v>
      </c>
      <c r="H60" s="86">
        <f>IF(COUNTIFS(Pesagens!$B$3:$B$5001,$B60)=0,"",_xlfn.MAXIFS(Pesagens!$A$3:$A$5001,Pesagens!$B$3:$B$5001,$B60,Pesagens!$E$3:$E$5001,"&lt;&gt;"))</f>
        <v>46220</v>
      </c>
      <c r="I60" s="40">
        <f>IF($H60="","",IFERROR(AVERAGEIFS(Pesagens!$E$3:$E$5001,Pesagens!$B$3:$B$5001,$B60,Pesagens!$A$3:$A$5001,$H60),""))</f>
        <v>473</v>
      </c>
      <c r="J60" s="64">
        <f>IF(F60="","",Parâmetros!$C$4-F60)</f>
        <v>18</v>
      </c>
      <c r="K60" s="40">
        <f t="shared" si="0"/>
        <v>0</v>
      </c>
      <c r="L60" s="105" t="str">
        <f t="shared" si="1"/>
        <v/>
      </c>
      <c r="M60" s="106">
        <f>IF(I60="","",I60*Parâmetros!$C$8/15)</f>
        <v>16.712666666666667</v>
      </c>
      <c r="N60" s="106">
        <f>IF(K60="","",K60*Parâmetros!$C$8/15)</f>
        <v>0</v>
      </c>
      <c r="O60" s="28">
        <f>IF(M60="","",M60*Parâmetros!$C$5)</f>
        <v>5348.0533333333333</v>
      </c>
      <c r="P60" s="64" t="str">
        <f>IF(L60="","",IF(L60&gt;=Parâmetros!$C$10,"Sim","Não"))</f>
        <v/>
      </c>
    </row>
    <row r="61" spans="1:16" ht="15" customHeight="1" x14ac:dyDescent="0.3">
      <c r="A61" s="60">
        <v>59</v>
      </c>
      <c r="B61" s="60" t="s">
        <v>242</v>
      </c>
      <c r="C61" s="101" t="s">
        <v>183</v>
      </c>
      <c r="D61" s="101" t="s">
        <v>184</v>
      </c>
      <c r="E61" s="60">
        <v>1</v>
      </c>
      <c r="F61" s="85">
        <v>46220</v>
      </c>
      <c r="G61" s="35">
        <v>472</v>
      </c>
      <c r="H61" s="85">
        <f>IF(COUNTIFS(Pesagens!$B$3:$B$5001,$B61)=0,"",_xlfn.MAXIFS(Pesagens!$A$3:$A$5001,Pesagens!$B$3:$B$5001,$B61,Pesagens!$E$3:$E$5001,"&lt;&gt;"))</f>
        <v>46220</v>
      </c>
      <c r="I61" s="35">
        <f>IF($H61="","",IFERROR(AVERAGEIFS(Pesagens!$E$3:$E$5001,Pesagens!$B$3:$B$5001,$B61,Pesagens!$A$3:$A$5001,$H61),""))</f>
        <v>472</v>
      </c>
      <c r="J61" s="60">
        <f>IF(F61="","",Parâmetros!$C$4-F61)</f>
        <v>18</v>
      </c>
      <c r="K61" s="35">
        <f t="shared" si="0"/>
        <v>0</v>
      </c>
      <c r="L61" s="102" t="str">
        <f t="shared" si="1"/>
        <v/>
      </c>
      <c r="M61" s="103">
        <f>IF(I61="","",I61*Parâmetros!$C$8/15)</f>
        <v>16.677333333333333</v>
      </c>
      <c r="N61" s="103">
        <f>IF(K61="","",K61*Parâmetros!$C$8/15)</f>
        <v>0</v>
      </c>
      <c r="O61" s="26">
        <f>IF(M61="","",M61*Parâmetros!$C$5)</f>
        <v>5336.7466666666669</v>
      </c>
      <c r="P61" s="60" t="str">
        <f>IF(L61="","",IF(L61&gt;=Parâmetros!$C$10,"Sim","Não"))</f>
        <v/>
      </c>
    </row>
    <row r="62" spans="1:16" ht="15" customHeight="1" x14ac:dyDescent="0.3">
      <c r="A62" s="64">
        <v>60</v>
      </c>
      <c r="B62" s="64" t="s">
        <v>243</v>
      </c>
      <c r="C62" s="104" t="s">
        <v>183</v>
      </c>
      <c r="D62" s="104" t="s">
        <v>184</v>
      </c>
      <c r="E62" s="64">
        <v>1</v>
      </c>
      <c r="F62" s="86">
        <v>46220</v>
      </c>
      <c r="G62" s="40">
        <v>440</v>
      </c>
      <c r="H62" s="86">
        <f>IF(COUNTIFS(Pesagens!$B$3:$B$5001,$B62)=0,"",_xlfn.MAXIFS(Pesagens!$A$3:$A$5001,Pesagens!$B$3:$B$5001,$B62,Pesagens!$E$3:$E$5001,"&lt;&gt;"))</f>
        <v>46220</v>
      </c>
      <c r="I62" s="40">
        <f>IF($H62="","",IFERROR(AVERAGEIFS(Pesagens!$E$3:$E$5001,Pesagens!$B$3:$B$5001,$B62,Pesagens!$A$3:$A$5001,$H62),""))</f>
        <v>440</v>
      </c>
      <c r="J62" s="64">
        <f>IF(F62="","",Parâmetros!$C$4-F62)</f>
        <v>18</v>
      </c>
      <c r="K62" s="40">
        <f t="shared" si="0"/>
        <v>0</v>
      </c>
      <c r="L62" s="105" t="str">
        <f t="shared" si="1"/>
        <v/>
      </c>
      <c r="M62" s="106">
        <f>IF(I62="","",I62*Parâmetros!$C$8/15)</f>
        <v>15.546666666666669</v>
      </c>
      <c r="N62" s="106">
        <f>IF(K62="","",K62*Parâmetros!$C$8/15)</f>
        <v>0</v>
      </c>
      <c r="O62" s="28">
        <f>IF(M62="","",M62*Parâmetros!$C$5)</f>
        <v>4974.9333333333343</v>
      </c>
      <c r="P62" s="64" t="str">
        <f>IF(L62="","",IF(L62&gt;=Parâmetros!$C$10,"Sim","Não"))</f>
        <v/>
      </c>
    </row>
    <row r="63" spans="1:16" ht="15" customHeight="1" x14ac:dyDescent="0.3">
      <c r="A63" s="60">
        <v>61</v>
      </c>
      <c r="B63" s="60" t="s">
        <v>244</v>
      </c>
      <c r="C63" s="101" t="s">
        <v>183</v>
      </c>
      <c r="D63" s="101" t="s">
        <v>184</v>
      </c>
      <c r="E63" s="60">
        <v>1</v>
      </c>
      <c r="F63" s="85">
        <v>46224</v>
      </c>
      <c r="G63" s="35">
        <v>438</v>
      </c>
      <c r="H63" s="85">
        <f>IF(COUNTIFS(Pesagens!$B$3:$B$5001,$B63)=0,"",_xlfn.MAXIFS(Pesagens!$A$3:$A$5001,Pesagens!$B$3:$B$5001,$B63,Pesagens!$E$3:$E$5001,"&lt;&gt;"))</f>
        <v>46224</v>
      </c>
      <c r="I63" s="35">
        <f>IF($H63="","",IFERROR(AVERAGEIFS(Pesagens!$E$3:$E$5001,Pesagens!$B$3:$B$5001,$B63,Pesagens!$A$3:$A$5001,$H63),""))</f>
        <v>438</v>
      </c>
      <c r="J63" s="60">
        <f>IF(F63="","",Parâmetros!$C$4-F63)</f>
        <v>14</v>
      </c>
      <c r="K63" s="35">
        <f t="shared" si="0"/>
        <v>0</v>
      </c>
      <c r="L63" s="102" t="str">
        <f t="shared" si="1"/>
        <v/>
      </c>
      <c r="M63" s="103">
        <f>IF(I63="","",I63*Parâmetros!$C$8/15)</f>
        <v>15.476000000000001</v>
      </c>
      <c r="N63" s="103">
        <f>IF(K63="","",K63*Parâmetros!$C$8/15)</f>
        <v>0</v>
      </c>
      <c r="O63" s="26">
        <f>IF(M63="","",M63*Parâmetros!$C$5)</f>
        <v>4952.3200000000006</v>
      </c>
      <c r="P63" s="60" t="str">
        <f>IF(L63="","",IF(L63&gt;=Parâmetros!$C$10,"Sim","Não"))</f>
        <v/>
      </c>
    </row>
    <row r="64" spans="1:16" ht="15" customHeight="1" x14ac:dyDescent="0.3">
      <c r="A64" s="64">
        <v>62</v>
      </c>
      <c r="B64" s="64" t="s">
        <v>245</v>
      </c>
      <c r="C64" s="104" t="s">
        <v>183</v>
      </c>
      <c r="D64" s="104" t="s">
        <v>184</v>
      </c>
      <c r="E64" s="64">
        <v>1</v>
      </c>
      <c r="F64" s="86">
        <v>46224</v>
      </c>
      <c r="G64" s="40">
        <v>429</v>
      </c>
      <c r="H64" s="86">
        <f>IF(COUNTIFS(Pesagens!$B$3:$B$5001,$B64)=0,"",_xlfn.MAXIFS(Pesagens!$A$3:$A$5001,Pesagens!$B$3:$B$5001,$B64,Pesagens!$E$3:$E$5001,"&lt;&gt;"))</f>
        <v>46224</v>
      </c>
      <c r="I64" s="40">
        <f>IF($H64="","",IFERROR(AVERAGEIFS(Pesagens!$E$3:$E$5001,Pesagens!$B$3:$B$5001,$B64,Pesagens!$A$3:$A$5001,$H64),""))</f>
        <v>429</v>
      </c>
      <c r="J64" s="64">
        <f>IF(F64="","",Parâmetros!$C$4-F64)</f>
        <v>14</v>
      </c>
      <c r="K64" s="40">
        <f t="shared" si="0"/>
        <v>0</v>
      </c>
      <c r="L64" s="105" t="str">
        <f t="shared" si="1"/>
        <v/>
      </c>
      <c r="M64" s="106">
        <f>IF(I64="","",I64*Parâmetros!$C$8/15)</f>
        <v>15.157999999999999</v>
      </c>
      <c r="N64" s="106">
        <f>IF(K64="","",K64*Parâmetros!$C$8/15)</f>
        <v>0</v>
      </c>
      <c r="O64" s="28">
        <f>IF(M64="","",M64*Parâmetros!$C$5)</f>
        <v>4850.5599999999995</v>
      </c>
      <c r="P64" s="64" t="str">
        <f>IF(L64="","",IF(L64&gt;=Parâmetros!$C$10,"Sim","Não"))</f>
        <v/>
      </c>
    </row>
    <row r="65" spans="1:16" ht="15" customHeight="1" x14ac:dyDescent="0.3">
      <c r="A65" s="60">
        <v>63</v>
      </c>
      <c r="B65" s="60" t="s">
        <v>246</v>
      </c>
      <c r="C65" s="101" t="s">
        <v>183</v>
      </c>
      <c r="D65" s="101" t="s">
        <v>184</v>
      </c>
      <c r="E65" s="60">
        <v>1</v>
      </c>
      <c r="F65" s="85">
        <v>46224</v>
      </c>
      <c r="G65" s="35">
        <v>440</v>
      </c>
      <c r="H65" s="85">
        <f>IF(COUNTIFS(Pesagens!$B$3:$B$5001,$B65)=0,"",_xlfn.MAXIFS(Pesagens!$A$3:$A$5001,Pesagens!$B$3:$B$5001,$B65,Pesagens!$E$3:$E$5001,"&lt;&gt;"))</f>
        <v>46224</v>
      </c>
      <c r="I65" s="35">
        <f>IF($H65="","",IFERROR(AVERAGEIFS(Pesagens!$E$3:$E$5001,Pesagens!$B$3:$B$5001,$B65,Pesagens!$A$3:$A$5001,$H65),""))</f>
        <v>440</v>
      </c>
      <c r="J65" s="60">
        <f>IF(F65="","",Parâmetros!$C$4-F65)</f>
        <v>14</v>
      </c>
      <c r="K65" s="35">
        <f t="shared" si="0"/>
        <v>0</v>
      </c>
      <c r="L65" s="102" t="str">
        <f t="shared" si="1"/>
        <v/>
      </c>
      <c r="M65" s="103">
        <f>IF(I65="","",I65*Parâmetros!$C$8/15)</f>
        <v>15.546666666666669</v>
      </c>
      <c r="N65" s="103">
        <f>IF(K65="","",K65*Parâmetros!$C$8/15)</f>
        <v>0</v>
      </c>
      <c r="O65" s="26">
        <f>IF(M65="","",M65*Parâmetros!$C$5)</f>
        <v>4974.9333333333343</v>
      </c>
      <c r="P65" s="60" t="str">
        <f>IF(L65="","",IF(L65&gt;=Parâmetros!$C$10,"Sim","Não"))</f>
        <v/>
      </c>
    </row>
    <row r="66" spans="1:16" ht="15" customHeight="1" x14ac:dyDescent="0.3">
      <c r="A66" s="64">
        <v>64</v>
      </c>
      <c r="B66" s="64" t="s">
        <v>247</v>
      </c>
      <c r="C66" s="104" t="s">
        <v>183</v>
      </c>
      <c r="D66" s="104" t="s">
        <v>184</v>
      </c>
      <c r="E66" s="64">
        <v>1</v>
      </c>
      <c r="F66" s="86">
        <v>46225</v>
      </c>
      <c r="G66" s="40">
        <v>440</v>
      </c>
      <c r="H66" s="86">
        <f>IF(COUNTIFS(Pesagens!$B$3:$B$5001,$B66)=0,"",_xlfn.MAXIFS(Pesagens!$A$3:$A$5001,Pesagens!$B$3:$B$5001,$B66,Pesagens!$E$3:$E$5001,"&lt;&gt;"))</f>
        <v>46225</v>
      </c>
      <c r="I66" s="40">
        <f>IF($H66="","",IFERROR(AVERAGEIFS(Pesagens!$E$3:$E$5001,Pesagens!$B$3:$B$5001,$B66,Pesagens!$A$3:$A$5001,$H66),""))</f>
        <v>440</v>
      </c>
      <c r="J66" s="64">
        <f>IF(F66="","",Parâmetros!$C$4-F66)</f>
        <v>13</v>
      </c>
      <c r="K66" s="40">
        <f t="shared" si="0"/>
        <v>0</v>
      </c>
      <c r="L66" s="105" t="str">
        <f t="shared" si="1"/>
        <v/>
      </c>
      <c r="M66" s="106">
        <f>IF(I66="","",I66*Parâmetros!$C$8/15)</f>
        <v>15.546666666666669</v>
      </c>
      <c r="N66" s="106">
        <f>IF(K66="","",K66*Parâmetros!$C$8/15)</f>
        <v>0</v>
      </c>
      <c r="O66" s="28">
        <f>IF(M66="","",M66*Parâmetros!$C$5)</f>
        <v>4974.9333333333343</v>
      </c>
      <c r="P66" s="64" t="str">
        <f>IF(L66="","",IF(L66&gt;=Parâmetros!$C$10,"Sim","Não"))</f>
        <v/>
      </c>
    </row>
    <row r="67" spans="1:16" ht="15" customHeight="1" x14ac:dyDescent="0.3">
      <c r="A67" s="60">
        <v>65</v>
      </c>
      <c r="B67" s="60" t="s">
        <v>248</v>
      </c>
      <c r="C67" s="101" t="s">
        <v>183</v>
      </c>
      <c r="D67" s="101" t="s">
        <v>184</v>
      </c>
      <c r="E67" s="60">
        <v>1</v>
      </c>
      <c r="F67" s="85">
        <v>46225</v>
      </c>
      <c r="G67" s="35">
        <v>451</v>
      </c>
      <c r="H67" s="85">
        <f>IF(COUNTIFS(Pesagens!$B$3:$B$5001,$B67)=0,"",_xlfn.MAXIFS(Pesagens!$A$3:$A$5001,Pesagens!$B$3:$B$5001,$B67,Pesagens!$E$3:$E$5001,"&lt;&gt;"))</f>
        <v>46225</v>
      </c>
      <c r="I67" s="35">
        <f>IF($H67="","",IFERROR(AVERAGEIFS(Pesagens!$E$3:$E$5001,Pesagens!$B$3:$B$5001,$B67,Pesagens!$A$3:$A$5001,$H67),""))</f>
        <v>451</v>
      </c>
      <c r="J67" s="60">
        <f>IF(F67="","",Parâmetros!$C$4-F67)</f>
        <v>13</v>
      </c>
      <c r="K67" s="35">
        <f t="shared" ref="K67:K130" si="2">IF(OR(I67="",G67=""),"",I67-G67)</f>
        <v>0</v>
      </c>
      <c r="L67" s="102" t="str">
        <f t="shared" ref="L67:L130" si="3">IF(OR(I67="",G67="",H67&lt;=F67),"",(I67-G67)/(H67-F67))</f>
        <v/>
      </c>
      <c r="M67" s="103">
        <f>IF(I67="","",I67*Parâmetros!$C$8/15)</f>
        <v>15.935333333333334</v>
      </c>
      <c r="N67" s="103">
        <f>IF(K67="","",K67*Parâmetros!$C$8/15)</f>
        <v>0</v>
      </c>
      <c r="O67" s="26">
        <f>IF(M67="","",M67*Parâmetros!$C$5)</f>
        <v>5099.3066666666673</v>
      </c>
      <c r="P67" s="60" t="str">
        <f>IF(L67="","",IF(L67&gt;=Parâmetros!$C$10,"Sim","Não"))</f>
        <v/>
      </c>
    </row>
    <row r="68" spans="1:16" ht="15" customHeight="1" x14ac:dyDescent="0.3">
      <c r="A68" s="64">
        <v>66</v>
      </c>
      <c r="B68" s="64" t="s">
        <v>249</v>
      </c>
      <c r="C68" s="104" t="s">
        <v>183</v>
      </c>
      <c r="D68" s="104" t="s">
        <v>184</v>
      </c>
      <c r="E68" s="64">
        <v>1</v>
      </c>
      <c r="F68" s="86">
        <v>46225</v>
      </c>
      <c r="G68" s="40">
        <v>436</v>
      </c>
      <c r="H68" s="86">
        <f>IF(COUNTIFS(Pesagens!$B$3:$B$5001,$B68)=0,"",_xlfn.MAXIFS(Pesagens!$A$3:$A$5001,Pesagens!$B$3:$B$5001,$B68,Pesagens!$E$3:$E$5001,"&lt;&gt;"))</f>
        <v>46225</v>
      </c>
      <c r="I68" s="40">
        <f>IF($H68="","",IFERROR(AVERAGEIFS(Pesagens!$E$3:$E$5001,Pesagens!$B$3:$B$5001,$B68,Pesagens!$A$3:$A$5001,$H68),""))</f>
        <v>436</v>
      </c>
      <c r="J68" s="64">
        <f>IF(F68="","",Parâmetros!$C$4-F68)</f>
        <v>13</v>
      </c>
      <c r="K68" s="40">
        <f t="shared" si="2"/>
        <v>0</v>
      </c>
      <c r="L68" s="105" t="str">
        <f t="shared" si="3"/>
        <v/>
      </c>
      <c r="M68" s="106">
        <f>IF(I68="","",I68*Parâmetros!$C$8/15)</f>
        <v>15.405333333333335</v>
      </c>
      <c r="N68" s="106">
        <f>IF(K68="","",K68*Parâmetros!$C$8/15)</f>
        <v>0</v>
      </c>
      <c r="O68" s="28">
        <f>IF(M68="","",M68*Parâmetros!$C$5)</f>
        <v>4929.7066666666669</v>
      </c>
      <c r="P68" s="64" t="str">
        <f>IF(L68="","",IF(L68&gt;=Parâmetros!$C$10,"Sim","Não"))</f>
        <v/>
      </c>
    </row>
    <row r="69" spans="1:16" ht="15" customHeight="1" x14ac:dyDescent="0.3">
      <c r="A69" s="60">
        <v>67</v>
      </c>
      <c r="B69" s="60" t="s">
        <v>250</v>
      </c>
      <c r="C69" s="101" t="s">
        <v>183</v>
      </c>
      <c r="D69" s="101" t="s">
        <v>184</v>
      </c>
      <c r="E69" s="60">
        <v>1</v>
      </c>
      <c r="F69" s="85">
        <v>46225</v>
      </c>
      <c r="G69" s="35">
        <v>444</v>
      </c>
      <c r="H69" s="85">
        <f>IF(COUNTIFS(Pesagens!$B$3:$B$5001,$B69)=0,"",_xlfn.MAXIFS(Pesagens!$A$3:$A$5001,Pesagens!$B$3:$B$5001,$B69,Pesagens!$E$3:$E$5001,"&lt;&gt;"))</f>
        <v>46225</v>
      </c>
      <c r="I69" s="35">
        <f>IF($H69="","",IFERROR(AVERAGEIFS(Pesagens!$E$3:$E$5001,Pesagens!$B$3:$B$5001,$B69,Pesagens!$A$3:$A$5001,$H69),""))</f>
        <v>444</v>
      </c>
      <c r="J69" s="60">
        <f>IF(F69="","",Parâmetros!$C$4-F69)</f>
        <v>13</v>
      </c>
      <c r="K69" s="35">
        <f t="shared" si="2"/>
        <v>0</v>
      </c>
      <c r="L69" s="102" t="str">
        <f t="shared" si="3"/>
        <v/>
      </c>
      <c r="M69" s="103">
        <f>IF(I69="","",I69*Parâmetros!$C$8/15)</f>
        <v>15.688000000000001</v>
      </c>
      <c r="N69" s="103">
        <f>IF(K69="","",K69*Parâmetros!$C$8/15)</f>
        <v>0</v>
      </c>
      <c r="O69" s="26">
        <f>IF(M69="","",M69*Parâmetros!$C$5)</f>
        <v>5020.16</v>
      </c>
      <c r="P69" s="60" t="str">
        <f>IF(L69="","",IF(L69&gt;=Parâmetros!$C$10,"Sim","Não"))</f>
        <v/>
      </c>
    </row>
    <row r="70" spans="1:16" ht="15" customHeight="1" x14ac:dyDescent="0.3">
      <c r="A70" s="64">
        <v>68</v>
      </c>
      <c r="B70" s="64" t="s">
        <v>251</v>
      </c>
      <c r="C70" s="104" t="s">
        <v>183</v>
      </c>
      <c r="D70" s="104" t="s">
        <v>184</v>
      </c>
      <c r="E70" s="64">
        <v>1</v>
      </c>
      <c r="F70" s="86">
        <v>46225</v>
      </c>
      <c r="G70" s="40">
        <v>447</v>
      </c>
      <c r="H70" s="86">
        <f>IF(COUNTIFS(Pesagens!$B$3:$B$5001,$B70)=0,"",_xlfn.MAXIFS(Pesagens!$A$3:$A$5001,Pesagens!$B$3:$B$5001,$B70,Pesagens!$E$3:$E$5001,"&lt;&gt;"))</f>
        <v>46225</v>
      </c>
      <c r="I70" s="40">
        <f>IF($H70="","",IFERROR(AVERAGEIFS(Pesagens!$E$3:$E$5001,Pesagens!$B$3:$B$5001,$B70,Pesagens!$A$3:$A$5001,$H70),""))</f>
        <v>447</v>
      </c>
      <c r="J70" s="64">
        <f>IF(F70="","",Parâmetros!$C$4-F70)</f>
        <v>13</v>
      </c>
      <c r="K70" s="40">
        <f t="shared" si="2"/>
        <v>0</v>
      </c>
      <c r="L70" s="105" t="str">
        <f t="shared" si="3"/>
        <v/>
      </c>
      <c r="M70" s="106">
        <f>IF(I70="","",I70*Parâmetros!$C$8/15)</f>
        <v>15.794000000000002</v>
      </c>
      <c r="N70" s="106">
        <f>IF(K70="","",K70*Parâmetros!$C$8/15)</f>
        <v>0</v>
      </c>
      <c r="O70" s="28">
        <f>IF(M70="","",M70*Parâmetros!$C$5)</f>
        <v>5054.0800000000008</v>
      </c>
      <c r="P70" s="64" t="str">
        <f>IF(L70="","",IF(L70&gt;=Parâmetros!$C$10,"Sim","Não"))</f>
        <v/>
      </c>
    </row>
    <row r="71" spans="1:16" ht="15" customHeight="1" x14ac:dyDescent="0.3">
      <c r="A71" s="60">
        <v>69</v>
      </c>
      <c r="B71" s="60" t="s">
        <v>252</v>
      </c>
      <c r="C71" s="101" t="s">
        <v>183</v>
      </c>
      <c r="D71" s="101" t="s">
        <v>184</v>
      </c>
      <c r="E71" s="60">
        <v>1</v>
      </c>
      <c r="F71" s="85">
        <v>46225</v>
      </c>
      <c r="G71" s="35">
        <v>442</v>
      </c>
      <c r="H71" s="85">
        <f>IF(COUNTIFS(Pesagens!$B$3:$B$5001,$B71)=0,"",_xlfn.MAXIFS(Pesagens!$A$3:$A$5001,Pesagens!$B$3:$B$5001,$B71,Pesagens!$E$3:$E$5001,"&lt;&gt;"))</f>
        <v>46225</v>
      </c>
      <c r="I71" s="35">
        <f>IF($H71="","",IFERROR(AVERAGEIFS(Pesagens!$E$3:$E$5001,Pesagens!$B$3:$B$5001,$B71,Pesagens!$A$3:$A$5001,$H71),""))</f>
        <v>442</v>
      </c>
      <c r="J71" s="60">
        <f>IF(F71="","",Parâmetros!$C$4-F71)</f>
        <v>13</v>
      </c>
      <c r="K71" s="35">
        <f t="shared" si="2"/>
        <v>0</v>
      </c>
      <c r="L71" s="102" t="str">
        <f t="shared" si="3"/>
        <v/>
      </c>
      <c r="M71" s="103">
        <f>IF(I71="","",I71*Parâmetros!$C$8/15)</f>
        <v>15.617333333333335</v>
      </c>
      <c r="N71" s="103">
        <f>IF(K71="","",K71*Parâmetros!$C$8/15)</f>
        <v>0</v>
      </c>
      <c r="O71" s="26">
        <f>IF(M71="","",M71*Parâmetros!$C$5)</f>
        <v>4997.5466666666671</v>
      </c>
      <c r="P71" s="60" t="str">
        <f>IF(L71="","",IF(L71&gt;=Parâmetros!$C$10,"Sim","Não"))</f>
        <v/>
      </c>
    </row>
    <row r="72" spans="1:16" ht="15" customHeight="1" x14ac:dyDescent="0.3">
      <c r="A72" s="64">
        <v>70</v>
      </c>
      <c r="B72" s="64" t="s">
        <v>253</v>
      </c>
      <c r="C72" s="104" t="s">
        <v>183</v>
      </c>
      <c r="D72" s="104" t="s">
        <v>184</v>
      </c>
      <c r="E72" s="64">
        <v>1</v>
      </c>
      <c r="F72" s="86">
        <v>46225</v>
      </c>
      <c r="G72" s="40">
        <v>429</v>
      </c>
      <c r="H72" s="86">
        <f>IF(COUNTIFS(Pesagens!$B$3:$B$5001,$B72)=0,"",_xlfn.MAXIFS(Pesagens!$A$3:$A$5001,Pesagens!$B$3:$B$5001,$B72,Pesagens!$E$3:$E$5001,"&lt;&gt;"))</f>
        <v>46225</v>
      </c>
      <c r="I72" s="40">
        <f>IF($H72="","",IFERROR(AVERAGEIFS(Pesagens!$E$3:$E$5001,Pesagens!$B$3:$B$5001,$B72,Pesagens!$A$3:$A$5001,$H72),""))</f>
        <v>429</v>
      </c>
      <c r="J72" s="64">
        <f>IF(F72="","",Parâmetros!$C$4-F72)</f>
        <v>13</v>
      </c>
      <c r="K72" s="40">
        <f t="shared" si="2"/>
        <v>0</v>
      </c>
      <c r="L72" s="105" t="str">
        <f t="shared" si="3"/>
        <v/>
      </c>
      <c r="M72" s="106">
        <f>IF(I72="","",I72*Parâmetros!$C$8/15)</f>
        <v>15.157999999999999</v>
      </c>
      <c r="N72" s="106">
        <f>IF(K72="","",K72*Parâmetros!$C$8/15)</f>
        <v>0</v>
      </c>
      <c r="O72" s="28">
        <f>IF(M72="","",M72*Parâmetros!$C$5)</f>
        <v>4850.5599999999995</v>
      </c>
      <c r="P72" s="64" t="str">
        <f>IF(L72="","",IF(L72&gt;=Parâmetros!$C$10,"Sim","Não"))</f>
        <v/>
      </c>
    </row>
    <row r="73" spans="1:16" ht="15" customHeight="1" x14ac:dyDescent="0.3">
      <c r="A73" s="60">
        <v>71</v>
      </c>
      <c r="B73" s="60" t="s">
        <v>254</v>
      </c>
      <c r="C73" s="101" t="s">
        <v>183</v>
      </c>
      <c r="D73" s="101" t="s">
        <v>184</v>
      </c>
      <c r="E73" s="60">
        <v>1</v>
      </c>
      <c r="F73" s="85">
        <v>46225</v>
      </c>
      <c r="G73" s="35">
        <v>437</v>
      </c>
      <c r="H73" s="85">
        <f>IF(COUNTIFS(Pesagens!$B$3:$B$5001,$B73)=0,"",_xlfn.MAXIFS(Pesagens!$A$3:$A$5001,Pesagens!$B$3:$B$5001,$B73,Pesagens!$E$3:$E$5001,"&lt;&gt;"))</f>
        <v>46225</v>
      </c>
      <c r="I73" s="35">
        <f>IF($H73="","",IFERROR(AVERAGEIFS(Pesagens!$E$3:$E$5001,Pesagens!$B$3:$B$5001,$B73,Pesagens!$A$3:$A$5001,$H73),""))</f>
        <v>437</v>
      </c>
      <c r="J73" s="60">
        <f>IF(F73="","",Parâmetros!$C$4-F73)</f>
        <v>13</v>
      </c>
      <c r="K73" s="35">
        <f t="shared" si="2"/>
        <v>0</v>
      </c>
      <c r="L73" s="102" t="str">
        <f t="shared" si="3"/>
        <v/>
      </c>
      <c r="M73" s="103">
        <f>IF(I73="","",I73*Parâmetros!$C$8/15)</f>
        <v>15.440666666666667</v>
      </c>
      <c r="N73" s="103">
        <f>IF(K73="","",K73*Parâmetros!$C$8/15)</f>
        <v>0</v>
      </c>
      <c r="O73" s="26">
        <f>IF(M73="","",M73*Parâmetros!$C$5)</f>
        <v>4941.0133333333333</v>
      </c>
      <c r="P73" s="60" t="str">
        <f>IF(L73="","",IF(L73&gt;=Parâmetros!$C$10,"Sim","Não"))</f>
        <v/>
      </c>
    </row>
    <row r="74" spans="1:16" ht="15" customHeight="1" x14ac:dyDescent="0.3">
      <c r="A74" s="64">
        <v>72</v>
      </c>
      <c r="B74" s="64" t="s">
        <v>255</v>
      </c>
      <c r="C74" s="104" t="s">
        <v>183</v>
      </c>
      <c r="D74" s="104" t="s">
        <v>184</v>
      </c>
      <c r="E74" s="64">
        <v>1</v>
      </c>
      <c r="F74" s="86">
        <v>46225</v>
      </c>
      <c r="G74" s="40">
        <v>450</v>
      </c>
      <c r="H74" s="86">
        <f>IF(COUNTIFS(Pesagens!$B$3:$B$5001,$B74)=0,"",_xlfn.MAXIFS(Pesagens!$A$3:$A$5001,Pesagens!$B$3:$B$5001,$B74,Pesagens!$E$3:$E$5001,"&lt;&gt;"))</f>
        <v>46225</v>
      </c>
      <c r="I74" s="40">
        <f>IF($H74="","",IFERROR(AVERAGEIFS(Pesagens!$E$3:$E$5001,Pesagens!$B$3:$B$5001,$B74,Pesagens!$A$3:$A$5001,$H74),""))</f>
        <v>450</v>
      </c>
      <c r="J74" s="64">
        <f>IF(F74="","",Parâmetros!$C$4-F74)</f>
        <v>13</v>
      </c>
      <c r="K74" s="40">
        <f t="shared" si="2"/>
        <v>0</v>
      </c>
      <c r="L74" s="105" t="str">
        <f t="shared" si="3"/>
        <v/>
      </c>
      <c r="M74" s="106">
        <f>IF(I74="","",I74*Parâmetros!$C$8/15)</f>
        <v>15.9</v>
      </c>
      <c r="N74" s="106">
        <f>IF(K74="","",K74*Parâmetros!$C$8/15)</f>
        <v>0</v>
      </c>
      <c r="O74" s="28">
        <f>IF(M74="","",M74*Parâmetros!$C$5)</f>
        <v>5088</v>
      </c>
      <c r="P74" s="64" t="str">
        <f>IF(L74="","",IF(L74&gt;=Parâmetros!$C$10,"Sim","Não"))</f>
        <v/>
      </c>
    </row>
    <row r="75" spans="1:16" ht="15" customHeight="1" x14ac:dyDescent="0.3">
      <c r="A75" s="60">
        <v>73</v>
      </c>
      <c r="B75" s="60" t="s">
        <v>256</v>
      </c>
      <c r="C75" s="101" t="s">
        <v>183</v>
      </c>
      <c r="D75" s="101" t="s">
        <v>184</v>
      </c>
      <c r="E75" s="60">
        <v>1</v>
      </c>
      <c r="F75" s="85">
        <v>46225</v>
      </c>
      <c r="G75" s="35">
        <v>437</v>
      </c>
      <c r="H75" s="85">
        <f>IF(COUNTIFS(Pesagens!$B$3:$B$5001,$B75)=0,"",_xlfn.MAXIFS(Pesagens!$A$3:$A$5001,Pesagens!$B$3:$B$5001,$B75,Pesagens!$E$3:$E$5001,"&lt;&gt;"))</f>
        <v>46225</v>
      </c>
      <c r="I75" s="35">
        <f>IF($H75="","",IFERROR(AVERAGEIFS(Pesagens!$E$3:$E$5001,Pesagens!$B$3:$B$5001,$B75,Pesagens!$A$3:$A$5001,$H75),""))</f>
        <v>437</v>
      </c>
      <c r="J75" s="60">
        <f>IF(F75="","",Parâmetros!$C$4-F75)</f>
        <v>13</v>
      </c>
      <c r="K75" s="35">
        <f t="shared" si="2"/>
        <v>0</v>
      </c>
      <c r="L75" s="102" t="str">
        <f t="shared" si="3"/>
        <v/>
      </c>
      <c r="M75" s="103">
        <f>IF(I75="","",I75*Parâmetros!$C$8/15)</f>
        <v>15.440666666666667</v>
      </c>
      <c r="N75" s="103">
        <f>IF(K75="","",K75*Parâmetros!$C$8/15)</f>
        <v>0</v>
      </c>
      <c r="O75" s="26">
        <f>IF(M75="","",M75*Parâmetros!$C$5)</f>
        <v>4941.0133333333333</v>
      </c>
      <c r="P75" s="60" t="str">
        <f>IF(L75="","",IF(L75&gt;=Parâmetros!$C$10,"Sim","Não"))</f>
        <v/>
      </c>
    </row>
    <row r="76" spans="1:16" ht="15" customHeight="1" x14ac:dyDescent="0.3">
      <c r="A76" s="64">
        <v>74</v>
      </c>
      <c r="B76" s="64" t="s">
        <v>257</v>
      </c>
      <c r="C76" s="104" t="s">
        <v>183</v>
      </c>
      <c r="D76" s="104" t="s">
        <v>184</v>
      </c>
      <c r="E76" s="64">
        <v>1</v>
      </c>
      <c r="F76" s="86">
        <v>46225</v>
      </c>
      <c r="G76" s="40">
        <v>450</v>
      </c>
      <c r="H76" s="86">
        <f>IF(COUNTIFS(Pesagens!$B$3:$B$5001,$B76)=0,"",_xlfn.MAXIFS(Pesagens!$A$3:$A$5001,Pesagens!$B$3:$B$5001,$B76,Pesagens!$E$3:$E$5001,"&lt;&gt;"))</f>
        <v>46225</v>
      </c>
      <c r="I76" s="40">
        <f>IF($H76="","",IFERROR(AVERAGEIFS(Pesagens!$E$3:$E$5001,Pesagens!$B$3:$B$5001,$B76,Pesagens!$A$3:$A$5001,$H76),""))</f>
        <v>450</v>
      </c>
      <c r="J76" s="64">
        <f>IF(F76="","",Parâmetros!$C$4-F76)</f>
        <v>13</v>
      </c>
      <c r="K76" s="40">
        <f t="shared" si="2"/>
        <v>0</v>
      </c>
      <c r="L76" s="105" t="str">
        <f t="shared" si="3"/>
        <v/>
      </c>
      <c r="M76" s="106">
        <f>IF(I76="","",I76*Parâmetros!$C$8/15)</f>
        <v>15.9</v>
      </c>
      <c r="N76" s="106">
        <f>IF(K76="","",K76*Parâmetros!$C$8/15)</f>
        <v>0</v>
      </c>
      <c r="O76" s="28">
        <f>IF(M76="","",M76*Parâmetros!$C$5)</f>
        <v>5088</v>
      </c>
      <c r="P76" s="64" t="str">
        <f>IF(L76="","",IF(L76&gt;=Parâmetros!$C$10,"Sim","Não"))</f>
        <v/>
      </c>
    </row>
    <row r="77" spans="1:16" ht="15" customHeight="1" x14ac:dyDescent="0.3">
      <c r="A77" s="60">
        <v>75</v>
      </c>
      <c r="B77" s="60" t="s">
        <v>258</v>
      </c>
      <c r="C77" s="101" t="s">
        <v>183</v>
      </c>
      <c r="D77" s="101" t="s">
        <v>184</v>
      </c>
      <c r="E77" s="60">
        <v>1</v>
      </c>
      <c r="F77" s="85">
        <v>46225</v>
      </c>
      <c r="G77" s="35">
        <v>446</v>
      </c>
      <c r="H77" s="85">
        <f>IF(COUNTIFS(Pesagens!$B$3:$B$5001,$B77)=0,"",_xlfn.MAXIFS(Pesagens!$A$3:$A$5001,Pesagens!$B$3:$B$5001,$B77,Pesagens!$E$3:$E$5001,"&lt;&gt;"))</f>
        <v>46225</v>
      </c>
      <c r="I77" s="35">
        <f>IF($H77="","",IFERROR(AVERAGEIFS(Pesagens!$E$3:$E$5001,Pesagens!$B$3:$B$5001,$B77,Pesagens!$A$3:$A$5001,$H77),""))</f>
        <v>446</v>
      </c>
      <c r="J77" s="60">
        <f>IF(F77="","",Parâmetros!$C$4-F77)</f>
        <v>13</v>
      </c>
      <c r="K77" s="35">
        <f t="shared" si="2"/>
        <v>0</v>
      </c>
      <c r="L77" s="102" t="str">
        <f t="shared" si="3"/>
        <v/>
      </c>
      <c r="M77" s="103">
        <f>IF(I77="","",I77*Parâmetros!$C$8/15)</f>
        <v>15.758666666666668</v>
      </c>
      <c r="N77" s="103">
        <f>IF(K77="","",K77*Parâmetros!$C$8/15)</f>
        <v>0</v>
      </c>
      <c r="O77" s="26">
        <f>IF(M77="","",M77*Parâmetros!$C$5)</f>
        <v>5042.7733333333335</v>
      </c>
      <c r="P77" s="60" t="str">
        <f>IF(L77="","",IF(L77&gt;=Parâmetros!$C$10,"Sim","Não"))</f>
        <v/>
      </c>
    </row>
    <row r="78" spans="1:16" ht="15" customHeight="1" x14ac:dyDescent="0.3">
      <c r="A78" s="64">
        <v>76</v>
      </c>
      <c r="B78" s="64" t="s">
        <v>259</v>
      </c>
      <c r="C78" s="104" t="s">
        <v>183</v>
      </c>
      <c r="D78" s="104" t="s">
        <v>184</v>
      </c>
      <c r="E78" s="64">
        <v>1</v>
      </c>
      <c r="F78" s="86">
        <v>46225</v>
      </c>
      <c r="G78" s="40">
        <v>447</v>
      </c>
      <c r="H78" s="86">
        <f>IF(COUNTIFS(Pesagens!$B$3:$B$5001,$B78)=0,"",_xlfn.MAXIFS(Pesagens!$A$3:$A$5001,Pesagens!$B$3:$B$5001,$B78,Pesagens!$E$3:$E$5001,"&lt;&gt;"))</f>
        <v>46225</v>
      </c>
      <c r="I78" s="40">
        <f>IF($H78="","",IFERROR(AVERAGEIFS(Pesagens!$E$3:$E$5001,Pesagens!$B$3:$B$5001,$B78,Pesagens!$A$3:$A$5001,$H78),""))</f>
        <v>447</v>
      </c>
      <c r="J78" s="64">
        <f>IF(F78="","",Parâmetros!$C$4-F78)</f>
        <v>13</v>
      </c>
      <c r="K78" s="40">
        <f t="shared" si="2"/>
        <v>0</v>
      </c>
      <c r="L78" s="105" t="str">
        <f t="shared" si="3"/>
        <v/>
      </c>
      <c r="M78" s="106">
        <f>IF(I78="","",I78*Parâmetros!$C$8/15)</f>
        <v>15.794000000000002</v>
      </c>
      <c r="N78" s="106">
        <f>IF(K78="","",K78*Parâmetros!$C$8/15)</f>
        <v>0</v>
      </c>
      <c r="O78" s="28">
        <f>IF(M78="","",M78*Parâmetros!$C$5)</f>
        <v>5054.0800000000008</v>
      </c>
      <c r="P78" s="64" t="str">
        <f>IF(L78="","",IF(L78&gt;=Parâmetros!$C$10,"Sim","Não"))</f>
        <v/>
      </c>
    </row>
    <row r="79" spans="1:16" ht="15" customHeight="1" x14ac:dyDescent="0.3">
      <c r="A79" s="60">
        <v>77</v>
      </c>
      <c r="B79" s="60" t="s">
        <v>260</v>
      </c>
      <c r="C79" s="101" t="s">
        <v>183</v>
      </c>
      <c r="D79" s="101" t="s">
        <v>184</v>
      </c>
      <c r="E79" s="60">
        <v>2</v>
      </c>
      <c r="F79" s="85">
        <v>46220</v>
      </c>
      <c r="G79" s="35">
        <v>492</v>
      </c>
      <c r="H79" s="85">
        <f>IF(COUNTIFS(Pesagens!$B$3:$B$5001,$B79)=0,"",_xlfn.MAXIFS(Pesagens!$A$3:$A$5001,Pesagens!$B$3:$B$5001,$B79,Pesagens!$E$3:$E$5001,"&lt;&gt;"))</f>
        <v>46220</v>
      </c>
      <c r="I79" s="35">
        <f>IF($H79="","",IFERROR(AVERAGEIFS(Pesagens!$E$3:$E$5001,Pesagens!$B$3:$B$5001,$B79,Pesagens!$A$3:$A$5001,$H79),""))</f>
        <v>492</v>
      </c>
      <c r="J79" s="60">
        <f>IF(F79="","",Parâmetros!$C$4-F79)</f>
        <v>18</v>
      </c>
      <c r="K79" s="35">
        <f t="shared" si="2"/>
        <v>0</v>
      </c>
      <c r="L79" s="102" t="str">
        <f t="shared" si="3"/>
        <v/>
      </c>
      <c r="M79" s="103">
        <f>IF(I79="","",I79*Parâmetros!$C$8/15)</f>
        <v>17.384</v>
      </c>
      <c r="N79" s="103">
        <f>IF(K79="","",K79*Parâmetros!$C$8/15)</f>
        <v>0</v>
      </c>
      <c r="O79" s="26">
        <f>IF(M79="","",M79*Parâmetros!$C$5)</f>
        <v>5562.88</v>
      </c>
      <c r="P79" s="60" t="str">
        <f>IF(L79="","",IF(L79&gt;=Parâmetros!$C$10,"Sim","Não"))</f>
        <v/>
      </c>
    </row>
    <row r="80" spans="1:16" ht="15" customHeight="1" x14ac:dyDescent="0.3">
      <c r="A80" s="64">
        <v>78</v>
      </c>
      <c r="B80" s="64" t="s">
        <v>261</v>
      </c>
      <c r="C80" s="104" t="s">
        <v>183</v>
      </c>
      <c r="D80" s="104" t="s">
        <v>184</v>
      </c>
      <c r="E80" s="64">
        <v>2</v>
      </c>
      <c r="F80" s="86">
        <v>46220</v>
      </c>
      <c r="G80" s="40">
        <v>486</v>
      </c>
      <c r="H80" s="86">
        <f>IF(COUNTIFS(Pesagens!$B$3:$B$5001,$B80)=0,"",_xlfn.MAXIFS(Pesagens!$A$3:$A$5001,Pesagens!$B$3:$B$5001,$B80,Pesagens!$E$3:$E$5001,"&lt;&gt;"))</f>
        <v>46220</v>
      </c>
      <c r="I80" s="40">
        <f>IF($H80="","",IFERROR(AVERAGEIFS(Pesagens!$E$3:$E$5001,Pesagens!$B$3:$B$5001,$B80,Pesagens!$A$3:$A$5001,$H80),""))</f>
        <v>486</v>
      </c>
      <c r="J80" s="64">
        <f>IF(F80="","",Parâmetros!$C$4-F80)</f>
        <v>18</v>
      </c>
      <c r="K80" s="40">
        <f t="shared" si="2"/>
        <v>0</v>
      </c>
      <c r="L80" s="105" t="str">
        <f t="shared" si="3"/>
        <v/>
      </c>
      <c r="M80" s="106">
        <f>IF(I80="","",I80*Parâmetros!$C$8/15)</f>
        <v>17.172000000000004</v>
      </c>
      <c r="N80" s="106">
        <f>IF(K80="","",K80*Parâmetros!$C$8/15)</f>
        <v>0</v>
      </c>
      <c r="O80" s="28">
        <f>IF(M80="","",M80*Parâmetros!$C$5)</f>
        <v>5495.0400000000009</v>
      </c>
      <c r="P80" s="64" t="str">
        <f>IF(L80="","",IF(L80&gt;=Parâmetros!$C$10,"Sim","Não"))</f>
        <v/>
      </c>
    </row>
    <row r="81" spans="1:16" ht="15" customHeight="1" x14ac:dyDescent="0.3">
      <c r="A81" s="60">
        <v>79</v>
      </c>
      <c r="B81" s="60" t="s">
        <v>262</v>
      </c>
      <c r="C81" s="101" t="s">
        <v>183</v>
      </c>
      <c r="D81" s="101" t="s">
        <v>184</v>
      </c>
      <c r="E81" s="60">
        <v>2</v>
      </c>
      <c r="F81" s="85">
        <v>46220</v>
      </c>
      <c r="G81" s="35">
        <v>504</v>
      </c>
      <c r="H81" s="85">
        <f>IF(COUNTIFS(Pesagens!$B$3:$B$5001,$B81)=0,"",_xlfn.MAXIFS(Pesagens!$A$3:$A$5001,Pesagens!$B$3:$B$5001,$B81,Pesagens!$E$3:$E$5001,"&lt;&gt;"))</f>
        <v>46220</v>
      </c>
      <c r="I81" s="35">
        <f>IF($H81="","",IFERROR(AVERAGEIFS(Pesagens!$E$3:$E$5001,Pesagens!$B$3:$B$5001,$B81,Pesagens!$A$3:$A$5001,$H81),""))</f>
        <v>504</v>
      </c>
      <c r="J81" s="60">
        <f>IF(F81="","",Parâmetros!$C$4-F81)</f>
        <v>18</v>
      </c>
      <c r="K81" s="35">
        <f t="shared" si="2"/>
        <v>0</v>
      </c>
      <c r="L81" s="102" t="str">
        <f t="shared" si="3"/>
        <v/>
      </c>
      <c r="M81" s="103">
        <f>IF(I81="","",I81*Parâmetros!$C$8/15)</f>
        <v>17.808</v>
      </c>
      <c r="N81" s="103">
        <f>IF(K81="","",K81*Parâmetros!$C$8/15)</f>
        <v>0</v>
      </c>
      <c r="O81" s="26">
        <f>IF(M81="","",M81*Parâmetros!$C$5)</f>
        <v>5698.5599999999995</v>
      </c>
      <c r="P81" s="60" t="str">
        <f>IF(L81="","",IF(L81&gt;=Parâmetros!$C$10,"Sim","Não"))</f>
        <v/>
      </c>
    </row>
    <row r="82" spans="1:16" ht="15" customHeight="1" x14ac:dyDescent="0.3">
      <c r="A82" s="64">
        <v>80</v>
      </c>
      <c r="B82" s="64" t="s">
        <v>263</v>
      </c>
      <c r="C82" s="104" t="s">
        <v>183</v>
      </c>
      <c r="D82" s="104" t="s">
        <v>184</v>
      </c>
      <c r="E82" s="64">
        <v>2</v>
      </c>
      <c r="F82" s="86">
        <v>46220</v>
      </c>
      <c r="G82" s="40">
        <v>481</v>
      </c>
      <c r="H82" s="86">
        <f>IF(COUNTIFS(Pesagens!$B$3:$B$5001,$B82)=0,"",_xlfn.MAXIFS(Pesagens!$A$3:$A$5001,Pesagens!$B$3:$B$5001,$B82,Pesagens!$E$3:$E$5001,"&lt;&gt;"))</f>
        <v>46220</v>
      </c>
      <c r="I82" s="40">
        <f>IF($H82="","",IFERROR(AVERAGEIFS(Pesagens!$E$3:$E$5001,Pesagens!$B$3:$B$5001,$B82,Pesagens!$A$3:$A$5001,$H82),""))</f>
        <v>481</v>
      </c>
      <c r="J82" s="64">
        <f>IF(F82="","",Parâmetros!$C$4-F82)</f>
        <v>18</v>
      </c>
      <c r="K82" s="40">
        <f t="shared" si="2"/>
        <v>0</v>
      </c>
      <c r="L82" s="105" t="str">
        <f t="shared" si="3"/>
        <v/>
      </c>
      <c r="M82" s="106">
        <f>IF(I82="","",I82*Parâmetros!$C$8/15)</f>
        <v>16.995333333333335</v>
      </c>
      <c r="N82" s="106">
        <f>IF(K82="","",K82*Parâmetros!$C$8/15)</f>
        <v>0</v>
      </c>
      <c r="O82" s="28">
        <f>IF(M82="","",M82*Parâmetros!$C$5)</f>
        <v>5438.5066666666671</v>
      </c>
      <c r="P82" s="64" t="str">
        <f>IF(L82="","",IF(L82&gt;=Parâmetros!$C$10,"Sim","Não"))</f>
        <v/>
      </c>
    </row>
    <row r="83" spans="1:16" ht="15" customHeight="1" x14ac:dyDescent="0.3">
      <c r="A83" s="60">
        <v>81</v>
      </c>
      <c r="B83" s="60" t="s">
        <v>264</v>
      </c>
      <c r="C83" s="101" t="s">
        <v>183</v>
      </c>
      <c r="D83" s="101" t="s">
        <v>184</v>
      </c>
      <c r="E83" s="60">
        <v>2</v>
      </c>
      <c r="F83" s="85">
        <v>46220</v>
      </c>
      <c r="G83" s="35">
        <v>493</v>
      </c>
      <c r="H83" s="85">
        <f>IF(COUNTIFS(Pesagens!$B$3:$B$5001,$B83)=0,"",_xlfn.MAXIFS(Pesagens!$A$3:$A$5001,Pesagens!$B$3:$B$5001,$B83,Pesagens!$E$3:$E$5001,"&lt;&gt;"))</f>
        <v>46220</v>
      </c>
      <c r="I83" s="35">
        <f>IF($H83="","",IFERROR(AVERAGEIFS(Pesagens!$E$3:$E$5001,Pesagens!$B$3:$B$5001,$B83,Pesagens!$A$3:$A$5001,$H83),""))</f>
        <v>493</v>
      </c>
      <c r="J83" s="60">
        <f>IF(F83="","",Parâmetros!$C$4-F83)</f>
        <v>18</v>
      </c>
      <c r="K83" s="35">
        <f t="shared" si="2"/>
        <v>0</v>
      </c>
      <c r="L83" s="102" t="str">
        <f t="shared" si="3"/>
        <v/>
      </c>
      <c r="M83" s="103">
        <f>IF(I83="","",I83*Parâmetros!$C$8/15)</f>
        <v>17.419333333333334</v>
      </c>
      <c r="N83" s="103">
        <f>IF(K83="","",K83*Parâmetros!$C$8/15)</f>
        <v>0</v>
      </c>
      <c r="O83" s="26">
        <f>IF(M83="","",M83*Parâmetros!$C$5)</f>
        <v>5574.1866666666665</v>
      </c>
      <c r="P83" s="60" t="str">
        <f>IF(L83="","",IF(L83&gt;=Parâmetros!$C$10,"Sim","Não"))</f>
        <v/>
      </c>
    </row>
    <row r="84" spans="1:16" ht="15" customHeight="1" x14ac:dyDescent="0.3">
      <c r="A84" s="64">
        <v>82</v>
      </c>
      <c r="B84" s="64" t="s">
        <v>265</v>
      </c>
      <c r="C84" s="104" t="s">
        <v>183</v>
      </c>
      <c r="D84" s="104" t="s">
        <v>184</v>
      </c>
      <c r="E84" s="64">
        <v>2</v>
      </c>
      <c r="F84" s="86">
        <v>46220</v>
      </c>
      <c r="G84" s="40">
        <v>495</v>
      </c>
      <c r="H84" s="86">
        <f>IF(COUNTIFS(Pesagens!$B$3:$B$5001,$B84)=0,"",_xlfn.MAXIFS(Pesagens!$A$3:$A$5001,Pesagens!$B$3:$B$5001,$B84,Pesagens!$E$3:$E$5001,"&lt;&gt;"))</f>
        <v>46220</v>
      </c>
      <c r="I84" s="40">
        <f>IF($H84="","",IFERROR(AVERAGEIFS(Pesagens!$E$3:$E$5001,Pesagens!$B$3:$B$5001,$B84,Pesagens!$A$3:$A$5001,$H84),""))</f>
        <v>495</v>
      </c>
      <c r="J84" s="64">
        <f>IF(F84="","",Parâmetros!$C$4-F84)</f>
        <v>18</v>
      </c>
      <c r="K84" s="40">
        <f t="shared" si="2"/>
        <v>0</v>
      </c>
      <c r="L84" s="105" t="str">
        <f t="shared" si="3"/>
        <v/>
      </c>
      <c r="M84" s="106">
        <f>IF(I84="","",I84*Parâmetros!$C$8/15)</f>
        <v>17.490000000000002</v>
      </c>
      <c r="N84" s="106">
        <f>IF(K84="","",K84*Parâmetros!$C$8/15)</f>
        <v>0</v>
      </c>
      <c r="O84" s="28">
        <f>IF(M84="","",M84*Parâmetros!$C$5)</f>
        <v>5596.8000000000011</v>
      </c>
      <c r="P84" s="64" t="str">
        <f>IF(L84="","",IF(L84&gt;=Parâmetros!$C$10,"Sim","Não"))</f>
        <v/>
      </c>
    </row>
    <row r="85" spans="1:16" ht="15" customHeight="1" x14ac:dyDescent="0.3">
      <c r="A85" s="60">
        <v>83</v>
      </c>
      <c r="B85" s="60" t="s">
        <v>266</v>
      </c>
      <c r="C85" s="101" t="s">
        <v>183</v>
      </c>
      <c r="D85" s="101" t="s">
        <v>184</v>
      </c>
      <c r="E85" s="60">
        <v>2</v>
      </c>
      <c r="F85" s="85">
        <v>46220</v>
      </c>
      <c r="G85" s="35">
        <v>495</v>
      </c>
      <c r="H85" s="85">
        <f>IF(COUNTIFS(Pesagens!$B$3:$B$5001,$B85)=0,"",_xlfn.MAXIFS(Pesagens!$A$3:$A$5001,Pesagens!$B$3:$B$5001,$B85,Pesagens!$E$3:$E$5001,"&lt;&gt;"))</f>
        <v>46220</v>
      </c>
      <c r="I85" s="35">
        <f>IF($H85="","",IFERROR(AVERAGEIFS(Pesagens!$E$3:$E$5001,Pesagens!$B$3:$B$5001,$B85,Pesagens!$A$3:$A$5001,$H85),""))</f>
        <v>495</v>
      </c>
      <c r="J85" s="60">
        <f>IF(F85="","",Parâmetros!$C$4-F85)</f>
        <v>18</v>
      </c>
      <c r="K85" s="35">
        <f t="shared" si="2"/>
        <v>0</v>
      </c>
      <c r="L85" s="102" t="str">
        <f t="shared" si="3"/>
        <v/>
      </c>
      <c r="M85" s="103">
        <f>IF(I85="","",I85*Parâmetros!$C$8/15)</f>
        <v>17.490000000000002</v>
      </c>
      <c r="N85" s="103">
        <f>IF(K85="","",K85*Parâmetros!$C$8/15)</f>
        <v>0</v>
      </c>
      <c r="O85" s="26">
        <f>IF(M85="","",M85*Parâmetros!$C$5)</f>
        <v>5596.8000000000011</v>
      </c>
      <c r="P85" s="60" t="str">
        <f>IF(L85="","",IF(L85&gt;=Parâmetros!$C$10,"Sim","Não"))</f>
        <v/>
      </c>
    </row>
    <row r="86" spans="1:16" ht="15" customHeight="1" x14ac:dyDescent="0.3">
      <c r="A86" s="64">
        <v>84</v>
      </c>
      <c r="B86" s="64" t="s">
        <v>267</v>
      </c>
      <c r="C86" s="104" t="s">
        <v>183</v>
      </c>
      <c r="D86" s="104" t="s">
        <v>184</v>
      </c>
      <c r="E86" s="64">
        <v>2</v>
      </c>
      <c r="F86" s="86">
        <v>46220</v>
      </c>
      <c r="G86" s="40">
        <v>480</v>
      </c>
      <c r="H86" s="86">
        <f>IF(COUNTIFS(Pesagens!$B$3:$B$5001,$B86)=0,"",_xlfn.MAXIFS(Pesagens!$A$3:$A$5001,Pesagens!$B$3:$B$5001,$B86,Pesagens!$E$3:$E$5001,"&lt;&gt;"))</f>
        <v>46220</v>
      </c>
      <c r="I86" s="40">
        <f>IF($H86="","",IFERROR(AVERAGEIFS(Pesagens!$E$3:$E$5001,Pesagens!$B$3:$B$5001,$B86,Pesagens!$A$3:$A$5001,$H86),""))</f>
        <v>480</v>
      </c>
      <c r="J86" s="64">
        <f>IF(F86="","",Parâmetros!$C$4-F86)</f>
        <v>18</v>
      </c>
      <c r="K86" s="40">
        <f t="shared" si="2"/>
        <v>0</v>
      </c>
      <c r="L86" s="105" t="str">
        <f t="shared" si="3"/>
        <v/>
      </c>
      <c r="M86" s="106">
        <f>IF(I86="","",I86*Parâmetros!$C$8/15)</f>
        <v>16.96</v>
      </c>
      <c r="N86" s="106">
        <f>IF(K86="","",K86*Parâmetros!$C$8/15)</f>
        <v>0</v>
      </c>
      <c r="O86" s="28">
        <f>IF(M86="","",M86*Parâmetros!$C$5)</f>
        <v>5427.2000000000007</v>
      </c>
      <c r="P86" s="64" t="str">
        <f>IF(L86="","",IF(L86&gt;=Parâmetros!$C$10,"Sim","Não"))</f>
        <v/>
      </c>
    </row>
    <row r="87" spans="1:16" ht="15" customHeight="1" x14ac:dyDescent="0.3">
      <c r="A87" s="60">
        <v>85</v>
      </c>
      <c r="B87" s="60" t="s">
        <v>268</v>
      </c>
      <c r="C87" s="101" t="s">
        <v>183</v>
      </c>
      <c r="D87" s="101" t="s">
        <v>184</v>
      </c>
      <c r="E87" s="60">
        <v>2</v>
      </c>
      <c r="F87" s="85">
        <v>46220</v>
      </c>
      <c r="G87" s="35">
        <v>534</v>
      </c>
      <c r="H87" s="85">
        <f>IF(COUNTIFS(Pesagens!$B$3:$B$5001,$B87)=0,"",_xlfn.MAXIFS(Pesagens!$A$3:$A$5001,Pesagens!$B$3:$B$5001,$B87,Pesagens!$E$3:$E$5001,"&lt;&gt;"))</f>
        <v>46220</v>
      </c>
      <c r="I87" s="35">
        <f>IF($H87="","",IFERROR(AVERAGEIFS(Pesagens!$E$3:$E$5001,Pesagens!$B$3:$B$5001,$B87,Pesagens!$A$3:$A$5001,$H87),""))</f>
        <v>534</v>
      </c>
      <c r="J87" s="60">
        <f>IF(F87="","",Parâmetros!$C$4-F87)</f>
        <v>18</v>
      </c>
      <c r="K87" s="35">
        <f t="shared" si="2"/>
        <v>0</v>
      </c>
      <c r="L87" s="102" t="str">
        <f t="shared" si="3"/>
        <v/>
      </c>
      <c r="M87" s="103">
        <f>IF(I87="","",I87*Parâmetros!$C$8/15)</f>
        <v>18.868000000000002</v>
      </c>
      <c r="N87" s="103">
        <f>IF(K87="","",K87*Parâmetros!$C$8/15)</f>
        <v>0</v>
      </c>
      <c r="O87" s="26">
        <f>IF(M87="","",M87*Parâmetros!$C$5)</f>
        <v>6037.76</v>
      </c>
      <c r="P87" s="60" t="str">
        <f>IF(L87="","",IF(L87&gt;=Parâmetros!$C$10,"Sim","Não"))</f>
        <v/>
      </c>
    </row>
    <row r="88" spans="1:16" ht="15" customHeight="1" x14ac:dyDescent="0.3">
      <c r="A88" s="64">
        <v>86</v>
      </c>
      <c r="B88" s="64" t="s">
        <v>269</v>
      </c>
      <c r="C88" s="104" t="s">
        <v>183</v>
      </c>
      <c r="D88" s="104" t="s">
        <v>184</v>
      </c>
      <c r="E88" s="64">
        <v>2</v>
      </c>
      <c r="F88" s="86">
        <v>46220</v>
      </c>
      <c r="G88" s="40">
        <v>492</v>
      </c>
      <c r="H88" s="86">
        <f>IF(COUNTIFS(Pesagens!$B$3:$B$5001,$B88)=0,"",_xlfn.MAXIFS(Pesagens!$A$3:$A$5001,Pesagens!$B$3:$B$5001,$B88,Pesagens!$E$3:$E$5001,"&lt;&gt;"))</f>
        <v>46220</v>
      </c>
      <c r="I88" s="40">
        <f>IF($H88="","",IFERROR(AVERAGEIFS(Pesagens!$E$3:$E$5001,Pesagens!$B$3:$B$5001,$B88,Pesagens!$A$3:$A$5001,$H88),""))</f>
        <v>492</v>
      </c>
      <c r="J88" s="64">
        <f>IF(F88="","",Parâmetros!$C$4-F88)</f>
        <v>18</v>
      </c>
      <c r="K88" s="40">
        <f t="shared" si="2"/>
        <v>0</v>
      </c>
      <c r="L88" s="105" t="str">
        <f t="shared" si="3"/>
        <v/>
      </c>
      <c r="M88" s="106">
        <f>IF(I88="","",I88*Parâmetros!$C$8/15)</f>
        <v>17.384</v>
      </c>
      <c r="N88" s="106">
        <f>IF(K88="","",K88*Parâmetros!$C$8/15)</f>
        <v>0</v>
      </c>
      <c r="O88" s="28">
        <f>IF(M88="","",M88*Parâmetros!$C$5)</f>
        <v>5562.88</v>
      </c>
      <c r="P88" s="64" t="str">
        <f>IF(L88="","",IF(L88&gt;=Parâmetros!$C$10,"Sim","Não"))</f>
        <v/>
      </c>
    </row>
    <row r="89" spans="1:16" ht="15" customHeight="1" x14ac:dyDescent="0.3">
      <c r="A89" s="60">
        <v>87</v>
      </c>
      <c r="B89" s="60" t="s">
        <v>270</v>
      </c>
      <c r="C89" s="101" t="s">
        <v>183</v>
      </c>
      <c r="D89" s="101" t="s">
        <v>184</v>
      </c>
      <c r="E89" s="60">
        <v>2</v>
      </c>
      <c r="F89" s="85">
        <v>46220</v>
      </c>
      <c r="G89" s="35">
        <v>527</v>
      </c>
      <c r="H89" s="85">
        <f>IF(COUNTIFS(Pesagens!$B$3:$B$5001,$B89)=0,"",_xlfn.MAXIFS(Pesagens!$A$3:$A$5001,Pesagens!$B$3:$B$5001,$B89,Pesagens!$E$3:$E$5001,"&lt;&gt;"))</f>
        <v>46220</v>
      </c>
      <c r="I89" s="35">
        <f>IF($H89="","",IFERROR(AVERAGEIFS(Pesagens!$E$3:$E$5001,Pesagens!$B$3:$B$5001,$B89,Pesagens!$A$3:$A$5001,$H89),""))</f>
        <v>527</v>
      </c>
      <c r="J89" s="60">
        <f>IF(F89="","",Parâmetros!$C$4-F89)</f>
        <v>18</v>
      </c>
      <c r="K89" s="35">
        <f t="shared" si="2"/>
        <v>0</v>
      </c>
      <c r="L89" s="102" t="str">
        <f t="shared" si="3"/>
        <v/>
      </c>
      <c r="M89" s="103">
        <f>IF(I89="","",I89*Parâmetros!$C$8/15)</f>
        <v>18.620666666666668</v>
      </c>
      <c r="N89" s="103">
        <f>IF(K89="","",K89*Parâmetros!$C$8/15)</f>
        <v>0</v>
      </c>
      <c r="O89" s="26">
        <f>IF(M89="","",M89*Parâmetros!$C$5)</f>
        <v>5958.6133333333337</v>
      </c>
      <c r="P89" s="60" t="str">
        <f>IF(L89="","",IF(L89&gt;=Parâmetros!$C$10,"Sim","Não"))</f>
        <v/>
      </c>
    </row>
    <row r="90" spans="1:16" ht="15" customHeight="1" x14ac:dyDescent="0.3">
      <c r="A90" s="64">
        <v>88</v>
      </c>
      <c r="B90" s="64" t="s">
        <v>271</v>
      </c>
      <c r="C90" s="104" t="s">
        <v>183</v>
      </c>
      <c r="D90" s="104" t="s">
        <v>184</v>
      </c>
      <c r="E90" s="64">
        <v>2</v>
      </c>
      <c r="F90" s="86">
        <v>46220</v>
      </c>
      <c r="G90" s="40">
        <v>495</v>
      </c>
      <c r="H90" s="86">
        <f>IF(COUNTIFS(Pesagens!$B$3:$B$5001,$B90)=0,"",_xlfn.MAXIFS(Pesagens!$A$3:$A$5001,Pesagens!$B$3:$B$5001,$B90,Pesagens!$E$3:$E$5001,"&lt;&gt;"))</f>
        <v>46220</v>
      </c>
      <c r="I90" s="40">
        <f>IF($H90="","",IFERROR(AVERAGEIFS(Pesagens!$E$3:$E$5001,Pesagens!$B$3:$B$5001,$B90,Pesagens!$A$3:$A$5001,$H90),""))</f>
        <v>495</v>
      </c>
      <c r="J90" s="64">
        <f>IF(F90="","",Parâmetros!$C$4-F90)</f>
        <v>18</v>
      </c>
      <c r="K90" s="40">
        <f t="shared" si="2"/>
        <v>0</v>
      </c>
      <c r="L90" s="105" t="str">
        <f t="shared" si="3"/>
        <v/>
      </c>
      <c r="M90" s="106">
        <f>IF(I90="","",I90*Parâmetros!$C$8/15)</f>
        <v>17.490000000000002</v>
      </c>
      <c r="N90" s="106">
        <f>IF(K90="","",K90*Parâmetros!$C$8/15)</f>
        <v>0</v>
      </c>
      <c r="O90" s="28">
        <f>IF(M90="","",M90*Parâmetros!$C$5)</f>
        <v>5596.8000000000011</v>
      </c>
      <c r="P90" s="64" t="str">
        <f>IF(L90="","",IF(L90&gt;=Parâmetros!$C$10,"Sim","Não"))</f>
        <v/>
      </c>
    </row>
    <row r="91" spans="1:16" ht="15" customHeight="1" x14ac:dyDescent="0.3">
      <c r="A91" s="60">
        <v>89</v>
      </c>
      <c r="B91" s="60" t="s">
        <v>272</v>
      </c>
      <c r="C91" s="101" t="s">
        <v>183</v>
      </c>
      <c r="D91" s="101" t="s">
        <v>184</v>
      </c>
      <c r="E91" s="60">
        <v>2</v>
      </c>
      <c r="F91" s="85">
        <v>46220</v>
      </c>
      <c r="G91" s="35">
        <v>518</v>
      </c>
      <c r="H91" s="85">
        <f>IF(COUNTIFS(Pesagens!$B$3:$B$5001,$B91)=0,"",_xlfn.MAXIFS(Pesagens!$A$3:$A$5001,Pesagens!$B$3:$B$5001,$B91,Pesagens!$E$3:$E$5001,"&lt;&gt;"))</f>
        <v>46220</v>
      </c>
      <c r="I91" s="35">
        <f>IF($H91="","",IFERROR(AVERAGEIFS(Pesagens!$E$3:$E$5001,Pesagens!$B$3:$B$5001,$B91,Pesagens!$A$3:$A$5001,$H91),""))</f>
        <v>518</v>
      </c>
      <c r="J91" s="60">
        <f>IF(F91="","",Parâmetros!$C$4-F91)</f>
        <v>18</v>
      </c>
      <c r="K91" s="35">
        <f t="shared" si="2"/>
        <v>0</v>
      </c>
      <c r="L91" s="102" t="str">
        <f t="shared" si="3"/>
        <v/>
      </c>
      <c r="M91" s="103">
        <f>IF(I91="","",I91*Parâmetros!$C$8/15)</f>
        <v>18.302666666666667</v>
      </c>
      <c r="N91" s="103">
        <f>IF(K91="","",K91*Parâmetros!$C$8/15)</f>
        <v>0</v>
      </c>
      <c r="O91" s="26">
        <f>IF(M91="","",M91*Parâmetros!$C$5)</f>
        <v>5856.8533333333335</v>
      </c>
      <c r="P91" s="60" t="str">
        <f>IF(L91="","",IF(L91&gt;=Parâmetros!$C$10,"Sim","Não"))</f>
        <v/>
      </c>
    </row>
    <row r="92" spans="1:16" ht="15" customHeight="1" x14ac:dyDescent="0.3">
      <c r="A92" s="64">
        <v>90</v>
      </c>
      <c r="B92" s="64" t="s">
        <v>273</v>
      </c>
      <c r="C92" s="104" t="s">
        <v>183</v>
      </c>
      <c r="D92" s="104" t="s">
        <v>184</v>
      </c>
      <c r="E92" s="64">
        <v>2</v>
      </c>
      <c r="F92" s="86">
        <v>46220</v>
      </c>
      <c r="G92" s="40">
        <v>498</v>
      </c>
      <c r="H92" s="86">
        <f>IF(COUNTIFS(Pesagens!$B$3:$B$5001,$B92)=0,"",_xlfn.MAXIFS(Pesagens!$A$3:$A$5001,Pesagens!$B$3:$B$5001,$B92,Pesagens!$E$3:$E$5001,"&lt;&gt;"))</f>
        <v>46220</v>
      </c>
      <c r="I92" s="40">
        <f>IF($H92="","",IFERROR(AVERAGEIFS(Pesagens!$E$3:$E$5001,Pesagens!$B$3:$B$5001,$B92,Pesagens!$A$3:$A$5001,$H92),""))</f>
        <v>498</v>
      </c>
      <c r="J92" s="64">
        <f>IF(F92="","",Parâmetros!$C$4-F92)</f>
        <v>18</v>
      </c>
      <c r="K92" s="40">
        <f t="shared" si="2"/>
        <v>0</v>
      </c>
      <c r="L92" s="105" t="str">
        <f t="shared" si="3"/>
        <v/>
      </c>
      <c r="M92" s="106">
        <f>IF(I92="","",I92*Parâmetros!$C$8/15)</f>
        <v>17.596</v>
      </c>
      <c r="N92" s="106">
        <f>IF(K92="","",K92*Parâmetros!$C$8/15)</f>
        <v>0</v>
      </c>
      <c r="O92" s="28">
        <f>IF(M92="","",M92*Parâmetros!$C$5)</f>
        <v>5630.72</v>
      </c>
      <c r="P92" s="64" t="str">
        <f>IF(L92="","",IF(L92&gt;=Parâmetros!$C$10,"Sim","Não"))</f>
        <v/>
      </c>
    </row>
    <row r="93" spans="1:16" ht="15" customHeight="1" x14ac:dyDescent="0.3">
      <c r="A93" s="60">
        <v>91</v>
      </c>
      <c r="B93" s="60" t="s">
        <v>274</v>
      </c>
      <c r="C93" s="101" t="s">
        <v>183</v>
      </c>
      <c r="D93" s="101" t="s">
        <v>184</v>
      </c>
      <c r="E93" s="60">
        <v>2</v>
      </c>
      <c r="F93" s="85">
        <v>46220</v>
      </c>
      <c r="G93" s="35">
        <v>514</v>
      </c>
      <c r="H93" s="85">
        <f>IF(COUNTIFS(Pesagens!$B$3:$B$5001,$B93)=0,"",_xlfn.MAXIFS(Pesagens!$A$3:$A$5001,Pesagens!$B$3:$B$5001,$B93,Pesagens!$E$3:$E$5001,"&lt;&gt;"))</f>
        <v>46220</v>
      </c>
      <c r="I93" s="35">
        <f>IF($H93="","",IFERROR(AVERAGEIFS(Pesagens!$E$3:$E$5001,Pesagens!$B$3:$B$5001,$B93,Pesagens!$A$3:$A$5001,$H93),""))</f>
        <v>514</v>
      </c>
      <c r="J93" s="60">
        <f>IF(F93="","",Parâmetros!$C$4-F93)</f>
        <v>18</v>
      </c>
      <c r="K93" s="35">
        <f t="shared" si="2"/>
        <v>0</v>
      </c>
      <c r="L93" s="102" t="str">
        <f t="shared" si="3"/>
        <v/>
      </c>
      <c r="M93" s="103">
        <f>IF(I93="","",I93*Parâmetros!$C$8/15)</f>
        <v>18.161333333333335</v>
      </c>
      <c r="N93" s="103">
        <f>IF(K93="","",K93*Parâmetros!$C$8/15)</f>
        <v>0</v>
      </c>
      <c r="O93" s="26">
        <f>IF(M93="","",M93*Parâmetros!$C$5)</f>
        <v>5811.626666666667</v>
      </c>
      <c r="P93" s="60" t="str">
        <f>IF(L93="","",IF(L93&gt;=Parâmetros!$C$10,"Sim","Não"))</f>
        <v/>
      </c>
    </row>
    <row r="94" spans="1:16" ht="15" customHeight="1" x14ac:dyDescent="0.3">
      <c r="A94" s="64">
        <v>92</v>
      </c>
      <c r="B94" s="64" t="s">
        <v>275</v>
      </c>
      <c r="C94" s="104" t="s">
        <v>183</v>
      </c>
      <c r="D94" s="104" t="s">
        <v>184</v>
      </c>
      <c r="E94" s="64">
        <v>2</v>
      </c>
      <c r="F94" s="86">
        <v>46220</v>
      </c>
      <c r="G94" s="40">
        <v>483</v>
      </c>
      <c r="H94" s="86">
        <f>IF(COUNTIFS(Pesagens!$B$3:$B$5001,$B94)=0,"",_xlfn.MAXIFS(Pesagens!$A$3:$A$5001,Pesagens!$B$3:$B$5001,$B94,Pesagens!$E$3:$E$5001,"&lt;&gt;"))</f>
        <v>46220</v>
      </c>
      <c r="I94" s="40">
        <f>IF($H94="","",IFERROR(AVERAGEIFS(Pesagens!$E$3:$E$5001,Pesagens!$B$3:$B$5001,$B94,Pesagens!$A$3:$A$5001,$H94),""))</f>
        <v>483</v>
      </c>
      <c r="J94" s="64">
        <f>IF(F94="","",Parâmetros!$C$4-F94)</f>
        <v>18</v>
      </c>
      <c r="K94" s="40">
        <f t="shared" si="2"/>
        <v>0</v>
      </c>
      <c r="L94" s="105" t="str">
        <f t="shared" si="3"/>
        <v/>
      </c>
      <c r="M94" s="106">
        <f>IF(I94="","",I94*Parâmetros!$C$8/15)</f>
        <v>17.065999999999999</v>
      </c>
      <c r="N94" s="106">
        <f>IF(K94="","",K94*Parâmetros!$C$8/15)</f>
        <v>0</v>
      </c>
      <c r="O94" s="28">
        <f>IF(M94="","",M94*Parâmetros!$C$5)</f>
        <v>5461.12</v>
      </c>
      <c r="P94" s="64" t="str">
        <f>IF(L94="","",IF(L94&gt;=Parâmetros!$C$10,"Sim","Não"))</f>
        <v/>
      </c>
    </row>
    <row r="95" spans="1:16" ht="15" customHeight="1" x14ac:dyDescent="0.3">
      <c r="A95" s="60">
        <v>93</v>
      </c>
      <c r="B95" s="60" t="s">
        <v>276</v>
      </c>
      <c r="C95" s="101" t="s">
        <v>183</v>
      </c>
      <c r="D95" s="101" t="s">
        <v>184</v>
      </c>
      <c r="E95" s="60">
        <v>2</v>
      </c>
      <c r="F95" s="85">
        <v>46220</v>
      </c>
      <c r="G95" s="35">
        <v>508</v>
      </c>
      <c r="H95" s="85">
        <f>IF(COUNTIFS(Pesagens!$B$3:$B$5001,$B95)=0,"",_xlfn.MAXIFS(Pesagens!$A$3:$A$5001,Pesagens!$B$3:$B$5001,$B95,Pesagens!$E$3:$E$5001,"&lt;&gt;"))</f>
        <v>46220</v>
      </c>
      <c r="I95" s="35">
        <f>IF($H95="","",IFERROR(AVERAGEIFS(Pesagens!$E$3:$E$5001,Pesagens!$B$3:$B$5001,$B95,Pesagens!$A$3:$A$5001,$H95),""))</f>
        <v>508</v>
      </c>
      <c r="J95" s="60">
        <f>IF(F95="","",Parâmetros!$C$4-F95)</f>
        <v>18</v>
      </c>
      <c r="K95" s="35">
        <f t="shared" si="2"/>
        <v>0</v>
      </c>
      <c r="L95" s="102" t="str">
        <f t="shared" si="3"/>
        <v/>
      </c>
      <c r="M95" s="103">
        <f>IF(I95="","",I95*Parâmetros!$C$8/15)</f>
        <v>17.949333333333335</v>
      </c>
      <c r="N95" s="103">
        <f>IF(K95="","",K95*Parâmetros!$C$8/15)</f>
        <v>0</v>
      </c>
      <c r="O95" s="26">
        <f>IF(M95="","",M95*Parâmetros!$C$5)</f>
        <v>5743.7866666666669</v>
      </c>
      <c r="P95" s="60" t="str">
        <f>IF(L95="","",IF(L95&gt;=Parâmetros!$C$10,"Sim","Não"))</f>
        <v/>
      </c>
    </row>
    <row r="96" spans="1:16" ht="15" customHeight="1" x14ac:dyDescent="0.3">
      <c r="A96" s="64">
        <v>94</v>
      </c>
      <c r="B96" s="64" t="s">
        <v>277</v>
      </c>
      <c r="C96" s="104" t="s">
        <v>183</v>
      </c>
      <c r="D96" s="104" t="s">
        <v>184</v>
      </c>
      <c r="E96" s="64">
        <v>2</v>
      </c>
      <c r="F96" s="86">
        <v>46220</v>
      </c>
      <c r="G96" s="40">
        <v>500</v>
      </c>
      <c r="H96" s="86">
        <f>IF(COUNTIFS(Pesagens!$B$3:$B$5001,$B96)=0,"",_xlfn.MAXIFS(Pesagens!$A$3:$A$5001,Pesagens!$B$3:$B$5001,$B96,Pesagens!$E$3:$E$5001,"&lt;&gt;"))</f>
        <v>46220</v>
      </c>
      <c r="I96" s="40">
        <f>IF($H96="","",IFERROR(AVERAGEIFS(Pesagens!$E$3:$E$5001,Pesagens!$B$3:$B$5001,$B96,Pesagens!$A$3:$A$5001,$H96),""))</f>
        <v>500</v>
      </c>
      <c r="J96" s="64">
        <f>IF(F96="","",Parâmetros!$C$4-F96)</f>
        <v>18</v>
      </c>
      <c r="K96" s="40">
        <f t="shared" si="2"/>
        <v>0</v>
      </c>
      <c r="L96" s="105" t="str">
        <f t="shared" si="3"/>
        <v/>
      </c>
      <c r="M96" s="106">
        <f>IF(I96="","",I96*Parâmetros!$C$8/15)</f>
        <v>17.666666666666668</v>
      </c>
      <c r="N96" s="106">
        <f>IF(K96="","",K96*Parâmetros!$C$8/15)</f>
        <v>0</v>
      </c>
      <c r="O96" s="28">
        <f>IF(M96="","",M96*Parâmetros!$C$5)</f>
        <v>5653.3333333333339</v>
      </c>
      <c r="P96" s="64" t="str">
        <f>IF(L96="","",IF(L96&gt;=Parâmetros!$C$10,"Sim","Não"))</f>
        <v/>
      </c>
    </row>
    <row r="97" spans="1:16" ht="15" customHeight="1" x14ac:dyDescent="0.3">
      <c r="A97" s="60">
        <v>95</v>
      </c>
      <c r="B97" s="60" t="s">
        <v>278</v>
      </c>
      <c r="C97" s="101" t="s">
        <v>183</v>
      </c>
      <c r="D97" s="101" t="s">
        <v>184</v>
      </c>
      <c r="E97" s="60">
        <v>2</v>
      </c>
      <c r="F97" s="85">
        <v>46220</v>
      </c>
      <c r="G97" s="35">
        <v>505</v>
      </c>
      <c r="H97" s="85">
        <f>IF(COUNTIFS(Pesagens!$B$3:$B$5001,$B97)=0,"",_xlfn.MAXIFS(Pesagens!$A$3:$A$5001,Pesagens!$B$3:$B$5001,$B97,Pesagens!$E$3:$E$5001,"&lt;&gt;"))</f>
        <v>46220</v>
      </c>
      <c r="I97" s="35">
        <f>IF($H97="","",IFERROR(AVERAGEIFS(Pesagens!$E$3:$E$5001,Pesagens!$B$3:$B$5001,$B97,Pesagens!$A$3:$A$5001,$H97),""))</f>
        <v>505</v>
      </c>
      <c r="J97" s="60">
        <f>IF(F97="","",Parâmetros!$C$4-F97)</f>
        <v>18</v>
      </c>
      <c r="K97" s="35">
        <f t="shared" si="2"/>
        <v>0</v>
      </c>
      <c r="L97" s="102" t="str">
        <f t="shared" si="3"/>
        <v/>
      </c>
      <c r="M97" s="103">
        <f>IF(I97="","",I97*Parâmetros!$C$8/15)</f>
        <v>17.843333333333337</v>
      </c>
      <c r="N97" s="103">
        <f>IF(K97="","",K97*Parâmetros!$C$8/15)</f>
        <v>0</v>
      </c>
      <c r="O97" s="26">
        <f>IF(M97="","",M97*Parâmetros!$C$5)</f>
        <v>5709.8666666666677</v>
      </c>
      <c r="P97" s="60" t="str">
        <f>IF(L97="","",IF(L97&gt;=Parâmetros!$C$10,"Sim","Não"))</f>
        <v/>
      </c>
    </row>
    <row r="98" spans="1:16" ht="15" customHeight="1" x14ac:dyDescent="0.3">
      <c r="A98" s="64">
        <v>96</v>
      </c>
      <c r="B98" s="64" t="s">
        <v>279</v>
      </c>
      <c r="C98" s="104" t="s">
        <v>183</v>
      </c>
      <c r="D98" s="104" t="s">
        <v>184</v>
      </c>
      <c r="E98" s="64">
        <v>2</v>
      </c>
      <c r="F98" s="86">
        <v>46220</v>
      </c>
      <c r="G98" s="40">
        <v>485</v>
      </c>
      <c r="H98" s="86">
        <f>IF(COUNTIFS(Pesagens!$B$3:$B$5001,$B98)=0,"",_xlfn.MAXIFS(Pesagens!$A$3:$A$5001,Pesagens!$B$3:$B$5001,$B98,Pesagens!$E$3:$E$5001,"&lt;&gt;"))</f>
        <v>46220</v>
      </c>
      <c r="I98" s="40">
        <f>IF($H98="","",IFERROR(AVERAGEIFS(Pesagens!$E$3:$E$5001,Pesagens!$B$3:$B$5001,$B98,Pesagens!$A$3:$A$5001,$H98),""))</f>
        <v>485</v>
      </c>
      <c r="J98" s="64">
        <f>IF(F98="","",Parâmetros!$C$4-F98)</f>
        <v>18</v>
      </c>
      <c r="K98" s="40">
        <f t="shared" si="2"/>
        <v>0</v>
      </c>
      <c r="L98" s="105" t="str">
        <f t="shared" si="3"/>
        <v/>
      </c>
      <c r="M98" s="106">
        <f>IF(I98="","",I98*Parâmetros!$C$8/15)</f>
        <v>17.136666666666667</v>
      </c>
      <c r="N98" s="106">
        <f>IF(K98="","",K98*Parâmetros!$C$8/15)</f>
        <v>0</v>
      </c>
      <c r="O98" s="28">
        <f>IF(M98="","",M98*Parâmetros!$C$5)</f>
        <v>5483.7333333333336</v>
      </c>
      <c r="P98" s="64" t="str">
        <f>IF(L98="","",IF(L98&gt;=Parâmetros!$C$10,"Sim","Não"))</f>
        <v/>
      </c>
    </row>
    <row r="99" spans="1:16" ht="15" customHeight="1" x14ac:dyDescent="0.3">
      <c r="A99" s="60">
        <v>97</v>
      </c>
      <c r="B99" s="60" t="s">
        <v>280</v>
      </c>
      <c r="C99" s="101" t="s">
        <v>183</v>
      </c>
      <c r="D99" s="101" t="s">
        <v>184</v>
      </c>
      <c r="E99" s="60">
        <v>2</v>
      </c>
      <c r="F99" s="85">
        <v>46220</v>
      </c>
      <c r="G99" s="35">
        <v>552</v>
      </c>
      <c r="H99" s="85">
        <f>IF(COUNTIFS(Pesagens!$B$3:$B$5001,$B99)=0,"",_xlfn.MAXIFS(Pesagens!$A$3:$A$5001,Pesagens!$B$3:$B$5001,$B99,Pesagens!$E$3:$E$5001,"&lt;&gt;"))</f>
        <v>46220</v>
      </c>
      <c r="I99" s="35">
        <f>IF($H99="","",IFERROR(AVERAGEIFS(Pesagens!$E$3:$E$5001,Pesagens!$B$3:$B$5001,$B99,Pesagens!$A$3:$A$5001,$H99),""))</f>
        <v>552</v>
      </c>
      <c r="J99" s="60">
        <f>IF(F99="","",Parâmetros!$C$4-F99)</f>
        <v>18</v>
      </c>
      <c r="K99" s="35">
        <f t="shared" si="2"/>
        <v>0</v>
      </c>
      <c r="L99" s="102" t="str">
        <f t="shared" si="3"/>
        <v/>
      </c>
      <c r="M99" s="103">
        <f>IF(I99="","",I99*Parâmetros!$C$8/15)</f>
        <v>19.504000000000001</v>
      </c>
      <c r="N99" s="103">
        <f>IF(K99="","",K99*Parâmetros!$C$8/15)</f>
        <v>0</v>
      </c>
      <c r="O99" s="26">
        <f>IF(M99="","",M99*Parâmetros!$C$5)</f>
        <v>6241.2800000000007</v>
      </c>
      <c r="P99" s="60" t="str">
        <f>IF(L99="","",IF(L99&gt;=Parâmetros!$C$10,"Sim","Não"))</f>
        <v/>
      </c>
    </row>
    <row r="100" spans="1:16" ht="15" customHeight="1" x14ac:dyDescent="0.3">
      <c r="A100" s="64">
        <v>98</v>
      </c>
      <c r="B100" s="64" t="s">
        <v>281</v>
      </c>
      <c r="C100" s="104" t="s">
        <v>183</v>
      </c>
      <c r="D100" s="104" t="s">
        <v>184</v>
      </c>
      <c r="E100" s="64">
        <v>2</v>
      </c>
      <c r="F100" s="86">
        <v>46225</v>
      </c>
      <c r="G100" s="40">
        <v>494</v>
      </c>
      <c r="H100" s="86">
        <f>IF(COUNTIFS(Pesagens!$B$3:$B$5001,$B100)=0,"",_xlfn.MAXIFS(Pesagens!$A$3:$A$5001,Pesagens!$B$3:$B$5001,$B100,Pesagens!$E$3:$E$5001,"&lt;&gt;"))</f>
        <v>46225</v>
      </c>
      <c r="I100" s="40">
        <f>IF($H100="","",IFERROR(AVERAGEIFS(Pesagens!$E$3:$E$5001,Pesagens!$B$3:$B$5001,$B100,Pesagens!$A$3:$A$5001,$H100),""))</f>
        <v>494</v>
      </c>
      <c r="J100" s="64">
        <f>IF(F100="","",Parâmetros!$C$4-F100)</f>
        <v>13</v>
      </c>
      <c r="K100" s="40">
        <f t="shared" si="2"/>
        <v>0</v>
      </c>
      <c r="L100" s="105" t="str">
        <f t="shared" si="3"/>
        <v/>
      </c>
      <c r="M100" s="106">
        <f>IF(I100="","",I100*Parâmetros!$C$8/15)</f>
        <v>17.454666666666665</v>
      </c>
      <c r="N100" s="106">
        <f>IF(K100="","",K100*Parâmetros!$C$8/15)</f>
        <v>0</v>
      </c>
      <c r="O100" s="28">
        <f>IF(M100="","",M100*Parâmetros!$C$5)</f>
        <v>5585.4933333333329</v>
      </c>
      <c r="P100" s="64" t="str">
        <f>IF(L100="","",IF(L100&gt;=Parâmetros!$C$10,"Sim","Não"))</f>
        <v/>
      </c>
    </row>
    <row r="101" spans="1:16" ht="15" customHeight="1" x14ac:dyDescent="0.3">
      <c r="A101" s="60">
        <v>99</v>
      </c>
      <c r="B101" s="60" t="s">
        <v>282</v>
      </c>
      <c r="C101" s="101" t="s">
        <v>183</v>
      </c>
      <c r="D101" s="101" t="s">
        <v>184</v>
      </c>
      <c r="E101" s="60">
        <v>3</v>
      </c>
      <c r="F101" s="85">
        <v>46220</v>
      </c>
      <c r="G101" s="35">
        <v>397</v>
      </c>
      <c r="H101" s="85">
        <f>IF(COUNTIFS(Pesagens!$B$3:$B$5001,$B101)=0,"",_xlfn.MAXIFS(Pesagens!$A$3:$A$5001,Pesagens!$B$3:$B$5001,$B101,Pesagens!$E$3:$E$5001,"&lt;&gt;"))</f>
        <v>46220</v>
      </c>
      <c r="I101" s="35">
        <f>IF($H101="","",IFERROR(AVERAGEIFS(Pesagens!$E$3:$E$5001,Pesagens!$B$3:$B$5001,$B101,Pesagens!$A$3:$A$5001,$H101),""))</f>
        <v>397</v>
      </c>
      <c r="J101" s="60">
        <f>IF(F101="","",Parâmetros!$C$4-F101)</f>
        <v>18</v>
      </c>
      <c r="K101" s="35">
        <f t="shared" si="2"/>
        <v>0</v>
      </c>
      <c r="L101" s="102" t="str">
        <f t="shared" si="3"/>
        <v/>
      </c>
      <c r="M101" s="103">
        <f>IF(I101="","",I101*Parâmetros!$C$8/15)</f>
        <v>14.027333333333333</v>
      </c>
      <c r="N101" s="103">
        <f>IF(K101="","",K101*Parâmetros!$C$8/15)</f>
        <v>0</v>
      </c>
      <c r="O101" s="26">
        <f>IF(M101="","",M101*Parâmetros!$C$5)</f>
        <v>4488.7466666666669</v>
      </c>
      <c r="P101" s="60" t="str">
        <f>IF(L101="","",IF(L101&gt;=Parâmetros!$C$10,"Sim","Não"))</f>
        <v/>
      </c>
    </row>
    <row r="102" spans="1:16" ht="15" customHeight="1" x14ac:dyDescent="0.3">
      <c r="A102" s="64">
        <v>100</v>
      </c>
      <c r="B102" s="64" t="s">
        <v>283</v>
      </c>
      <c r="C102" s="104" t="s">
        <v>183</v>
      </c>
      <c r="D102" s="104" t="s">
        <v>184</v>
      </c>
      <c r="E102" s="64">
        <v>3</v>
      </c>
      <c r="F102" s="86">
        <v>46220</v>
      </c>
      <c r="G102" s="40">
        <v>422</v>
      </c>
      <c r="H102" s="86">
        <f>IF(COUNTIFS(Pesagens!$B$3:$B$5001,$B102)=0,"",_xlfn.MAXIFS(Pesagens!$A$3:$A$5001,Pesagens!$B$3:$B$5001,$B102,Pesagens!$E$3:$E$5001,"&lt;&gt;"))</f>
        <v>46220</v>
      </c>
      <c r="I102" s="40">
        <f>IF($H102="","",IFERROR(AVERAGEIFS(Pesagens!$E$3:$E$5001,Pesagens!$B$3:$B$5001,$B102,Pesagens!$A$3:$A$5001,$H102),""))</f>
        <v>422</v>
      </c>
      <c r="J102" s="64">
        <f>IF(F102="","",Parâmetros!$C$4-F102)</f>
        <v>18</v>
      </c>
      <c r="K102" s="40">
        <f t="shared" si="2"/>
        <v>0</v>
      </c>
      <c r="L102" s="105" t="str">
        <f t="shared" si="3"/>
        <v/>
      </c>
      <c r="M102" s="106">
        <f>IF(I102="","",I102*Parâmetros!$C$8/15)</f>
        <v>14.910666666666668</v>
      </c>
      <c r="N102" s="106">
        <f>IF(K102="","",K102*Parâmetros!$C$8/15)</f>
        <v>0</v>
      </c>
      <c r="O102" s="28">
        <f>IF(M102="","",M102*Parâmetros!$C$5)</f>
        <v>4771.4133333333339</v>
      </c>
      <c r="P102" s="64" t="str">
        <f>IF(L102="","",IF(L102&gt;=Parâmetros!$C$10,"Sim","Não"))</f>
        <v/>
      </c>
    </row>
    <row r="103" spans="1:16" ht="15" customHeight="1" x14ac:dyDescent="0.3">
      <c r="A103" s="60">
        <v>101</v>
      </c>
      <c r="B103" s="60" t="s">
        <v>284</v>
      </c>
      <c r="C103" s="101" t="s">
        <v>183</v>
      </c>
      <c r="D103" s="101" t="s">
        <v>184</v>
      </c>
      <c r="E103" s="60">
        <v>3</v>
      </c>
      <c r="F103" s="85">
        <v>46220</v>
      </c>
      <c r="G103" s="35">
        <v>437</v>
      </c>
      <c r="H103" s="85">
        <f>IF(COUNTIFS(Pesagens!$B$3:$B$5001,$B103)=0,"",_xlfn.MAXIFS(Pesagens!$A$3:$A$5001,Pesagens!$B$3:$B$5001,$B103,Pesagens!$E$3:$E$5001,"&lt;&gt;"))</f>
        <v>46220</v>
      </c>
      <c r="I103" s="35">
        <f>IF($H103="","",IFERROR(AVERAGEIFS(Pesagens!$E$3:$E$5001,Pesagens!$B$3:$B$5001,$B103,Pesagens!$A$3:$A$5001,$H103),""))</f>
        <v>437</v>
      </c>
      <c r="J103" s="60">
        <f>IF(F103="","",Parâmetros!$C$4-F103)</f>
        <v>18</v>
      </c>
      <c r="K103" s="35">
        <f t="shared" si="2"/>
        <v>0</v>
      </c>
      <c r="L103" s="102" t="str">
        <f t="shared" si="3"/>
        <v/>
      </c>
      <c r="M103" s="103">
        <f>IF(I103="","",I103*Parâmetros!$C$8/15)</f>
        <v>15.440666666666667</v>
      </c>
      <c r="N103" s="103">
        <f>IF(K103="","",K103*Parâmetros!$C$8/15)</f>
        <v>0</v>
      </c>
      <c r="O103" s="26">
        <f>IF(M103="","",M103*Parâmetros!$C$5)</f>
        <v>4941.0133333333333</v>
      </c>
      <c r="P103" s="60" t="str">
        <f>IF(L103="","",IF(L103&gt;=Parâmetros!$C$10,"Sim","Não"))</f>
        <v/>
      </c>
    </row>
    <row r="104" spans="1:16" ht="15" customHeight="1" x14ac:dyDescent="0.3">
      <c r="A104" s="64">
        <v>102</v>
      </c>
      <c r="B104" s="64" t="s">
        <v>285</v>
      </c>
      <c r="C104" s="104" t="s">
        <v>183</v>
      </c>
      <c r="D104" s="104" t="s">
        <v>184</v>
      </c>
      <c r="E104" s="64">
        <v>3</v>
      </c>
      <c r="F104" s="86">
        <v>46220</v>
      </c>
      <c r="G104" s="40">
        <v>400</v>
      </c>
      <c r="H104" s="86">
        <f>IF(COUNTIFS(Pesagens!$B$3:$B$5001,$B104)=0,"",_xlfn.MAXIFS(Pesagens!$A$3:$A$5001,Pesagens!$B$3:$B$5001,$B104,Pesagens!$E$3:$E$5001,"&lt;&gt;"))</f>
        <v>46220</v>
      </c>
      <c r="I104" s="40">
        <f>IF($H104="","",IFERROR(AVERAGEIFS(Pesagens!$E$3:$E$5001,Pesagens!$B$3:$B$5001,$B104,Pesagens!$A$3:$A$5001,$H104),""))</f>
        <v>400</v>
      </c>
      <c r="J104" s="64">
        <f>IF(F104="","",Parâmetros!$C$4-F104)</f>
        <v>18</v>
      </c>
      <c r="K104" s="40">
        <f t="shared" si="2"/>
        <v>0</v>
      </c>
      <c r="L104" s="105" t="str">
        <f t="shared" si="3"/>
        <v/>
      </c>
      <c r="M104" s="106">
        <f>IF(I104="","",I104*Parâmetros!$C$8/15)</f>
        <v>14.133333333333333</v>
      </c>
      <c r="N104" s="106">
        <f>IF(K104="","",K104*Parâmetros!$C$8/15)</f>
        <v>0</v>
      </c>
      <c r="O104" s="28">
        <f>IF(M104="","",M104*Parâmetros!$C$5)</f>
        <v>4522.6666666666661</v>
      </c>
      <c r="P104" s="64" t="str">
        <f>IF(L104="","",IF(L104&gt;=Parâmetros!$C$10,"Sim","Não"))</f>
        <v/>
      </c>
    </row>
    <row r="105" spans="1:16" ht="15" customHeight="1" x14ac:dyDescent="0.3">
      <c r="A105" s="60">
        <v>103</v>
      </c>
      <c r="B105" s="60" t="s">
        <v>286</v>
      </c>
      <c r="C105" s="101" t="s">
        <v>183</v>
      </c>
      <c r="D105" s="101" t="s">
        <v>184</v>
      </c>
      <c r="E105" s="60">
        <v>3</v>
      </c>
      <c r="F105" s="85">
        <v>46220</v>
      </c>
      <c r="G105" s="35">
        <v>395</v>
      </c>
      <c r="H105" s="85">
        <f>IF(COUNTIFS(Pesagens!$B$3:$B$5001,$B105)=0,"",_xlfn.MAXIFS(Pesagens!$A$3:$A$5001,Pesagens!$B$3:$B$5001,$B105,Pesagens!$E$3:$E$5001,"&lt;&gt;"))</f>
        <v>46220</v>
      </c>
      <c r="I105" s="35">
        <f>IF($H105="","",IFERROR(AVERAGEIFS(Pesagens!$E$3:$E$5001,Pesagens!$B$3:$B$5001,$B105,Pesagens!$A$3:$A$5001,$H105),""))</f>
        <v>395</v>
      </c>
      <c r="J105" s="60">
        <f>IF(F105="","",Parâmetros!$C$4-F105)</f>
        <v>18</v>
      </c>
      <c r="K105" s="35">
        <f t="shared" si="2"/>
        <v>0</v>
      </c>
      <c r="L105" s="102" t="str">
        <f t="shared" si="3"/>
        <v/>
      </c>
      <c r="M105" s="103">
        <f>IF(I105="","",I105*Parâmetros!$C$8/15)</f>
        <v>13.956666666666669</v>
      </c>
      <c r="N105" s="103">
        <f>IF(K105="","",K105*Parâmetros!$C$8/15)</f>
        <v>0</v>
      </c>
      <c r="O105" s="26">
        <f>IF(M105="","",M105*Parâmetros!$C$5)</f>
        <v>4466.1333333333341</v>
      </c>
      <c r="P105" s="60" t="str">
        <f>IF(L105="","",IF(L105&gt;=Parâmetros!$C$10,"Sim","Não"))</f>
        <v/>
      </c>
    </row>
    <row r="106" spans="1:16" ht="15" customHeight="1" x14ac:dyDescent="0.3">
      <c r="A106" s="64">
        <v>104</v>
      </c>
      <c r="B106" s="64" t="s">
        <v>287</v>
      </c>
      <c r="C106" s="104" t="s">
        <v>183</v>
      </c>
      <c r="D106" s="104" t="s">
        <v>184</v>
      </c>
      <c r="E106" s="64">
        <v>3</v>
      </c>
      <c r="F106" s="86">
        <v>46220</v>
      </c>
      <c r="G106" s="40">
        <v>413</v>
      </c>
      <c r="H106" s="86">
        <f>IF(COUNTIFS(Pesagens!$B$3:$B$5001,$B106)=0,"",_xlfn.MAXIFS(Pesagens!$A$3:$A$5001,Pesagens!$B$3:$B$5001,$B106,Pesagens!$E$3:$E$5001,"&lt;&gt;"))</f>
        <v>46220</v>
      </c>
      <c r="I106" s="40">
        <f>IF($H106="","",IFERROR(AVERAGEIFS(Pesagens!$E$3:$E$5001,Pesagens!$B$3:$B$5001,$B106,Pesagens!$A$3:$A$5001,$H106),""))</f>
        <v>413</v>
      </c>
      <c r="J106" s="64">
        <f>IF(F106="","",Parâmetros!$C$4-F106)</f>
        <v>18</v>
      </c>
      <c r="K106" s="40">
        <f t="shared" si="2"/>
        <v>0</v>
      </c>
      <c r="L106" s="105" t="str">
        <f t="shared" si="3"/>
        <v/>
      </c>
      <c r="M106" s="106">
        <f>IF(I106="","",I106*Parâmetros!$C$8/15)</f>
        <v>14.592666666666668</v>
      </c>
      <c r="N106" s="106">
        <f>IF(K106="","",K106*Parâmetros!$C$8/15)</f>
        <v>0</v>
      </c>
      <c r="O106" s="28">
        <f>IF(M106="","",M106*Parâmetros!$C$5)</f>
        <v>4669.6533333333336</v>
      </c>
      <c r="P106" s="64" t="str">
        <f>IF(L106="","",IF(L106&gt;=Parâmetros!$C$10,"Sim","Não"))</f>
        <v/>
      </c>
    </row>
    <row r="107" spans="1:16" ht="15" customHeight="1" x14ac:dyDescent="0.3">
      <c r="A107" s="60">
        <v>105</v>
      </c>
      <c r="B107" s="60" t="s">
        <v>288</v>
      </c>
      <c r="C107" s="101" t="s">
        <v>183</v>
      </c>
      <c r="D107" s="101" t="s">
        <v>184</v>
      </c>
      <c r="E107" s="60">
        <v>3</v>
      </c>
      <c r="F107" s="85">
        <v>46220</v>
      </c>
      <c r="G107" s="35">
        <v>398</v>
      </c>
      <c r="H107" s="85">
        <f>IF(COUNTIFS(Pesagens!$B$3:$B$5001,$B107)=0,"",_xlfn.MAXIFS(Pesagens!$A$3:$A$5001,Pesagens!$B$3:$B$5001,$B107,Pesagens!$E$3:$E$5001,"&lt;&gt;"))</f>
        <v>46220</v>
      </c>
      <c r="I107" s="35">
        <f>IF($H107="","",IFERROR(AVERAGEIFS(Pesagens!$E$3:$E$5001,Pesagens!$B$3:$B$5001,$B107,Pesagens!$A$3:$A$5001,$H107),""))</f>
        <v>398</v>
      </c>
      <c r="J107" s="60">
        <f>IF(F107="","",Parâmetros!$C$4-F107)</f>
        <v>18</v>
      </c>
      <c r="K107" s="35">
        <f t="shared" si="2"/>
        <v>0</v>
      </c>
      <c r="L107" s="102" t="str">
        <f t="shared" si="3"/>
        <v/>
      </c>
      <c r="M107" s="103">
        <f>IF(I107="","",I107*Parâmetros!$C$8/15)</f>
        <v>14.062666666666667</v>
      </c>
      <c r="N107" s="103">
        <f>IF(K107="","",K107*Parâmetros!$C$8/15)</f>
        <v>0</v>
      </c>
      <c r="O107" s="26">
        <f>IF(M107="","",M107*Parâmetros!$C$5)</f>
        <v>4500.0533333333333</v>
      </c>
      <c r="P107" s="60" t="str">
        <f>IF(L107="","",IF(L107&gt;=Parâmetros!$C$10,"Sim","Não"))</f>
        <v/>
      </c>
    </row>
    <row r="108" spans="1:16" ht="15" customHeight="1" x14ac:dyDescent="0.3">
      <c r="A108" s="64">
        <v>106</v>
      </c>
      <c r="B108" s="64" t="s">
        <v>289</v>
      </c>
      <c r="C108" s="104" t="s">
        <v>183</v>
      </c>
      <c r="D108" s="104" t="s">
        <v>184</v>
      </c>
      <c r="E108" s="64">
        <v>3</v>
      </c>
      <c r="F108" s="86">
        <v>46220</v>
      </c>
      <c r="G108" s="40">
        <v>411</v>
      </c>
      <c r="H108" s="86">
        <f>IF(COUNTIFS(Pesagens!$B$3:$B$5001,$B108)=0,"",_xlfn.MAXIFS(Pesagens!$A$3:$A$5001,Pesagens!$B$3:$B$5001,$B108,Pesagens!$E$3:$E$5001,"&lt;&gt;"))</f>
        <v>46220</v>
      </c>
      <c r="I108" s="40">
        <f>IF($H108="","",IFERROR(AVERAGEIFS(Pesagens!$E$3:$E$5001,Pesagens!$B$3:$B$5001,$B108,Pesagens!$A$3:$A$5001,$H108),""))</f>
        <v>411</v>
      </c>
      <c r="J108" s="64">
        <f>IF(F108="","",Parâmetros!$C$4-F108)</f>
        <v>18</v>
      </c>
      <c r="K108" s="40">
        <f t="shared" si="2"/>
        <v>0</v>
      </c>
      <c r="L108" s="105" t="str">
        <f t="shared" si="3"/>
        <v/>
      </c>
      <c r="M108" s="106">
        <f>IF(I108="","",I108*Parâmetros!$C$8/15)</f>
        <v>14.522</v>
      </c>
      <c r="N108" s="106">
        <f>IF(K108="","",K108*Parâmetros!$C$8/15)</f>
        <v>0</v>
      </c>
      <c r="O108" s="28">
        <f>IF(M108="","",M108*Parâmetros!$C$5)</f>
        <v>4647.04</v>
      </c>
      <c r="P108" s="64" t="str">
        <f>IF(L108="","",IF(L108&gt;=Parâmetros!$C$10,"Sim","Não"))</f>
        <v/>
      </c>
    </row>
    <row r="109" spans="1:16" ht="15" customHeight="1" x14ac:dyDescent="0.3">
      <c r="A109" s="60">
        <v>107</v>
      </c>
      <c r="B109" s="60" t="s">
        <v>290</v>
      </c>
      <c r="C109" s="101" t="s">
        <v>183</v>
      </c>
      <c r="D109" s="101" t="s">
        <v>184</v>
      </c>
      <c r="E109" s="60">
        <v>3</v>
      </c>
      <c r="F109" s="85">
        <v>46220</v>
      </c>
      <c r="G109" s="35">
        <v>412</v>
      </c>
      <c r="H109" s="85">
        <f>IF(COUNTIFS(Pesagens!$B$3:$B$5001,$B109)=0,"",_xlfn.MAXIFS(Pesagens!$A$3:$A$5001,Pesagens!$B$3:$B$5001,$B109,Pesagens!$E$3:$E$5001,"&lt;&gt;"))</f>
        <v>46220</v>
      </c>
      <c r="I109" s="35">
        <f>IF($H109="","",IFERROR(AVERAGEIFS(Pesagens!$E$3:$E$5001,Pesagens!$B$3:$B$5001,$B109,Pesagens!$A$3:$A$5001,$H109),""))</f>
        <v>412</v>
      </c>
      <c r="J109" s="60">
        <f>IF(F109="","",Parâmetros!$C$4-F109)</f>
        <v>18</v>
      </c>
      <c r="K109" s="35">
        <f t="shared" si="2"/>
        <v>0</v>
      </c>
      <c r="L109" s="102" t="str">
        <f t="shared" si="3"/>
        <v/>
      </c>
      <c r="M109" s="103">
        <f>IF(I109="","",I109*Parâmetros!$C$8/15)</f>
        <v>14.557333333333334</v>
      </c>
      <c r="N109" s="103">
        <f>IF(K109="","",K109*Parâmetros!$C$8/15)</f>
        <v>0</v>
      </c>
      <c r="O109" s="26">
        <f>IF(M109="","",M109*Parâmetros!$C$5)</f>
        <v>4658.3466666666673</v>
      </c>
      <c r="P109" s="60" t="str">
        <f>IF(L109="","",IF(L109&gt;=Parâmetros!$C$10,"Sim","Não"))</f>
        <v/>
      </c>
    </row>
    <row r="110" spans="1:16" ht="15" customHeight="1" x14ac:dyDescent="0.3">
      <c r="A110" s="64">
        <v>108</v>
      </c>
      <c r="B110" s="64" t="s">
        <v>291</v>
      </c>
      <c r="C110" s="104" t="s">
        <v>183</v>
      </c>
      <c r="D110" s="104" t="s">
        <v>184</v>
      </c>
      <c r="E110" s="64">
        <v>3</v>
      </c>
      <c r="F110" s="86">
        <v>46220</v>
      </c>
      <c r="G110" s="40">
        <v>421</v>
      </c>
      <c r="H110" s="86">
        <f>IF(COUNTIFS(Pesagens!$B$3:$B$5001,$B110)=0,"",_xlfn.MAXIFS(Pesagens!$A$3:$A$5001,Pesagens!$B$3:$B$5001,$B110,Pesagens!$E$3:$E$5001,"&lt;&gt;"))</f>
        <v>46220</v>
      </c>
      <c r="I110" s="40">
        <f>IF($H110="","",IFERROR(AVERAGEIFS(Pesagens!$E$3:$E$5001,Pesagens!$B$3:$B$5001,$B110,Pesagens!$A$3:$A$5001,$H110),""))</f>
        <v>421</v>
      </c>
      <c r="J110" s="64">
        <f>IF(F110="","",Parâmetros!$C$4-F110)</f>
        <v>18</v>
      </c>
      <c r="K110" s="40">
        <f t="shared" si="2"/>
        <v>0</v>
      </c>
      <c r="L110" s="105" t="str">
        <f t="shared" si="3"/>
        <v/>
      </c>
      <c r="M110" s="106">
        <f>IF(I110="","",I110*Parâmetros!$C$8/15)</f>
        <v>14.875333333333336</v>
      </c>
      <c r="N110" s="106">
        <f>IF(K110="","",K110*Parâmetros!$C$8/15)</f>
        <v>0</v>
      </c>
      <c r="O110" s="28">
        <f>IF(M110="","",M110*Parâmetros!$C$5)</f>
        <v>4760.1066666666675</v>
      </c>
      <c r="P110" s="64" t="str">
        <f>IF(L110="","",IF(L110&gt;=Parâmetros!$C$10,"Sim","Não"))</f>
        <v/>
      </c>
    </row>
    <row r="111" spans="1:16" ht="15" customHeight="1" x14ac:dyDescent="0.3">
      <c r="A111" s="60">
        <v>109</v>
      </c>
      <c r="B111" s="60" t="s">
        <v>292</v>
      </c>
      <c r="C111" s="101" t="s">
        <v>183</v>
      </c>
      <c r="D111" s="101" t="s">
        <v>184</v>
      </c>
      <c r="E111" s="60">
        <v>3</v>
      </c>
      <c r="F111" s="85">
        <v>46224</v>
      </c>
      <c r="G111" s="35">
        <v>404</v>
      </c>
      <c r="H111" s="85">
        <f>IF(COUNTIFS(Pesagens!$B$3:$B$5001,$B111)=0,"",_xlfn.MAXIFS(Pesagens!$A$3:$A$5001,Pesagens!$B$3:$B$5001,$B111,Pesagens!$E$3:$E$5001,"&lt;&gt;"))</f>
        <v>46224</v>
      </c>
      <c r="I111" s="35">
        <f>IF($H111="","",IFERROR(AVERAGEIFS(Pesagens!$E$3:$E$5001,Pesagens!$B$3:$B$5001,$B111,Pesagens!$A$3:$A$5001,$H111),""))</f>
        <v>404</v>
      </c>
      <c r="J111" s="60">
        <f>IF(F111="","",Parâmetros!$C$4-F111)</f>
        <v>14</v>
      </c>
      <c r="K111" s="35">
        <f t="shared" si="2"/>
        <v>0</v>
      </c>
      <c r="L111" s="102" t="str">
        <f t="shared" si="3"/>
        <v/>
      </c>
      <c r="M111" s="103">
        <f>IF(I111="","",I111*Parâmetros!$C$8/15)</f>
        <v>14.274666666666667</v>
      </c>
      <c r="N111" s="103">
        <f>IF(K111="","",K111*Parâmetros!$C$8/15)</f>
        <v>0</v>
      </c>
      <c r="O111" s="26">
        <f>IF(M111="","",M111*Parâmetros!$C$5)</f>
        <v>4567.8933333333334</v>
      </c>
      <c r="P111" s="60" t="str">
        <f>IF(L111="","",IF(L111&gt;=Parâmetros!$C$10,"Sim","Não"))</f>
        <v/>
      </c>
    </row>
    <row r="112" spans="1:16" ht="15" customHeight="1" x14ac:dyDescent="0.3">
      <c r="A112" s="64">
        <v>110</v>
      </c>
      <c r="B112" s="64" t="s">
        <v>293</v>
      </c>
      <c r="C112" s="104" t="s">
        <v>183</v>
      </c>
      <c r="D112" s="104" t="s">
        <v>184</v>
      </c>
      <c r="E112" s="64">
        <v>3</v>
      </c>
      <c r="F112" s="86">
        <v>46224</v>
      </c>
      <c r="G112" s="40">
        <v>418</v>
      </c>
      <c r="H112" s="86">
        <f>IF(COUNTIFS(Pesagens!$B$3:$B$5001,$B112)=0,"",_xlfn.MAXIFS(Pesagens!$A$3:$A$5001,Pesagens!$B$3:$B$5001,$B112,Pesagens!$E$3:$E$5001,"&lt;&gt;"))</f>
        <v>46224</v>
      </c>
      <c r="I112" s="40">
        <f>IF($H112="","",IFERROR(AVERAGEIFS(Pesagens!$E$3:$E$5001,Pesagens!$B$3:$B$5001,$B112,Pesagens!$A$3:$A$5001,$H112),""))</f>
        <v>418</v>
      </c>
      <c r="J112" s="64">
        <f>IF(F112="","",Parâmetros!$C$4-F112)</f>
        <v>14</v>
      </c>
      <c r="K112" s="40">
        <f t="shared" si="2"/>
        <v>0</v>
      </c>
      <c r="L112" s="105" t="str">
        <f t="shared" si="3"/>
        <v/>
      </c>
      <c r="M112" s="106">
        <f>IF(I112="","",I112*Parâmetros!$C$8/15)</f>
        <v>14.769333333333334</v>
      </c>
      <c r="N112" s="106">
        <f>IF(K112="","",K112*Parâmetros!$C$8/15)</f>
        <v>0</v>
      </c>
      <c r="O112" s="28">
        <f>IF(M112="","",M112*Parâmetros!$C$5)</f>
        <v>4726.1866666666665</v>
      </c>
      <c r="P112" s="64" t="str">
        <f>IF(L112="","",IF(L112&gt;=Parâmetros!$C$10,"Sim","Não"))</f>
        <v/>
      </c>
    </row>
    <row r="113" spans="1:16" ht="15" customHeight="1" x14ac:dyDescent="0.3">
      <c r="A113" s="60">
        <v>111</v>
      </c>
      <c r="B113" s="60" t="s">
        <v>294</v>
      </c>
      <c r="C113" s="101" t="s">
        <v>183</v>
      </c>
      <c r="D113" s="101" t="s">
        <v>184</v>
      </c>
      <c r="E113" s="60">
        <v>3</v>
      </c>
      <c r="F113" s="85">
        <v>46224</v>
      </c>
      <c r="G113" s="35">
        <v>432</v>
      </c>
      <c r="H113" s="85">
        <f>IF(COUNTIFS(Pesagens!$B$3:$B$5001,$B113)=0,"",_xlfn.MAXIFS(Pesagens!$A$3:$A$5001,Pesagens!$B$3:$B$5001,$B113,Pesagens!$E$3:$E$5001,"&lt;&gt;"))</f>
        <v>46224</v>
      </c>
      <c r="I113" s="35">
        <f>IF($H113="","",IFERROR(AVERAGEIFS(Pesagens!$E$3:$E$5001,Pesagens!$B$3:$B$5001,$B113,Pesagens!$A$3:$A$5001,$H113),""))</f>
        <v>432</v>
      </c>
      <c r="J113" s="60">
        <f>IF(F113="","",Parâmetros!$C$4-F113)</f>
        <v>14</v>
      </c>
      <c r="K113" s="35">
        <f t="shared" si="2"/>
        <v>0</v>
      </c>
      <c r="L113" s="102" t="str">
        <f t="shared" si="3"/>
        <v/>
      </c>
      <c r="M113" s="103">
        <f>IF(I113="","",I113*Parâmetros!$C$8/15)</f>
        <v>15.264000000000001</v>
      </c>
      <c r="N113" s="103">
        <f>IF(K113="","",K113*Parâmetros!$C$8/15)</f>
        <v>0</v>
      </c>
      <c r="O113" s="26">
        <f>IF(M113="","",M113*Parâmetros!$C$5)</f>
        <v>4884.4800000000005</v>
      </c>
      <c r="P113" s="60" t="str">
        <f>IF(L113="","",IF(L113&gt;=Parâmetros!$C$10,"Sim","Não"))</f>
        <v/>
      </c>
    </row>
    <row r="114" spans="1:16" ht="15" customHeight="1" x14ac:dyDescent="0.3">
      <c r="A114" s="64">
        <v>112</v>
      </c>
      <c r="B114" s="64" t="s">
        <v>295</v>
      </c>
      <c r="C114" s="104" t="s">
        <v>183</v>
      </c>
      <c r="D114" s="104" t="s">
        <v>184</v>
      </c>
      <c r="E114" s="64">
        <v>3</v>
      </c>
      <c r="F114" s="86">
        <v>46224</v>
      </c>
      <c r="G114" s="40">
        <v>408</v>
      </c>
      <c r="H114" s="86">
        <f>IF(COUNTIFS(Pesagens!$B$3:$B$5001,$B114)=0,"",_xlfn.MAXIFS(Pesagens!$A$3:$A$5001,Pesagens!$B$3:$B$5001,$B114,Pesagens!$E$3:$E$5001,"&lt;&gt;"))</f>
        <v>46224</v>
      </c>
      <c r="I114" s="40">
        <f>IF($H114="","",IFERROR(AVERAGEIFS(Pesagens!$E$3:$E$5001,Pesagens!$B$3:$B$5001,$B114,Pesagens!$A$3:$A$5001,$H114),""))</f>
        <v>408</v>
      </c>
      <c r="J114" s="64">
        <f>IF(F114="","",Parâmetros!$C$4-F114)</f>
        <v>14</v>
      </c>
      <c r="K114" s="40">
        <f t="shared" si="2"/>
        <v>0</v>
      </c>
      <c r="L114" s="105" t="str">
        <f t="shared" si="3"/>
        <v/>
      </c>
      <c r="M114" s="106">
        <f>IF(I114="","",I114*Parâmetros!$C$8/15)</f>
        <v>14.416</v>
      </c>
      <c r="N114" s="106">
        <f>IF(K114="","",K114*Parâmetros!$C$8/15)</f>
        <v>0</v>
      </c>
      <c r="O114" s="28">
        <f>IF(M114="","",M114*Parâmetros!$C$5)</f>
        <v>4613.12</v>
      </c>
      <c r="P114" s="64" t="str">
        <f>IF(L114="","",IF(L114&gt;=Parâmetros!$C$10,"Sim","Não"))</f>
        <v/>
      </c>
    </row>
    <row r="115" spans="1:16" ht="15" customHeight="1" x14ac:dyDescent="0.3">
      <c r="A115" s="60">
        <v>113</v>
      </c>
      <c r="B115" s="60" t="s">
        <v>296</v>
      </c>
      <c r="C115" s="101" t="s">
        <v>183</v>
      </c>
      <c r="D115" s="101" t="s">
        <v>184</v>
      </c>
      <c r="E115" s="60">
        <v>3</v>
      </c>
      <c r="F115" s="85">
        <v>46224</v>
      </c>
      <c r="G115" s="35">
        <v>431</v>
      </c>
      <c r="H115" s="85">
        <f>IF(COUNTIFS(Pesagens!$B$3:$B$5001,$B115)=0,"",_xlfn.MAXIFS(Pesagens!$A$3:$A$5001,Pesagens!$B$3:$B$5001,$B115,Pesagens!$E$3:$E$5001,"&lt;&gt;"))</f>
        <v>46224</v>
      </c>
      <c r="I115" s="35">
        <f>IF($H115="","",IFERROR(AVERAGEIFS(Pesagens!$E$3:$E$5001,Pesagens!$B$3:$B$5001,$B115,Pesagens!$A$3:$A$5001,$H115),""))</f>
        <v>431</v>
      </c>
      <c r="J115" s="60">
        <f>IF(F115="","",Parâmetros!$C$4-F115)</f>
        <v>14</v>
      </c>
      <c r="K115" s="35">
        <f t="shared" si="2"/>
        <v>0</v>
      </c>
      <c r="L115" s="102" t="str">
        <f t="shared" si="3"/>
        <v/>
      </c>
      <c r="M115" s="103">
        <f>IF(I115="","",I115*Parâmetros!$C$8/15)</f>
        <v>15.228666666666667</v>
      </c>
      <c r="N115" s="103">
        <f>IF(K115="","",K115*Parâmetros!$C$8/15)</f>
        <v>0</v>
      </c>
      <c r="O115" s="26">
        <f>IF(M115="","",M115*Parâmetros!$C$5)</f>
        <v>4873.1733333333332</v>
      </c>
      <c r="P115" s="60" t="str">
        <f>IF(L115="","",IF(L115&gt;=Parâmetros!$C$10,"Sim","Não"))</f>
        <v/>
      </c>
    </row>
    <row r="116" spans="1:16" ht="15" customHeight="1" x14ac:dyDescent="0.3">
      <c r="A116" s="64">
        <v>114</v>
      </c>
      <c r="B116" s="64" t="s">
        <v>297</v>
      </c>
      <c r="C116" s="104" t="s">
        <v>183</v>
      </c>
      <c r="D116" s="104" t="s">
        <v>184</v>
      </c>
      <c r="E116" s="64">
        <v>3</v>
      </c>
      <c r="F116" s="86">
        <v>46224</v>
      </c>
      <c r="G116" s="40">
        <v>403</v>
      </c>
      <c r="H116" s="86">
        <f>IF(COUNTIFS(Pesagens!$B$3:$B$5001,$B116)=0,"",_xlfn.MAXIFS(Pesagens!$A$3:$A$5001,Pesagens!$B$3:$B$5001,$B116,Pesagens!$E$3:$E$5001,"&lt;&gt;"))</f>
        <v>46224</v>
      </c>
      <c r="I116" s="40">
        <f>IF($H116="","",IFERROR(AVERAGEIFS(Pesagens!$E$3:$E$5001,Pesagens!$B$3:$B$5001,$B116,Pesagens!$A$3:$A$5001,$H116),""))</f>
        <v>403</v>
      </c>
      <c r="J116" s="64">
        <f>IF(F116="","",Parâmetros!$C$4-F116)</f>
        <v>14</v>
      </c>
      <c r="K116" s="40">
        <f t="shared" si="2"/>
        <v>0</v>
      </c>
      <c r="L116" s="105" t="str">
        <f t="shared" si="3"/>
        <v/>
      </c>
      <c r="M116" s="106">
        <f>IF(I116="","",I116*Parâmetros!$C$8/15)</f>
        <v>14.239333333333333</v>
      </c>
      <c r="N116" s="106">
        <f>IF(K116="","",K116*Parâmetros!$C$8/15)</f>
        <v>0</v>
      </c>
      <c r="O116" s="28">
        <f>IF(M116="","",M116*Parâmetros!$C$5)</f>
        <v>4556.5866666666661</v>
      </c>
      <c r="P116" s="64" t="str">
        <f>IF(L116="","",IF(L116&gt;=Parâmetros!$C$10,"Sim","Não"))</f>
        <v/>
      </c>
    </row>
    <row r="117" spans="1:16" ht="15" customHeight="1" x14ac:dyDescent="0.3">
      <c r="A117" s="60">
        <v>115</v>
      </c>
      <c r="B117" s="60" t="s">
        <v>298</v>
      </c>
      <c r="C117" s="101" t="s">
        <v>183</v>
      </c>
      <c r="D117" s="101" t="s">
        <v>184</v>
      </c>
      <c r="E117" s="60">
        <v>3</v>
      </c>
      <c r="F117" s="85">
        <v>46224</v>
      </c>
      <c r="G117" s="35">
        <v>412</v>
      </c>
      <c r="H117" s="85">
        <f>IF(COUNTIFS(Pesagens!$B$3:$B$5001,$B117)=0,"",_xlfn.MAXIFS(Pesagens!$A$3:$A$5001,Pesagens!$B$3:$B$5001,$B117,Pesagens!$E$3:$E$5001,"&lt;&gt;"))</f>
        <v>46224</v>
      </c>
      <c r="I117" s="35">
        <f>IF($H117="","",IFERROR(AVERAGEIFS(Pesagens!$E$3:$E$5001,Pesagens!$B$3:$B$5001,$B117,Pesagens!$A$3:$A$5001,$H117),""))</f>
        <v>412</v>
      </c>
      <c r="J117" s="60">
        <f>IF(F117="","",Parâmetros!$C$4-F117)</f>
        <v>14</v>
      </c>
      <c r="K117" s="35">
        <f t="shared" si="2"/>
        <v>0</v>
      </c>
      <c r="L117" s="102" t="str">
        <f t="shared" si="3"/>
        <v/>
      </c>
      <c r="M117" s="103">
        <f>IF(I117="","",I117*Parâmetros!$C$8/15)</f>
        <v>14.557333333333334</v>
      </c>
      <c r="N117" s="103">
        <f>IF(K117="","",K117*Parâmetros!$C$8/15)</f>
        <v>0</v>
      </c>
      <c r="O117" s="26">
        <f>IF(M117="","",M117*Parâmetros!$C$5)</f>
        <v>4658.3466666666673</v>
      </c>
      <c r="P117" s="60" t="str">
        <f>IF(L117="","",IF(L117&gt;=Parâmetros!$C$10,"Sim","Não"))</f>
        <v/>
      </c>
    </row>
    <row r="118" spans="1:16" ht="15" customHeight="1" x14ac:dyDescent="0.3">
      <c r="A118" s="64">
        <v>116</v>
      </c>
      <c r="B118" s="64" t="s">
        <v>299</v>
      </c>
      <c r="C118" s="104" t="s">
        <v>183</v>
      </c>
      <c r="D118" s="104" t="s">
        <v>184</v>
      </c>
      <c r="E118" s="64">
        <v>3</v>
      </c>
      <c r="F118" s="86">
        <v>46224</v>
      </c>
      <c r="G118" s="40">
        <v>410</v>
      </c>
      <c r="H118" s="86">
        <f>IF(COUNTIFS(Pesagens!$B$3:$B$5001,$B118)=0,"",_xlfn.MAXIFS(Pesagens!$A$3:$A$5001,Pesagens!$B$3:$B$5001,$B118,Pesagens!$E$3:$E$5001,"&lt;&gt;"))</f>
        <v>46224</v>
      </c>
      <c r="I118" s="40">
        <f>IF($H118="","",IFERROR(AVERAGEIFS(Pesagens!$E$3:$E$5001,Pesagens!$B$3:$B$5001,$B118,Pesagens!$A$3:$A$5001,$H118),""))</f>
        <v>410</v>
      </c>
      <c r="J118" s="64">
        <f>IF(F118="","",Parâmetros!$C$4-F118)</f>
        <v>14</v>
      </c>
      <c r="K118" s="40">
        <f t="shared" si="2"/>
        <v>0</v>
      </c>
      <c r="L118" s="105" t="str">
        <f t="shared" si="3"/>
        <v/>
      </c>
      <c r="M118" s="106">
        <f>IF(I118="","",I118*Parâmetros!$C$8/15)</f>
        <v>14.486666666666668</v>
      </c>
      <c r="N118" s="106">
        <f>IF(K118="","",K118*Parâmetros!$C$8/15)</f>
        <v>0</v>
      </c>
      <c r="O118" s="28">
        <f>IF(M118="","",M118*Parâmetros!$C$5)</f>
        <v>4635.7333333333336</v>
      </c>
      <c r="P118" s="64" t="str">
        <f>IF(L118="","",IF(L118&gt;=Parâmetros!$C$10,"Sim","Não"))</f>
        <v/>
      </c>
    </row>
    <row r="119" spans="1:16" ht="15" customHeight="1" x14ac:dyDescent="0.3">
      <c r="A119" s="60">
        <v>117</v>
      </c>
      <c r="B119" s="60" t="s">
        <v>300</v>
      </c>
      <c r="C119" s="101" t="s">
        <v>183</v>
      </c>
      <c r="D119" s="101" t="s">
        <v>184</v>
      </c>
      <c r="E119" s="60">
        <v>3</v>
      </c>
      <c r="F119" s="85">
        <v>46224</v>
      </c>
      <c r="G119" s="35">
        <v>402</v>
      </c>
      <c r="H119" s="85">
        <f>IF(COUNTIFS(Pesagens!$B$3:$B$5001,$B119)=0,"",_xlfn.MAXIFS(Pesagens!$A$3:$A$5001,Pesagens!$B$3:$B$5001,$B119,Pesagens!$E$3:$E$5001,"&lt;&gt;"))</f>
        <v>46224</v>
      </c>
      <c r="I119" s="35">
        <f>IF($H119="","",IFERROR(AVERAGEIFS(Pesagens!$E$3:$E$5001,Pesagens!$B$3:$B$5001,$B119,Pesagens!$A$3:$A$5001,$H119),""))</f>
        <v>402</v>
      </c>
      <c r="J119" s="60">
        <f>IF(F119="","",Parâmetros!$C$4-F119)</f>
        <v>14</v>
      </c>
      <c r="K119" s="35">
        <f t="shared" si="2"/>
        <v>0</v>
      </c>
      <c r="L119" s="102" t="str">
        <f t="shared" si="3"/>
        <v/>
      </c>
      <c r="M119" s="103">
        <f>IF(I119="","",I119*Parâmetros!$C$8/15)</f>
        <v>14.204000000000001</v>
      </c>
      <c r="N119" s="103">
        <f>IF(K119="","",K119*Parâmetros!$C$8/15)</f>
        <v>0</v>
      </c>
      <c r="O119" s="26">
        <f>IF(M119="","",M119*Parâmetros!$C$5)</f>
        <v>4545.2800000000007</v>
      </c>
      <c r="P119" s="60" t="str">
        <f>IF(L119="","",IF(L119&gt;=Parâmetros!$C$10,"Sim","Não"))</f>
        <v/>
      </c>
    </row>
    <row r="120" spans="1:16" ht="15" customHeight="1" x14ac:dyDescent="0.3">
      <c r="A120" s="64">
        <v>118</v>
      </c>
      <c r="B120" s="64" t="s">
        <v>301</v>
      </c>
      <c r="C120" s="104" t="s">
        <v>183</v>
      </c>
      <c r="D120" s="104" t="s">
        <v>184</v>
      </c>
      <c r="E120" s="64">
        <v>3</v>
      </c>
      <c r="F120" s="86">
        <v>46224</v>
      </c>
      <c r="G120" s="40">
        <v>424</v>
      </c>
      <c r="H120" s="86">
        <f>IF(COUNTIFS(Pesagens!$B$3:$B$5001,$B120)=0,"",_xlfn.MAXIFS(Pesagens!$A$3:$A$5001,Pesagens!$B$3:$B$5001,$B120,Pesagens!$E$3:$E$5001,"&lt;&gt;"))</f>
        <v>46224</v>
      </c>
      <c r="I120" s="40">
        <f>IF($H120="","",IFERROR(AVERAGEIFS(Pesagens!$E$3:$E$5001,Pesagens!$B$3:$B$5001,$B120,Pesagens!$A$3:$A$5001,$H120),""))</f>
        <v>424</v>
      </c>
      <c r="J120" s="64">
        <f>IF(F120="","",Parâmetros!$C$4-F120)</f>
        <v>14</v>
      </c>
      <c r="K120" s="40">
        <f t="shared" si="2"/>
        <v>0</v>
      </c>
      <c r="L120" s="105" t="str">
        <f t="shared" si="3"/>
        <v/>
      </c>
      <c r="M120" s="106">
        <f>IF(I120="","",I120*Parâmetros!$C$8/15)</f>
        <v>14.981333333333334</v>
      </c>
      <c r="N120" s="106">
        <f>IF(K120="","",K120*Parâmetros!$C$8/15)</f>
        <v>0</v>
      </c>
      <c r="O120" s="28">
        <f>IF(M120="","",M120*Parâmetros!$C$5)</f>
        <v>4794.0266666666666</v>
      </c>
      <c r="P120" s="64" t="str">
        <f>IF(L120="","",IF(L120&gt;=Parâmetros!$C$10,"Sim","Não"))</f>
        <v/>
      </c>
    </row>
    <row r="121" spans="1:16" ht="15" customHeight="1" x14ac:dyDescent="0.3">
      <c r="A121" s="60">
        <v>119</v>
      </c>
      <c r="B121" s="60" t="s">
        <v>302</v>
      </c>
      <c r="C121" s="101" t="s">
        <v>183</v>
      </c>
      <c r="D121" s="101" t="s">
        <v>184</v>
      </c>
      <c r="E121" s="60">
        <v>3</v>
      </c>
      <c r="F121" s="85">
        <v>46224</v>
      </c>
      <c r="G121" s="35">
        <v>411</v>
      </c>
      <c r="H121" s="85">
        <f>IF(COUNTIFS(Pesagens!$B$3:$B$5001,$B121)=0,"",_xlfn.MAXIFS(Pesagens!$A$3:$A$5001,Pesagens!$B$3:$B$5001,$B121,Pesagens!$E$3:$E$5001,"&lt;&gt;"))</f>
        <v>46224</v>
      </c>
      <c r="I121" s="35">
        <f>IF($H121="","",IFERROR(AVERAGEIFS(Pesagens!$E$3:$E$5001,Pesagens!$B$3:$B$5001,$B121,Pesagens!$A$3:$A$5001,$H121),""))</f>
        <v>411</v>
      </c>
      <c r="J121" s="60">
        <f>IF(F121="","",Parâmetros!$C$4-F121)</f>
        <v>14</v>
      </c>
      <c r="K121" s="35">
        <f t="shared" si="2"/>
        <v>0</v>
      </c>
      <c r="L121" s="102" t="str">
        <f t="shared" si="3"/>
        <v/>
      </c>
      <c r="M121" s="103">
        <f>IF(I121="","",I121*Parâmetros!$C$8/15)</f>
        <v>14.522</v>
      </c>
      <c r="N121" s="103">
        <f>IF(K121="","",K121*Parâmetros!$C$8/15)</f>
        <v>0</v>
      </c>
      <c r="O121" s="26">
        <f>IF(M121="","",M121*Parâmetros!$C$5)</f>
        <v>4647.04</v>
      </c>
      <c r="P121" s="60" t="str">
        <f>IF(L121="","",IF(L121&gt;=Parâmetros!$C$10,"Sim","Não"))</f>
        <v/>
      </c>
    </row>
    <row r="122" spans="1:16" ht="15" customHeight="1" x14ac:dyDescent="0.3">
      <c r="A122" s="64">
        <v>120</v>
      </c>
      <c r="B122" s="64" t="s">
        <v>303</v>
      </c>
      <c r="C122" s="104" t="s">
        <v>183</v>
      </c>
      <c r="D122" s="104" t="s">
        <v>184</v>
      </c>
      <c r="E122" s="64">
        <v>3</v>
      </c>
      <c r="F122" s="86">
        <v>46224</v>
      </c>
      <c r="G122" s="40">
        <v>422</v>
      </c>
      <c r="H122" s="86">
        <f>IF(COUNTIFS(Pesagens!$B$3:$B$5001,$B122)=0,"",_xlfn.MAXIFS(Pesagens!$A$3:$A$5001,Pesagens!$B$3:$B$5001,$B122,Pesagens!$E$3:$E$5001,"&lt;&gt;"))</f>
        <v>46224</v>
      </c>
      <c r="I122" s="40">
        <f>IF($H122="","",IFERROR(AVERAGEIFS(Pesagens!$E$3:$E$5001,Pesagens!$B$3:$B$5001,$B122,Pesagens!$A$3:$A$5001,$H122),""))</f>
        <v>422</v>
      </c>
      <c r="J122" s="64">
        <f>IF(F122="","",Parâmetros!$C$4-F122)</f>
        <v>14</v>
      </c>
      <c r="K122" s="40">
        <f t="shared" si="2"/>
        <v>0</v>
      </c>
      <c r="L122" s="105" t="str">
        <f t="shared" si="3"/>
        <v/>
      </c>
      <c r="M122" s="106">
        <f>IF(I122="","",I122*Parâmetros!$C$8/15)</f>
        <v>14.910666666666668</v>
      </c>
      <c r="N122" s="106">
        <f>IF(K122="","",K122*Parâmetros!$C$8/15)</f>
        <v>0</v>
      </c>
      <c r="O122" s="28">
        <f>IF(M122="","",M122*Parâmetros!$C$5)</f>
        <v>4771.4133333333339</v>
      </c>
      <c r="P122" s="64" t="str">
        <f>IF(L122="","",IF(L122&gt;=Parâmetros!$C$10,"Sim","Não"))</f>
        <v/>
      </c>
    </row>
    <row r="123" spans="1:16" ht="15" customHeight="1" x14ac:dyDescent="0.3">
      <c r="A123" s="60">
        <v>121</v>
      </c>
      <c r="B123" s="60" t="s">
        <v>304</v>
      </c>
      <c r="C123" s="101" t="s">
        <v>183</v>
      </c>
      <c r="D123" s="101" t="s">
        <v>184</v>
      </c>
      <c r="E123" s="60">
        <v>3</v>
      </c>
      <c r="F123" s="85">
        <v>46224</v>
      </c>
      <c r="G123" s="35">
        <v>411</v>
      </c>
      <c r="H123" s="85">
        <f>IF(COUNTIFS(Pesagens!$B$3:$B$5001,$B123)=0,"",_xlfn.MAXIFS(Pesagens!$A$3:$A$5001,Pesagens!$B$3:$B$5001,$B123,Pesagens!$E$3:$E$5001,"&lt;&gt;"))</f>
        <v>46224</v>
      </c>
      <c r="I123" s="35">
        <f>IF($H123="","",IFERROR(AVERAGEIFS(Pesagens!$E$3:$E$5001,Pesagens!$B$3:$B$5001,$B123,Pesagens!$A$3:$A$5001,$H123),""))</f>
        <v>411</v>
      </c>
      <c r="J123" s="60">
        <f>IF(F123="","",Parâmetros!$C$4-F123)</f>
        <v>14</v>
      </c>
      <c r="K123" s="35">
        <f t="shared" si="2"/>
        <v>0</v>
      </c>
      <c r="L123" s="102" t="str">
        <f t="shared" si="3"/>
        <v/>
      </c>
      <c r="M123" s="103">
        <f>IF(I123="","",I123*Parâmetros!$C$8/15)</f>
        <v>14.522</v>
      </c>
      <c r="N123" s="103">
        <f>IF(K123="","",K123*Parâmetros!$C$8/15)</f>
        <v>0</v>
      </c>
      <c r="O123" s="26">
        <f>IF(M123="","",M123*Parâmetros!$C$5)</f>
        <v>4647.04</v>
      </c>
      <c r="P123" s="60" t="str">
        <f>IF(L123="","",IF(L123&gt;=Parâmetros!$C$10,"Sim","Não"))</f>
        <v/>
      </c>
    </row>
    <row r="124" spans="1:16" ht="15" customHeight="1" x14ac:dyDescent="0.3">
      <c r="A124" s="64">
        <v>122</v>
      </c>
      <c r="B124" s="64" t="s">
        <v>305</v>
      </c>
      <c r="C124" s="104" t="s">
        <v>183</v>
      </c>
      <c r="D124" s="104" t="s">
        <v>184</v>
      </c>
      <c r="E124" s="64">
        <v>3</v>
      </c>
      <c r="F124" s="86">
        <v>46224</v>
      </c>
      <c r="G124" s="40">
        <v>426</v>
      </c>
      <c r="H124" s="86">
        <f>IF(COUNTIFS(Pesagens!$B$3:$B$5001,$B124)=0,"",_xlfn.MAXIFS(Pesagens!$A$3:$A$5001,Pesagens!$B$3:$B$5001,$B124,Pesagens!$E$3:$E$5001,"&lt;&gt;"))</f>
        <v>46224</v>
      </c>
      <c r="I124" s="40">
        <f>IF($H124="","",IFERROR(AVERAGEIFS(Pesagens!$E$3:$E$5001,Pesagens!$B$3:$B$5001,$B124,Pesagens!$A$3:$A$5001,$H124),""))</f>
        <v>426</v>
      </c>
      <c r="J124" s="64">
        <f>IF(F124="","",Parâmetros!$C$4-F124)</f>
        <v>14</v>
      </c>
      <c r="K124" s="40">
        <f t="shared" si="2"/>
        <v>0</v>
      </c>
      <c r="L124" s="105" t="str">
        <f t="shared" si="3"/>
        <v/>
      </c>
      <c r="M124" s="106">
        <f>IF(I124="","",I124*Parâmetros!$C$8/15)</f>
        <v>15.052</v>
      </c>
      <c r="N124" s="106">
        <f>IF(K124="","",K124*Parâmetros!$C$8/15)</f>
        <v>0</v>
      </c>
      <c r="O124" s="28">
        <f>IF(M124="","",M124*Parâmetros!$C$5)</f>
        <v>4816.6399999999994</v>
      </c>
      <c r="P124" s="64" t="str">
        <f>IF(L124="","",IF(L124&gt;=Parâmetros!$C$10,"Sim","Não"))</f>
        <v/>
      </c>
    </row>
    <row r="125" spans="1:16" ht="15" customHeight="1" x14ac:dyDescent="0.3">
      <c r="A125" s="60">
        <v>123</v>
      </c>
      <c r="B125" s="60" t="s">
        <v>306</v>
      </c>
      <c r="C125" s="101" t="s">
        <v>183</v>
      </c>
      <c r="D125" s="101" t="s">
        <v>184</v>
      </c>
      <c r="E125" s="60">
        <v>3</v>
      </c>
      <c r="F125" s="85">
        <v>46224</v>
      </c>
      <c r="G125" s="35">
        <v>414</v>
      </c>
      <c r="H125" s="85">
        <f>IF(COUNTIFS(Pesagens!$B$3:$B$5001,$B125)=0,"",_xlfn.MAXIFS(Pesagens!$A$3:$A$5001,Pesagens!$B$3:$B$5001,$B125,Pesagens!$E$3:$E$5001,"&lt;&gt;"))</f>
        <v>46224</v>
      </c>
      <c r="I125" s="35">
        <f>IF($H125="","",IFERROR(AVERAGEIFS(Pesagens!$E$3:$E$5001,Pesagens!$B$3:$B$5001,$B125,Pesagens!$A$3:$A$5001,$H125),""))</f>
        <v>414</v>
      </c>
      <c r="J125" s="60">
        <f>IF(F125="","",Parâmetros!$C$4-F125)</f>
        <v>14</v>
      </c>
      <c r="K125" s="35">
        <f t="shared" si="2"/>
        <v>0</v>
      </c>
      <c r="L125" s="102" t="str">
        <f t="shared" si="3"/>
        <v/>
      </c>
      <c r="M125" s="103">
        <f>IF(I125="","",I125*Parâmetros!$C$8/15)</f>
        <v>14.628000000000002</v>
      </c>
      <c r="N125" s="103">
        <f>IF(K125="","",K125*Parâmetros!$C$8/15)</f>
        <v>0</v>
      </c>
      <c r="O125" s="26">
        <f>IF(M125="","",M125*Parâmetros!$C$5)</f>
        <v>4680.9600000000009</v>
      </c>
      <c r="P125" s="60" t="str">
        <f>IF(L125="","",IF(L125&gt;=Parâmetros!$C$10,"Sim","Não"))</f>
        <v/>
      </c>
    </row>
    <row r="126" spans="1:16" ht="15" customHeight="1" x14ac:dyDescent="0.3">
      <c r="A126" s="64">
        <v>124</v>
      </c>
      <c r="B126" s="64" t="s">
        <v>307</v>
      </c>
      <c r="C126" s="104" t="s">
        <v>183</v>
      </c>
      <c r="D126" s="104" t="s">
        <v>184</v>
      </c>
      <c r="E126" s="64">
        <v>3</v>
      </c>
      <c r="F126" s="86">
        <v>46224</v>
      </c>
      <c r="G126" s="40">
        <v>420</v>
      </c>
      <c r="H126" s="86">
        <f>IF(COUNTIFS(Pesagens!$B$3:$B$5001,$B126)=0,"",_xlfn.MAXIFS(Pesagens!$A$3:$A$5001,Pesagens!$B$3:$B$5001,$B126,Pesagens!$E$3:$E$5001,"&lt;&gt;"))</f>
        <v>46224</v>
      </c>
      <c r="I126" s="40">
        <f>IF($H126="","",IFERROR(AVERAGEIFS(Pesagens!$E$3:$E$5001,Pesagens!$B$3:$B$5001,$B126,Pesagens!$A$3:$A$5001,$H126),""))</f>
        <v>420</v>
      </c>
      <c r="J126" s="64">
        <f>IF(F126="","",Parâmetros!$C$4-F126)</f>
        <v>14</v>
      </c>
      <c r="K126" s="40">
        <f t="shared" si="2"/>
        <v>0</v>
      </c>
      <c r="L126" s="105" t="str">
        <f t="shared" si="3"/>
        <v/>
      </c>
      <c r="M126" s="106">
        <f>IF(I126="","",I126*Parâmetros!$C$8/15)</f>
        <v>14.840000000000002</v>
      </c>
      <c r="N126" s="106">
        <f>IF(K126="","",K126*Parâmetros!$C$8/15)</f>
        <v>0</v>
      </c>
      <c r="O126" s="28">
        <f>IF(M126="","",M126*Parâmetros!$C$5)</f>
        <v>4748.8</v>
      </c>
      <c r="P126" s="64" t="str">
        <f>IF(L126="","",IF(L126&gt;=Parâmetros!$C$10,"Sim","Não"))</f>
        <v/>
      </c>
    </row>
    <row r="127" spans="1:16" ht="15" customHeight="1" x14ac:dyDescent="0.3">
      <c r="A127" s="60">
        <v>125</v>
      </c>
      <c r="B127" s="60" t="s">
        <v>308</v>
      </c>
      <c r="C127" s="101" t="s">
        <v>183</v>
      </c>
      <c r="D127" s="101" t="s">
        <v>184</v>
      </c>
      <c r="E127" s="60">
        <v>3</v>
      </c>
      <c r="F127" s="85">
        <v>46224</v>
      </c>
      <c r="G127" s="35">
        <v>400</v>
      </c>
      <c r="H127" s="85">
        <f>IF(COUNTIFS(Pesagens!$B$3:$B$5001,$B127)=0,"",_xlfn.MAXIFS(Pesagens!$A$3:$A$5001,Pesagens!$B$3:$B$5001,$B127,Pesagens!$E$3:$E$5001,"&lt;&gt;"))</f>
        <v>46224</v>
      </c>
      <c r="I127" s="35">
        <f>IF($H127="","",IFERROR(AVERAGEIFS(Pesagens!$E$3:$E$5001,Pesagens!$B$3:$B$5001,$B127,Pesagens!$A$3:$A$5001,$H127),""))</f>
        <v>400</v>
      </c>
      <c r="J127" s="60">
        <f>IF(F127="","",Parâmetros!$C$4-F127)</f>
        <v>14</v>
      </c>
      <c r="K127" s="35">
        <f t="shared" si="2"/>
        <v>0</v>
      </c>
      <c r="L127" s="102" t="str">
        <f t="shared" si="3"/>
        <v/>
      </c>
      <c r="M127" s="103">
        <f>IF(I127="","",I127*Parâmetros!$C$8/15)</f>
        <v>14.133333333333333</v>
      </c>
      <c r="N127" s="103">
        <f>IF(K127="","",K127*Parâmetros!$C$8/15)</f>
        <v>0</v>
      </c>
      <c r="O127" s="26">
        <f>IF(M127="","",M127*Parâmetros!$C$5)</f>
        <v>4522.6666666666661</v>
      </c>
      <c r="P127" s="60" t="str">
        <f>IF(L127="","",IF(L127&gt;=Parâmetros!$C$10,"Sim","Não"))</f>
        <v/>
      </c>
    </row>
    <row r="128" spans="1:16" ht="15" customHeight="1" x14ac:dyDescent="0.3">
      <c r="A128" s="64">
        <v>126</v>
      </c>
      <c r="B128" s="64" t="s">
        <v>309</v>
      </c>
      <c r="C128" s="104" t="s">
        <v>183</v>
      </c>
      <c r="D128" s="104" t="s">
        <v>184</v>
      </c>
      <c r="E128" s="64">
        <v>3</v>
      </c>
      <c r="F128" s="86">
        <v>46224</v>
      </c>
      <c r="G128" s="40">
        <v>422</v>
      </c>
      <c r="H128" s="86">
        <f>IF(COUNTIFS(Pesagens!$B$3:$B$5001,$B128)=0,"",_xlfn.MAXIFS(Pesagens!$A$3:$A$5001,Pesagens!$B$3:$B$5001,$B128,Pesagens!$E$3:$E$5001,"&lt;&gt;"))</f>
        <v>46224</v>
      </c>
      <c r="I128" s="40">
        <f>IF($H128="","",IFERROR(AVERAGEIFS(Pesagens!$E$3:$E$5001,Pesagens!$B$3:$B$5001,$B128,Pesagens!$A$3:$A$5001,$H128),""))</f>
        <v>422</v>
      </c>
      <c r="J128" s="64">
        <f>IF(F128="","",Parâmetros!$C$4-F128)</f>
        <v>14</v>
      </c>
      <c r="K128" s="40">
        <f t="shared" si="2"/>
        <v>0</v>
      </c>
      <c r="L128" s="105" t="str">
        <f t="shared" si="3"/>
        <v/>
      </c>
      <c r="M128" s="106">
        <f>IF(I128="","",I128*Parâmetros!$C$8/15)</f>
        <v>14.910666666666668</v>
      </c>
      <c r="N128" s="106">
        <f>IF(K128="","",K128*Parâmetros!$C$8/15)</f>
        <v>0</v>
      </c>
      <c r="O128" s="28">
        <f>IF(M128="","",M128*Parâmetros!$C$5)</f>
        <v>4771.4133333333339</v>
      </c>
      <c r="P128" s="64" t="str">
        <f>IF(L128="","",IF(L128&gt;=Parâmetros!$C$10,"Sim","Não"))</f>
        <v/>
      </c>
    </row>
    <row r="129" spans="1:16" ht="15" customHeight="1" x14ac:dyDescent="0.3">
      <c r="A129" s="60">
        <v>127</v>
      </c>
      <c r="B129" s="60" t="s">
        <v>310</v>
      </c>
      <c r="C129" s="101" t="s">
        <v>183</v>
      </c>
      <c r="D129" s="101" t="s">
        <v>184</v>
      </c>
      <c r="E129" s="60">
        <v>3</v>
      </c>
      <c r="F129" s="85">
        <v>46224</v>
      </c>
      <c r="G129" s="35">
        <v>412</v>
      </c>
      <c r="H129" s="85">
        <f>IF(COUNTIFS(Pesagens!$B$3:$B$5001,$B129)=0,"",_xlfn.MAXIFS(Pesagens!$A$3:$A$5001,Pesagens!$B$3:$B$5001,$B129,Pesagens!$E$3:$E$5001,"&lt;&gt;"))</f>
        <v>46224</v>
      </c>
      <c r="I129" s="35">
        <f>IF($H129="","",IFERROR(AVERAGEIFS(Pesagens!$E$3:$E$5001,Pesagens!$B$3:$B$5001,$B129,Pesagens!$A$3:$A$5001,$H129),""))</f>
        <v>412</v>
      </c>
      <c r="J129" s="60">
        <f>IF(F129="","",Parâmetros!$C$4-F129)</f>
        <v>14</v>
      </c>
      <c r="K129" s="35">
        <f t="shared" si="2"/>
        <v>0</v>
      </c>
      <c r="L129" s="102" t="str">
        <f t="shared" si="3"/>
        <v/>
      </c>
      <c r="M129" s="103">
        <f>IF(I129="","",I129*Parâmetros!$C$8/15)</f>
        <v>14.557333333333334</v>
      </c>
      <c r="N129" s="103">
        <f>IF(K129="","",K129*Parâmetros!$C$8/15)</f>
        <v>0</v>
      </c>
      <c r="O129" s="26">
        <f>IF(M129="","",M129*Parâmetros!$C$5)</f>
        <v>4658.3466666666673</v>
      </c>
      <c r="P129" s="60" t="str">
        <f>IF(L129="","",IF(L129&gt;=Parâmetros!$C$10,"Sim","Não"))</f>
        <v/>
      </c>
    </row>
    <row r="130" spans="1:16" ht="15" customHeight="1" x14ac:dyDescent="0.3">
      <c r="A130" s="64">
        <v>128</v>
      </c>
      <c r="B130" s="64" t="s">
        <v>311</v>
      </c>
      <c r="C130" s="104" t="s">
        <v>183</v>
      </c>
      <c r="D130" s="104" t="s">
        <v>184</v>
      </c>
      <c r="E130" s="64">
        <v>3</v>
      </c>
      <c r="F130" s="86">
        <v>46224</v>
      </c>
      <c r="G130" s="40">
        <v>431</v>
      </c>
      <c r="H130" s="86">
        <f>IF(COUNTIFS(Pesagens!$B$3:$B$5001,$B130)=0,"",_xlfn.MAXIFS(Pesagens!$A$3:$A$5001,Pesagens!$B$3:$B$5001,$B130,Pesagens!$E$3:$E$5001,"&lt;&gt;"))</f>
        <v>46224</v>
      </c>
      <c r="I130" s="40">
        <f>IF($H130="","",IFERROR(AVERAGEIFS(Pesagens!$E$3:$E$5001,Pesagens!$B$3:$B$5001,$B130,Pesagens!$A$3:$A$5001,$H130),""))</f>
        <v>431</v>
      </c>
      <c r="J130" s="64">
        <f>IF(F130="","",Parâmetros!$C$4-F130)</f>
        <v>14</v>
      </c>
      <c r="K130" s="40">
        <f t="shared" si="2"/>
        <v>0</v>
      </c>
      <c r="L130" s="105" t="str">
        <f t="shared" si="3"/>
        <v/>
      </c>
      <c r="M130" s="106">
        <f>IF(I130="","",I130*Parâmetros!$C$8/15)</f>
        <v>15.228666666666667</v>
      </c>
      <c r="N130" s="106">
        <f>IF(K130="","",K130*Parâmetros!$C$8/15)</f>
        <v>0</v>
      </c>
      <c r="O130" s="28">
        <f>IF(M130="","",M130*Parâmetros!$C$5)</f>
        <v>4873.1733333333332</v>
      </c>
      <c r="P130" s="64" t="str">
        <f>IF(L130="","",IF(L130&gt;=Parâmetros!$C$10,"Sim","Não"))</f>
        <v/>
      </c>
    </row>
    <row r="131" spans="1:16" ht="15" customHeight="1" x14ac:dyDescent="0.3">
      <c r="A131" s="60">
        <v>129</v>
      </c>
      <c r="B131" s="60" t="s">
        <v>312</v>
      </c>
      <c r="C131" s="101" t="s">
        <v>183</v>
      </c>
      <c r="D131" s="101" t="s">
        <v>184</v>
      </c>
      <c r="E131" s="60">
        <v>3</v>
      </c>
      <c r="F131" s="85">
        <v>46224</v>
      </c>
      <c r="G131" s="35">
        <v>417</v>
      </c>
      <c r="H131" s="85">
        <f>IF(COUNTIFS(Pesagens!$B$3:$B$5001,$B131)=0,"",_xlfn.MAXIFS(Pesagens!$A$3:$A$5001,Pesagens!$B$3:$B$5001,$B131,Pesagens!$E$3:$E$5001,"&lt;&gt;"))</f>
        <v>46224</v>
      </c>
      <c r="I131" s="35">
        <f>IF($H131="","",IFERROR(AVERAGEIFS(Pesagens!$E$3:$E$5001,Pesagens!$B$3:$B$5001,$B131,Pesagens!$A$3:$A$5001,$H131),""))</f>
        <v>417</v>
      </c>
      <c r="J131" s="60">
        <f>IF(F131="","",Parâmetros!$C$4-F131)</f>
        <v>14</v>
      </c>
      <c r="K131" s="35">
        <f t="shared" ref="K131:K194" si="4">IF(OR(I131="",G131=""),"",I131-G131)</f>
        <v>0</v>
      </c>
      <c r="L131" s="102" t="str">
        <f t="shared" ref="L131:L194" si="5">IF(OR(I131="",G131="",H131&lt;=F131),"",(I131-G131)/(H131-F131))</f>
        <v/>
      </c>
      <c r="M131" s="103">
        <f>IF(I131="","",I131*Parâmetros!$C$8/15)</f>
        <v>14.734000000000002</v>
      </c>
      <c r="N131" s="103">
        <f>IF(K131="","",K131*Parâmetros!$C$8/15)</f>
        <v>0</v>
      </c>
      <c r="O131" s="26">
        <f>IF(M131="","",M131*Parâmetros!$C$5)</f>
        <v>4714.880000000001</v>
      </c>
      <c r="P131" s="60" t="str">
        <f>IF(L131="","",IF(L131&gt;=Parâmetros!$C$10,"Sim","Não"))</f>
        <v/>
      </c>
    </row>
    <row r="132" spans="1:16" ht="15" customHeight="1" x14ac:dyDescent="0.3">
      <c r="A132" s="64">
        <v>130</v>
      </c>
      <c r="B132" s="64" t="s">
        <v>313</v>
      </c>
      <c r="C132" s="104" t="s">
        <v>183</v>
      </c>
      <c r="D132" s="104" t="s">
        <v>184</v>
      </c>
      <c r="E132" s="64">
        <v>3</v>
      </c>
      <c r="F132" s="86">
        <v>46224</v>
      </c>
      <c r="G132" s="40">
        <v>430</v>
      </c>
      <c r="H132" s="86">
        <f>IF(COUNTIFS(Pesagens!$B$3:$B$5001,$B132)=0,"",_xlfn.MAXIFS(Pesagens!$A$3:$A$5001,Pesagens!$B$3:$B$5001,$B132,Pesagens!$E$3:$E$5001,"&lt;&gt;"))</f>
        <v>46224</v>
      </c>
      <c r="I132" s="40">
        <f>IF($H132="","",IFERROR(AVERAGEIFS(Pesagens!$E$3:$E$5001,Pesagens!$B$3:$B$5001,$B132,Pesagens!$A$3:$A$5001,$H132),""))</f>
        <v>430</v>
      </c>
      <c r="J132" s="64">
        <f>IF(F132="","",Parâmetros!$C$4-F132)</f>
        <v>14</v>
      </c>
      <c r="K132" s="40">
        <f t="shared" si="4"/>
        <v>0</v>
      </c>
      <c r="L132" s="105" t="str">
        <f t="shared" si="5"/>
        <v/>
      </c>
      <c r="M132" s="106">
        <f>IF(I132="","",I132*Parâmetros!$C$8/15)</f>
        <v>15.193333333333333</v>
      </c>
      <c r="N132" s="106">
        <f>IF(K132="","",K132*Parâmetros!$C$8/15)</f>
        <v>0</v>
      </c>
      <c r="O132" s="28">
        <f>IF(M132="","",M132*Parâmetros!$C$5)</f>
        <v>4861.8666666666668</v>
      </c>
      <c r="P132" s="64" t="str">
        <f>IF(L132="","",IF(L132&gt;=Parâmetros!$C$10,"Sim","Não"))</f>
        <v/>
      </c>
    </row>
    <row r="133" spans="1:16" ht="15" customHeight="1" x14ac:dyDescent="0.3">
      <c r="A133" s="60">
        <v>131</v>
      </c>
      <c r="B133" s="60" t="s">
        <v>314</v>
      </c>
      <c r="C133" s="101" t="s">
        <v>183</v>
      </c>
      <c r="D133" s="101" t="s">
        <v>184</v>
      </c>
      <c r="E133" s="60">
        <v>3</v>
      </c>
      <c r="F133" s="85">
        <v>46224</v>
      </c>
      <c r="G133" s="35">
        <v>424</v>
      </c>
      <c r="H133" s="85">
        <f>IF(COUNTIFS(Pesagens!$B$3:$B$5001,$B133)=0,"",_xlfn.MAXIFS(Pesagens!$A$3:$A$5001,Pesagens!$B$3:$B$5001,$B133,Pesagens!$E$3:$E$5001,"&lt;&gt;"))</f>
        <v>46224</v>
      </c>
      <c r="I133" s="35">
        <f>IF($H133="","",IFERROR(AVERAGEIFS(Pesagens!$E$3:$E$5001,Pesagens!$B$3:$B$5001,$B133,Pesagens!$A$3:$A$5001,$H133),""))</f>
        <v>424</v>
      </c>
      <c r="J133" s="60">
        <f>IF(F133="","",Parâmetros!$C$4-F133)</f>
        <v>14</v>
      </c>
      <c r="K133" s="35">
        <f t="shared" si="4"/>
        <v>0</v>
      </c>
      <c r="L133" s="102" t="str">
        <f t="shared" si="5"/>
        <v/>
      </c>
      <c r="M133" s="103">
        <f>IF(I133="","",I133*Parâmetros!$C$8/15)</f>
        <v>14.981333333333334</v>
      </c>
      <c r="N133" s="103">
        <f>IF(K133="","",K133*Parâmetros!$C$8/15)</f>
        <v>0</v>
      </c>
      <c r="O133" s="26">
        <f>IF(M133="","",M133*Parâmetros!$C$5)</f>
        <v>4794.0266666666666</v>
      </c>
      <c r="P133" s="60" t="str">
        <f>IF(L133="","",IF(L133&gt;=Parâmetros!$C$10,"Sim","Não"))</f>
        <v/>
      </c>
    </row>
    <row r="134" spans="1:16" ht="15" customHeight="1" x14ac:dyDescent="0.3">
      <c r="A134" s="64">
        <v>132</v>
      </c>
      <c r="B134" s="64" t="s">
        <v>315</v>
      </c>
      <c r="C134" s="104" t="s">
        <v>183</v>
      </c>
      <c r="D134" s="104" t="s">
        <v>184</v>
      </c>
      <c r="E134" s="64">
        <v>3</v>
      </c>
      <c r="F134" s="86">
        <v>46224</v>
      </c>
      <c r="G134" s="40">
        <v>402</v>
      </c>
      <c r="H134" s="86">
        <f>IF(COUNTIFS(Pesagens!$B$3:$B$5001,$B134)=0,"",_xlfn.MAXIFS(Pesagens!$A$3:$A$5001,Pesagens!$B$3:$B$5001,$B134,Pesagens!$E$3:$E$5001,"&lt;&gt;"))</f>
        <v>46224</v>
      </c>
      <c r="I134" s="40">
        <f>IF($H134="","",IFERROR(AVERAGEIFS(Pesagens!$E$3:$E$5001,Pesagens!$B$3:$B$5001,$B134,Pesagens!$A$3:$A$5001,$H134),""))</f>
        <v>402</v>
      </c>
      <c r="J134" s="64">
        <f>IF(F134="","",Parâmetros!$C$4-F134)</f>
        <v>14</v>
      </c>
      <c r="K134" s="40">
        <f t="shared" si="4"/>
        <v>0</v>
      </c>
      <c r="L134" s="105" t="str">
        <f t="shared" si="5"/>
        <v/>
      </c>
      <c r="M134" s="106">
        <f>IF(I134="","",I134*Parâmetros!$C$8/15)</f>
        <v>14.204000000000001</v>
      </c>
      <c r="N134" s="106">
        <f>IF(K134="","",K134*Parâmetros!$C$8/15)</f>
        <v>0</v>
      </c>
      <c r="O134" s="28">
        <f>IF(M134="","",M134*Parâmetros!$C$5)</f>
        <v>4545.2800000000007</v>
      </c>
      <c r="P134" s="64" t="str">
        <f>IF(L134="","",IF(L134&gt;=Parâmetros!$C$10,"Sim","Não"))</f>
        <v/>
      </c>
    </row>
    <row r="135" spans="1:16" ht="15" customHeight="1" x14ac:dyDescent="0.3">
      <c r="A135" s="60">
        <v>133</v>
      </c>
      <c r="B135" s="60" t="s">
        <v>316</v>
      </c>
      <c r="C135" s="101" t="s">
        <v>183</v>
      </c>
      <c r="D135" s="101" t="s">
        <v>184</v>
      </c>
      <c r="E135" s="60">
        <v>3</v>
      </c>
      <c r="F135" s="85">
        <v>46224</v>
      </c>
      <c r="G135" s="35">
        <v>407</v>
      </c>
      <c r="H135" s="85">
        <f>IF(COUNTIFS(Pesagens!$B$3:$B$5001,$B135)=0,"",_xlfn.MAXIFS(Pesagens!$A$3:$A$5001,Pesagens!$B$3:$B$5001,$B135,Pesagens!$E$3:$E$5001,"&lt;&gt;"))</f>
        <v>46224</v>
      </c>
      <c r="I135" s="35">
        <f>IF($H135="","",IFERROR(AVERAGEIFS(Pesagens!$E$3:$E$5001,Pesagens!$B$3:$B$5001,$B135,Pesagens!$A$3:$A$5001,$H135),""))</f>
        <v>407</v>
      </c>
      <c r="J135" s="60">
        <f>IF(F135="","",Parâmetros!$C$4-F135)</f>
        <v>14</v>
      </c>
      <c r="K135" s="35">
        <f t="shared" si="4"/>
        <v>0</v>
      </c>
      <c r="L135" s="102" t="str">
        <f t="shared" si="5"/>
        <v/>
      </c>
      <c r="M135" s="103">
        <f>IF(I135="","",I135*Parâmetros!$C$8/15)</f>
        <v>14.380666666666666</v>
      </c>
      <c r="N135" s="103">
        <f>IF(K135="","",K135*Parâmetros!$C$8/15)</f>
        <v>0</v>
      </c>
      <c r="O135" s="26">
        <f>IF(M135="","",M135*Parâmetros!$C$5)</f>
        <v>4601.8133333333335</v>
      </c>
      <c r="P135" s="60" t="str">
        <f>IF(L135="","",IF(L135&gt;=Parâmetros!$C$10,"Sim","Não"))</f>
        <v/>
      </c>
    </row>
    <row r="136" spans="1:16" ht="15" customHeight="1" x14ac:dyDescent="0.3">
      <c r="A136" s="64">
        <v>134</v>
      </c>
      <c r="B136" s="64" t="s">
        <v>317</v>
      </c>
      <c r="C136" s="104" t="s">
        <v>183</v>
      </c>
      <c r="D136" s="104" t="s">
        <v>184</v>
      </c>
      <c r="E136" s="64">
        <v>3</v>
      </c>
      <c r="F136" s="86">
        <v>46224</v>
      </c>
      <c r="G136" s="40">
        <v>421</v>
      </c>
      <c r="H136" s="86">
        <f>IF(COUNTIFS(Pesagens!$B$3:$B$5001,$B136)=0,"",_xlfn.MAXIFS(Pesagens!$A$3:$A$5001,Pesagens!$B$3:$B$5001,$B136,Pesagens!$E$3:$E$5001,"&lt;&gt;"))</f>
        <v>46224</v>
      </c>
      <c r="I136" s="40">
        <f>IF($H136="","",IFERROR(AVERAGEIFS(Pesagens!$E$3:$E$5001,Pesagens!$B$3:$B$5001,$B136,Pesagens!$A$3:$A$5001,$H136),""))</f>
        <v>421</v>
      </c>
      <c r="J136" s="64">
        <f>IF(F136="","",Parâmetros!$C$4-F136)</f>
        <v>14</v>
      </c>
      <c r="K136" s="40">
        <f t="shared" si="4"/>
        <v>0</v>
      </c>
      <c r="L136" s="105" t="str">
        <f t="shared" si="5"/>
        <v/>
      </c>
      <c r="M136" s="106">
        <f>IF(I136="","",I136*Parâmetros!$C$8/15)</f>
        <v>14.875333333333336</v>
      </c>
      <c r="N136" s="106">
        <f>IF(K136="","",K136*Parâmetros!$C$8/15)</f>
        <v>0</v>
      </c>
      <c r="O136" s="28">
        <f>IF(M136="","",M136*Parâmetros!$C$5)</f>
        <v>4760.1066666666675</v>
      </c>
      <c r="P136" s="64" t="str">
        <f>IF(L136="","",IF(L136&gt;=Parâmetros!$C$10,"Sim","Não"))</f>
        <v/>
      </c>
    </row>
    <row r="137" spans="1:16" ht="15" customHeight="1" x14ac:dyDescent="0.3">
      <c r="A137" s="60">
        <v>135</v>
      </c>
      <c r="B137" s="60" t="s">
        <v>318</v>
      </c>
      <c r="C137" s="101" t="s">
        <v>183</v>
      </c>
      <c r="D137" s="101" t="s">
        <v>184</v>
      </c>
      <c r="E137" s="60">
        <v>3</v>
      </c>
      <c r="F137" s="85">
        <v>46224</v>
      </c>
      <c r="G137" s="35">
        <v>395</v>
      </c>
      <c r="H137" s="85">
        <f>IF(COUNTIFS(Pesagens!$B$3:$B$5001,$B137)=0,"",_xlfn.MAXIFS(Pesagens!$A$3:$A$5001,Pesagens!$B$3:$B$5001,$B137,Pesagens!$E$3:$E$5001,"&lt;&gt;"))</f>
        <v>46224</v>
      </c>
      <c r="I137" s="35">
        <f>IF($H137="","",IFERROR(AVERAGEIFS(Pesagens!$E$3:$E$5001,Pesagens!$B$3:$B$5001,$B137,Pesagens!$A$3:$A$5001,$H137),""))</f>
        <v>395</v>
      </c>
      <c r="J137" s="60">
        <f>IF(F137="","",Parâmetros!$C$4-F137)</f>
        <v>14</v>
      </c>
      <c r="K137" s="35">
        <f t="shared" si="4"/>
        <v>0</v>
      </c>
      <c r="L137" s="102" t="str">
        <f t="shared" si="5"/>
        <v/>
      </c>
      <c r="M137" s="103">
        <f>IF(I137="","",I137*Parâmetros!$C$8/15)</f>
        <v>13.956666666666669</v>
      </c>
      <c r="N137" s="103">
        <f>IF(K137="","",K137*Parâmetros!$C$8/15)</f>
        <v>0</v>
      </c>
      <c r="O137" s="26">
        <f>IF(M137="","",M137*Parâmetros!$C$5)</f>
        <v>4466.1333333333341</v>
      </c>
      <c r="P137" s="60" t="str">
        <f>IF(L137="","",IF(L137&gt;=Parâmetros!$C$10,"Sim","Não"))</f>
        <v/>
      </c>
    </row>
    <row r="138" spans="1:16" ht="15" customHeight="1" x14ac:dyDescent="0.3">
      <c r="A138" s="64">
        <v>136</v>
      </c>
      <c r="B138" s="64" t="s">
        <v>319</v>
      </c>
      <c r="C138" s="104" t="s">
        <v>183</v>
      </c>
      <c r="D138" s="104" t="s">
        <v>184</v>
      </c>
      <c r="E138" s="64">
        <v>3</v>
      </c>
      <c r="F138" s="86">
        <v>46224</v>
      </c>
      <c r="G138" s="40">
        <v>410</v>
      </c>
      <c r="H138" s="86">
        <f>IF(COUNTIFS(Pesagens!$B$3:$B$5001,$B138)=0,"",_xlfn.MAXIFS(Pesagens!$A$3:$A$5001,Pesagens!$B$3:$B$5001,$B138,Pesagens!$E$3:$E$5001,"&lt;&gt;"))</f>
        <v>46224</v>
      </c>
      <c r="I138" s="40">
        <f>IF($H138="","",IFERROR(AVERAGEIFS(Pesagens!$E$3:$E$5001,Pesagens!$B$3:$B$5001,$B138,Pesagens!$A$3:$A$5001,$H138),""))</f>
        <v>410</v>
      </c>
      <c r="J138" s="64">
        <f>IF(F138="","",Parâmetros!$C$4-F138)</f>
        <v>14</v>
      </c>
      <c r="K138" s="40">
        <f t="shared" si="4"/>
        <v>0</v>
      </c>
      <c r="L138" s="105" t="str">
        <f t="shared" si="5"/>
        <v/>
      </c>
      <c r="M138" s="106">
        <f>IF(I138="","",I138*Parâmetros!$C$8/15)</f>
        <v>14.486666666666668</v>
      </c>
      <c r="N138" s="106">
        <f>IF(K138="","",K138*Parâmetros!$C$8/15)</f>
        <v>0</v>
      </c>
      <c r="O138" s="28">
        <f>IF(M138="","",M138*Parâmetros!$C$5)</f>
        <v>4635.7333333333336</v>
      </c>
      <c r="P138" s="64" t="str">
        <f>IF(L138="","",IF(L138&gt;=Parâmetros!$C$10,"Sim","Não"))</f>
        <v/>
      </c>
    </row>
    <row r="139" spans="1:16" ht="15" customHeight="1" x14ac:dyDescent="0.3">
      <c r="A139" s="60">
        <v>137</v>
      </c>
      <c r="B139" s="60" t="s">
        <v>320</v>
      </c>
      <c r="C139" s="101" t="s">
        <v>183</v>
      </c>
      <c r="D139" s="101" t="s">
        <v>184</v>
      </c>
      <c r="E139" s="60">
        <v>3</v>
      </c>
      <c r="F139" s="85">
        <v>46224</v>
      </c>
      <c r="G139" s="35">
        <v>397</v>
      </c>
      <c r="H139" s="85">
        <f>IF(COUNTIFS(Pesagens!$B$3:$B$5001,$B139)=0,"",_xlfn.MAXIFS(Pesagens!$A$3:$A$5001,Pesagens!$B$3:$B$5001,$B139,Pesagens!$E$3:$E$5001,"&lt;&gt;"))</f>
        <v>46224</v>
      </c>
      <c r="I139" s="35">
        <f>IF($H139="","",IFERROR(AVERAGEIFS(Pesagens!$E$3:$E$5001,Pesagens!$B$3:$B$5001,$B139,Pesagens!$A$3:$A$5001,$H139),""))</f>
        <v>397</v>
      </c>
      <c r="J139" s="60">
        <f>IF(F139="","",Parâmetros!$C$4-F139)</f>
        <v>14</v>
      </c>
      <c r="K139" s="35">
        <f t="shared" si="4"/>
        <v>0</v>
      </c>
      <c r="L139" s="102" t="str">
        <f t="shared" si="5"/>
        <v/>
      </c>
      <c r="M139" s="103">
        <f>IF(I139="","",I139*Parâmetros!$C$8/15)</f>
        <v>14.027333333333333</v>
      </c>
      <c r="N139" s="103">
        <f>IF(K139="","",K139*Parâmetros!$C$8/15)</f>
        <v>0</v>
      </c>
      <c r="O139" s="26">
        <f>IF(M139="","",M139*Parâmetros!$C$5)</f>
        <v>4488.7466666666669</v>
      </c>
      <c r="P139" s="60" t="str">
        <f>IF(L139="","",IF(L139&gt;=Parâmetros!$C$10,"Sim","Não"))</f>
        <v/>
      </c>
    </row>
    <row r="140" spans="1:16" ht="15" customHeight="1" x14ac:dyDescent="0.3">
      <c r="A140" s="64">
        <v>138</v>
      </c>
      <c r="B140" s="64" t="s">
        <v>321</v>
      </c>
      <c r="C140" s="104" t="s">
        <v>183</v>
      </c>
      <c r="D140" s="104" t="s">
        <v>184</v>
      </c>
      <c r="E140" s="64">
        <v>3</v>
      </c>
      <c r="F140" s="86">
        <v>46224</v>
      </c>
      <c r="G140" s="40">
        <v>421</v>
      </c>
      <c r="H140" s="86">
        <f>IF(COUNTIFS(Pesagens!$B$3:$B$5001,$B140)=0,"",_xlfn.MAXIFS(Pesagens!$A$3:$A$5001,Pesagens!$B$3:$B$5001,$B140,Pesagens!$E$3:$E$5001,"&lt;&gt;"))</f>
        <v>46224</v>
      </c>
      <c r="I140" s="40">
        <f>IF($H140="","",IFERROR(AVERAGEIFS(Pesagens!$E$3:$E$5001,Pesagens!$B$3:$B$5001,$B140,Pesagens!$A$3:$A$5001,$H140),""))</f>
        <v>421</v>
      </c>
      <c r="J140" s="64">
        <f>IF(F140="","",Parâmetros!$C$4-F140)</f>
        <v>14</v>
      </c>
      <c r="K140" s="40">
        <f t="shared" si="4"/>
        <v>0</v>
      </c>
      <c r="L140" s="105" t="str">
        <f t="shared" si="5"/>
        <v/>
      </c>
      <c r="M140" s="106">
        <f>IF(I140="","",I140*Parâmetros!$C$8/15)</f>
        <v>14.875333333333336</v>
      </c>
      <c r="N140" s="106">
        <f>IF(K140="","",K140*Parâmetros!$C$8/15)</f>
        <v>0</v>
      </c>
      <c r="O140" s="28">
        <f>IF(M140="","",M140*Parâmetros!$C$5)</f>
        <v>4760.1066666666675</v>
      </c>
      <c r="P140" s="64" t="str">
        <f>IF(L140="","",IF(L140&gt;=Parâmetros!$C$10,"Sim","Não"))</f>
        <v/>
      </c>
    </row>
    <row r="141" spans="1:16" ht="15" customHeight="1" x14ac:dyDescent="0.3">
      <c r="A141" s="60">
        <v>139</v>
      </c>
      <c r="B141" s="60" t="s">
        <v>322</v>
      </c>
      <c r="C141" s="101" t="s">
        <v>183</v>
      </c>
      <c r="D141" s="101" t="s">
        <v>184</v>
      </c>
      <c r="E141" s="60">
        <v>3</v>
      </c>
      <c r="F141" s="85">
        <v>46224</v>
      </c>
      <c r="G141" s="35">
        <v>397</v>
      </c>
      <c r="H141" s="85">
        <f>IF(COUNTIFS(Pesagens!$B$3:$B$5001,$B141)=0,"",_xlfn.MAXIFS(Pesagens!$A$3:$A$5001,Pesagens!$B$3:$B$5001,$B141,Pesagens!$E$3:$E$5001,"&lt;&gt;"))</f>
        <v>46224</v>
      </c>
      <c r="I141" s="35">
        <f>IF($H141="","",IFERROR(AVERAGEIFS(Pesagens!$E$3:$E$5001,Pesagens!$B$3:$B$5001,$B141,Pesagens!$A$3:$A$5001,$H141),""))</f>
        <v>397</v>
      </c>
      <c r="J141" s="60">
        <f>IF(F141="","",Parâmetros!$C$4-F141)</f>
        <v>14</v>
      </c>
      <c r="K141" s="35">
        <f t="shared" si="4"/>
        <v>0</v>
      </c>
      <c r="L141" s="102" t="str">
        <f t="shared" si="5"/>
        <v/>
      </c>
      <c r="M141" s="103">
        <f>IF(I141="","",I141*Parâmetros!$C$8/15)</f>
        <v>14.027333333333333</v>
      </c>
      <c r="N141" s="103">
        <f>IF(K141="","",K141*Parâmetros!$C$8/15)</f>
        <v>0</v>
      </c>
      <c r="O141" s="26">
        <f>IF(M141="","",M141*Parâmetros!$C$5)</f>
        <v>4488.7466666666669</v>
      </c>
      <c r="P141" s="60" t="str">
        <f>IF(L141="","",IF(L141&gt;=Parâmetros!$C$10,"Sim","Não"))</f>
        <v/>
      </c>
    </row>
    <row r="142" spans="1:16" ht="15" customHeight="1" x14ac:dyDescent="0.3">
      <c r="A142" s="64">
        <v>140</v>
      </c>
      <c r="B142" s="64" t="s">
        <v>323</v>
      </c>
      <c r="C142" s="104" t="s">
        <v>183</v>
      </c>
      <c r="D142" s="104" t="s">
        <v>184</v>
      </c>
      <c r="E142" s="64">
        <v>3</v>
      </c>
      <c r="F142" s="86">
        <v>46224</v>
      </c>
      <c r="G142" s="40">
        <v>414</v>
      </c>
      <c r="H142" s="86">
        <f>IF(COUNTIFS(Pesagens!$B$3:$B$5001,$B142)=0,"",_xlfn.MAXIFS(Pesagens!$A$3:$A$5001,Pesagens!$B$3:$B$5001,$B142,Pesagens!$E$3:$E$5001,"&lt;&gt;"))</f>
        <v>46224</v>
      </c>
      <c r="I142" s="40">
        <f>IF($H142="","",IFERROR(AVERAGEIFS(Pesagens!$E$3:$E$5001,Pesagens!$B$3:$B$5001,$B142,Pesagens!$A$3:$A$5001,$H142),""))</f>
        <v>414</v>
      </c>
      <c r="J142" s="64">
        <f>IF(F142="","",Parâmetros!$C$4-F142)</f>
        <v>14</v>
      </c>
      <c r="K142" s="40">
        <f t="shared" si="4"/>
        <v>0</v>
      </c>
      <c r="L142" s="105" t="str">
        <f t="shared" si="5"/>
        <v/>
      </c>
      <c r="M142" s="106">
        <f>IF(I142="","",I142*Parâmetros!$C$8/15)</f>
        <v>14.628000000000002</v>
      </c>
      <c r="N142" s="106">
        <f>IF(K142="","",K142*Parâmetros!$C$8/15)</f>
        <v>0</v>
      </c>
      <c r="O142" s="28">
        <f>IF(M142="","",M142*Parâmetros!$C$5)</f>
        <v>4680.9600000000009</v>
      </c>
      <c r="P142" s="64" t="str">
        <f>IF(L142="","",IF(L142&gt;=Parâmetros!$C$10,"Sim","Não"))</f>
        <v/>
      </c>
    </row>
    <row r="143" spans="1:16" ht="15" customHeight="1" x14ac:dyDescent="0.3">
      <c r="A143" s="60">
        <v>141</v>
      </c>
      <c r="B143" s="60" t="s">
        <v>324</v>
      </c>
      <c r="C143" s="101" t="s">
        <v>183</v>
      </c>
      <c r="D143" s="101" t="s">
        <v>184</v>
      </c>
      <c r="E143" s="60">
        <v>3</v>
      </c>
      <c r="F143" s="85">
        <v>46224</v>
      </c>
      <c r="G143" s="35">
        <v>417</v>
      </c>
      <c r="H143" s="85">
        <f>IF(COUNTIFS(Pesagens!$B$3:$B$5001,$B143)=0,"",_xlfn.MAXIFS(Pesagens!$A$3:$A$5001,Pesagens!$B$3:$B$5001,$B143,Pesagens!$E$3:$E$5001,"&lt;&gt;"))</f>
        <v>46224</v>
      </c>
      <c r="I143" s="35">
        <f>IF($H143="","",IFERROR(AVERAGEIFS(Pesagens!$E$3:$E$5001,Pesagens!$B$3:$B$5001,$B143,Pesagens!$A$3:$A$5001,$H143),""))</f>
        <v>417</v>
      </c>
      <c r="J143" s="60">
        <f>IF(F143="","",Parâmetros!$C$4-F143)</f>
        <v>14</v>
      </c>
      <c r="K143" s="35">
        <f t="shared" si="4"/>
        <v>0</v>
      </c>
      <c r="L143" s="102" t="str">
        <f t="shared" si="5"/>
        <v/>
      </c>
      <c r="M143" s="103">
        <f>IF(I143="","",I143*Parâmetros!$C$8/15)</f>
        <v>14.734000000000002</v>
      </c>
      <c r="N143" s="103">
        <f>IF(K143="","",K143*Parâmetros!$C$8/15)</f>
        <v>0</v>
      </c>
      <c r="O143" s="26">
        <f>IF(M143="","",M143*Parâmetros!$C$5)</f>
        <v>4714.880000000001</v>
      </c>
      <c r="P143" s="60" t="str">
        <f>IF(L143="","",IF(L143&gt;=Parâmetros!$C$10,"Sim","Não"))</f>
        <v/>
      </c>
    </row>
    <row r="144" spans="1:16" ht="15" customHeight="1" x14ac:dyDescent="0.3">
      <c r="A144" s="64">
        <v>142</v>
      </c>
      <c r="B144" s="64" t="s">
        <v>325</v>
      </c>
      <c r="C144" s="104" t="s">
        <v>183</v>
      </c>
      <c r="D144" s="104" t="s">
        <v>184</v>
      </c>
      <c r="E144" s="64">
        <v>3</v>
      </c>
      <c r="F144" s="86">
        <v>46224</v>
      </c>
      <c r="G144" s="40">
        <v>414</v>
      </c>
      <c r="H144" s="86">
        <f>IF(COUNTIFS(Pesagens!$B$3:$B$5001,$B144)=0,"",_xlfn.MAXIFS(Pesagens!$A$3:$A$5001,Pesagens!$B$3:$B$5001,$B144,Pesagens!$E$3:$E$5001,"&lt;&gt;"))</f>
        <v>46224</v>
      </c>
      <c r="I144" s="40">
        <f>IF($H144="","",IFERROR(AVERAGEIFS(Pesagens!$E$3:$E$5001,Pesagens!$B$3:$B$5001,$B144,Pesagens!$A$3:$A$5001,$H144),""))</f>
        <v>414</v>
      </c>
      <c r="J144" s="64">
        <f>IF(F144="","",Parâmetros!$C$4-F144)</f>
        <v>14</v>
      </c>
      <c r="K144" s="40">
        <f t="shared" si="4"/>
        <v>0</v>
      </c>
      <c r="L144" s="105" t="str">
        <f t="shared" si="5"/>
        <v/>
      </c>
      <c r="M144" s="106">
        <f>IF(I144="","",I144*Parâmetros!$C$8/15)</f>
        <v>14.628000000000002</v>
      </c>
      <c r="N144" s="106">
        <f>IF(K144="","",K144*Parâmetros!$C$8/15)</f>
        <v>0</v>
      </c>
      <c r="O144" s="28">
        <f>IF(M144="","",M144*Parâmetros!$C$5)</f>
        <v>4680.9600000000009</v>
      </c>
      <c r="P144" s="64" t="str">
        <f>IF(L144="","",IF(L144&gt;=Parâmetros!$C$10,"Sim","Não"))</f>
        <v/>
      </c>
    </row>
    <row r="145" spans="1:16" ht="15" customHeight="1" x14ac:dyDescent="0.3">
      <c r="A145" s="60">
        <v>143</v>
      </c>
      <c r="B145" s="60" t="s">
        <v>326</v>
      </c>
      <c r="C145" s="101" t="s">
        <v>183</v>
      </c>
      <c r="D145" s="101" t="s">
        <v>184</v>
      </c>
      <c r="E145" s="60">
        <v>3</v>
      </c>
      <c r="F145" s="85">
        <v>46224</v>
      </c>
      <c r="G145" s="35">
        <v>407</v>
      </c>
      <c r="H145" s="85">
        <f>IF(COUNTIFS(Pesagens!$B$3:$B$5001,$B145)=0,"",_xlfn.MAXIFS(Pesagens!$A$3:$A$5001,Pesagens!$B$3:$B$5001,$B145,Pesagens!$E$3:$E$5001,"&lt;&gt;"))</f>
        <v>46224</v>
      </c>
      <c r="I145" s="35">
        <f>IF($H145="","",IFERROR(AVERAGEIFS(Pesagens!$E$3:$E$5001,Pesagens!$B$3:$B$5001,$B145,Pesagens!$A$3:$A$5001,$H145),""))</f>
        <v>407</v>
      </c>
      <c r="J145" s="60">
        <f>IF(F145="","",Parâmetros!$C$4-F145)</f>
        <v>14</v>
      </c>
      <c r="K145" s="35">
        <f t="shared" si="4"/>
        <v>0</v>
      </c>
      <c r="L145" s="102" t="str">
        <f t="shared" si="5"/>
        <v/>
      </c>
      <c r="M145" s="103">
        <f>IF(I145="","",I145*Parâmetros!$C$8/15)</f>
        <v>14.380666666666666</v>
      </c>
      <c r="N145" s="103">
        <f>IF(K145="","",K145*Parâmetros!$C$8/15)</f>
        <v>0</v>
      </c>
      <c r="O145" s="26">
        <f>IF(M145="","",M145*Parâmetros!$C$5)</f>
        <v>4601.8133333333335</v>
      </c>
      <c r="P145" s="60" t="str">
        <f>IF(L145="","",IF(L145&gt;=Parâmetros!$C$10,"Sim","Não"))</f>
        <v/>
      </c>
    </row>
    <row r="146" spans="1:16" ht="15" customHeight="1" x14ac:dyDescent="0.3">
      <c r="A146" s="64">
        <v>144</v>
      </c>
      <c r="B146" s="64" t="s">
        <v>327</v>
      </c>
      <c r="C146" s="104" t="s">
        <v>183</v>
      </c>
      <c r="D146" s="104" t="s">
        <v>184</v>
      </c>
      <c r="E146" s="64">
        <v>3</v>
      </c>
      <c r="F146" s="86">
        <v>46224</v>
      </c>
      <c r="G146" s="40">
        <v>402</v>
      </c>
      <c r="H146" s="86">
        <f>IF(COUNTIFS(Pesagens!$B$3:$B$5001,$B146)=0,"",_xlfn.MAXIFS(Pesagens!$A$3:$A$5001,Pesagens!$B$3:$B$5001,$B146,Pesagens!$E$3:$E$5001,"&lt;&gt;"))</f>
        <v>46224</v>
      </c>
      <c r="I146" s="40">
        <f>IF($H146="","",IFERROR(AVERAGEIFS(Pesagens!$E$3:$E$5001,Pesagens!$B$3:$B$5001,$B146,Pesagens!$A$3:$A$5001,$H146),""))</f>
        <v>402</v>
      </c>
      <c r="J146" s="64">
        <f>IF(F146="","",Parâmetros!$C$4-F146)</f>
        <v>14</v>
      </c>
      <c r="K146" s="40">
        <f t="shared" si="4"/>
        <v>0</v>
      </c>
      <c r="L146" s="105" t="str">
        <f t="shared" si="5"/>
        <v/>
      </c>
      <c r="M146" s="106">
        <f>IF(I146="","",I146*Parâmetros!$C$8/15)</f>
        <v>14.204000000000001</v>
      </c>
      <c r="N146" s="106">
        <f>IF(K146="","",K146*Parâmetros!$C$8/15)</f>
        <v>0</v>
      </c>
      <c r="O146" s="28">
        <f>IF(M146="","",M146*Parâmetros!$C$5)</f>
        <v>4545.2800000000007</v>
      </c>
      <c r="P146" s="64" t="str">
        <f>IF(L146="","",IF(L146&gt;=Parâmetros!$C$10,"Sim","Não"))</f>
        <v/>
      </c>
    </row>
    <row r="147" spans="1:16" ht="15" customHeight="1" x14ac:dyDescent="0.3">
      <c r="A147" s="60">
        <v>145</v>
      </c>
      <c r="B147" s="60" t="s">
        <v>328</v>
      </c>
      <c r="C147" s="101" t="s">
        <v>183</v>
      </c>
      <c r="D147" s="101" t="s">
        <v>184</v>
      </c>
      <c r="E147" s="60">
        <v>3</v>
      </c>
      <c r="F147" s="85">
        <v>46224</v>
      </c>
      <c r="G147" s="35">
        <v>397</v>
      </c>
      <c r="H147" s="85">
        <f>IF(COUNTIFS(Pesagens!$B$3:$B$5001,$B147)=0,"",_xlfn.MAXIFS(Pesagens!$A$3:$A$5001,Pesagens!$B$3:$B$5001,$B147,Pesagens!$E$3:$E$5001,"&lt;&gt;"))</f>
        <v>46224</v>
      </c>
      <c r="I147" s="35">
        <f>IF($H147="","",IFERROR(AVERAGEIFS(Pesagens!$E$3:$E$5001,Pesagens!$B$3:$B$5001,$B147,Pesagens!$A$3:$A$5001,$H147),""))</f>
        <v>397</v>
      </c>
      <c r="J147" s="60">
        <f>IF(F147="","",Parâmetros!$C$4-F147)</f>
        <v>14</v>
      </c>
      <c r="K147" s="35">
        <f t="shared" si="4"/>
        <v>0</v>
      </c>
      <c r="L147" s="102" t="str">
        <f t="shared" si="5"/>
        <v/>
      </c>
      <c r="M147" s="103">
        <f>IF(I147="","",I147*Parâmetros!$C$8/15)</f>
        <v>14.027333333333333</v>
      </c>
      <c r="N147" s="103">
        <f>IF(K147="","",K147*Parâmetros!$C$8/15)</f>
        <v>0</v>
      </c>
      <c r="O147" s="26">
        <f>IF(M147="","",M147*Parâmetros!$C$5)</f>
        <v>4488.7466666666669</v>
      </c>
      <c r="P147" s="60" t="str">
        <f>IF(L147="","",IF(L147&gt;=Parâmetros!$C$10,"Sim","Não"))</f>
        <v/>
      </c>
    </row>
    <row r="148" spans="1:16" ht="15" customHeight="1" x14ac:dyDescent="0.3">
      <c r="A148" s="64">
        <v>146</v>
      </c>
      <c r="B148" s="64" t="s">
        <v>329</v>
      </c>
      <c r="C148" s="104" t="s">
        <v>183</v>
      </c>
      <c r="D148" s="104" t="s">
        <v>184</v>
      </c>
      <c r="E148" s="64">
        <v>3</v>
      </c>
      <c r="F148" s="86">
        <v>46224</v>
      </c>
      <c r="G148" s="40">
        <v>395</v>
      </c>
      <c r="H148" s="86">
        <f>IF(COUNTIFS(Pesagens!$B$3:$B$5001,$B148)=0,"",_xlfn.MAXIFS(Pesagens!$A$3:$A$5001,Pesagens!$B$3:$B$5001,$B148,Pesagens!$E$3:$E$5001,"&lt;&gt;"))</f>
        <v>46224</v>
      </c>
      <c r="I148" s="40">
        <f>IF($H148="","",IFERROR(AVERAGEIFS(Pesagens!$E$3:$E$5001,Pesagens!$B$3:$B$5001,$B148,Pesagens!$A$3:$A$5001,$H148),""))</f>
        <v>395</v>
      </c>
      <c r="J148" s="64">
        <f>IF(F148="","",Parâmetros!$C$4-F148)</f>
        <v>14</v>
      </c>
      <c r="K148" s="40">
        <f t="shared" si="4"/>
        <v>0</v>
      </c>
      <c r="L148" s="105" t="str">
        <f t="shared" si="5"/>
        <v/>
      </c>
      <c r="M148" s="106">
        <f>IF(I148="","",I148*Parâmetros!$C$8/15)</f>
        <v>13.956666666666669</v>
      </c>
      <c r="N148" s="106">
        <f>IF(K148="","",K148*Parâmetros!$C$8/15)</f>
        <v>0</v>
      </c>
      <c r="O148" s="28">
        <f>IF(M148="","",M148*Parâmetros!$C$5)</f>
        <v>4466.1333333333341</v>
      </c>
      <c r="P148" s="64" t="str">
        <f>IF(L148="","",IF(L148&gt;=Parâmetros!$C$10,"Sim","Não"))</f>
        <v/>
      </c>
    </row>
    <row r="149" spans="1:16" ht="15" customHeight="1" x14ac:dyDescent="0.3">
      <c r="A149" s="60">
        <v>147</v>
      </c>
      <c r="B149" s="60" t="s">
        <v>330</v>
      </c>
      <c r="C149" s="101" t="s">
        <v>183</v>
      </c>
      <c r="D149" s="101" t="s">
        <v>184</v>
      </c>
      <c r="E149" s="60">
        <v>3</v>
      </c>
      <c r="F149" s="85">
        <v>46224</v>
      </c>
      <c r="G149" s="35">
        <v>420</v>
      </c>
      <c r="H149" s="85">
        <f>IF(COUNTIFS(Pesagens!$B$3:$B$5001,$B149)=0,"",_xlfn.MAXIFS(Pesagens!$A$3:$A$5001,Pesagens!$B$3:$B$5001,$B149,Pesagens!$E$3:$E$5001,"&lt;&gt;"))</f>
        <v>46224</v>
      </c>
      <c r="I149" s="35">
        <f>IF($H149="","",IFERROR(AVERAGEIFS(Pesagens!$E$3:$E$5001,Pesagens!$B$3:$B$5001,$B149,Pesagens!$A$3:$A$5001,$H149),""))</f>
        <v>420</v>
      </c>
      <c r="J149" s="60">
        <f>IF(F149="","",Parâmetros!$C$4-F149)</f>
        <v>14</v>
      </c>
      <c r="K149" s="35">
        <f t="shared" si="4"/>
        <v>0</v>
      </c>
      <c r="L149" s="102" t="str">
        <f t="shared" si="5"/>
        <v/>
      </c>
      <c r="M149" s="103">
        <f>IF(I149="","",I149*Parâmetros!$C$8/15)</f>
        <v>14.840000000000002</v>
      </c>
      <c r="N149" s="103">
        <f>IF(K149="","",K149*Parâmetros!$C$8/15)</f>
        <v>0</v>
      </c>
      <c r="O149" s="26">
        <f>IF(M149="","",M149*Parâmetros!$C$5)</f>
        <v>4748.8</v>
      </c>
      <c r="P149" s="60" t="str">
        <f>IF(L149="","",IF(L149&gt;=Parâmetros!$C$10,"Sim","Não"))</f>
        <v/>
      </c>
    </row>
    <row r="150" spans="1:16" ht="15" customHeight="1" x14ac:dyDescent="0.3">
      <c r="A150" s="64">
        <v>148</v>
      </c>
      <c r="B150" s="64" t="s">
        <v>331</v>
      </c>
      <c r="C150" s="104" t="s">
        <v>183</v>
      </c>
      <c r="D150" s="104" t="s">
        <v>184</v>
      </c>
      <c r="E150" s="64">
        <v>3</v>
      </c>
      <c r="F150" s="86">
        <v>46224</v>
      </c>
      <c r="G150" s="40">
        <v>397</v>
      </c>
      <c r="H150" s="86">
        <f>IF(COUNTIFS(Pesagens!$B$3:$B$5001,$B150)=0,"",_xlfn.MAXIFS(Pesagens!$A$3:$A$5001,Pesagens!$B$3:$B$5001,$B150,Pesagens!$E$3:$E$5001,"&lt;&gt;"))</f>
        <v>46224</v>
      </c>
      <c r="I150" s="40">
        <f>IF($H150="","",IFERROR(AVERAGEIFS(Pesagens!$E$3:$E$5001,Pesagens!$B$3:$B$5001,$B150,Pesagens!$A$3:$A$5001,$H150),""))</f>
        <v>397</v>
      </c>
      <c r="J150" s="64">
        <f>IF(F150="","",Parâmetros!$C$4-F150)</f>
        <v>14</v>
      </c>
      <c r="K150" s="40">
        <f t="shared" si="4"/>
        <v>0</v>
      </c>
      <c r="L150" s="105" t="str">
        <f t="shared" si="5"/>
        <v/>
      </c>
      <c r="M150" s="106">
        <f>IF(I150="","",I150*Parâmetros!$C$8/15)</f>
        <v>14.027333333333333</v>
      </c>
      <c r="N150" s="106">
        <f>IF(K150="","",K150*Parâmetros!$C$8/15)</f>
        <v>0</v>
      </c>
      <c r="O150" s="28">
        <f>IF(M150="","",M150*Parâmetros!$C$5)</f>
        <v>4488.7466666666669</v>
      </c>
      <c r="P150" s="64" t="str">
        <f>IF(L150="","",IF(L150&gt;=Parâmetros!$C$10,"Sim","Não"))</f>
        <v/>
      </c>
    </row>
    <row r="151" spans="1:16" ht="15" customHeight="1" x14ac:dyDescent="0.3">
      <c r="A151" s="60">
        <v>149</v>
      </c>
      <c r="B151" s="60" t="s">
        <v>332</v>
      </c>
      <c r="C151" s="101" t="s">
        <v>183</v>
      </c>
      <c r="D151" s="101" t="s">
        <v>184</v>
      </c>
      <c r="E151" s="60">
        <v>3</v>
      </c>
      <c r="F151" s="85">
        <v>46224</v>
      </c>
      <c r="G151" s="35">
        <v>400</v>
      </c>
      <c r="H151" s="85">
        <f>IF(COUNTIFS(Pesagens!$B$3:$B$5001,$B151)=0,"",_xlfn.MAXIFS(Pesagens!$A$3:$A$5001,Pesagens!$B$3:$B$5001,$B151,Pesagens!$E$3:$E$5001,"&lt;&gt;"))</f>
        <v>46224</v>
      </c>
      <c r="I151" s="35">
        <f>IF($H151="","",IFERROR(AVERAGEIFS(Pesagens!$E$3:$E$5001,Pesagens!$B$3:$B$5001,$B151,Pesagens!$A$3:$A$5001,$H151),""))</f>
        <v>400</v>
      </c>
      <c r="J151" s="60">
        <f>IF(F151="","",Parâmetros!$C$4-F151)</f>
        <v>14</v>
      </c>
      <c r="K151" s="35">
        <f t="shared" si="4"/>
        <v>0</v>
      </c>
      <c r="L151" s="102" t="str">
        <f t="shared" si="5"/>
        <v/>
      </c>
      <c r="M151" s="103">
        <f>IF(I151="","",I151*Parâmetros!$C$8/15)</f>
        <v>14.133333333333333</v>
      </c>
      <c r="N151" s="103">
        <f>IF(K151="","",K151*Parâmetros!$C$8/15)</f>
        <v>0</v>
      </c>
      <c r="O151" s="26">
        <f>IF(M151="","",M151*Parâmetros!$C$5)</f>
        <v>4522.6666666666661</v>
      </c>
      <c r="P151" s="60" t="str">
        <f>IF(L151="","",IF(L151&gt;=Parâmetros!$C$10,"Sim","Não"))</f>
        <v/>
      </c>
    </row>
    <row r="152" spans="1:16" ht="15" customHeight="1" x14ac:dyDescent="0.3">
      <c r="A152" s="64">
        <v>150</v>
      </c>
      <c r="B152" s="64" t="s">
        <v>333</v>
      </c>
      <c r="C152" s="104" t="s">
        <v>183</v>
      </c>
      <c r="D152" s="104" t="s">
        <v>184</v>
      </c>
      <c r="E152" s="64">
        <v>3</v>
      </c>
      <c r="F152" s="86">
        <v>46224</v>
      </c>
      <c r="G152" s="40">
        <v>406</v>
      </c>
      <c r="H152" s="86">
        <f>IF(COUNTIFS(Pesagens!$B$3:$B$5001,$B152)=0,"",_xlfn.MAXIFS(Pesagens!$A$3:$A$5001,Pesagens!$B$3:$B$5001,$B152,Pesagens!$E$3:$E$5001,"&lt;&gt;"))</f>
        <v>46224</v>
      </c>
      <c r="I152" s="40">
        <f>IF($H152="","",IFERROR(AVERAGEIFS(Pesagens!$E$3:$E$5001,Pesagens!$B$3:$B$5001,$B152,Pesagens!$A$3:$A$5001,$H152),""))</f>
        <v>406</v>
      </c>
      <c r="J152" s="64">
        <f>IF(F152="","",Parâmetros!$C$4-F152)</f>
        <v>14</v>
      </c>
      <c r="K152" s="40">
        <f t="shared" si="4"/>
        <v>0</v>
      </c>
      <c r="L152" s="105" t="str">
        <f t="shared" si="5"/>
        <v/>
      </c>
      <c r="M152" s="106">
        <f>IF(I152="","",I152*Parâmetros!$C$8/15)</f>
        <v>14.345333333333334</v>
      </c>
      <c r="N152" s="106">
        <f>IF(K152="","",K152*Parâmetros!$C$8/15)</f>
        <v>0</v>
      </c>
      <c r="O152" s="28">
        <f>IF(M152="","",M152*Parâmetros!$C$5)</f>
        <v>4590.5066666666671</v>
      </c>
      <c r="P152" s="64" t="str">
        <f>IF(L152="","",IF(L152&gt;=Parâmetros!$C$10,"Sim","Não"))</f>
        <v/>
      </c>
    </row>
    <row r="153" spans="1:16" ht="15" customHeight="1" x14ac:dyDescent="0.3">
      <c r="A153" s="60">
        <v>151</v>
      </c>
      <c r="B153" s="60" t="s">
        <v>334</v>
      </c>
      <c r="C153" s="101" t="s">
        <v>183</v>
      </c>
      <c r="D153" s="101" t="s">
        <v>184</v>
      </c>
      <c r="E153" s="60">
        <v>3</v>
      </c>
      <c r="F153" s="85">
        <v>46224</v>
      </c>
      <c r="G153" s="35">
        <v>408</v>
      </c>
      <c r="H153" s="85">
        <f>IF(COUNTIFS(Pesagens!$B$3:$B$5001,$B153)=0,"",_xlfn.MAXIFS(Pesagens!$A$3:$A$5001,Pesagens!$B$3:$B$5001,$B153,Pesagens!$E$3:$E$5001,"&lt;&gt;"))</f>
        <v>46224</v>
      </c>
      <c r="I153" s="35">
        <f>IF($H153="","",IFERROR(AVERAGEIFS(Pesagens!$E$3:$E$5001,Pesagens!$B$3:$B$5001,$B153,Pesagens!$A$3:$A$5001,$H153),""))</f>
        <v>408</v>
      </c>
      <c r="J153" s="60">
        <f>IF(F153="","",Parâmetros!$C$4-F153)</f>
        <v>14</v>
      </c>
      <c r="K153" s="35">
        <f t="shared" si="4"/>
        <v>0</v>
      </c>
      <c r="L153" s="102" t="str">
        <f t="shared" si="5"/>
        <v/>
      </c>
      <c r="M153" s="103">
        <f>IF(I153="","",I153*Parâmetros!$C$8/15)</f>
        <v>14.416</v>
      </c>
      <c r="N153" s="103">
        <f>IF(K153="","",K153*Parâmetros!$C$8/15)</f>
        <v>0</v>
      </c>
      <c r="O153" s="26">
        <f>IF(M153="","",M153*Parâmetros!$C$5)</f>
        <v>4613.12</v>
      </c>
      <c r="P153" s="60" t="str">
        <f>IF(L153="","",IF(L153&gt;=Parâmetros!$C$10,"Sim","Não"))</f>
        <v/>
      </c>
    </row>
    <row r="154" spans="1:16" ht="15" customHeight="1" x14ac:dyDescent="0.3">
      <c r="A154" s="64">
        <v>152</v>
      </c>
      <c r="B154" s="64" t="s">
        <v>335</v>
      </c>
      <c r="C154" s="104" t="s">
        <v>183</v>
      </c>
      <c r="D154" s="104" t="s">
        <v>184</v>
      </c>
      <c r="E154" s="64">
        <v>3</v>
      </c>
      <c r="F154" s="86">
        <v>46224</v>
      </c>
      <c r="G154" s="40">
        <v>412</v>
      </c>
      <c r="H154" s="86">
        <f>IF(COUNTIFS(Pesagens!$B$3:$B$5001,$B154)=0,"",_xlfn.MAXIFS(Pesagens!$A$3:$A$5001,Pesagens!$B$3:$B$5001,$B154,Pesagens!$E$3:$E$5001,"&lt;&gt;"))</f>
        <v>46224</v>
      </c>
      <c r="I154" s="40">
        <f>IF($H154="","",IFERROR(AVERAGEIFS(Pesagens!$E$3:$E$5001,Pesagens!$B$3:$B$5001,$B154,Pesagens!$A$3:$A$5001,$H154),""))</f>
        <v>412</v>
      </c>
      <c r="J154" s="64">
        <f>IF(F154="","",Parâmetros!$C$4-F154)</f>
        <v>14</v>
      </c>
      <c r="K154" s="40">
        <f t="shared" si="4"/>
        <v>0</v>
      </c>
      <c r="L154" s="105" t="str">
        <f t="shared" si="5"/>
        <v/>
      </c>
      <c r="M154" s="106">
        <f>IF(I154="","",I154*Parâmetros!$C$8/15)</f>
        <v>14.557333333333334</v>
      </c>
      <c r="N154" s="106">
        <f>IF(K154="","",K154*Parâmetros!$C$8/15)</f>
        <v>0</v>
      </c>
      <c r="O154" s="28">
        <f>IF(M154="","",M154*Parâmetros!$C$5)</f>
        <v>4658.3466666666673</v>
      </c>
      <c r="P154" s="64" t="str">
        <f>IF(L154="","",IF(L154&gt;=Parâmetros!$C$10,"Sim","Não"))</f>
        <v/>
      </c>
    </row>
    <row r="155" spans="1:16" ht="15" customHeight="1" x14ac:dyDescent="0.3">
      <c r="A155" s="60">
        <v>153</v>
      </c>
      <c r="B155" s="60" t="s">
        <v>336</v>
      </c>
      <c r="C155" s="101" t="s">
        <v>183</v>
      </c>
      <c r="D155" s="101" t="s">
        <v>184</v>
      </c>
      <c r="E155" s="60">
        <v>3</v>
      </c>
      <c r="F155" s="85">
        <v>46224</v>
      </c>
      <c r="G155" s="35">
        <v>404</v>
      </c>
      <c r="H155" s="85">
        <f>IF(COUNTIFS(Pesagens!$B$3:$B$5001,$B155)=0,"",_xlfn.MAXIFS(Pesagens!$A$3:$A$5001,Pesagens!$B$3:$B$5001,$B155,Pesagens!$E$3:$E$5001,"&lt;&gt;"))</f>
        <v>46224</v>
      </c>
      <c r="I155" s="35">
        <f>IF($H155="","",IFERROR(AVERAGEIFS(Pesagens!$E$3:$E$5001,Pesagens!$B$3:$B$5001,$B155,Pesagens!$A$3:$A$5001,$H155),""))</f>
        <v>404</v>
      </c>
      <c r="J155" s="60">
        <f>IF(F155="","",Parâmetros!$C$4-F155)</f>
        <v>14</v>
      </c>
      <c r="K155" s="35">
        <f t="shared" si="4"/>
        <v>0</v>
      </c>
      <c r="L155" s="102" t="str">
        <f t="shared" si="5"/>
        <v/>
      </c>
      <c r="M155" s="103">
        <f>IF(I155="","",I155*Parâmetros!$C$8/15)</f>
        <v>14.274666666666667</v>
      </c>
      <c r="N155" s="103">
        <f>IF(K155="","",K155*Parâmetros!$C$8/15)</f>
        <v>0</v>
      </c>
      <c r="O155" s="26">
        <f>IF(M155="","",M155*Parâmetros!$C$5)</f>
        <v>4567.8933333333334</v>
      </c>
      <c r="P155" s="60" t="str">
        <f>IF(L155="","",IF(L155&gt;=Parâmetros!$C$10,"Sim","Não"))</f>
        <v/>
      </c>
    </row>
    <row r="156" spans="1:16" ht="15" customHeight="1" x14ac:dyDescent="0.3">
      <c r="A156" s="64">
        <v>154</v>
      </c>
      <c r="B156" s="64" t="s">
        <v>337</v>
      </c>
      <c r="C156" s="104" t="s">
        <v>183</v>
      </c>
      <c r="D156" s="104" t="s">
        <v>184</v>
      </c>
      <c r="E156" s="64">
        <v>3</v>
      </c>
      <c r="F156" s="86">
        <v>46224</v>
      </c>
      <c r="G156" s="40">
        <v>416</v>
      </c>
      <c r="H156" s="86">
        <f>IF(COUNTIFS(Pesagens!$B$3:$B$5001,$B156)=0,"",_xlfn.MAXIFS(Pesagens!$A$3:$A$5001,Pesagens!$B$3:$B$5001,$B156,Pesagens!$E$3:$E$5001,"&lt;&gt;"))</f>
        <v>46224</v>
      </c>
      <c r="I156" s="40">
        <f>IF($H156="","",IFERROR(AVERAGEIFS(Pesagens!$E$3:$E$5001,Pesagens!$B$3:$B$5001,$B156,Pesagens!$A$3:$A$5001,$H156),""))</f>
        <v>416</v>
      </c>
      <c r="J156" s="64">
        <f>IF(F156="","",Parâmetros!$C$4-F156)</f>
        <v>14</v>
      </c>
      <c r="K156" s="40">
        <f t="shared" si="4"/>
        <v>0</v>
      </c>
      <c r="L156" s="105" t="str">
        <f t="shared" si="5"/>
        <v/>
      </c>
      <c r="M156" s="106">
        <f>IF(I156="","",I156*Parâmetros!$C$8/15)</f>
        <v>14.698666666666668</v>
      </c>
      <c r="N156" s="106">
        <f>IF(K156="","",K156*Parâmetros!$C$8/15)</f>
        <v>0</v>
      </c>
      <c r="O156" s="28">
        <f>IF(M156="","",M156*Parâmetros!$C$5)</f>
        <v>4703.5733333333337</v>
      </c>
      <c r="P156" s="64" t="str">
        <f>IF(L156="","",IF(L156&gt;=Parâmetros!$C$10,"Sim","Não"))</f>
        <v/>
      </c>
    </row>
    <row r="157" spans="1:16" ht="15" customHeight="1" x14ac:dyDescent="0.3">
      <c r="A157" s="60">
        <v>155</v>
      </c>
      <c r="B157" s="60" t="s">
        <v>338</v>
      </c>
      <c r="C157" s="101" t="s">
        <v>183</v>
      </c>
      <c r="D157" s="101" t="s">
        <v>184</v>
      </c>
      <c r="E157" s="60">
        <v>3</v>
      </c>
      <c r="F157" s="85">
        <v>46224</v>
      </c>
      <c r="G157" s="35">
        <v>404</v>
      </c>
      <c r="H157" s="85">
        <f>IF(COUNTIFS(Pesagens!$B$3:$B$5001,$B157)=0,"",_xlfn.MAXIFS(Pesagens!$A$3:$A$5001,Pesagens!$B$3:$B$5001,$B157,Pesagens!$E$3:$E$5001,"&lt;&gt;"))</f>
        <v>46224</v>
      </c>
      <c r="I157" s="35">
        <f>IF($H157="","",IFERROR(AVERAGEIFS(Pesagens!$E$3:$E$5001,Pesagens!$B$3:$B$5001,$B157,Pesagens!$A$3:$A$5001,$H157),""))</f>
        <v>404</v>
      </c>
      <c r="J157" s="60">
        <f>IF(F157="","",Parâmetros!$C$4-F157)</f>
        <v>14</v>
      </c>
      <c r="K157" s="35">
        <f t="shared" si="4"/>
        <v>0</v>
      </c>
      <c r="L157" s="102" t="str">
        <f t="shared" si="5"/>
        <v/>
      </c>
      <c r="M157" s="103">
        <f>IF(I157="","",I157*Parâmetros!$C$8/15)</f>
        <v>14.274666666666667</v>
      </c>
      <c r="N157" s="103">
        <f>IF(K157="","",K157*Parâmetros!$C$8/15)</f>
        <v>0</v>
      </c>
      <c r="O157" s="26">
        <f>IF(M157="","",M157*Parâmetros!$C$5)</f>
        <v>4567.8933333333334</v>
      </c>
      <c r="P157" s="60" t="str">
        <f>IF(L157="","",IF(L157&gt;=Parâmetros!$C$10,"Sim","Não"))</f>
        <v/>
      </c>
    </row>
    <row r="158" spans="1:16" ht="15" customHeight="1" x14ac:dyDescent="0.3">
      <c r="A158" s="64">
        <v>156</v>
      </c>
      <c r="B158" s="64" t="s">
        <v>339</v>
      </c>
      <c r="C158" s="104" t="s">
        <v>183</v>
      </c>
      <c r="D158" s="104" t="s">
        <v>184</v>
      </c>
      <c r="E158" s="64">
        <v>3</v>
      </c>
      <c r="F158" s="86">
        <v>46224</v>
      </c>
      <c r="G158" s="40">
        <v>423</v>
      </c>
      <c r="H158" s="86">
        <f>IF(COUNTIFS(Pesagens!$B$3:$B$5001,$B158)=0,"",_xlfn.MAXIFS(Pesagens!$A$3:$A$5001,Pesagens!$B$3:$B$5001,$B158,Pesagens!$E$3:$E$5001,"&lt;&gt;"))</f>
        <v>46224</v>
      </c>
      <c r="I158" s="40">
        <f>IF($H158="","",IFERROR(AVERAGEIFS(Pesagens!$E$3:$E$5001,Pesagens!$B$3:$B$5001,$B158,Pesagens!$A$3:$A$5001,$H158),""))</f>
        <v>423</v>
      </c>
      <c r="J158" s="64">
        <f>IF(F158="","",Parâmetros!$C$4-F158)</f>
        <v>14</v>
      </c>
      <c r="K158" s="40">
        <f t="shared" si="4"/>
        <v>0</v>
      </c>
      <c r="L158" s="105" t="str">
        <f t="shared" si="5"/>
        <v/>
      </c>
      <c r="M158" s="106">
        <f>IF(I158="","",I158*Parâmetros!$C$8/15)</f>
        <v>14.946</v>
      </c>
      <c r="N158" s="106">
        <f>IF(K158="","",K158*Parâmetros!$C$8/15)</f>
        <v>0</v>
      </c>
      <c r="O158" s="28">
        <f>IF(M158="","",M158*Parâmetros!$C$5)</f>
        <v>4782.72</v>
      </c>
      <c r="P158" s="64" t="str">
        <f>IF(L158="","",IF(L158&gt;=Parâmetros!$C$10,"Sim","Não"))</f>
        <v/>
      </c>
    </row>
    <row r="159" spans="1:16" ht="15" customHeight="1" x14ac:dyDescent="0.3">
      <c r="A159" s="60">
        <v>157</v>
      </c>
      <c r="B159" s="60" t="s">
        <v>340</v>
      </c>
      <c r="C159" s="101" t="s">
        <v>183</v>
      </c>
      <c r="D159" s="101" t="s">
        <v>184</v>
      </c>
      <c r="E159" s="60">
        <v>3</v>
      </c>
      <c r="F159" s="85">
        <v>46224</v>
      </c>
      <c r="G159" s="35">
        <v>406</v>
      </c>
      <c r="H159" s="85">
        <f>IF(COUNTIFS(Pesagens!$B$3:$B$5001,$B159)=0,"",_xlfn.MAXIFS(Pesagens!$A$3:$A$5001,Pesagens!$B$3:$B$5001,$B159,Pesagens!$E$3:$E$5001,"&lt;&gt;"))</f>
        <v>46224</v>
      </c>
      <c r="I159" s="35">
        <f>IF($H159="","",IFERROR(AVERAGEIFS(Pesagens!$E$3:$E$5001,Pesagens!$B$3:$B$5001,$B159,Pesagens!$A$3:$A$5001,$H159),""))</f>
        <v>406</v>
      </c>
      <c r="J159" s="60">
        <f>IF(F159="","",Parâmetros!$C$4-F159)</f>
        <v>14</v>
      </c>
      <c r="K159" s="35">
        <f t="shared" si="4"/>
        <v>0</v>
      </c>
      <c r="L159" s="102" t="str">
        <f t="shared" si="5"/>
        <v/>
      </c>
      <c r="M159" s="103">
        <f>IF(I159="","",I159*Parâmetros!$C$8/15)</f>
        <v>14.345333333333334</v>
      </c>
      <c r="N159" s="103">
        <f>IF(K159="","",K159*Parâmetros!$C$8/15)</f>
        <v>0</v>
      </c>
      <c r="O159" s="26">
        <f>IF(M159="","",M159*Parâmetros!$C$5)</f>
        <v>4590.5066666666671</v>
      </c>
      <c r="P159" s="60" t="str">
        <f>IF(L159="","",IF(L159&gt;=Parâmetros!$C$10,"Sim","Não"))</f>
        <v/>
      </c>
    </row>
    <row r="160" spans="1:16" ht="15" customHeight="1" x14ac:dyDescent="0.3">
      <c r="A160" s="64">
        <v>158</v>
      </c>
      <c r="B160" s="64" t="s">
        <v>341</v>
      </c>
      <c r="C160" s="104" t="s">
        <v>183</v>
      </c>
      <c r="D160" s="104" t="s">
        <v>184</v>
      </c>
      <c r="E160" s="64">
        <v>3</v>
      </c>
      <c r="F160" s="86">
        <v>46224</v>
      </c>
      <c r="G160" s="40">
        <v>405</v>
      </c>
      <c r="H160" s="86">
        <f>IF(COUNTIFS(Pesagens!$B$3:$B$5001,$B160)=0,"",_xlfn.MAXIFS(Pesagens!$A$3:$A$5001,Pesagens!$B$3:$B$5001,$B160,Pesagens!$E$3:$E$5001,"&lt;&gt;"))</f>
        <v>46224</v>
      </c>
      <c r="I160" s="40">
        <f>IF($H160="","",IFERROR(AVERAGEIFS(Pesagens!$E$3:$E$5001,Pesagens!$B$3:$B$5001,$B160,Pesagens!$A$3:$A$5001,$H160),""))</f>
        <v>405</v>
      </c>
      <c r="J160" s="64">
        <f>IF(F160="","",Parâmetros!$C$4-F160)</f>
        <v>14</v>
      </c>
      <c r="K160" s="40">
        <f t="shared" si="4"/>
        <v>0</v>
      </c>
      <c r="L160" s="105" t="str">
        <f t="shared" si="5"/>
        <v/>
      </c>
      <c r="M160" s="106">
        <f>IF(I160="","",I160*Parâmetros!$C$8/15)</f>
        <v>14.31</v>
      </c>
      <c r="N160" s="106">
        <f>IF(K160="","",K160*Parâmetros!$C$8/15)</f>
        <v>0</v>
      </c>
      <c r="O160" s="28">
        <f>IF(M160="","",M160*Parâmetros!$C$5)</f>
        <v>4579.2</v>
      </c>
      <c r="P160" s="64" t="str">
        <f>IF(L160="","",IF(L160&gt;=Parâmetros!$C$10,"Sim","Não"))</f>
        <v/>
      </c>
    </row>
    <row r="161" spans="1:16" ht="15" customHeight="1" x14ac:dyDescent="0.3">
      <c r="A161" s="60">
        <v>159</v>
      </c>
      <c r="B161" s="60" t="s">
        <v>342</v>
      </c>
      <c r="C161" s="101" t="s">
        <v>183</v>
      </c>
      <c r="D161" s="101" t="s">
        <v>184</v>
      </c>
      <c r="E161" s="60">
        <v>3</v>
      </c>
      <c r="F161" s="85">
        <v>46224</v>
      </c>
      <c r="G161" s="35">
        <v>403</v>
      </c>
      <c r="H161" s="85">
        <f>IF(COUNTIFS(Pesagens!$B$3:$B$5001,$B161)=0,"",_xlfn.MAXIFS(Pesagens!$A$3:$A$5001,Pesagens!$B$3:$B$5001,$B161,Pesagens!$E$3:$E$5001,"&lt;&gt;"))</f>
        <v>46224</v>
      </c>
      <c r="I161" s="35">
        <f>IF($H161="","",IFERROR(AVERAGEIFS(Pesagens!$E$3:$E$5001,Pesagens!$B$3:$B$5001,$B161,Pesagens!$A$3:$A$5001,$H161),""))</f>
        <v>403</v>
      </c>
      <c r="J161" s="60">
        <f>IF(F161="","",Parâmetros!$C$4-F161)</f>
        <v>14</v>
      </c>
      <c r="K161" s="35">
        <f t="shared" si="4"/>
        <v>0</v>
      </c>
      <c r="L161" s="102" t="str">
        <f t="shared" si="5"/>
        <v/>
      </c>
      <c r="M161" s="103">
        <f>IF(I161="","",I161*Parâmetros!$C$8/15)</f>
        <v>14.239333333333333</v>
      </c>
      <c r="N161" s="103">
        <f>IF(K161="","",K161*Parâmetros!$C$8/15)</f>
        <v>0</v>
      </c>
      <c r="O161" s="26">
        <f>IF(M161="","",M161*Parâmetros!$C$5)</f>
        <v>4556.5866666666661</v>
      </c>
      <c r="P161" s="60" t="str">
        <f>IF(L161="","",IF(L161&gt;=Parâmetros!$C$10,"Sim","Não"))</f>
        <v/>
      </c>
    </row>
    <row r="162" spans="1:16" ht="15" customHeight="1" x14ac:dyDescent="0.3">
      <c r="A162" s="64">
        <v>160</v>
      </c>
      <c r="B162" s="64" t="s">
        <v>343</v>
      </c>
      <c r="C162" s="104" t="s">
        <v>183</v>
      </c>
      <c r="D162" s="104" t="s">
        <v>184</v>
      </c>
      <c r="E162" s="64">
        <v>3</v>
      </c>
      <c r="F162" s="86">
        <v>46221</v>
      </c>
      <c r="G162" s="40">
        <v>407</v>
      </c>
      <c r="H162" s="86">
        <f>IF(COUNTIFS(Pesagens!$B$3:$B$5001,$B162)=0,"",_xlfn.MAXIFS(Pesagens!$A$3:$A$5001,Pesagens!$B$3:$B$5001,$B162,Pesagens!$E$3:$E$5001,"&lt;&gt;"))</f>
        <v>46221</v>
      </c>
      <c r="I162" s="40">
        <f>IF($H162="","",IFERROR(AVERAGEIFS(Pesagens!$E$3:$E$5001,Pesagens!$B$3:$B$5001,$B162,Pesagens!$A$3:$A$5001,$H162),""))</f>
        <v>407</v>
      </c>
      <c r="J162" s="64">
        <f>IF(F162="","",Parâmetros!$C$4-F162)</f>
        <v>17</v>
      </c>
      <c r="K162" s="40">
        <f t="shared" si="4"/>
        <v>0</v>
      </c>
      <c r="L162" s="105" t="str">
        <f t="shared" si="5"/>
        <v/>
      </c>
      <c r="M162" s="106">
        <f>IF(I162="","",I162*Parâmetros!$C$8/15)</f>
        <v>14.380666666666666</v>
      </c>
      <c r="N162" s="106">
        <f>IF(K162="","",K162*Parâmetros!$C$8/15)</f>
        <v>0</v>
      </c>
      <c r="O162" s="28">
        <f>IF(M162="","",M162*Parâmetros!$C$5)</f>
        <v>4601.8133333333335</v>
      </c>
      <c r="P162" s="64" t="str">
        <f>IF(L162="","",IF(L162&gt;=Parâmetros!$C$10,"Sim","Não"))</f>
        <v/>
      </c>
    </row>
    <row r="163" spans="1:16" ht="15" customHeight="1" x14ac:dyDescent="0.3">
      <c r="A163" s="60">
        <v>161</v>
      </c>
      <c r="B163" s="60" t="s">
        <v>344</v>
      </c>
      <c r="C163" s="101" t="s">
        <v>183</v>
      </c>
      <c r="D163" s="101" t="s">
        <v>184</v>
      </c>
      <c r="E163" s="60">
        <v>3</v>
      </c>
      <c r="F163" s="85">
        <v>46221</v>
      </c>
      <c r="G163" s="35">
        <v>423</v>
      </c>
      <c r="H163" s="85">
        <f>IF(COUNTIFS(Pesagens!$B$3:$B$5001,$B163)=0,"",_xlfn.MAXIFS(Pesagens!$A$3:$A$5001,Pesagens!$B$3:$B$5001,$B163,Pesagens!$E$3:$E$5001,"&lt;&gt;"))</f>
        <v>46221</v>
      </c>
      <c r="I163" s="35">
        <f>IF($H163="","",IFERROR(AVERAGEIFS(Pesagens!$E$3:$E$5001,Pesagens!$B$3:$B$5001,$B163,Pesagens!$A$3:$A$5001,$H163),""))</f>
        <v>423</v>
      </c>
      <c r="J163" s="60">
        <f>IF(F163="","",Parâmetros!$C$4-F163)</f>
        <v>17</v>
      </c>
      <c r="K163" s="35">
        <f t="shared" si="4"/>
        <v>0</v>
      </c>
      <c r="L163" s="102" t="str">
        <f t="shared" si="5"/>
        <v/>
      </c>
      <c r="M163" s="103">
        <f>IF(I163="","",I163*Parâmetros!$C$8/15)</f>
        <v>14.946</v>
      </c>
      <c r="N163" s="103">
        <f>IF(K163="","",K163*Parâmetros!$C$8/15)</f>
        <v>0</v>
      </c>
      <c r="O163" s="26">
        <f>IF(M163="","",M163*Parâmetros!$C$5)</f>
        <v>4782.72</v>
      </c>
      <c r="P163" s="60" t="str">
        <f>IF(L163="","",IF(L163&gt;=Parâmetros!$C$10,"Sim","Não"))</f>
        <v/>
      </c>
    </row>
    <row r="164" spans="1:16" ht="15" customHeight="1" x14ac:dyDescent="0.3">
      <c r="A164" s="64">
        <v>162</v>
      </c>
      <c r="B164" s="64" t="s">
        <v>345</v>
      </c>
      <c r="C164" s="104" t="s">
        <v>183</v>
      </c>
      <c r="D164" s="104" t="s">
        <v>184</v>
      </c>
      <c r="E164" s="64">
        <v>3</v>
      </c>
      <c r="F164" s="86">
        <v>46221</v>
      </c>
      <c r="G164" s="40">
        <v>400</v>
      </c>
      <c r="H164" s="86">
        <f>IF(COUNTIFS(Pesagens!$B$3:$B$5001,$B164)=0,"",_xlfn.MAXIFS(Pesagens!$A$3:$A$5001,Pesagens!$B$3:$B$5001,$B164,Pesagens!$E$3:$E$5001,"&lt;&gt;"))</f>
        <v>46221</v>
      </c>
      <c r="I164" s="40">
        <f>IF($H164="","",IFERROR(AVERAGEIFS(Pesagens!$E$3:$E$5001,Pesagens!$B$3:$B$5001,$B164,Pesagens!$A$3:$A$5001,$H164),""))</f>
        <v>400</v>
      </c>
      <c r="J164" s="64">
        <f>IF(F164="","",Parâmetros!$C$4-F164)</f>
        <v>17</v>
      </c>
      <c r="K164" s="40">
        <f t="shared" si="4"/>
        <v>0</v>
      </c>
      <c r="L164" s="105" t="str">
        <f t="shared" si="5"/>
        <v/>
      </c>
      <c r="M164" s="106">
        <f>IF(I164="","",I164*Parâmetros!$C$8/15)</f>
        <v>14.133333333333333</v>
      </c>
      <c r="N164" s="106">
        <f>IF(K164="","",K164*Parâmetros!$C$8/15)</f>
        <v>0</v>
      </c>
      <c r="O164" s="28">
        <f>IF(M164="","",M164*Parâmetros!$C$5)</f>
        <v>4522.6666666666661</v>
      </c>
      <c r="P164" s="64" t="str">
        <f>IF(L164="","",IF(L164&gt;=Parâmetros!$C$10,"Sim","Não"))</f>
        <v/>
      </c>
    </row>
    <row r="165" spans="1:16" ht="15" customHeight="1" x14ac:dyDescent="0.3">
      <c r="A165" s="60">
        <v>163</v>
      </c>
      <c r="B165" s="60" t="s">
        <v>346</v>
      </c>
      <c r="C165" s="101" t="s">
        <v>183</v>
      </c>
      <c r="D165" s="101" t="s">
        <v>184</v>
      </c>
      <c r="E165" s="60">
        <v>3</v>
      </c>
      <c r="F165" s="85">
        <v>46221</v>
      </c>
      <c r="G165" s="35">
        <v>412</v>
      </c>
      <c r="H165" s="85">
        <f>IF(COUNTIFS(Pesagens!$B$3:$B$5001,$B165)=0,"",_xlfn.MAXIFS(Pesagens!$A$3:$A$5001,Pesagens!$B$3:$B$5001,$B165,Pesagens!$E$3:$E$5001,"&lt;&gt;"))</f>
        <v>46221</v>
      </c>
      <c r="I165" s="35">
        <f>IF($H165="","",IFERROR(AVERAGEIFS(Pesagens!$E$3:$E$5001,Pesagens!$B$3:$B$5001,$B165,Pesagens!$A$3:$A$5001,$H165),""))</f>
        <v>412</v>
      </c>
      <c r="J165" s="60">
        <f>IF(F165="","",Parâmetros!$C$4-F165)</f>
        <v>17</v>
      </c>
      <c r="K165" s="35">
        <f t="shared" si="4"/>
        <v>0</v>
      </c>
      <c r="L165" s="102" t="str">
        <f t="shared" si="5"/>
        <v/>
      </c>
      <c r="M165" s="103">
        <f>IF(I165="","",I165*Parâmetros!$C$8/15)</f>
        <v>14.557333333333334</v>
      </c>
      <c r="N165" s="103">
        <f>IF(K165="","",K165*Parâmetros!$C$8/15)</f>
        <v>0</v>
      </c>
      <c r="O165" s="26">
        <f>IF(M165="","",M165*Parâmetros!$C$5)</f>
        <v>4658.3466666666673</v>
      </c>
      <c r="P165" s="60" t="str">
        <f>IF(L165="","",IF(L165&gt;=Parâmetros!$C$10,"Sim","Não"))</f>
        <v/>
      </c>
    </row>
    <row r="166" spans="1:16" ht="15" customHeight="1" x14ac:dyDescent="0.3">
      <c r="A166" s="64">
        <v>164</v>
      </c>
      <c r="B166" s="64" t="s">
        <v>347</v>
      </c>
      <c r="C166" s="104" t="s">
        <v>183</v>
      </c>
      <c r="D166" s="104" t="s">
        <v>184</v>
      </c>
      <c r="E166" s="64">
        <v>3</v>
      </c>
      <c r="F166" s="86">
        <v>46221</v>
      </c>
      <c r="G166" s="40">
        <v>403</v>
      </c>
      <c r="H166" s="86">
        <f>IF(COUNTIFS(Pesagens!$B$3:$B$5001,$B166)=0,"",_xlfn.MAXIFS(Pesagens!$A$3:$A$5001,Pesagens!$B$3:$B$5001,$B166,Pesagens!$E$3:$E$5001,"&lt;&gt;"))</f>
        <v>46221</v>
      </c>
      <c r="I166" s="40">
        <f>IF($H166="","",IFERROR(AVERAGEIFS(Pesagens!$E$3:$E$5001,Pesagens!$B$3:$B$5001,$B166,Pesagens!$A$3:$A$5001,$H166),""))</f>
        <v>403</v>
      </c>
      <c r="J166" s="64">
        <f>IF(F166="","",Parâmetros!$C$4-F166)</f>
        <v>17</v>
      </c>
      <c r="K166" s="40">
        <f t="shared" si="4"/>
        <v>0</v>
      </c>
      <c r="L166" s="105" t="str">
        <f t="shared" si="5"/>
        <v/>
      </c>
      <c r="M166" s="106">
        <f>IF(I166="","",I166*Parâmetros!$C$8/15)</f>
        <v>14.239333333333333</v>
      </c>
      <c r="N166" s="106">
        <f>IF(K166="","",K166*Parâmetros!$C$8/15)</f>
        <v>0</v>
      </c>
      <c r="O166" s="28">
        <f>IF(M166="","",M166*Parâmetros!$C$5)</f>
        <v>4556.5866666666661</v>
      </c>
      <c r="P166" s="64" t="str">
        <f>IF(L166="","",IF(L166&gt;=Parâmetros!$C$10,"Sim","Não"))</f>
        <v/>
      </c>
    </row>
    <row r="167" spans="1:16" ht="15" customHeight="1" x14ac:dyDescent="0.3">
      <c r="A167" s="60">
        <v>165</v>
      </c>
      <c r="B167" s="60" t="s">
        <v>348</v>
      </c>
      <c r="C167" s="101" t="s">
        <v>183</v>
      </c>
      <c r="D167" s="101" t="s">
        <v>184</v>
      </c>
      <c r="E167" s="60">
        <v>3</v>
      </c>
      <c r="F167" s="85">
        <v>46221</v>
      </c>
      <c r="G167" s="35">
        <v>415</v>
      </c>
      <c r="H167" s="85">
        <f>IF(COUNTIFS(Pesagens!$B$3:$B$5001,$B167)=0,"",_xlfn.MAXIFS(Pesagens!$A$3:$A$5001,Pesagens!$B$3:$B$5001,$B167,Pesagens!$E$3:$E$5001,"&lt;&gt;"))</f>
        <v>46221</v>
      </c>
      <c r="I167" s="35">
        <f>IF($H167="","",IFERROR(AVERAGEIFS(Pesagens!$E$3:$E$5001,Pesagens!$B$3:$B$5001,$B167,Pesagens!$A$3:$A$5001,$H167),""))</f>
        <v>415</v>
      </c>
      <c r="J167" s="60">
        <f>IF(F167="","",Parâmetros!$C$4-F167)</f>
        <v>17</v>
      </c>
      <c r="K167" s="35">
        <f t="shared" si="4"/>
        <v>0</v>
      </c>
      <c r="L167" s="102" t="str">
        <f t="shared" si="5"/>
        <v/>
      </c>
      <c r="M167" s="103">
        <f>IF(I167="","",I167*Parâmetros!$C$8/15)</f>
        <v>14.663333333333334</v>
      </c>
      <c r="N167" s="103">
        <f>IF(K167="","",K167*Parâmetros!$C$8/15)</f>
        <v>0</v>
      </c>
      <c r="O167" s="26">
        <f>IF(M167="","",M167*Parâmetros!$C$5)</f>
        <v>4692.2666666666664</v>
      </c>
      <c r="P167" s="60" t="str">
        <f>IF(L167="","",IF(L167&gt;=Parâmetros!$C$10,"Sim","Não"))</f>
        <v/>
      </c>
    </row>
    <row r="168" spans="1:16" ht="15" customHeight="1" x14ac:dyDescent="0.3">
      <c r="A168" s="64">
        <v>166</v>
      </c>
      <c r="B168" s="64" t="s">
        <v>349</v>
      </c>
      <c r="C168" s="104" t="s">
        <v>183</v>
      </c>
      <c r="D168" s="104" t="s">
        <v>184</v>
      </c>
      <c r="E168" s="64">
        <v>3</v>
      </c>
      <c r="F168" s="86">
        <v>46221</v>
      </c>
      <c r="G168" s="40">
        <v>408</v>
      </c>
      <c r="H168" s="86">
        <f>IF(COUNTIFS(Pesagens!$B$3:$B$5001,$B168)=0,"",_xlfn.MAXIFS(Pesagens!$A$3:$A$5001,Pesagens!$B$3:$B$5001,$B168,Pesagens!$E$3:$E$5001,"&lt;&gt;"))</f>
        <v>46221</v>
      </c>
      <c r="I168" s="40">
        <f>IF($H168="","",IFERROR(AVERAGEIFS(Pesagens!$E$3:$E$5001,Pesagens!$B$3:$B$5001,$B168,Pesagens!$A$3:$A$5001,$H168),""))</f>
        <v>408</v>
      </c>
      <c r="J168" s="64">
        <f>IF(F168="","",Parâmetros!$C$4-F168)</f>
        <v>17</v>
      </c>
      <c r="K168" s="40">
        <f t="shared" si="4"/>
        <v>0</v>
      </c>
      <c r="L168" s="105" t="str">
        <f t="shared" si="5"/>
        <v/>
      </c>
      <c r="M168" s="106">
        <f>IF(I168="","",I168*Parâmetros!$C$8/15)</f>
        <v>14.416</v>
      </c>
      <c r="N168" s="106">
        <f>IF(K168="","",K168*Parâmetros!$C$8/15)</f>
        <v>0</v>
      </c>
      <c r="O168" s="28">
        <f>IF(M168="","",M168*Parâmetros!$C$5)</f>
        <v>4613.12</v>
      </c>
      <c r="P168" s="64" t="str">
        <f>IF(L168="","",IF(L168&gt;=Parâmetros!$C$10,"Sim","Não"))</f>
        <v/>
      </c>
    </row>
    <row r="169" spans="1:16" ht="15" customHeight="1" x14ac:dyDescent="0.3">
      <c r="A169" s="60">
        <v>167</v>
      </c>
      <c r="B169" s="60" t="s">
        <v>350</v>
      </c>
      <c r="C169" s="101" t="s">
        <v>183</v>
      </c>
      <c r="D169" s="101" t="s">
        <v>184</v>
      </c>
      <c r="E169" s="60">
        <v>3</v>
      </c>
      <c r="F169" s="85">
        <v>46221</v>
      </c>
      <c r="G169" s="35">
        <v>393</v>
      </c>
      <c r="H169" s="85">
        <f>IF(COUNTIFS(Pesagens!$B$3:$B$5001,$B169)=0,"",_xlfn.MAXIFS(Pesagens!$A$3:$A$5001,Pesagens!$B$3:$B$5001,$B169,Pesagens!$E$3:$E$5001,"&lt;&gt;"))</f>
        <v>46221</v>
      </c>
      <c r="I169" s="35">
        <f>IF($H169="","",IFERROR(AVERAGEIFS(Pesagens!$E$3:$E$5001,Pesagens!$B$3:$B$5001,$B169,Pesagens!$A$3:$A$5001,$H169),""))</f>
        <v>393</v>
      </c>
      <c r="J169" s="60">
        <f>IF(F169="","",Parâmetros!$C$4-F169)</f>
        <v>17</v>
      </c>
      <c r="K169" s="35">
        <f t="shared" si="4"/>
        <v>0</v>
      </c>
      <c r="L169" s="102" t="str">
        <f t="shared" si="5"/>
        <v/>
      </c>
      <c r="M169" s="103">
        <f>IF(I169="","",I169*Parâmetros!$C$8/15)</f>
        <v>13.886000000000001</v>
      </c>
      <c r="N169" s="103">
        <f>IF(K169="","",K169*Parâmetros!$C$8/15)</f>
        <v>0</v>
      </c>
      <c r="O169" s="26">
        <f>IF(M169="","",M169*Parâmetros!$C$5)</f>
        <v>4443.5200000000004</v>
      </c>
      <c r="P169" s="60" t="str">
        <f>IF(L169="","",IF(L169&gt;=Parâmetros!$C$10,"Sim","Não"))</f>
        <v/>
      </c>
    </row>
    <row r="170" spans="1:16" ht="15" customHeight="1" x14ac:dyDescent="0.3">
      <c r="A170" s="64">
        <v>168</v>
      </c>
      <c r="B170" s="64" t="s">
        <v>351</v>
      </c>
      <c r="C170" s="104" t="s">
        <v>183</v>
      </c>
      <c r="D170" s="104" t="s">
        <v>184</v>
      </c>
      <c r="E170" s="64">
        <v>3</v>
      </c>
      <c r="F170" s="86">
        <v>46221</v>
      </c>
      <c r="G170" s="40">
        <v>398</v>
      </c>
      <c r="H170" s="86">
        <f>IF(COUNTIFS(Pesagens!$B$3:$B$5001,$B170)=0,"",_xlfn.MAXIFS(Pesagens!$A$3:$A$5001,Pesagens!$B$3:$B$5001,$B170,Pesagens!$E$3:$E$5001,"&lt;&gt;"))</f>
        <v>46221</v>
      </c>
      <c r="I170" s="40">
        <f>IF($H170="","",IFERROR(AVERAGEIFS(Pesagens!$E$3:$E$5001,Pesagens!$B$3:$B$5001,$B170,Pesagens!$A$3:$A$5001,$H170),""))</f>
        <v>398</v>
      </c>
      <c r="J170" s="64">
        <f>IF(F170="","",Parâmetros!$C$4-F170)</f>
        <v>17</v>
      </c>
      <c r="K170" s="40">
        <f t="shared" si="4"/>
        <v>0</v>
      </c>
      <c r="L170" s="105" t="str">
        <f t="shared" si="5"/>
        <v/>
      </c>
      <c r="M170" s="106">
        <f>IF(I170="","",I170*Parâmetros!$C$8/15)</f>
        <v>14.062666666666667</v>
      </c>
      <c r="N170" s="106">
        <f>IF(K170="","",K170*Parâmetros!$C$8/15)</f>
        <v>0</v>
      </c>
      <c r="O170" s="28">
        <f>IF(M170="","",M170*Parâmetros!$C$5)</f>
        <v>4500.0533333333333</v>
      </c>
      <c r="P170" s="64" t="str">
        <f>IF(L170="","",IF(L170&gt;=Parâmetros!$C$10,"Sim","Não"))</f>
        <v/>
      </c>
    </row>
    <row r="171" spans="1:16" ht="15" customHeight="1" x14ac:dyDescent="0.3">
      <c r="A171" s="60">
        <v>169</v>
      </c>
      <c r="B171" s="60" t="s">
        <v>352</v>
      </c>
      <c r="C171" s="101" t="s">
        <v>183</v>
      </c>
      <c r="D171" s="101" t="s">
        <v>184</v>
      </c>
      <c r="E171" s="60">
        <v>3</v>
      </c>
      <c r="F171" s="85">
        <v>46221</v>
      </c>
      <c r="G171" s="35">
        <v>389</v>
      </c>
      <c r="H171" s="85">
        <f>IF(COUNTIFS(Pesagens!$B$3:$B$5001,$B171)=0,"",_xlfn.MAXIFS(Pesagens!$A$3:$A$5001,Pesagens!$B$3:$B$5001,$B171,Pesagens!$E$3:$E$5001,"&lt;&gt;"))</f>
        <v>46221</v>
      </c>
      <c r="I171" s="35">
        <f>IF($H171="","",IFERROR(AVERAGEIFS(Pesagens!$E$3:$E$5001,Pesagens!$B$3:$B$5001,$B171,Pesagens!$A$3:$A$5001,$H171),""))</f>
        <v>389</v>
      </c>
      <c r="J171" s="60">
        <f>IF(F171="","",Parâmetros!$C$4-F171)</f>
        <v>17</v>
      </c>
      <c r="K171" s="35">
        <f t="shared" si="4"/>
        <v>0</v>
      </c>
      <c r="L171" s="102" t="str">
        <f t="shared" si="5"/>
        <v/>
      </c>
      <c r="M171" s="103">
        <f>IF(I171="","",I171*Parâmetros!$C$8/15)</f>
        <v>13.744666666666667</v>
      </c>
      <c r="N171" s="103">
        <f>IF(K171="","",K171*Parâmetros!$C$8/15)</f>
        <v>0</v>
      </c>
      <c r="O171" s="26">
        <f>IF(M171="","",M171*Parâmetros!$C$5)</f>
        <v>4398.2933333333331</v>
      </c>
      <c r="P171" s="60" t="str">
        <f>IF(L171="","",IF(L171&gt;=Parâmetros!$C$10,"Sim","Não"))</f>
        <v/>
      </c>
    </row>
    <row r="172" spans="1:16" ht="15" customHeight="1" x14ac:dyDescent="0.3">
      <c r="A172" s="64">
        <v>170</v>
      </c>
      <c r="B172" s="64" t="s">
        <v>353</v>
      </c>
      <c r="C172" s="104" t="s">
        <v>183</v>
      </c>
      <c r="D172" s="104" t="s">
        <v>184</v>
      </c>
      <c r="E172" s="64">
        <v>3</v>
      </c>
      <c r="F172" s="86">
        <v>46221</v>
      </c>
      <c r="G172" s="40">
        <v>389</v>
      </c>
      <c r="H172" s="86">
        <f>IF(COUNTIFS(Pesagens!$B$3:$B$5001,$B172)=0,"",_xlfn.MAXIFS(Pesagens!$A$3:$A$5001,Pesagens!$B$3:$B$5001,$B172,Pesagens!$E$3:$E$5001,"&lt;&gt;"))</f>
        <v>46221</v>
      </c>
      <c r="I172" s="40">
        <f>IF($H172="","",IFERROR(AVERAGEIFS(Pesagens!$E$3:$E$5001,Pesagens!$B$3:$B$5001,$B172,Pesagens!$A$3:$A$5001,$H172),""))</f>
        <v>389</v>
      </c>
      <c r="J172" s="64">
        <f>IF(F172="","",Parâmetros!$C$4-F172)</f>
        <v>17</v>
      </c>
      <c r="K172" s="40">
        <f t="shared" si="4"/>
        <v>0</v>
      </c>
      <c r="L172" s="105" t="str">
        <f t="shared" si="5"/>
        <v/>
      </c>
      <c r="M172" s="106">
        <f>IF(I172="","",I172*Parâmetros!$C$8/15)</f>
        <v>13.744666666666667</v>
      </c>
      <c r="N172" s="106">
        <f>IF(K172="","",K172*Parâmetros!$C$8/15)</f>
        <v>0</v>
      </c>
      <c r="O172" s="28">
        <f>IF(M172="","",M172*Parâmetros!$C$5)</f>
        <v>4398.2933333333331</v>
      </c>
      <c r="P172" s="64" t="str">
        <f>IF(L172="","",IF(L172&gt;=Parâmetros!$C$10,"Sim","Não"))</f>
        <v/>
      </c>
    </row>
    <row r="173" spans="1:16" ht="15" customHeight="1" x14ac:dyDescent="0.3">
      <c r="A173" s="60">
        <v>171</v>
      </c>
      <c r="B173" s="60" t="s">
        <v>354</v>
      </c>
      <c r="C173" s="101" t="s">
        <v>183</v>
      </c>
      <c r="D173" s="101" t="s">
        <v>184</v>
      </c>
      <c r="E173" s="60">
        <v>3</v>
      </c>
      <c r="F173" s="85">
        <v>46221</v>
      </c>
      <c r="G173" s="35">
        <v>342</v>
      </c>
      <c r="H173" s="85">
        <f>IF(COUNTIFS(Pesagens!$B$3:$B$5001,$B173)=0,"",_xlfn.MAXIFS(Pesagens!$A$3:$A$5001,Pesagens!$B$3:$B$5001,$B173,Pesagens!$E$3:$E$5001,"&lt;&gt;"))</f>
        <v>46221</v>
      </c>
      <c r="I173" s="35">
        <f>IF($H173="","",IFERROR(AVERAGEIFS(Pesagens!$E$3:$E$5001,Pesagens!$B$3:$B$5001,$B173,Pesagens!$A$3:$A$5001,$H173),""))</f>
        <v>342</v>
      </c>
      <c r="J173" s="60">
        <f>IF(F173="","",Parâmetros!$C$4-F173)</f>
        <v>17</v>
      </c>
      <c r="K173" s="35">
        <f t="shared" si="4"/>
        <v>0</v>
      </c>
      <c r="L173" s="102" t="str">
        <f t="shared" si="5"/>
        <v/>
      </c>
      <c r="M173" s="103">
        <f>IF(I173="","",I173*Parâmetros!$C$8/15)</f>
        <v>12.084000000000001</v>
      </c>
      <c r="N173" s="103">
        <f>IF(K173="","",K173*Parâmetros!$C$8/15)</f>
        <v>0</v>
      </c>
      <c r="O173" s="26">
        <f>IF(M173="","",M173*Parâmetros!$C$5)</f>
        <v>3866.8800000000006</v>
      </c>
      <c r="P173" s="60" t="str">
        <f>IF(L173="","",IF(L173&gt;=Parâmetros!$C$10,"Sim","Não"))</f>
        <v/>
      </c>
    </row>
    <row r="174" spans="1:16" ht="15" customHeight="1" x14ac:dyDescent="0.3">
      <c r="A174" s="64">
        <v>172</v>
      </c>
      <c r="B174" s="64" t="s">
        <v>355</v>
      </c>
      <c r="C174" s="104" t="s">
        <v>183</v>
      </c>
      <c r="D174" s="104" t="s">
        <v>184</v>
      </c>
      <c r="E174" s="64">
        <v>3</v>
      </c>
      <c r="F174" s="86">
        <v>46221</v>
      </c>
      <c r="G174" s="40">
        <v>423</v>
      </c>
      <c r="H174" s="86">
        <f>IF(COUNTIFS(Pesagens!$B$3:$B$5001,$B174)=0,"",_xlfn.MAXIFS(Pesagens!$A$3:$A$5001,Pesagens!$B$3:$B$5001,$B174,Pesagens!$E$3:$E$5001,"&lt;&gt;"))</f>
        <v>46221</v>
      </c>
      <c r="I174" s="40">
        <f>IF($H174="","",IFERROR(AVERAGEIFS(Pesagens!$E$3:$E$5001,Pesagens!$B$3:$B$5001,$B174,Pesagens!$A$3:$A$5001,$H174),""))</f>
        <v>423</v>
      </c>
      <c r="J174" s="64">
        <f>IF(F174="","",Parâmetros!$C$4-F174)</f>
        <v>17</v>
      </c>
      <c r="K174" s="40">
        <f t="shared" si="4"/>
        <v>0</v>
      </c>
      <c r="L174" s="105" t="str">
        <f t="shared" si="5"/>
        <v/>
      </c>
      <c r="M174" s="106">
        <f>IF(I174="","",I174*Parâmetros!$C$8/15)</f>
        <v>14.946</v>
      </c>
      <c r="N174" s="106">
        <f>IF(K174="","",K174*Parâmetros!$C$8/15)</f>
        <v>0</v>
      </c>
      <c r="O174" s="28">
        <f>IF(M174="","",M174*Parâmetros!$C$5)</f>
        <v>4782.72</v>
      </c>
      <c r="P174" s="64" t="str">
        <f>IF(L174="","",IF(L174&gt;=Parâmetros!$C$10,"Sim","Não"))</f>
        <v/>
      </c>
    </row>
    <row r="175" spans="1:16" ht="15" customHeight="1" x14ac:dyDescent="0.3">
      <c r="A175" s="60">
        <v>173</v>
      </c>
      <c r="B175" s="60" t="s">
        <v>356</v>
      </c>
      <c r="C175" s="101" t="s">
        <v>183</v>
      </c>
      <c r="D175" s="101" t="s">
        <v>184</v>
      </c>
      <c r="E175" s="60">
        <v>3</v>
      </c>
      <c r="F175" s="85">
        <v>46221</v>
      </c>
      <c r="G175" s="35">
        <v>436</v>
      </c>
      <c r="H175" s="85">
        <f>IF(COUNTIFS(Pesagens!$B$3:$B$5001,$B175)=0,"",_xlfn.MAXIFS(Pesagens!$A$3:$A$5001,Pesagens!$B$3:$B$5001,$B175,Pesagens!$E$3:$E$5001,"&lt;&gt;"))</f>
        <v>46221</v>
      </c>
      <c r="I175" s="35">
        <f>IF($H175="","",IFERROR(AVERAGEIFS(Pesagens!$E$3:$E$5001,Pesagens!$B$3:$B$5001,$B175,Pesagens!$A$3:$A$5001,$H175),""))</f>
        <v>436</v>
      </c>
      <c r="J175" s="60">
        <f>IF(F175="","",Parâmetros!$C$4-F175)</f>
        <v>17</v>
      </c>
      <c r="K175" s="35">
        <f t="shared" si="4"/>
        <v>0</v>
      </c>
      <c r="L175" s="102" t="str">
        <f t="shared" si="5"/>
        <v/>
      </c>
      <c r="M175" s="103">
        <f>IF(I175="","",I175*Parâmetros!$C$8/15)</f>
        <v>15.405333333333335</v>
      </c>
      <c r="N175" s="103">
        <f>IF(K175="","",K175*Parâmetros!$C$8/15)</f>
        <v>0</v>
      </c>
      <c r="O175" s="26">
        <f>IF(M175="","",M175*Parâmetros!$C$5)</f>
        <v>4929.7066666666669</v>
      </c>
      <c r="P175" s="60" t="str">
        <f>IF(L175="","",IF(L175&gt;=Parâmetros!$C$10,"Sim","Não"))</f>
        <v/>
      </c>
    </row>
    <row r="176" spans="1:16" ht="15" customHeight="1" x14ac:dyDescent="0.3">
      <c r="A176" s="64">
        <v>174</v>
      </c>
      <c r="B176" s="64" t="s">
        <v>357</v>
      </c>
      <c r="C176" s="104" t="s">
        <v>183</v>
      </c>
      <c r="D176" s="104" t="s">
        <v>184</v>
      </c>
      <c r="E176" s="64">
        <v>3</v>
      </c>
      <c r="F176" s="86">
        <v>46221</v>
      </c>
      <c r="G176" s="40">
        <v>421</v>
      </c>
      <c r="H176" s="86">
        <f>IF(COUNTIFS(Pesagens!$B$3:$B$5001,$B176)=0,"",_xlfn.MAXIFS(Pesagens!$A$3:$A$5001,Pesagens!$B$3:$B$5001,$B176,Pesagens!$E$3:$E$5001,"&lt;&gt;"))</f>
        <v>46221</v>
      </c>
      <c r="I176" s="40">
        <f>IF($H176="","",IFERROR(AVERAGEIFS(Pesagens!$E$3:$E$5001,Pesagens!$B$3:$B$5001,$B176,Pesagens!$A$3:$A$5001,$H176),""))</f>
        <v>421</v>
      </c>
      <c r="J176" s="64">
        <f>IF(F176="","",Parâmetros!$C$4-F176)</f>
        <v>17</v>
      </c>
      <c r="K176" s="40">
        <f t="shared" si="4"/>
        <v>0</v>
      </c>
      <c r="L176" s="105" t="str">
        <f t="shared" si="5"/>
        <v/>
      </c>
      <c r="M176" s="106">
        <f>IF(I176="","",I176*Parâmetros!$C$8/15)</f>
        <v>14.875333333333336</v>
      </c>
      <c r="N176" s="106">
        <f>IF(K176="","",K176*Parâmetros!$C$8/15)</f>
        <v>0</v>
      </c>
      <c r="O176" s="28">
        <f>IF(M176="","",M176*Parâmetros!$C$5)</f>
        <v>4760.1066666666675</v>
      </c>
      <c r="P176" s="64" t="str">
        <f>IF(L176="","",IF(L176&gt;=Parâmetros!$C$10,"Sim","Não"))</f>
        <v/>
      </c>
    </row>
    <row r="177" spans="1:16" ht="15" customHeight="1" x14ac:dyDescent="0.3">
      <c r="A177" s="60">
        <v>175</v>
      </c>
      <c r="B177" s="60" t="s">
        <v>358</v>
      </c>
      <c r="C177" s="101" t="s">
        <v>183</v>
      </c>
      <c r="D177" s="101" t="s">
        <v>184</v>
      </c>
      <c r="E177" s="60">
        <v>3</v>
      </c>
      <c r="F177" s="85">
        <v>46221</v>
      </c>
      <c r="G177" s="35">
        <v>414</v>
      </c>
      <c r="H177" s="85">
        <f>IF(COUNTIFS(Pesagens!$B$3:$B$5001,$B177)=0,"",_xlfn.MAXIFS(Pesagens!$A$3:$A$5001,Pesagens!$B$3:$B$5001,$B177,Pesagens!$E$3:$E$5001,"&lt;&gt;"))</f>
        <v>46221</v>
      </c>
      <c r="I177" s="35">
        <f>IF($H177="","",IFERROR(AVERAGEIFS(Pesagens!$E$3:$E$5001,Pesagens!$B$3:$B$5001,$B177,Pesagens!$A$3:$A$5001,$H177),""))</f>
        <v>414</v>
      </c>
      <c r="J177" s="60">
        <f>IF(F177="","",Parâmetros!$C$4-F177)</f>
        <v>17</v>
      </c>
      <c r="K177" s="35">
        <f t="shared" si="4"/>
        <v>0</v>
      </c>
      <c r="L177" s="102" t="str">
        <f t="shared" si="5"/>
        <v/>
      </c>
      <c r="M177" s="103">
        <f>IF(I177="","",I177*Parâmetros!$C$8/15)</f>
        <v>14.628000000000002</v>
      </c>
      <c r="N177" s="103">
        <f>IF(K177="","",K177*Parâmetros!$C$8/15)</f>
        <v>0</v>
      </c>
      <c r="O177" s="26">
        <f>IF(M177="","",M177*Parâmetros!$C$5)</f>
        <v>4680.9600000000009</v>
      </c>
      <c r="P177" s="60" t="str">
        <f>IF(L177="","",IF(L177&gt;=Parâmetros!$C$10,"Sim","Não"))</f>
        <v/>
      </c>
    </row>
    <row r="178" spans="1:16" ht="15" customHeight="1" x14ac:dyDescent="0.3">
      <c r="A178" s="64">
        <v>176</v>
      </c>
      <c r="B178" s="64" t="s">
        <v>359</v>
      </c>
      <c r="C178" s="104" t="s">
        <v>183</v>
      </c>
      <c r="D178" s="104" t="s">
        <v>184</v>
      </c>
      <c r="E178" s="64">
        <v>3</v>
      </c>
      <c r="F178" s="86">
        <v>46221</v>
      </c>
      <c r="G178" s="40">
        <v>420</v>
      </c>
      <c r="H178" s="86">
        <f>IF(COUNTIFS(Pesagens!$B$3:$B$5001,$B178)=0,"",_xlfn.MAXIFS(Pesagens!$A$3:$A$5001,Pesagens!$B$3:$B$5001,$B178,Pesagens!$E$3:$E$5001,"&lt;&gt;"))</f>
        <v>46221</v>
      </c>
      <c r="I178" s="40">
        <f>IF($H178="","",IFERROR(AVERAGEIFS(Pesagens!$E$3:$E$5001,Pesagens!$B$3:$B$5001,$B178,Pesagens!$A$3:$A$5001,$H178),""))</f>
        <v>420</v>
      </c>
      <c r="J178" s="64">
        <f>IF(F178="","",Parâmetros!$C$4-F178)</f>
        <v>17</v>
      </c>
      <c r="K178" s="40">
        <f t="shared" si="4"/>
        <v>0</v>
      </c>
      <c r="L178" s="105" t="str">
        <f t="shared" si="5"/>
        <v/>
      </c>
      <c r="M178" s="106">
        <f>IF(I178="","",I178*Parâmetros!$C$8/15)</f>
        <v>14.840000000000002</v>
      </c>
      <c r="N178" s="106">
        <f>IF(K178="","",K178*Parâmetros!$C$8/15)</f>
        <v>0</v>
      </c>
      <c r="O178" s="28">
        <f>IF(M178="","",M178*Parâmetros!$C$5)</f>
        <v>4748.8</v>
      </c>
      <c r="P178" s="64" t="str">
        <f>IF(L178="","",IF(L178&gt;=Parâmetros!$C$10,"Sim","Não"))</f>
        <v/>
      </c>
    </row>
    <row r="179" spans="1:16" ht="15" customHeight="1" x14ac:dyDescent="0.3">
      <c r="A179" s="60">
        <v>177</v>
      </c>
      <c r="B179" s="60" t="s">
        <v>360</v>
      </c>
      <c r="C179" s="101" t="s">
        <v>183</v>
      </c>
      <c r="D179" s="101" t="s">
        <v>184</v>
      </c>
      <c r="E179" s="60">
        <v>3</v>
      </c>
      <c r="F179" s="85">
        <v>46221</v>
      </c>
      <c r="G179" s="35">
        <v>410</v>
      </c>
      <c r="H179" s="85">
        <f>IF(COUNTIFS(Pesagens!$B$3:$B$5001,$B179)=0,"",_xlfn.MAXIFS(Pesagens!$A$3:$A$5001,Pesagens!$B$3:$B$5001,$B179,Pesagens!$E$3:$E$5001,"&lt;&gt;"))</f>
        <v>46221</v>
      </c>
      <c r="I179" s="35">
        <f>IF($H179="","",IFERROR(AVERAGEIFS(Pesagens!$E$3:$E$5001,Pesagens!$B$3:$B$5001,$B179,Pesagens!$A$3:$A$5001,$H179),""))</f>
        <v>410</v>
      </c>
      <c r="J179" s="60">
        <f>IF(F179="","",Parâmetros!$C$4-F179)</f>
        <v>17</v>
      </c>
      <c r="K179" s="35">
        <f t="shared" si="4"/>
        <v>0</v>
      </c>
      <c r="L179" s="102" t="str">
        <f t="shared" si="5"/>
        <v/>
      </c>
      <c r="M179" s="103">
        <f>IF(I179="","",I179*Parâmetros!$C$8/15)</f>
        <v>14.486666666666668</v>
      </c>
      <c r="N179" s="103">
        <f>IF(K179="","",K179*Parâmetros!$C$8/15)</f>
        <v>0</v>
      </c>
      <c r="O179" s="26">
        <f>IF(M179="","",M179*Parâmetros!$C$5)</f>
        <v>4635.7333333333336</v>
      </c>
      <c r="P179" s="60" t="str">
        <f>IF(L179="","",IF(L179&gt;=Parâmetros!$C$10,"Sim","Não"))</f>
        <v/>
      </c>
    </row>
    <row r="180" spans="1:16" ht="15" customHeight="1" x14ac:dyDescent="0.3">
      <c r="A180" s="64">
        <v>178</v>
      </c>
      <c r="B180" s="64" t="s">
        <v>361</v>
      </c>
      <c r="C180" s="104" t="s">
        <v>183</v>
      </c>
      <c r="D180" s="104" t="s">
        <v>184</v>
      </c>
      <c r="E180" s="64">
        <v>3</v>
      </c>
      <c r="F180" s="86">
        <v>46221</v>
      </c>
      <c r="G180" s="40">
        <v>420</v>
      </c>
      <c r="H180" s="86">
        <f>IF(COUNTIFS(Pesagens!$B$3:$B$5001,$B180)=0,"",_xlfn.MAXIFS(Pesagens!$A$3:$A$5001,Pesagens!$B$3:$B$5001,$B180,Pesagens!$E$3:$E$5001,"&lt;&gt;"))</f>
        <v>46221</v>
      </c>
      <c r="I180" s="40">
        <f>IF($H180="","",IFERROR(AVERAGEIFS(Pesagens!$E$3:$E$5001,Pesagens!$B$3:$B$5001,$B180,Pesagens!$A$3:$A$5001,$H180),""))</f>
        <v>420</v>
      </c>
      <c r="J180" s="64">
        <f>IF(F180="","",Parâmetros!$C$4-F180)</f>
        <v>17</v>
      </c>
      <c r="K180" s="40">
        <f t="shared" si="4"/>
        <v>0</v>
      </c>
      <c r="L180" s="105" t="str">
        <f t="shared" si="5"/>
        <v/>
      </c>
      <c r="M180" s="106">
        <f>IF(I180="","",I180*Parâmetros!$C$8/15)</f>
        <v>14.840000000000002</v>
      </c>
      <c r="N180" s="106">
        <f>IF(K180="","",K180*Parâmetros!$C$8/15)</f>
        <v>0</v>
      </c>
      <c r="O180" s="28">
        <f>IF(M180="","",M180*Parâmetros!$C$5)</f>
        <v>4748.8</v>
      </c>
      <c r="P180" s="64" t="str">
        <f>IF(L180="","",IF(L180&gt;=Parâmetros!$C$10,"Sim","Não"))</f>
        <v/>
      </c>
    </row>
    <row r="181" spans="1:16" ht="15" customHeight="1" x14ac:dyDescent="0.3">
      <c r="A181" s="60">
        <v>179</v>
      </c>
      <c r="B181" s="60" t="s">
        <v>362</v>
      </c>
      <c r="C181" s="101" t="s">
        <v>183</v>
      </c>
      <c r="D181" s="101" t="s">
        <v>184</v>
      </c>
      <c r="E181" s="60">
        <v>3</v>
      </c>
      <c r="F181" s="85">
        <v>46225</v>
      </c>
      <c r="G181" s="35">
        <v>400</v>
      </c>
      <c r="H181" s="85">
        <f>IF(COUNTIFS(Pesagens!$B$3:$B$5001,$B181)=0,"",_xlfn.MAXIFS(Pesagens!$A$3:$A$5001,Pesagens!$B$3:$B$5001,$B181,Pesagens!$E$3:$E$5001,"&lt;&gt;"))</f>
        <v>46225</v>
      </c>
      <c r="I181" s="35">
        <f>IF($H181="","",IFERROR(AVERAGEIFS(Pesagens!$E$3:$E$5001,Pesagens!$B$3:$B$5001,$B181,Pesagens!$A$3:$A$5001,$H181),""))</f>
        <v>400</v>
      </c>
      <c r="J181" s="60">
        <f>IF(F181="","",Parâmetros!$C$4-F181)</f>
        <v>13</v>
      </c>
      <c r="K181" s="35">
        <f t="shared" si="4"/>
        <v>0</v>
      </c>
      <c r="L181" s="102" t="str">
        <f t="shared" si="5"/>
        <v/>
      </c>
      <c r="M181" s="103">
        <f>IF(I181="","",I181*Parâmetros!$C$8/15)</f>
        <v>14.133333333333333</v>
      </c>
      <c r="N181" s="103">
        <f>IF(K181="","",K181*Parâmetros!$C$8/15)</f>
        <v>0</v>
      </c>
      <c r="O181" s="26">
        <f>IF(M181="","",M181*Parâmetros!$C$5)</f>
        <v>4522.6666666666661</v>
      </c>
      <c r="P181" s="60" t="str">
        <f>IF(L181="","",IF(L181&gt;=Parâmetros!$C$10,"Sim","Não"))</f>
        <v/>
      </c>
    </row>
    <row r="182" spans="1:16" ht="15" customHeight="1" x14ac:dyDescent="0.3">
      <c r="A182" s="64">
        <v>180</v>
      </c>
      <c r="B182" s="64" t="s">
        <v>363</v>
      </c>
      <c r="C182" s="104" t="s">
        <v>183</v>
      </c>
      <c r="D182" s="104" t="s">
        <v>184</v>
      </c>
      <c r="E182" s="64">
        <v>3</v>
      </c>
      <c r="F182" s="86">
        <v>46225</v>
      </c>
      <c r="G182" s="40">
        <v>406</v>
      </c>
      <c r="H182" s="86">
        <f>IF(COUNTIFS(Pesagens!$B$3:$B$5001,$B182)=0,"",_xlfn.MAXIFS(Pesagens!$A$3:$A$5001,Pesagens!$B$3:$B$5001,$B182,Pesagens!$E$3:$E$5001,"&lt;&gt;"))</f>
        <v>46225</v>
      </c>
      <c r="I182" s="40">
        <f>IF($H182="","",IFERROR(AVERAGEIFS(Pesagens!$E$3:$E$5001,Pesagens!$B$3:$B$5001,$B182,Pesagens!$A$3:$A$5001,$H182),""))</f>
        <v>406</v>
      </c>
      <c r="J182" s="64">
        <f>IF(F182="","",Parâmetros!$C$4-F182)</f>
        <v>13</v>
      </c>
      <c r="K182" s="40">
        <f t="shared" si="4"/>
        <v>0</v>
      </c>
      <c r="L182" s="105" t="str">
        <f t="shared" si="5"/>
        <v/>
      </c>
      <c r="M182" s="106">
        <f>IF(I182="","",I182*Parâmetros!$C$8/15)</f>
        <v>14.345333333333334</v>
      </c>
      <c r="N182" s="106">
        <f>IF(K182="","",K182*Parâmetros!$C$8/15)</f>
        <v>0</v>
      </c>
      <c r="O182" s="28">
        <f>IF(M182="","",M182*Parâmetros!$C$5)</f>
        <v>4590.5066666666671</v>
      </c>
      <c r="P182" s="64" t="str">
        <f>IF(L182="","",IF(L182&gt;=Parâmetros!$C$10,"Sim","Não"))</f>
        <v/>
      </c>
    </row>
    <row r="183" spans="1:16" ht="15" customHeight="1" x14ac:dyDescent="0.3">
      <c r="A183" s="60">
        <v>181</v>
      </c>
      <c r="B183" s="60" t="s">
        <v>364</v>
      </c>
      <c r="C183" s="101" t="s">
        <v>183</v>
      </c>
      <c r="D183" s="101" t="s">
        <v>184</v>
      </c>
      <c r="E183" s="60">
        <v>3</v>
      </c>
      <c r="F183" s="85">
        <v>46225</v>
      </c>
      <c r="G183" s="35">
        <v>426</v>
      </c>
      <c r="H183" s="85">
        <f>IF(COUNTIFS(Pesagens!$B$3:$B$5001,$B183)=0,"",_xlfn.MAXIFS(Pesagens!$A$3:$A$5001,Pesagens!$B$3:$B$5001,$B183,Pesagens!$E$3:$E$5001,"&lt;&gt;"))</f>
        <v>46225</v>
      </c>
      <c r="I183" s="35">
        <f>IF($H183="","",IFERROR(AVERAGEIFS(Pesagens!$E$3:$E$5001,Pesagens!$B$3:$B$5001,$B183,Pesagens!$A$3:$A$5001,$H183),""))</f>
        <v>426</v>
      </c>
      <c r="J183" s="60">
        <f>IF(F183="","",Parâmetros!$C$4-F183)</f>
        <v>13</v>
      </c>
      <c r="K183" s="35">
        <f t="shared" si="4"/>
        <v>0</v>
      </c>
      <c r="L183" s="102" t="str">
        <f t="shared" si="5"/>
        <v/>
      </c>
      <c r="M183" s="103">
        <f>IF(I183="","",I183*Parâmetros!$C$8/15)</f>
        <v>15.052</v>
      </c>
      <c r="N183" s="103">
        <f>IF(K183="","",K183*Parâmetros!$C$8/15)</f>
        <v>0</v>
      </c>
      <c r="O183" s="26">
        <f>IF(M183="","",M183*Parâmetros!$C$5)</f>
        <v>4816.6399999999994</v>
      </c>
      <c r="P183" s="60" t="str">
        <f>IF(L183="","",IF(L183&gt;=Parâmetros!$C$10,"Sim","Não"))</f>
        <v/>
      </c>
    </row>
    <row r="184" spans="1:16" ht="15" customHeight="1" x14ac:dyDescent="0.3">
      <c r="A184" s="64">
        <v>182</v>
      </c>
      <c r="B184" s="64" t="s">
        <v>365</v>
      </c>
      <c r="C184" s="104" t="s">
        <v>183</v>
      </c>
      <c r="D184" s="104" t="s">
        <v>184</v>
      </c>
      <c r="E184" s="64">
        <v>3</v>
      </c>
      <c r="F184" s="86">
        <v>46225</v>
      </c>
      <c r="G184" s="40">
        <v>410</v>
      </c>
      <c r="H184" s="86">
        <f>IF(COUNTIFS(Pesagens!$B$3:$B$5001,$B184)=0,"",_xlfn.MAXIFS(Pesagens!$A$3:$A$5001,Pesagens!$B$3:$B$5001,$B184,Pesagens!$E$3:$E$5001,"&lt;&gt;"))</f>
        <v>46225</v>
      </c>
      <c r="I184" s="40">
        <f>IF($H184="","",IFERROR(AVERAGEIFS(Pesagens!$E$3:$E$5001,Pesagens!$B$3:$B$5001,$B184,Pesagens!$A$3:$A$5001,$H184),""))</f>
        <v>410</v>
      </c>
      <c r="J184" s="64">
        <f>IF(F184="","",Parâmetros!$C$4-F184)</f>
        <v>13</v>
      </c>
      <c r="K184" s="40">
        <f t="shared" si="4"/>
        <v>0</v>
      </c>
      <c r="L184" s="105" t="str">
        <f t="shared" si="5"/>
        <v/>
      </c>
      <c r="M184" s="106">
        <f>IF(I184="","",I184*Parâmetros!$C$8/15)</f>
        <v>14.486666666666668</v>
      </c>
      <c r="N184" s="106">
        <f>IF(K184="","",K184*Parâmetros!$C$8/15)</f>
        <v>0</v>
      </c>
      <c r="O184" s="28">
        <f>IF(M184="","",M184*Parâmetros!$C$5)</f>
        <v>4635.7333333333336</v>
      </c>
      <c r="P184" s="64" t="str">
        <f>IF(L184="","",IF(L184&gt;=Parâmetros!$C$10,"Sim","Não"))</f>
        <v/>
      </c>
    </row>
    <row r="185" spans="1:16" ht="15" customHeight="1" x14ac:dyDescent="0.3">
      <c r="A185" s="60">
        <v>183</v>
      </c>
      <c r="B185" s="60" t="s">
        <v>366</v>
      </c>
      <c r="C185" s="101" t="s">
        <v>183</v>
      </c>
      <c r="D185" s="101" t="s">
        <v>184</v>
      </c>
      <c r="E185" s="60">
        <v>3</v>
      </c>
      <c r="F185" s="85">
        <v>46225</v>
      </c>
      <c r="G185" s="35">
        <v>400</v>
      </c>
      <c r="H185" s="85">
        <f>IF(COUNTIFS(Pesagens!$B$3:$B$5001,$B185)=0,"",_xlfn.MAXIFS(Pesagens!$A$3:$A$5001,Pesagens!$B$3:$B$5001,$B185,Pesagens!$E$3:$E$5001,"&lt;&gt;"))</f>
        <v>46225</v>
      </c>
      <c r="I185" s="35">
        <f>IF($H185="","",IFERROR(AVERAGEIFS(Pesagens!$E$3:$E$5001,Pesagens!$B$3:$B$5001,$B185,Pesagens!$A$3:$A$5001,$H185),""))</f>
        <v>400</v>
      </c>
      <c r="J185" s="60">
        <f>IF(F185="","",Parâmetros!$C$4-F185)</f>
        <v>13</v>
      </c>
      <c r="K185" s="35">
        <f t="shared" si="4"/>
        <v>0</v>
      </c>
      <c r="L185" s="102" t="str">
        <f t="shared" si="5"/>
        <v/>
      </c>
      <c r="M185" s="103">
        <f>IF(I185="","",I185*Parâmetros!$C$8/15)</f>
        <v>14.133333333333333</v>
      </c>
      <c r="N185" s="103">
        <f>IF(K185="","",K185*Parâmetros!$C$8/15)</f>
        <v>0</v>
      </c>
      <c r="O185" s="26">
        <f>IF(M185="","",M185*Parâmetros!$C$5)</f>
        <v>4522.6666666666661</v>
      </c>
      <c r="P185" s="60" t="str">
        <f>IF(L185="","",IF(L185&gt;=Parâmetros!$C$10,"Sim","Não"))</f>
        <v/>
      </c>
    </row>
    <row r="186" spans="1:16" ht="15" customHeight="1" x14ac:dyDescent="0.3">
      <c r="A186" s="64">
        <v>184</v>
      </c>
      <c r="B186" s="64" t="s">
        <v>367</v>
      </c>
      <c r="C186" s="104" t="s">
        <v>183</v>
      </c>
      <c r="D186" s="104" t="s">
        <v>184</v>
      </c>
      <c r="E186" s="64">
        <v>4</v>
      </c>
      <c r="F186" s="86">
        <v>46221</v>
      </c>
      <c r="G186" s="40">
        <v>398</v>
      </c>
      <c r="H186" s="86">
        <f>IF(COUNTIFS(Pesagens!$B$3:$B$5001,$B186)=0,"",_xlfn.MAXIFS(Pesagens!$A$3:$A$5001,Pesagens!$B$3:$B$5001,$B186,Pesagens!$E$3:$E$5001,"&lt;&gt;"))</f>
        <v>46221</v>
      </c>
      <c r="I186" s="40">
        <f>IF($H186="","",IFERROR(AVERAGEIFS(Pesagens!$E$3:$E$5001,Pesagens!$B$3:$B$5001,$B186,Pesagens!$A$3:$A$5001,$H186),""))</f>
        <v>398</v>
      </c>
      <c r="J186" s="64">
        <f>IF(F186="","",Parâmetros!$C$4-F186)</f>
        <v>17</v>
      </c>
      <c r="K186" s="40">
        <f t="shared" si="4"/>
        <v>0</v>
      </c>
      <c r="L186" s="105" t="str">
        <f t="shared" si="5"/>
        <v/>
      </c>
      <c r="M186" s="106">
        <f>IF(I186="","",I186*Parâmetros!$C$8/15)</f>
        <v>14.062666666666667</v>
      </c>
      <c r="N186" s="106">
        <f>IF(K186="","",K186*Parâmetros!$C$8/15)</f>
        <v>0</v>
      </c>
      <c r="O186" s="28">
        <f>IF(M186="","",M186*Parâmetros!$C$5)</f>
        <v>4500.0533333333333</v>
      </c>
      <c r="P186" s="64" t="str">
        <f>IF(L186="","",IF(L186&gt;=Parâmetros!$C$10,"Sim","Não"))</f>
        <v/>
      </c>
    </row>
    <row r="187" spans="1:16" ht="15" customHeight="1" x14ac:dyDescent="0.3">
      <c r="A187" s="60">
        <v>185</v>
      </c>
      <c r="B187" s="60" t="s">
        <v>368</v>
      </c>
      <c r="C187" s="101" t="s">
        <v>183</v>
      </c>
      <c r="D187" s="101" t="s">
        <v>184</v>
      </c>
      <c r="E187" s="60">
        <v>4</v>
      </c>
      <c r="F187" s="85">
        <v>46221</v>
      </c>
      <c r="G187" s="35">
        <v>387</v>
      </c>
      <c r="H187" s="85">
        <f>IF(COUNTIFS(Pesagens!$B$3:$B$5001,$B187)=0,"",_xlfn.MAXIFS(Pesagens!$A$3:$A$5001,Pesagens!$B$3:$B$5001,$B187,Pesagens!$E$3:$E$5001,"&lt;&gt;"))</f>
        <v>46221</v>
      </c>
      <c r="I187" s="35">
        <f>IF($H187="","",IFERROR(AVERAGEIFS(Pesagens!$E$3:$E$5001,Pesagens!$B$3:$B$5001,$B187,Pesagens!$A$3:$A$5001,$H187),""))</f>
        <v>387</v>
      </c>
      <c r="J187" s="60">
        <f>IF(F187="","",Parâmetros!$C$4-F187)</f>
        <v>17</v>
      </c>
      <c r="K187" s="35">
        <f t="shared" si="4"/>
        <v>0</v>
      </c>
      <c r="L187" s="102" t="str">
        <f t="shared" si="5"/>
        <v/>
      </c>
      <c r="M187" s="103">
        <f>IF(I187="","",I187*Parâmetros!$C$8/15)</f>
        <v>13.674000000000001</v>
      </c>
      <c r="N187" s="103">
        <f>IF(K187="","",K187*Parâmetros!$C$8/15)</f>
        <v>0</v>
      </c>
      <c r="O187" s="26">
        <f>IF(M187="","",M187*Parâmetros!$C$5)</f>
        <v>4375.68</v>
      </c>
      <c r="P187" s="60" t="str">
        <f>IF(L187="","",IF(L187&gt;=Parâmetros!$C$10,"Sim","Não"))</f>
        <v/>
      </c>
    </row>
    <row r="188" spans="1:16" ht="15" customHeight="1" x14ac:dyDescent="0.3">
      <c r="A188" s="64">
        <v>186</v>
      </c>
      <c r="B188" s="64" t="s">
        <v>369</v>
      </c>
      <c r="C188" s="104" t="s">
        <v>183</v>
      </c>
      <c r="D188" s="104" t="s">
        <v>184</v>
      </c>
      <c r="E188" s="64">
        <v>4</v>
      </c>
      <c r="F188" s="86">
        <v>46221</v>
      </c>
      <c r="G188" s="40">
        <v>378</v>
      </c>
      <c r="H188" s="86">
        <f>IF(COUNTIFS(Pesagens!$B$3:$B$5001,$B188)=0,"",_xlfn.MAXIFS(Pesagens!$A$3:$A$5001,Pesagens!$B$3:$B$5001,$B188,Pesagens!$E$3:$E$5001,"&lt;&gt;"))</f>
        <v>46221</v>
      </c>
      <c r="I188" s="40">
        <f>IF($H188="","",IFERROR(AVERAGEIFS(Pesagens!$E$3:$E$5001,Pesagens!$B$3:$B$5001,$B188,Pesagens!$A$3:$A$5001,$H188),""))</f>
        <v>378</v>
      </c>
      <c r="J188" s="64">
        <f>IF(F188="","",Parâmetros!$C$4-F188)</f>
        <v>17</v>
      </c>
      <c r="K188" s="40">
        <f t="shared" si="4"/>
        <v>0</v>
      </c>
      <c r="L188" s="105" t="str">
        <f t="shared" si="5"/>
        <v/>
      </c>
      <c r="M188" s="106">
        <f>IF(I188="","",I188*Parâmetros!$C$8/15)</f>
        <v>13.356</v>
      </c>
      <c r="N188" s="106">
        <f>IF(K188="","",K188*Parâmetros!$C$8/15)</f>
        <v>0</v>
      </c>
      <c r="O188" s="28">
        <f>IF(M188="","",M188*Parâmetros!$C$5)</f>
        <v>4273.92</v>
      </c>
      <c r="P188" s="64" t="str">
        <f>IF(L188="","",IF(L188&gt;=Parâmetros!$C$10,"Sim","Não"))</f>
        <v/>
      </c>
    </row>
    <row r="189" spans="1:16" ht="15" customHeight="1" x14ac:dyDescent="0.3">
      <c r="A189" s="60">
        <v>187</v>
      </c>
      <c r="B189" s="60" t="s">
        <v>370</v>
      </c>
      <c r="C189" s="101" t="s">
        <v>183</v>
      </c>
      <c r="D189" s="101" t="s">
        <v>184</v>
      </c>
      <c r="E189" s="60">
        <v>4</v>
      </c>
      <c r="F189" s="85">
        <v>46221</v>
      </c>
      <c r="G189" s="35">
        <v>378</v>
      </c>
      <c r="H189" s="85">
        <f>IF(COUNTIFS(Pesagens!$B$3:$B$5001,$B189)=0,"",_xlfn.MAXIFS(Pesagens!$A$3:$A$5001,Pesagens!$B$3:$B$5001,$B189,Pesagens!$E$3:$E$5001,"&lt;&gt;"))</f>
        <v>46221</v>
      </c>
      <c r="I189" s="35">
        <f>IF($H189="","",IFERROR(AVERAGEIFS(Pesagens!$E$3:$E$5001,Pesagens!$B$3:$B$5001,$B189,Pesagens!$A$3:$A$5001,$H189),""))</f>
        <v>378</v>
      </c>
      <c r="J189" s="60">
        <f>IF(F189="","",Parâmetros!$C$4-F189)</f>
        <v>17</v>
      </c>
      <c r="K189" s="35">
        <f t="shared" si="4"/>
        <v>0</v>
      </c>
      <c r="L189" s="102" t="str">
        <f t="shared" si="5"/>
        <v/>
      </c>
      <c r="M189" s="103">
        <f>IF(I189="","",I189*Parâmetros!$C$8/15)</f>
        <v>13.356</v>
      </c>
      <c r="N189" s="103">
        <f>IF(K189="","",K189*Parâmetros!$C$8/15)</f>
        <v>0</v>
      </c>
      <c r="O189" s="26">
        <f>IF(M189="","",M189*Parâmetros!$C$5)</f>
        <v>4273.92</v>
      </c>
      <c r="P189" s="60" t="str">
        <f>IF(L189="","",IF(L189&gt;=Parâmetros!$C$10,"Sim","Não"))</f>
        <v/>
      </c>
    </row>
    <row r="190" spans="1:16" ht="15" customHeight="1" x14ac:dyDescent="0.3">
      <c r="A190" s="64">
        <v>188</v>
      </c>
      <c r="B190" s="64" t="s">
        <v>371</v>
      </c>
      <c r="C190" s="104" t="s">
        <v>183</v>
      </c>
      <c r="D190" s="104" t="s">
        <v>184</v>
      </c>
      <c r="E190" s="64">
        <v>4</v>
      </c>
      <c r="F190" s="86">
        <v>46221</v>
      </c>
      <c r="G190" s="40">
        <v>378</v>
      </c>
      <c r="H190" s="86">
        <f>IF(COUNTIFS(Pesagens!$B$3:$B$5001,$B190)=0,"",_xlfn.MAXIFS(Pesagens!$A$3:$A$5001,Pesagens!$B$3:$B$5001,$B190,Pesagens!$E$3:$E$5001,"&lt;&gt;"))</f>
        <v>46221</v>
      </c>
      <c r="I190" s="40">
        <f>IF($H190="","",IFERROR(AVERAGEIFS(Pesagens!$E$3:$E$5001,Pesagens!$B$3:$B$5001,$B190,Pesagens!$A$3:$A$5001,$H190),""))</f>
        <v>378</v>
      </c>
      <c r="J190" s="64">
        <f>IF(F190="","",Parâmetros!$C$4-F190)</f>
        <v>17</v>
      </c>
      <c r="K190" s="40">
        <f t="shared" si="4"/>
        <v>0</v>
      </c>
      <c r="L190" s="105" t="str">
        <f t="shared" si="5"/>
        <v/>
      </c>
      <c r="M190" s="106">
        <f>IF(I190="","",I190*Parâmetros!$C$8/15)</f>
        <v>13.356</v>
      </c>
      <c r="N190" s="106">
        <f>IF(K190="","",K190*Parâmetros!$C$8/15)</f>
        <v>0</v>
      </c>
      <c r="O190" s="28">
        <f>IF(M190="","",M190*Parâmetros!$C$5)</f>
        <v>4273.92</v>
      </c>
      <c r="P190" s="64" t="str">
        <f>IF(L190="","",IF(L190&gt;=Parâmetros!$C$10,"Sim","Não"))</f>
        <v/>
      </c>
    </row>
    <row r="191" spans="1:16" ht="15" customHeight="1" x14ac:dyDescent="0.3">
      <c r="A191" s="60">
        <v>189</v>
      </c>
      <c r="B191" s="60" t="s">
        <v>372</v>
      </c>
      <c r="C191" s="101" t="s">
        <v>183</v>
      </c>
      <c r="D191" s="101" t="s">
        <v>184</v>
      </c>
      <c r="E191" s="60">
        <v>4</v>
      </c>
      <c r="F191" s="85">
        <v>46221</v>
      </c>
      <c r="G191" s="35">
        <v>376</v>
      </c>
      <c r="H191" s="85">
        <f>IF(COUNTIFS(Pesagens!$B$3:$B$5001,$B191)=0,"",_xlfn.MAXIFS(Pesagens!$A$3:$A$5001,Pesagens!$B$3:$B$5001,$B191,Pesagens!$E$3:$E$5001,"&lt;&gt;"))</f>
        <v>46221</v>
      </c>
      <c r="I191" s="35">
        <f>IF($H191="","",IFERROR(AVERAGEIFS(Pesagens!$E$3:$E$5001,Pesagens!$B$3:$B$5001,$B191,Pesagens!$A$3:$A$5001,$H191),""))</f>
        <v>376</v>
      </c>
      <c r="J191" s="60">
        <f>IF(F191="","",Parâmetros!$C$4-F191)</f>
        <v>17</v>
      </c>
      <c r="K191" s="35">
        <f t="shared" si="4"/>
        <v>0</v>
      </c>
      <c r="L191" s="102" t="str">
        <f t="shared" si="5"/>
        <v/>
      </c>
      <c r="M191" s="103">
        <f>IF(I191="","",I191*Parâmetros!$C$8/15)</f>
        <v>13.285333333333334</v>
      </c>
      <c r="N191" s="103">
        <f>IF(K191="","",K191*Parâmetros!$C$8/15)</f>
        <v>0</v>
      </c>
      <c r="O191" s="26">
        <f>IF(M191="","",M191*Parâmetros!$C$5)</f>
        <v>4251.3066666666673</v>
      </c>
      <c r="P191" s="60" t="str">
        <f>IF(L191="","",IF(L191&gt;=Parâmetros!$C$10,"Sim","Não"))</f>
        <v/>
      </c>
    </row>
    <row r="192" spans="1:16" ht="15" customHeight="1" x14ac:dyDescent="0.3">
      <c r="A192" s="64">
        <v>190</v>
      </c>
      <c r="B192" s="64" t="s">
        <v>373</v>
      </c>
      <c r="C192" s="104" t="s">
        <v>183</v>
      </c>
      <c r="D192" s="104" t="s">
        <v>184</v>
      </c>
      <c r="E192" s="64">
        <v>4</v>
      </c>
      <c r="F192" s="86">
        <v>46221</v>
      </c>
      <c r="G192" s="40">
        <v>393</v>
      </c>
      <c r="H192" s="86">
        <f>IF(COUNTIFS(Pesagens!$B$3:$B$5001,$B192)=0,"",_xlfn.MAXIFS(Pesagens!$A$3:$A$5001,Pesagens!$B$3:$B$5001,$B192,Pesagens!$E$3:$E$5001,"&lt;&gt;"))</f>
        <v>46221</v>
      </c>
      <c r="I192" s="40">
        <f>IF($H192="","",IFERROR(AVERAGEIFS(Pesagens!$E$3:$E$5001,Pesagens!$B$3:$B$5001,$B192,Pesagens!$A$3:$A$5001,$H192),""))</f>
        <v>393</v>
      </c>
      <c r="J192" s="64">
        <f>IF(F192="","",Parâmetros!$C$4-F192)</f>
        <v>17</v>
      </c>
      <c r="K192" s="40">
        <f t="shared" si="4"/>
        <v>0</v>
      </c>
      <c r="L192" s="105" t="str">
        <f t="shared" si="5"/>
        <v/>
      </c>
      <c r="M192" s="106">
        <f>IF(I192="","",I192*Parâmetros!$C$8/15)</f>
        <v>13.886000000000001</v>
      </c>
      <c r="N192" s="106">
        <f>IF(K192="","",K192*Parâmetros!$C$8/15)</f>
        <v>0</v>
      </c>
      <c r="O192" s="28">
        <f>IF(M192="","",M192*Parâmetros!$C$5)</f>
        <v>4443.5200000000004</v>
      </c>
      <c r="P192" s="64" t="str">
        <f>IF(L192="","",IF(L192&gt;=Parâmetros!$C$10,"Sim","Não"))</f>
        <v/>
      </c>
    </row>
    <row r="193" spans="1:16" ht="15" customHeight="1" x14ac:dyDescent="0.3">
      <c r="A193" s="60">
        <v>191</v>
      </c>
      <c r="B193" s="60" t="s">
        <v>374</v>
      </c>
      <c r="C193" s="101" t="s">
        <v>183</v>
      </c>
      <c r="D193" s="101" t="s">
        <v>184</v>
      </c>
      <c r="E193" s="60">
        <v>4</v>
      </c>
      <c r="F193" s="85">
        <v>46221</v>
      </c>
      <c r="G193" s="35">
        <v>374</v>
      </c>
      <c r="H193" s="85">
        <f>IF(COUNTIFS(Pesagens!$B$3:$B$5001,$B193)=0,"",_xlfn.MAXIFS(Pesagens!$A$3:$A$5001,Pesagens!$B$3:$B$5001,$B193,Pesagens!$E$3:$E$5001,"&lt;&gt;"))</f>
        <v>46221</v>
      </c>
      <c r="I193" s="35">
        <f>IF($H193="","",IFERROR(AVERAGEIFS(Pesagens!$E$3:$E$5001,Pesagens!$B$3:$B$5001,$B193,Pesagens!$A$3:$A$5001,$H193),""))</f>
        <v>374</v>
      </c>
      <c r="J193" s="60">
        <f>IF(F193="","",Parâmetros!$C$4-F193)</f>
        <v>17</v>
      </c>
      <c r="K193" s="35">
        <f t="shared" si="4"/>
        <v>0</v>
      </c>
      <c r="L193" s="102" t="str">
        <f t="shared" si="5"/>
        <v/>
      </c>
      <c r="M193" s="103">
        <f>IF(I193="","",I193*Parâmetros!$C$8/15)</f>
        <v>13.214666666666666</v>
      </c>
      <c r="N193" s="103">
        <f>IF(K193="","",K193*Parâmetros!$C$8/15)</f>
        <v>0</v>
      </c>
      <c r="O193" s="26">
        <f>IF(M193="","",M193*Parâmetros!$C$5)</f>
        <v>4228.6933333333327</v>
      </c>
      <c r="P193" s="60" t="str">
        <f>IF(L193="","",IF(L193&gt;=Parâmetros!$C$10,"Sim","Não"))</f>
        <v/>
      </c>
    </row>
    <row r="194" spans="1:16" ht="15" customHeight="1" x14ac:dyDescent="0.3">
      <c r="A194" s="64">
        <v>192</v>
      </c>
      <c r="B194" s="64" t="s">
        <v>375</v>
      </c>
      <c r="C194" s="104" t="s">
        <v>183</v>
      </c>
      <c r="D194" s="104" t="s">
        <v>184</v>
      </c>
      <c r="E194" s="64">
        <v>4</v>
      </c>
      <c r="F194" s="86">
        <v>46221</v>
      </c>
      <c r="G194" s="40">
        <v>390</v>
      </c>
      <c r="H194" s="86">
        <f>IF(COUNTIFS(Pesagens!$B$3:$B$5001,$B194)=0,"",_xlfn.MAXIFS(Pesagens!$A$3:$A$5001,Pesagens!$B$3:$B$5001,$B194,Pesagens!$E$3:$E$5001,"&lt;&gt;"))</f>
        <v>46221</v>
      </c>
      <c r="I194" s="40">
        <f>IF($H194="","",IFERROR(AVERAGEIFS(Pesagens!$E$3:$E$5001,Pesagens!$B$3:$B$5001,$B194,Pesagens!$A$3:$A$5001,$H194),""))</f>
        <v>390</v>
      </c>
      <c r="J194" s="64">
        <f>IF(F194="","",Parâmetros!$C$4-F194)</f>
        <v>17</v>
      </c>
      <c r="K194" s="40">
        <f t="shared" si="4"/>
        <v>0</v>
      </c>
      <c r="L194" s="105" t="str">
        <f t="shared" si="5"/>
        <v/>
      </c>
      <c r="M194" s="106">
        <f>IF(I194="","",I194*Parâmetros!$C$8/15)</f>
        <v>13.780000000000001</v>
      </c>
      <c r="N194" s="106">
        <f>IF(K194="","",K194*Parâmetros!$C$8/15)</f>
        <v>0</v>
      </c>
      <c r="O194" s="28">
        <f>IF(M194="","",M194*Parâmetros!$C$5)</f>
        <v>4409.6000000000004</v>
      </c>
      <c r="P194" s="64" t="str">
        <f>IF(L194="","",IF(L194&gt;=Parâmetros!$C$10,"Sim","Não"))</f>
        <v/>
      </c>
    </row>
    <row r="195" spans="1:16" ht="15" customHeight="1" x14ac:dyDescent="0.3">
      <c r="A195" s="60">
        <v>193</v>
      </c>
      <c r="B195" s="60" t="s">
        <v>376</v>
      </c>
      <c r="C195" s="101" t="s">
        <v>183</v>
      </c>
      <c r="D195" s="101" t="s">
        <v>184</v>
      </c>
      <c r="E195" s="60">
        <v>4</v>
      </c>
      <c r="F195" s="85">
        <v>46221</v>
      </c>
      <c r="G195" s="35">
        <v>388</v>
      </c>
      <c r="H195" s="85">
        <f>IF(COUNTIFS(Pesagens!$B$3:$B$5001,$B195)=0,"",_xlfn.MAXIFS(Pesagens!$A$3:$A$5001,Pesagens!$B$3:$B$5001,$B195,Pesagens!$E$3:$E$5001,"&lt;&gt;"))</f>
        <v>46221</v>
      </c>
      <c r="I195" s="35">
        <f>IF($H195="","",IFERROR(AVERAGEIFS(Pesagens!$E$3:$E$5001,Pesagens!$B$3:$B$5001,$B195,Pesagens!$A$3:$A$5001,$H195),""))</f>
        <v>388</v>
      </c>
      <c r="J195" s="60">
        <f>IF(F195="","",Parâmetros!$C$4-F195)</f>
        <v>17</v>
      </c>
      <c r="K195" s="35">
        <f t="shared" ref="K195:K258" si="6">IF(OR(I195="",G195=""),"",I195-G195)</f>
        <v>0</v>
      </c>
      <c r="L195" s="102" t="str">
        <f t="shared" ref="L195:L258" si="7">IF(OR(I195="",G195="",H195&lt;=F195),"",(I195-G195)/(H195-F195))</f>
        <v/>
      </c>
      <c r="M195" s="103">
        <f>IF(I195="","",I195*Parâmetros!$C$8/15)</f>
        <v>13.709333333333335</v>
      </c>
      <c r="N195" s="103">
        <f>IF(K195="","",K195*Parâmetros!$C$8/15)</f>
        <v>0</v>
      </c>
      <c r="O195" s="26">
        <f>IF(M195="","",M195*Parâmetros!$C$5)</f>
        <v>4386.9866666666676</v>
      </c>
      <c r="P195" s="60" t="str">
        <f>IF(L195="","",IF(L195&gt;=Parâmetros!$C$10,"Sim","Não"))</f>
        <v/>
      </c>
    </row>
    <row r="196" spans="1:16" ht="15" customHeight="1" x14ac:dyDescent="0.3">
      <c r="A196" s="64">
        <v>194</v>
      </c>
      <c r="B196" s="64" t="s">
        <v>377</v>
      </c>
      <c r="C196" s="104" t="s">
        <v>183</v>
      </c>
      <c r="D196" s="104" t="s">
        <v>184</v>
      </c>
      <c r="E196" s="64">
        <v>4</v>
      </c>
      <c r="F196" s="86">
        <v>46221</v>
      </c>
      <c r="G196" s="40">
        <v>376</v>
      </c>
      <c r="H196" s="86">
        <f>IF(COUNTIFS(Pesagens!$B$3:$B$5001,$B196)=0,"",_xlfn.MAXIFS(Pesagens!$A$3:$A$5001,Pesagens!$B$3:$B$5001,$B196,Pesagens!$E$3:$E$5001,"&lt;&gt;"))</f>
        <v>46221</v>
      </c>
      <c r="I196" s="40">
        <f>IF($H196="","",IFERROR(AVERAGEIFS(Pesagens!$E$3:$E$5001,Pesagens!$B$3:$B$5001,$B196,Pesagens!$A$3:$A$5001,$H196),""))</f>
        <v>376</v>
      </c>
      <c r="J196" s="64">
        <f>IF(F196="","",Parâmetros!$C$4-F196)</f>
        <v>17</v>
      </c>
      <c r="K196" s="40">
        <f t="shared" si="6"/>
        <v>0</v>
      </c>
      <c r="L196" s="105" t="str">
        <f t="shared" si="7"/>
        <v/>
      </c>
      <c r="M196" s="106">
        <f>IF(I196="","",I196*Parâmetros!$C$8/15)</f>
        <v>13.285333333333334</v>
      </c>
      <c r="N196" s="106">
        <f>IF(K196="","",K196*Parâmetros!$C$8/15)</f>
        <v>0</v>
      </c>
      <c r="O196" s="28">
        <f>IF(M196="","",M196*Parâmetros!$C$5)</f>
        <v>4251.3066666666673</v>
      </c>
      <c r="P196" s="64" t="str">
        <f>IF(L196="","",IF(L196&gt;=Parâmetros!$C$10,"Sim","Não"))</f>
        <v/>
      </c>
    </row>
    <row r="197" spans="1:16" ht="15" customHeight="1" x14ac:dyDescent="0.3">
      <c r="A197" s="60">
        <v>195</v>
      </c>
      <c r="B197" s="60" t="s">
        <v>378</v>
      </c>
      <c r="C197" s="101" t="s">
        <v>183</v>
      </c>
      <c r="D197" s="101" t="s">
        <v>184</v>
      </c>
      <c r="E197" s="60">
        <v>4</v>
      </c>
      <c r="F197" s="85">
        <v>46221</v>
      </c>
      <c r="G197" s="35">
        <v>382</v>
      </c>
      <c r="H197" s="85">
        <f>IF(COUNTIFS(Pesagens!$B$3:$B$5001,$B197)=0,"",_xlfn.MAXIFS(Pesagens!$A$3:$A$5001,Pesagens!$B$3:$B$5001,$B197,Pesagens!$E$3:$E$5001,"&lt;&gt;"))</f>
        <v>46221</v>
      </c>
      <c r="I197" s="35">
        <f>IF($H197="","",IFERROR(AVERAGEIFS(Pesagens!$E$3:$E$5001,Pesagens!$B$3:$B$5001,$B197,Pesagens!$A$3:$A$5001,$H197),""))</f>
        <v>382</v>
      </c>
      <c r="J197" s="60">
        <f>IF(F197="","",Parâmetros!$C$4-F197)</f>
        <v>17</v>
      </c>
      <c r="K197" s="35">
        <f t="shared" si="6"/>
        <v>0</v>
      </c>
      <c r="L197" s="102" t="str">
        <f t="shared" si="7"/>
        <v/>
      </c>
      <c r="M197" s="103">
        <f>IF(I197="","",I197*Parâmetros!$C$8/15)</f>
        <v>13.497333333333334</v>
      </c>
      <c r="N197" s="103">
        <f>IF(K197="","",K197*Parâmetros!$C$8/15)</f>
        <v>0</v>
      </c>
      <c r="O197" s="26">
        <f>IF(M197="","",M197*Parâmetros!$C$5)</f>
        <v>4319.1466666666665</v>
      </c>
      <c r="P197" s="60" t="str">
        <f>IF(L197="","",IF(L197&gt;=Parâmetros!$C$10,"Sim","Não"))</f>
        <v/>
      </c>
    </row>
    <row r="198" spans="1:16" ht="15" customHeight="1" x14ac:dyDescent="0.3">
      <c r="A198" s="64">
        <v>196</v>
      </c>
      <c r="B198" s="64" t="s">
        <v>379</v>
      </c>
      <c r="C198" s="104" t="s">
        <v>183</v>
      </c>
      <c r="D198" s="104" t="s">
        <v>184</v>
      </c>
      <c r="E198" s="64">
        <v>4</v>
      </c>
      <c r="F198" s="86">
        <v>46221</v>
      </c>
      <c r="G198" s="40">
        <v>382</v>
      </c>
      <c r="H198" s="86">
        <f>IF(COUNTIFS(Pesagens!$B$3:$B$5001,$B198)=0,"",_xlfn.MAXIFS(Pesagens!$A$3:$A$5001,Pesagens!$B$3:$B$5001,$B198,Pesagens!$E$3:$E$5001,"&lt;&gt;"))</f>
        <v>46221</v>
      </c>
      <c r="I198" s="40">
        <f>IF($H198="","",IFERROR(AVERAGEIFS(Pesagens!$E$3:$E$5001,Pesagens!$B$3:$B$5001,$B198,Pesagens!$A$3:$A$5001,$H198),""))</f>
        <v>382</v>
      </c>
      <c r="J198" s="64">
        <f>IF(F198="","",Parâmetros!$C$4-F198)</f>
        <v>17</v>
      </c>
      <c r="K198" s="40">
        <f t="shared" si="6"/>
        <v>0</v>
      </c>
      <c r="L198" s="105" t="str">
        <f t="shared" si="7"/>
        <v/>
      </c>
      <c r="M198" s="106">
        <f>IF(I198="","",I198*Parâmetros!$C$8/15)</f>
        <v>13.497333333333334</v>
      </c>
      <c r="N198" s="106">
        <f>IF(K198="","",K198*Parâmetros!$C$8/15)</f>
        <v>0</v>
      </c>
      <c r="O198" s="28">
        <f>IF(M198="","",M198*Parâmetros!$C$5)</f>
        <v>4319.1466666666665</v>
      </c>
      <c r="P198" s="64" t="str">
        <f>IF(L198="","",IF(L198&gt;=Parâmetros!$C$10,"Sim","Não"))</f>
        <v/>
      </c>
    </row>
    <row r="199" spans="1:16" ht="15" customHeight="1" x14ac:dyDescent="0.3">
      <c r="A199" s="60">
        <v>197</v>
      </c>
      <c r="B199" s="60" t="s">
        <v>380</v>
      </c>
      <c r="C199" s="101" t="s">
        <v>183</v>
      </c>
      <c r="D199" s="101" t="s">
        <v>184</v>
      </c>
      <c r="E199" s="60">
        <v>4</v>
      </c>
      <c r="F199" s="85">
        <v>46221</v>
      </c>
      <c r="G199" s="35">
        <v>378</v>
      </c>
      <c r="H199" s="85">
        <f>IF(COUNTIFS(Pesagens!$B$3:$B$5001,$B199)=0,"",_xlfn.MAXIFS(Pesagens!$A$3:$A$5001,Pesagens!$B$3:$B$5001,$B199,Pesagens!$E$3:$E$5001,"&lt;&gt;"))</f>
        <v>46221</v>
      </c>
      <c r="I199" s="35">
        <f>IF($H199="","",IFERROR(AVERAGEIFS(Pesagens!$E$3:$E$5001,Pesagens!$B$3:$B$5001,$B199,Pesagens!$A$3:$A$5001,$H199),""))</f>
        <v>378</v>
      </c>
      <c r="J199" s="60">
        <f>IF(F199="","",Parâmetros!$C$4-F199)</f>
        <v>17</v>
      </c>
      <c r="K199" s="35">
        <f t="shared" si="6"/>
        <v>0</v>
      </c>
      <c r="L199" s="102" t="str">
        <f t="shared" si="7"/>
        <v/>
      </c>
      <c r="M199" s="103">
        <f>IF(I199="","",I199*Parâmetros!$C$8/15)</f>
        <v>13.356</v>
      </c>
      <c r="N199" s="103">
        <f>IF(K199="","",K199*Parâmetros!$C$8/15)</f>
        <v>0</v>
      </c>
      <c r="O199" s="26">
        <f>IF(M199="","",M199*Parâmetros!$C$5)</f>
        <v>4273.92</v>
      </c>
      <c r="P199" s="60" t="str">
        <f>IF(L199="","",IF(L199&gt;=Parâmetros!$C$10,"Sim","Não"))</f>
        <v/>
      </c>
    </row>
    <row r="200" spans="1:16" ht="15" customHeight="1" x14ac:dyDescent="0.3">
      <c r="A200" s="64">
        <v>198</v>
      </c>
      <c r="B200" s="64" t="s">
        <v>381</v>
      </c>
      <c r="C200" s="104" t="s">
        <v>183</v>
      </c>
      <c r="D200" s="104" t="s">
        <v>184</v>
      </c>
      <c r="E200" s="64">
        <v>4</v>
      </c>
      <c r="F200" s="86">
        <v>46221</v>
      </c>
      <c r="G200" s="40">
        <v>396</v>
      </c>
      <c r="H200" s="86">
        <f>IF(COUNTIFS(Pesagens!$B$3:$B$5001,$B200)=0,"",_xlfn.MAXIFS(Pesagens!$A$3:$A$5001,Pesagens!$B$3:$B$5001,$B200,Pesagens!$E$3:$E$5001,"&lt;&gt;"))</f>
        <v>46221</v>
      </c>
      <c r="I200" s="40">
        <f>IF($H200="","",IFERROR(AVERAGEIFS(Pesagens!$E$3:$E$5001,Pesagens!$B$3:$B$5001,$B200,Pesagens!$A$3:$A$5001,$H200),""))</f>
        <v>396</v>
      </c>
      <c r="J200" s="64">
        <f>IF(F200="","",Parâmetros!$C$4-F200)</f>
        <v>17</v>
      </c>
      <c r="K200" s="40">
        <f t="shared" si="6"/>
        <v>0</v>
      </c>
      <c r="L200" s="105" t="str">
        <f t="shared" si="7"/>
        <v/>
      </c>
      <c r="M200" s="106">
        <f>IF(I200="","",I200*Parâmetros!$C$8/15)</f>
        <v>13.992000000000001</v>
      </c>
      <c r="N200" s="106">
        <f>IF(K200="","",K200*Parâmetros!$C$8/15)</f>
        <v>0</v>
      </c>
      <c r="O200" s="28">
        <f>IF(M200="","",M200*Parâmetros!$C$5)</f>
        <v>4477.4400000000005</v>
      </c>
      <c r="P200" s="64" t="str">
        <f>IF(L200="","",IF(L200&gt;=Parâmetros!$C$10,"Sim","Não"))</f>
        <v/>
      </c>
    </row>
    <row r="201" spans="1:16" ht="15" customHeight="1" x14ac:dyDescent="0.3">
      <c r="A201" s="60">
        <v>199</v>
      </c>
      <c r="B201" s="60" t="s">
        <v>382</v>
      </c>
      <c r="C201" s="101" t="s">
        <v>183</v>
      </c>
      <c r="D201" s="101" t="s">
        <v>184</v>
      </c>
      <c r="E201" s="60">
        <v>4</v>
      </c>
      <c r="F201" s="85">
        <v>46221</v>
      </c>
      <c r="G201" s="35">
        <v>397</v>
      </c>
      <c r="H201" s="85">
        <f>IF(COUNTIFS(Pesagens!$B$3:$B$5001,$B201)=0,"",_xlfn.MAXIFS(Pesagens!$A$3:$A$5001,Pesagens!$B$3:$B$5001,$B201,Pesagens!$E$3:$E$5001,"&lt;&gt;"))</f>
        <v>46221</v>
      </c>
      <c r="I201" s="35">
        <f>IF($H201="","",IFERROR(AVERAGEIFS(Pesagens!$E$3:$E$5001,Pesagens!$B$3:$B$5001,$B201,Pesagens!$A$3:$A$5001,$H201),""))</f>
        <v>397</v>
      </c>
      <c r="J201" s="60">
        <f>IF(F201="","",Parâmetros!$C$4-F201)</f>
        <v>17</v>
      </c>
      <c r="K201" s="35">
        <f t="shared" si="6"/>
        <v>0</v>
      </c>
      <c r="L201" s="102" t="str">
        <f t="shared" si="7"/>
        <v/>
      </c>
      <c r="M201" s="103">
        <f>IF(I201="","",I201*Parâmetros!$C$8/15)</f>
        <v>14.027333333333333</v>
      </c>
      <c r="N201" s="103">
        <f>IF(K201="","",K201*Parâmetros!$C$8/15)</f>
        <v>0</v>
      </c>
      <c r="O201" s="26">
        <f>IF(M201="","",M201*Parâmetros!$C$5)</f>
        <v>4488.7466666666669</v>
      </c>
      <c r="P201" s="60" t="str">
        <f>IF(L201="","",IF(L201&gt;=Parâmetros!$C$10,"Sim","Não"))</f>
        <v/>
      </c>
    </row>
    <row r="202" spans="1:16" ht="15" customHeight="1" x14ac:dyDescent="0.3">
      <c r="A202" s="64">
        <v>200</v>
      </c>
      <c r="B202" s="64" t="s">
        <v>383</v>
      </c>
      <c r="C202" s="104" t="s">
        <v>183</v>
      </c>
      <c r="D202" s="104" t="s">
        <v>184</v>
      </c>
      <c r="E202" s="64">
        <v>4</v>
      </c>
      <c r="F202" s="86">
        <v>46221</v>
      </c>
      <c r="G202" s="40">
        <v>377</v>
      </c>
      <c r="H202" s="86">
        <f>IF(COUNTIFS(Pesagens!$B$3:$B$5001,$B202)=0,"",_xlfn.MAXIFS(Pesagens!$A$3:$A$5001,Pesagens!$B$3:$B$5001,$B202,Pesagens!$E$3:$E$5001,"&lt;&gt;"))</f>
        <v>46221</v>
      </c>
      <c r="I202" s="40">
        <f>IF($H202="","",IFERROR(AVERAGEIFS(Pesagens!$E$3:$E$5001,Pesagens!$B$3:$B$5001,$B202,Pesagens!$A$3:$A$5001,$H202),""))</f>
        <v>377</v>
      </c>
      <c r="J202" s="64">
        <f>IF(F202="","",Parâmetros!$C$4-F202)</f>
        <v>17</v>
      </c>
      <c r="K202" s="40">
        <f t="shared" si="6"/>
        <v>0</v>
      </c>
      <c r="L202" s="105" t="str">
        <f t="shared" si="7"/>
        <v/>
      </c>
      <c r="M202" s="106">
        <f>IF(I202="","",I202*Parâmetros!$C$8/15)</f>
        <v>13.320666666666666</v>
      </c>
      <c r="N202" s="106">
        <f>IF(K202="","",K202*Parâmetros!$C$8/15)</f>
        <v>0</v>
      </c>
      <c r="O202" s="28">
        <f>IF(M202="","",M202*Parâmetros!$C$5)</f>
        <v>4262.6133333333328</v>
      </c>
      <c r="P202" s="64" t="str">
        <f>IF(L202="","",IF(L202&gt;=Parâmetros!$C$10,"Sim","Não"))</f>
        <v/>
      </c>
    </row>
    <row r="203" spans="1:16" ht="15" customHeight="1" x14ac:dyDescent="0.3">
      <c r="A203" s="60">
        <v>201</v>
      </c>
      <c r="B203" s="60" t="s">
        <v>384</v>
      </c>
      <c r="C203" s="101" t="s">
        <v>183</v>
      </c>
      <c r="D203" s="101" t="s">
        <v>184</v>
      </c>
      <c r="E203" s="60">
        <v>4</v>
      </c>
      <c r="F203" s="85">
        <v>46221</v>
      </c>
      <c r="G203" s="35">
        <v>370</v>
      </c>
      <c r="H203" s="85">
        <f>IF(COUNTIFS(Pesagens!$B$3:$B$5001,$B203)=0,"",_xlfn.MAXIFS(Pesagens!$A$3:$A$5001,Pesagens!$B$3:$B$5001,$B203,Pesagens!$E$3:$E$5001,"&lt;&gt;"))</f>
        <v>46221</v>
      </c>
      <c r="I203" s="35">
        <f>IF($H203="","",IFERROR(AVERAGEIFS(Pesagens!$E$3:$E$5001,Pesagens!$B$3:$B$5001,$B203,Pesagens!$A$3:$A$5001,$H203),""))</f>
        <v>370</v>
      </c>
      <c r="J203" s="60">
        <f>IF(F203="","",Parâmetros!$C$4-F203)</f>
        <v>17</v>
      </c>
      <c r="K203" s="35">
        <f t="shared" si="6"/>
        <v>0</v>
      </c>
      <c r="L203" s="102" t="str">
        <f t="shared" si="7"/>
        <v/>
      </c>
      <c r="M203" s="103">
        <f>IF(I203="","",I203*Parâmetros!$C$8/15)</f>
        <v>13.073333333333334</v>
      </c>
      <c r="N203" s="103">
        <f>IF(K203="","",K203*Parâmetros!$C$8/15)</f>
        <v>0</v>
      </c>
      <c r="O203" s="26">
        <f>IF(M203="","",M203*Parâmetros!$C$5)</f>
        <v>4183.4666666666672</v>
      </c>
      <c r="P203" s="60" t="str">
        <f>IF(L203="","",IF(L203&gt;=Parâmetros!$C$10,"Sim","Não"))</f>
        <v/>
      </c>
    </row>
    <row r="204" spans="1:16" ht="15" customHeight="1" x14ac:dyDescent="0.3">
      <c r="A204" s="64">
        <v>202</v>
      </c>
      <c r="B204" s="64" t="s">
        <v>385</v>
      </c>
      <c r="C204" s="104" t="s">
        <v>183</v>
      </c>
      <c r="D204" s="104" t="s">
        <v>184</v>
      </c>
      <c r="E204" s="64">
        <v>4</v>
      </c>
      <c r="F204" s="86">
        <v>46221</v>
      </c>
      <c r="G204" s="40">
        <v>373</v>
      </c>
      <c r="H204" s="86">
        <f>IF(COUNTIFS(Pesagens!$B$3:$B$5001,$B204)=0,"",_xlfn.MAXIFS(Pesagens!$A$3:$A$5001,Pesagens!$B$3:$B$5001,$B204,Pesagens!$E$3:$E$5001,"&lt;&gt;"))</f>
        <v>46221</v>
      </c>
      <c r="I204" s="40">
        <f>IF($H204="","",IFERROR(AVERAGEIFS(Pesagens!$E$3:$E$5001,Pesagens!$B$3:$B$5001,$B204,Pesagens!$A$3:$A$5001,$H204),""))</f>
        <v>373</v>
      </c>
      <c r="J204" s="64">
        <f>IF(F204="","",Parâmetros!$C$4-F204)</f>
        <v>17</v>
      </c>
      <c r="K204" s="40">
        <f t="shared" si="6"/>
        <v>0</v>
      </c>
      <c r="L204" s="105" t="str">
        <f t="shared" si="7"/>
        <v/>
      </c>
      <c r="M204" s="106">
        <f>IF(I204="","",I204*Parâmetros!$C$8/15)</f>
        <v>13.179333333333334</v>
      </c>
      <c r="N204" s="106">
        <f>IF(K204="","",K204*Parâmetros!$C$8/15)</f>
        <v>0</v>
      </c>
      <c r="O204" s="28">
        <f>IF(M204="","",M204*Parâmetros!$C$5)</f>
        <v>4217.3866666666672</v>
      </c>
      <c r="P204" s="64" t="str">
        <f>IF(L204="","",IF(L204&gt;=Parâmetros!$C$10,"Sim","Não"))</f>
        <v/>
      </c>
    </row>
    <row r="205" spans="1:16" ht="15" customHeight="1" x14ac:dyDescent="0.3">
      <c r="A205" s="60">
        <v>203</v>
      </c>
      <c r="B205" s="60" t="s">
        <v>386</v>
      </c>
      <c r="C205" s="101" t="s">
        <v>183</v>
      </c>
      <c r="D205" s="101" t="s">
        <v>184</v>
      </c>
      <c r="E205" s="60">
        <v>4</v>
      </c>
      <c r="F205" s="85">
        <v>46221</v>
      </c>
      <c r="G205" s="35">
        <v>382</v>
      </c>
      <c r="H205" s="85">
        <f>IF(COUNTIFS(Pesagens!$B$3:$B$5001,$B205)=0,"",_xlfn.MAXIFS(Pesagens!$A$3:$A$5001,Pesagens!$B$3:$B$5001,$B205,Pesagens!$E$3:$E$5001,"&lt;&gt;"))</f>
        <v>46221</v>
      </c>
      <c r="I205" s="35">
        <f>IF($H205="","",IFERROR(AVERAGEIFS(Pesagens!$E$3:$E$5001,Pesagens!$B$3:$B$5001,$B205,Pesagens!$A$3:$A$5001,$H205),""))</f>
        <v>382</v>
      </c>
      <c r="J205" s="60">
        <f>IF(F205="","",Parâmetros!$C$4-F205)</f>
        <v>17</v>
      </c>
      <c r="K205" s="35">
        <f t="shared" si="6"/>
        <v>0</v>
      </c>
      <c r="L205" s="102" t="str">
        <f t="shared" si="7"/>
        <v/>
      </c>
      <c r="M205" s="103">
        <f>IF(I205="","",I205*Parâmetros!$C$8/15)</f>
        <v>13.497333333333334</v>
      </c>
      <c r="N205" s="103">
        <f>IF(K205="","",K205*Parâmetros!$C$8/15)</f>
        <v>0</v>
      </c>
      <c r="O205" s="26">
        <f>IF(M205="","",M205*Parâmetros!$C$5)</f>
        <v>4319.1466666666665</v>
      </c>
      <c r="P205" s="60" t="str">
        <f>IF(L205="","",IF(L205&gt;=Parâmetros!$C$10,"Sim","Não"))</f>
        <v/>
      </c>
    </row>
    <row r="206" spans="1:16" ht="15" customHeight="1" x14ac:dyDescent="0.3">
      <c r="A206" s="64">
        <v>204</v>
      </c>
      <c r="B206" s="64" t="s">
        <v>387</v>
      </c>
      <c r="C206" s="104" t="s">
        <v>183</v>
      </c>
      <c r="D206" s="104" t="s">
        <v>184</v>
      </c>
      <c r="E206" s="64">
        <v>4</v>
      </c>
      <c r="F206" s="86">
        <v>46221</v>
      </c>
      <c r="G206" s="40">
        <v>373</v>
      </c>
      <c r="H206" s="86">
        <f>IF(COUNTIFS(Pesagens!$B$3:$B$5001,$B206)=0,"",_xlfn.MAXIFS(Pesagens!$A$3:$A$5001,Pesagens!$B$3:$B$5001,$B206,Pesagens!$E$3:$E$5001,"&lt;&gt;"))</f>
        <v>46221</v>
      </c>
      <c r="I206" s="40">
        <f>IF($H206="","",IFERROR(AVERAGEIFS(Pesagens!$E$3:$E$5001,Pesagens!$B$3:$B$5001,$B206,Pesagens!$A$3:$A$5001,$H206),""))</f>
        <v>373</v>
      </c>
      <c r="J206" s="64">
        <f>IF(F206="","",Parâmetros!$C$4-F206)</f>
        <v>17</v>
      </c>
      <c r="K206" s="40">
        <f t="shared" si="6"/>
        <v>0</v>
      </c>
      <c r="L206" s="105" t="str">
        <f t="shared" si="7"/>
        <v/>
      </c>
      <c r="M206" s="106">
        <f>IF(I206="","",I206*Parâmetros!$C$8/15)</f>
        <v>13.179333333333334</v>
      </c>
      <c r="N206" s="106">
        <f>IF(K206="","",K206*Parâmetros!$C$8/15)</f>
        <v>0</v>
      </c>
      <c r="O206" s="28">
        <f>IF(M206="","",M206*Parâmetros!$C$5)</f>
        <v>4217.3866666666672</v>
      </c>
      <c r="P206" s="64" t="str">
        <f>IF(L206="","",IF(L206&gt;=Parâmetros!$C$10,"Sim","Não"))</f>
        <v/>
      </c>
    </row>
    <row r="207" spans="1:16" ht="15" customHeight="1" x14ac:dyDescent="0.3">
      <c r="A207" s="60">
        <v>205</v>
      </c>
      <c r="B207" s="60" t="s">
        <v>388</v>
      </c>
      <c r="C207" s="101" t="s">
        <v>183</v>
      </c>
      <c r="D207" s="101" t="s">
        <v>184</v>
      </c>
      <c r="E207" s="60">
        <v>4</v>
      </c>
      <c r="F207" s="85">
        <v>46221</v>
      </c>
      <c r="G207" s="35">
        <v>381</v>
      </c>
      <c r="H207" s="85">
        <f>IF(COUNTIFS(Pesagens!$B$3:$B$5001,$B207)=0,"",_xlfn.MAXIFS(Pesagens!$A$3:$A$5001,Pesagens!$B$3:$B$5001,$B207,Pesagens!$E$3:$E$5001,"&lt;&gt;"))</f>
        <v>46221</v>
      </c>
      <c r="I207" s="35">
        <f>IF($H207="","",IFERROR(AVERAGEIFS(Pesagens!$E$3:$E$5001,Pesagens!$B$3:$B$5001,$B207,Pesagens!$A$3:$A$5001,$H207),""))</f>
        <v>381</v>
      </c>
      <c r="J207" s="60">
        <f>IF(F207="","",Parâmetros!$C$4-F207)</f>
        <v>17</v>
      </c>
      <c r="K207" s="35">
        <f t="shared" si="6"/>
        <v>0</v>
      </c>
      <c r="L207" s="102" t="str">
        <f t="shared" si="7"/>
        <v/>
      </c>
      <c r="M207" s="103">
        <f>IF(I207="","",I207*Parâmetros!$C$8/15)</f>
        <v>13.462</v>
      </c>
      <c r="N207" s="103">
        <f>IF(K207="","",K207*Parâmetros!$C$8/15)</f>
        <v>0</v>
      </c>
      <c r="O207" s="26">
        <f>IF(M207="","",M207*Parâmetros!$C$5)</f>
        <v>4307.84</v>
      </c>
      <c r="P207" s="60" t="str">
        <f>IF(L207="","",IF(L207&gt;=Parâmetros!$C$10,"Sim","Não"))</f>
        <v/>
      </c>
    </row>
    <row r="208" spans="1:16" ht="15" customHeight="1" x14ac:dyDescent="0.3">
      <c r="A208" s="64">
        <v>206</v>
      </c>
      <c r="B208" s="64" t="s">
        <v>389</v>
      </c>
      <c r="C208" s="104" t="s">
        <v>183</v>
      </c>
      <c r="D208" s="104" t="s">
        <v>184</v>
      </c>
      <c r="E208" s="64">
        <v>4</v>
      </c>
      <c r="F208" s="86">
        <v>46221</v>
      </c>
      <c r="G208" s="40">
        <v>371</v>
      </c>
      <c r="H208" s="86">
        <f>IF(COUNTIFS(Pesagens!$B$3:$B$5001,$B208)=0,"",_xlfn.MAXIFS(Pesagens!$A$3:$A$5001,Pesagens!$B$3:$B$5001,$B208,Pesagens!$E$3:$E$5001,"&lt;&gt;"))</f>
        <v>46221</v>
      </c>
      <c r="I208" s="40">
        <f>IF($H208="","",IFERROR(AVERAGEIFS(Pesagens!$E$3:$E$5001,Pesagens!$B$3:$B$5001,$B208,Pesagens!$A$3:$A$5001,$H208),""))</f>
        <v>371</v>
      </c>
      <c r="J208" s="64">
        <f>IF(F208="","",Parâmetros!$C$4-F208)</f>
        <v>17</v>
      </c>
      <c r="K208" s="40">
        <f t="shared" si="6"/>
        <v>0</v>
      </c>
      <c r="L208" s="105" t="str">
        <f t="shared" si="7"/>
        <v/>
      </c>
      <c r="M208" s="106">
        <f>IF(I208="","",I208*Parâmetros!$C$8/15)</f>
        <v>13.108666666666668</v>
      </c>
      <c r="N208" s="106">
        <f>IF(K208="","",K208*Parâmetros!$C$8/15)</f>
        <v>0</v>
      </c>
      <c r="O208" s="28">
        <f>IF(M208="","",M208*Parâmetros!$C$5)</f>
        <v>4194.7733333333335</v>
      </c>
      <c r="P208" s="64" t="str">
        <f>IF(L208="","",IF(L208&gt;=Parâmetros!$C$10,"Sim","Não"))</f>
        <v/>
      </c>
    </row>
    <row r="209" spans="1:16" ht="15" customHeight="1" x14ac:dyDescent="0.3">
      <c r="A209" s="60">
        <v>207</v>
      </c>
      <c r="B209" s="60" t="s">
        <v>390</v>
      </c>
      <c r="C209" s="101" t="s">
        <v>183</v>
      </c>
      <c r="D209" s="101" t="s">
        <v>184</v>
      </c>
      <c r="E209" s="60">
        <v>4</v>
      </c>
      <c r="F209" s="85">
        <v>46221</v>
      </c>
      <c r="G209" s="35">
        <v>370</v>
      </c>
      <c r="H209" s="85">
        <f>IF(COUNTIFS(Pesagens!$B$3:$B$5001,$B209)=0,"",_xlfn.MAXIFS(Pesagens!$A$3:$A$5001,Pesagens!$B$3:$B$5001,$B209,Pesagens!$E$3:$E$5001,"&lt;&gt;"))</f>
        <v>46221</v>
      </c>
      <c r="I209" s="35">
        <f>IF($H209="","",IFERROR(AVERAGEIFS(Pesagens!$E$3:$E$5001,Pesagens!$B$3:$B$5001,$B209,Pesagens!$A$3:$A$5001,$H209),""))</f>
        <v>370</v>
      </c>
      <c r="J209" s="60">
        <f>IF(F209="","",Parâmetros!$C$4-F209)</f>
        <v>17</v>
      </c>
      <c r="K209" s="35">
        <f t="shared" si="6"/>
        <v>0</v>
      </c>
      <c r="L209" s="102" t="str">
        <f t="shared" si="7"/>
        <v/>
      </c>
      <c r="M209" s="103">
        <f>IF(I209="","",I209*Parâmetros!$C$8/15)</f>
        <v>13.073333333333334</v>
      </c>
      <c r="N209" s="103">
        <f>IF(K209="","",K209*Parâmetros!$C$8/15)</f>
        <v>0</v>
      </c>
      <c r="O209" s="26">
        <f>IF(M209="","",M209*Parâmetros!$C$5)</f>
        <v>4183.4666666666672</v>
      </c>
      <c r="P209" s="60" t="str">
        <f>IF(L209="","",IF(L209&gt;=Parâmetros!$C$10,"Sim","Não"))</f>
        <v/>
      </c>
    </row>
    <row r="210" spans="1:16" ht="15" customHeight="1" x14ac:dyDescent="0.3">
      <c r="A210" s="64">
        <v>208</v>
      </c>
      <c r="B210" s="64" t="s">
        <v>391</v>
      </c>
      <c r="C210" s="104" t="s">
        <v>183</v>
      </c>
      <c r="D210" s="104" t="s">
        <v>184</v>
      </c>
      <c r="E210" s="64">
        <v>4</v>
      </c>
      <c r="F210" s="86">
        <v>46221</v>
      </c>
      <c r="G210" s="40">
        <v>395</v>
      </c>
      <c r="H210" s="86">
        <f>IF(COUNTIFS(Pesagens!$B$3:$B$5001,$B210)=0,"",_xlfn.MAXIFS(Pesagens!$A$3:$A$5001,Pesagens!$B$3:$B$5001,$B210,Pesagens!$E$3:$E$5001,"&lt;&gt;"))</f>
        <v>46221</v>
      </c>
      <c r="I210" s="40">
        <f>IF($H210="","",IFERROR(AVERAGEIFS(Pesagens!$E$3:$E$5001,Pesagens!$B$3:$B$5001,$B210,Pesagens!$A$3:$A$5001,$H210),""))</f>
        <v>395</v>
      </c>
      <c r="J210" s="64">
        <f>IF(F210="","",Parâmetros!$C$4-F210)</f>
        <v>17</v>
      </c>
      <c r="K210" s="40">
        <f t="shared" si="6"/>
        <v>0</v>
      </c>
      <c r="L210" s="105" t="str">
        <f t="shared" si="7"/>
        <v/>
      </c>
      <c r="M210" s="106">
        <f>IF(I210="","",I210*Parâmetros!$C$8/15)</f>
        <v>13.956666666666669</v>
      </c>
      <c r="N210" s="106">
        <f>IF(K210="","",K210*Parâmetros!$C$8/15)</f>
        <v>0</v>
      </c>
      <c r="O210" s="28">
        <f>IF(M210="","",M210*Parâmetros!$C$5)</f>
        <v>4466.1333333333341</v>
      </c>
      <c r="P210" s="64" t="str">
        <f>IF(L210="","",IF(L210&gt;=Parâmetros!$C$10,"Sim","Não"))</f>
        <v/>
      </c>
    </row>
    <row r="211" spans="1:16" ht="15" customHeight="1" x14ac:dyDescent="0.3">
      <c r="A211" s="60">
        <v>209</v>
      </c>
      <c r="B211" s="60" t="s">
        <v>392</v>
      </c>
      <c r="C211" s="101" t="s">
        <v>183</v>
      </c>
      <c r="D211" s="101" t="s">
        <v>184</v>
      </c>
      <c r="E211" s="60">
        <v>4</v>
      </c>
      <c r="F211" s="85">
        <v>46221</v>
      </c>
      <c r="G211" s="35">
        <v>384</v>
      </c>
      <c r="H211" s="85">
        <f>IF(COUNTIFS(Pesagens!$B$3:$B$5001,$B211)=0,"",_xlfn.MAXIFS(Pesagens!$A$3:$A$5001,Pesagens!$B$3:$B$5001,$B211,Pesagens!$E$3:$E$5001,"&lt;&gt;"))</f>
        <v>46221</v>
      </c>
      <c r="I211" s="35">
        <f>IF($H211="","",IFERROR(AVERAGEIFS(Pesagens!$E$3:$E$5001,Pesagens!$B$3:$B$5001,$B211,Pesagens!$A$3:$A$5001,$H211),""))</f>
        <v>384</v>
      </c>
      <c r="J211" s="60">
        <f>IF(F211="","",Parâmetros!$C$4-F211)</f>
        <v>17</v>
      </c>
      <c r="K211" s="35">
        <f t="shared" si="6"/>
        <v>0</v>
      </c>
      <c r="L211" s="102" t="str">
        <f t="shared" si="7"/>
        <v/>
      </c>
      <c r="M211" s="103">
        <f>IF(I211="","",I211*Parâmetros!$C$8/15)</f>
        <v>13.568000000000001</v>
      </c>
      <c r="N211" s="103">
        <f>IF(K211="","",K211*Parâmetros!$C$8/15)</f>
        <v>0</v>
      </c>
      <c r="O211" s="26">
        <f>IF(M211="","",M211*Parâmetros!$C$5)</f>
        <v>4341.76</v>
      </c>
      <c r="P211" s="60" t="str">
        <f>IF(L211="","",IF(L211&gt;=Parâmetros!$C$10,"Sim","Não"))</f>
        <v/>
      </c>
    </row>
    <row r="212" spans="1:16" ht="15" customHeight="1" x14ac:dyDescent="0.3">
      <c r="A212" s="64">
        <v>210</v>
      </c>
      <c r="B212" s="64" t="s">
        <v>393</v>
      </c>
      <c r="C212" s="104" t="s">
        <v>183</v>
      </c>
      <c r="D212" s="104" t="s">
        <v>184</v>
      </c>
      <c r="E212" s="64">
        <v>4</v>
      </c>
      <c r="F212" s="86">
        <v>46221</v>
      </c>
      <c r="G212" s="40">
        <v>386</v>
      </c>
      <c r="H212" s="86">
        <f>IF(COUNTIFS(Pesagens!$B$3:$B$5001,$B212)=0,"",_xlfn.MAXIFS(Pesagens!$A$3:$A$5001,Pesagens!$B$3:$B$5001,$B212,Pesagens!$E$3:$E$5001,"&lt;&gt;"))</f>
        <v>46221</v>
      </c>
      <c r="I212" s="40">
        <f>IF($H212="","",IFERROR(AVERAGEIFS(Pesagens!$E$3:$E$5001,Pesagens!$B$3:$B$5001,$B212,Pesagens!$A$3:$A$5001,$H212),""))</f>
        <v>386</v>
      </c>
      <c r="J212" s="64">
        <f>IF(F212="","",Parâmetros!$C$4-F212)</f>
        <v>17</v>
      </c>
      <c r="K212" s="40">
        <f t="shared" si="6"/>
        <v>0</v>
      </c>
      <c r="L212" s="105" t="str">
        <f t="shared" si="7"/>
        <v/>
      </c>
      <c r="M212" s="106">
        <f>IF(I212="","",I212*Parâmetros!$C$8/15)</f>
        <v>13.638666666666667</v>
      </c>
      <c r="N212" s="106">
        <f>IF(K212="","",K212*Parâmetros!$C$8/15)</f>
        <v>0</v>
      </c>
      <c r="O212" s="28">
        <f>IF(M212="","",M212*Parâmetros!$C$5)</f>
        <v>4364.3733333333339</v>
      </c>
      <c r="P212" s="64" t="str">
        <f>IF(L212="","",IF(L212&gt;=Parâmetros!$C$10,"Sim","Não"))</f>
        <v/>
      </c>
    </row>
    <row r="213" spans="1:16" ht="15" customHeight="1" x14ac:dyDescent="0.3">
      <c r="A213" s="60">
        <v>211</v>
      </c>
      <c r="B213" s="60" t="s">
        <v>394</v>
      </c>
      <c r="C213" s="101" t="s">
        <v>183</v>
      </c>
      <c r="D213" s="101" t="s">
        <v>184</v>
      </c>
      <c r="E213" s="60">
        <v>4</v>
      </c>
      <c r="F213" s="85">
        <v>46221</v>
      </c>
      <c r="G213" s="35">
        <v>391</v>
      </c>
      <c r="H213" s="85">
        <f>IF(COUNTIFS(Pesagens!$B$3:$B$5001,$B213)=0,"",_xlfn.MAXIFS(Pesagens!$A$3:$A$5001,Pesagens!$B$3:$B$5001,$B213,Pesagens!$E$3:$E$5001,"&lt;&gt;"))</f>
        <v>46221</v>
      </c>
      <c r="I213" s="35">
        <f>IF($H213="","",IFERROR(AVERAGEIFS(Pesagens!$E$3:$E$5001,Pesagens!$B$3:$B$5001,$B213,Pesagens!$A$3:$A$5001,$H213),""))</f>
        <v>391</v>
      </c>
      <c r="J213" s="60">
        <f>IF(F213="","",Parâmetros!$C$4-F213)</f>
        <v>17</v>
      </c>
      <c r="K213" s="35">
        <f t="shared" si="6"/>
        <v>0</v>
      </c>
      <c r="L213" s="102" t="str">
        <f t="shared" si="7"/>
        <v/>
      </c>
      <c r="M213" s="103">
        <f>IF(I213="","",I213*Parâmetros!$C$8/15)</f>
        <v>13.815333333333335</v>
      </c>
      <c r="N213" s="103">
        <f>IF(K213="","",K213*Parâmetros!$C$8/15)</f>
        <v>0</v>
      </c>
      <c r="O213" s="26">
        <f>IF(M213="","",M213*Parâmetros!$C$5)</f>
        <v>4420.9066666666677</v>
      </c>
      <c r="P213" s="60" t="str">
        <f>IF(L213="","",IF(L213&gt;=Parâmetros!$C$10,"Sim","Não"))</f>
        <v/>
      </c>
    </row>
    <row r="214" spans="1:16" ht="15" customHeight="1" x14ac:dyDescent="0.3">
      <c r="A214" s="64">
        <v>212</v>
      </c>
      <c r="B214" s="64" t="s">
        <v>395</v>
      </c>
      <c r="C214" s="104" t="s">
        <v>183</v>
      </c>
      <c r="D214" s="104" t="s">
        <v>184</v>
      </c>
      <c r="E214" s="64">
        <v>4</v>
      </c>
      <c r="F214" s="86">
        <v>46221</v>
      </c>
      <c r="G214" s="40">
        <v>384</v>
      </c>
      <c r="H214" s="86">
        <f>IF(COUNTIFS(Pesagens!$B$3:$B$5001,$B214)=0,"",_xlfn.MAXIFS(Pesagens!$A$3:$A$5001,Pesagens!$B$3:$B$5001,$B214,Pesagens!$E$3:$E$5001,"&lt;&gt;"))</f>
        <v>46221</v>
      </c>
      <c r="I214" s="40">
        <f>IF($H214="","",IFERROR(AVERAGEIFS(Pesagens!$E$3:$E$5001,Pesagens!$B$3:$B$5001,$B214,Pesagens!$A$3:$A$5001,$H214),""))</f>
        <v>384</v>
      </c>
      <c r="J214" s="64">
        <f>IF(F214="","",Parâmetros!$C$4-F214)</f>
        <v>17</v>
      </c>
      <c r="K214" s="40">
        <f t="shared" si="6"/>
        <v>0</v>
      </c>
      <c r="L214" s="105" t="str">
        <f t="shared" si="7"/>
        <v/>
      </c>
      <c r="M214" s="106">
        <f>IF(I214="","",I214*Parâmetros!$C$8/15)</f>
        <v>13.568000000000001</v>
      </c>
      <c r="N214" s="106">
        <f>IF(K214="","",K214*Parâmetros!$C$8/15)</f>
        <v>0</v>
      </c>
      <c r="O214" s="28">
        <f>IF(M214="","",M214*Parâmetros!$C$5)</f>
        <v>4341.76</v>
      </c>
      <c r="P214" s="64" t="str">
        <f>IF(L214="","",IF(L214&gt;=Parâmetros!$C$10,"Sim","Não"))</f>
        <v/>
      </c>
    </row>
    <row r="215" spans="1:16" ht="15" customHeight="1" x14ac:dyDescent="0.3">
      <c r="A215" s="60">
        <v>213</v>
      </c>
      <c r="B215" s="60" t="s">
        <v>396</v>
      </c>
      <c r="C215" s="101" t="s">
        <v>183</v>
      </c>
      <c r="D215" s="101" t="s">
        <v>184</v>
      </c>
      <c r="E215" s="60">
        <v>4</v>
      </c>
      <c r="F215" s="85">
        <v>46221</v>
      </c>
      <c r="G215" s="35">
        <v>376</v>
      </c>
      <c r="H215" s="85">
        <f>IF(COUNTIFS(Pesagens!$B$3:$B$5001,$B215)=0,"",_xlfn.MAXIFS(Pesagens!$A$3:$A$5001,Pesagens!$B$3:$B$5001,$B215,Pesagens!$E$3:$E$5001,"&lt;&gt;"))</f>
        <v>46221</v>
      </c>
      <c r="I215" s="35">
        <f>IF($H215="","",IFERROR(AVERAGEIFS(Pesagens!$E$3:$E$5001,Pesagens!$B$3:$B$5001,$B215,Pesagens!$A$3:$A$5001,$H215),""))</f>
        <v>376</v>
      </c>
      <c r="J215" s="60">
        <f>IF(F215="","",Parâmetros!$C$4-F215)</f>
        <v>17</v>
      </c>
      <c r="K215" s="35">
        <f t="shared" si="6"/>
        <v>0</v>
      </c>
      <c r="L215" s="102" t="str">
        <f t="shared" si="7"/>
        <v/>
      </c>
      <c r="M215" s="103">
        <f>IF(I215="","",I215*Parâmetros!$C$8/15)</f>
        <v>13.285333333333334</v>
      </c>
      <c r="N215" s="103">
        <f>IF(K215="","",K215*Parâmetros!$C$8/15)</f>
        <v>0</v>
      </c>
      <c r="O215" s="26">
        <f>IF(M215="","",M215*Parâmetros!$C$5)</f>
        <v>4251.3066666666673</v>
      </c>
      <c r="P215" s="60" t="str">
        <f>IF(L215="","",IF(L215&gt;=Parâmetros!$C$10,"Sim","Não"))</f>
        <v/>
      </c>
    </row>
    <row r="216" spans="1:16" ht="15" customHeight="1" x14ac:dyDescent="0.3">
      <c r="A216" s="64">
        <v>214</v>
      </c>
      <c r="B216" s="64" t="s">
        <v>397</v>
      </c>
      <c r="C216" s="104" t="s">
        <v>183</v>
      </c>
      <c r="D216" s="104" t="s">
        <v>184</v>
      </c>
      <c r="E216" s="64">
        <v>4</v>
      </c>
      <c r="F216" s="86">
        <v>46221</v>
      </c>
      <c r="G216" s="40">
        <v>373</v>
      </c>
      <c r="H216" s="86">
        <f>IF(COUNTIFS(Pesagens!$B$3:$B$5001,$B216)=0,"",_xlfn.MAXIFS(Pesagens!$A$3:$A$5001,Pesagens!$B$3:$B$5001,$B216,Pesagens!$E$3:$E$5001,"&lt;&gt;"))</f>
        <v>46221</v>
      </c>
      <c r="I216" s="40">
        <f>IF($H216="","",IFERROR(AVERAGEIFS(Pesagens!$E$3:$E$5001,Pesagens!$B$3:$B$5001,$B216,Pesagens!$A$3:$A$5001,$H216),""))</f>
        <v>373</v>
      </c>
      <c r="J216" s="64">
        <f>IF(F216="","",Parâmetros!$C$4-F216)</f>
        <v>17</v>
      </c>
      <c r="K216" s="40">
        <f t="shared" si="6"/>
        <v>0</v>
      </c>
      <c r="L216" s="105" t="str">
        <f t="shared" si="7"/>
        <v/>
      </c>
      <c r="M216" s="106">
        <f>IF(I216="","",I216*Parâmetros!$C$8/15)</f>
        <v>13.179333333333334</v>
      </c>
      <c r="N216" s="106">
        <f>IF(K216="","",K216*Parâmetros!$C$8/15)</f>
        <v>0</v>
      </c>
      <c r="O216" s="28">
        <f>IF(M216="","",M216*Parâmetros!$C$5)</f>
        <v>4217.3866666666672</v>
      </c>
      <c r="P216" s="64" t="str">
        <f>IF(L216="","",IF(L216&gt;=Parâmetros!$C$10,"Sim","Não"))</f>
        <v/>
      </c>
    </row>
    <row r="217" spans="1:16" ht="15" customHeight="1" x14ac:dyDescent="0.3">
      <c r="A217" s="60">
        <v>215</v>
      </c>
      <c r="B217" s="60" t="s">
        <v>398</v>
      </c>
      <c r="C217" s="101" t="s">
        <v>183</v>
      </c>
      <c r="D217" s="101" t="s">
        <v>184</v>
      </c>
      <c r="E217" s="60">
        <v>4</v>
      </c>
      <c r="F217" s="85">
        <v>46221</v>
      </c>
      <c r="G217" s="35">
        <v>370</v>
      </c>
      <c r="H217" s="85">
        <f>IF(COUNTIFS(Pesagens!$B$3:$B$5001,$B217)=0,"",_xlfn.MAXIFS(Pesagens!$A$3:$A$5001,Pesagens!$B$3:$B$5001,$B217,Pesagens!$E$3:$E$5001,"&lt;&gt;"))</f>
        <v>46221</v>
      </c>
      <c r="I217" s="35">
        <f>IF($H217="","",IFERROR(AVERAGEIFS(Pesagens!$E$3:$E$5001,Pesagens!$B$3:$B$5001,$B217,Pesagens!$A$3:$A$5001,$H217),""))</f>
        <v>370</v>
      </c>
      <c r="J217" s="60">
        <f>IF(F217="","",Parâmetros!$C$4-F217)</f>
        <v>17</v>
      </c>
      <c r="K217" s="35">
        <f t="shared" si="6"/>
        <v>0</v>
      </c>
      <c r="L217" s="102" t="str">
        <f t="shared" si="7"/>
        <v/>
      </c>
      <c r="M217" s="103">
        <f>IF(I217="","",I217*Parâmetros!$C$8/15)</f>
        <v>13.073333333333334</v>
      </c>
      <c r="N217" s="103">
        <f>IF(K217="","",K217*Parâmetros!$C$8/15)</f>
        <v>0</v>
      </c>
      <c r="O217" s="26">
        <f>IF(M217="","",M217*Parâmetros!$C$5)</f>
        <v>4183.4666666666672</v>
      </c>
      <c r="P217" s="60" t="str">
        <f>IF(L217="","",IF(L217&gt;=Parâmetros!$C$10,"Sim","Não"))</f>
        <v/>
      </c>
    </row>
    <row r="218" spans="1:16" ht="15" customHeight="1" x14ac:dyDescent="0.3">
      <c r="A218" s="64">
        <v>216</v>
      </c>
      <c r="B218" s="64" t="s">
        <v>399</v>
      </c>
      <c r="C218" s="104" t="s">
        <v>183</v>
      </c>
      <c r="D218" s="104" t="s">
        <v>184</v>
      </c>
      <c r="E218" s="64">
        <v>4</v>
      </c>
      <c r="F218" s="86">
        <v>46221</v>
      </c>
      <c r="G218" s="40">
        <v>383</v>
      </c>
      <c r="H218" s="86">
        <f>IF(COUNTIFS(Pesagens!$B$3:$B$5001,$B218)=0,"",_xlfn.MAXIFS(Pesagens!$A$3:$A$5001,Pesagens!$B$3:$B$5001,$B218,Pesagens!$E$3:$E$5001,"&lt;&gt;"))</f>
        <v>46221</v>
      </c>
      <c r="I218" s="40">
        <f>IF($H218="","",IFERROR(AVERAGEIFS(Pesagens!$E$3:$E$5001,Pesagens!$B$3:$B$5001,$B218,Pesagens!$A$3:$A$5001,$H218),""))</f>
        <v>383</v>
      </c>
      <c r="J218" s="64">
        <f>IF(F218="","",Parâmetros!$C$4-F218)</f>
        <v>17</v>
      </c>
      <c r="K218" s="40">
        <f t="shared" si="6"/>
        <v>0</v>
      </c>
      <c r="L218" s="105" t="str">
        <f t="shared" si="7"/>
        <v/>
      </c>
      <c r="M218" s="106">
        <f>IF(I218="","",I218*Parâmetros!$C$8/15)</f>
        <v>13.532666666666668</v>
      </c>
      <c r="N218" s="106">
        <f>IF(K218="","",K218*Parâmetros!$C$8/15)</f>
        <v>0</v>
      </c>
      <c r="O218" s="28">
        <f>IF(M218="","",M218*Parâmetros!$C$5)</f>
        <v>4330.4533333333338</v>
      </c>
      <c r="P218" s="64" t="str">
        <f>IF(L218="","",IF(L218&gt;=Parâmetros!$C$10,"Sim","Não"))</f>
        <v/>
      </c>
    </row>
    <row r="219" spans="1:16" ht="15" customHeight="1" x14ac:dyDescent="0.3">
      <c r="A219" s="60">
        <v>217</v>
      </c>
      <c r="B219" s="60" t="s">
        <v>400</v>
      </c>
      <c r="C219" s="101" t="s">
        <v>183</v>
      </c>
      <c r="D219" s="101" t="s">
        <v>184</v>
      </c>
      <c r="E219" s="60">
        <v>4</v>
      </c>
      <c r="F219" s="85">
        <v>46221</v>
      </c>
      <c r="G219" s="35">
        <v>391</v>
      </c>
      <c r="H219" s="85">
        <f>IF(COUNTIFS(Pesagens!$B$3:$B$5001,$B219)=0,"",_xlfn.MAXIFS(Pesagens!$A$3:$A$5001,Pesagens!$B$3:$B$5001,$B219,Pesagens!$E$3:$E$5001,"&lt;&gt;"))</f>
        <v>46221</v>
      </c>
      <c r="I219" s="35">
        <f>IF($H219="","",IFERROR(AVERAGEIFS(Pesagens!$E$3:$E$5001,Pesagens!$B$3:$B$5001,$B219,Pesagens!$A$3:$A$5001,$H219),""))</f>
        <v>391</v>
      </c>
      <c r="J219" s="60">
        <f>IF(F219="","",Parâmetros!$C$4-F219)</f>
        <v>17</v>
      </c>
      <c r="K219" s="35">
        <f t="shared" si="6"/>
        <v>0</v>
      </c>
      <c r="L219" s="102" t="str">
        <f t="shared" si="7"/>
        <v/>
      </c>
      <c r="M219" s="103">
        <f>IF(I219="","",I219*Parâmetros!$C$8/15)</f>
        <v>13.815333333333335</v>
      </c>
      <c r="N219" s="103">
        <f>IF(K219="","",K219*Parâmetros!$C$8/15)</f>
        <v>0</v>
      </c>
      <c r="O219" s="26">
        <f>IF(M219="","",M219*Parâmetros!$C$5)</f>
        <v>4420.9066666666677</v>
      </c>
      <c r="P219" s="60" t="str">
        <f>IF(L219="","",IF(L219&gt;=Parâmetros!$C$10,"Sim","Não"))</f>
        <v/>
      </c>
    </row>
    <row r="220" spans="1:16" ht="15" customHeight="1" x14ac:dyDescent="0.3">
      <c r="A220" s="64">
        <v>218</v>
      </c>
      <c r="B220" s="64" t="s">
        <v>401</v>
      </c>
      <c r="C220" s="104" t="s">
        <v>183</v>
      </c>
      <c r="D220" s="104" t="s">
        <v>184</v>
      </c>
      <c r="E220" s="64">
        <v>4</v>
      </c>
      <c r="F220" s="86">
        <v>46221</v>
      </c>
      <c r="G220" s="40">
        <v>387</v>
      </c>
      <c r="H220" s="86">
        <f>IF(COUNTIFS(Pesagens!$B$3:$B$5001,$B220)=0,"",_xlfn.MAXIFS(Pesagens!$A$3:$A$5001,Pesagens!$B$3:$B$5001,$B220,Pesagens!$E$3:$E$5001,"&lt;&gt;"))</f>
        <v>46221</v>
      </c>
      <c r="I220" s="40">
        <f>IF($H220="","",IFERROR(AVERAGEIFS(Pesagens!$E$3:$E$5001,Pesagens!$B$3:$B$5001,$B220,Pesagens!$A$3:$A$5001,$H220),""))</f>
        <v>387</v>
      </c>
      <c r="J220" s="64">
        <f>IF(F220="","",Parâmetros!$C$4-F220)</f>
        <v>17</v>
      </c>
      <c r="K220" s="40">
        <f t="shared" si="6"/>
        <v>0</v>
      </c>
      <c r="L220" s="105" t="str">
        <f t="shared" si="7"/>
        <v/>
      </c>
      <c r="M220" s="106">
        <f>IF(I220="","",I220*Parâmetros!$C$8/15)</f>
        <v>13.674000000000001</v>
      </c>
      <c r="N220" s="106">
        <f>IF(K220="","",K220*Parâmetros!$C$8/15)</f>
        <v>0</v>
      </c>
      <c r="O220" s="28">
        <f>IF(M220="","",M220*Parâmetros!$C$5)</f>
        <v>4375.68</v>
      </c>
      <c r="P220" s="64" t="str">
        <f>IF(L220="","",IF(L220&gt;=Parâmetros!$C$10,"Sim","Não"))</f>
        <v/>
      </c>
    </row>
    <row r="221" spans="1:16" ht="15" customHeight="1" x14ac:dyDescent="0.3">
      <c r="A221" s="60">
        <v>219</v>
      </c>
      <c r="B221" s="60" t="s">
        <v>402</v>
      </c>
      <c r="C221" s="101" t="s">
        <v>183</v>
      </c>
      <c r="D221" s="101" t="s">
        <v>184</v>
      </c>
      <c r="E221" s="60">
        <v>4</v>
      </c>
      <c r="F221" s="85">
        <v>46221</v>
      </c>
      <c r="G221" s="35">
        <v>376</v>
      </c>
      <c r="H221" s="85">
        <f>IF(COUNTIFS(Pesagens!$B$3:$B$5001,$B221)=0,"",_xlfn.MAXIFS(Pesagens!$A$3:$A$5001,Pesagens!$B$3:$B$5001,$B221,Pesagens!$E$3:$E$5001,"&lt;&gt;"))</f>
        <v>46221</v>
      </c>
      <c r="I221" s="35">
        <f>IF($H221="","",IFERROR(AVERAGEIFS(Pesagens!$E$3:$E$5001,Pesagens!$B$3:$B$5001,$B221,Pesagens!$A$3:$A$5001,$H221),""))</f>
        <v>376</v>
      </c>
      <c r="J221" s="60">
        <f>IF(F221="","",Parâmetros!$C$4-F221)</f>
        <v>17</v>
      </c>
      <c r="K221" s="35">
        <f t="shared" si="6"/>
        <v>0</v>
      </c>
      <c r="L221" s="102" t="str">
        <f t="shared" si="7"/>
        <v/>
      </c>
      <c r="M221" s="103">
        <f>IF(I221="","",I221*Parâmetros!$C$8/15)</f>
        <v>13.285333333333334</v>
      </c>
      <c r="N221" s="103">
        <f>IF(K221="","",K221*Parâmetros!$C$8/15)</f>
        <v>0</v>
      </c>
      <c r="O221" s="26">
        <f>IF(M221="","",M221*Parâmetros!$C$5)</f>
        <v>4251.3066666666673</v>
      </c>
      <c r="P221" s="60" t="str">
        <f>IF(L221="","",IF(L221&gt;=Parâmetros!$C$10,"Sim","Não"))</f>
        <v/>
      </c>
    </row>
    <row r="222" spans="1:16" ht="15" customHeight="1" x14ac:dyDescent="0.3">
      <c r="A222" s="64">
        <v>220</v>
      </c>
      <c r="B222" s="64" t="s">
        <v>403</v>
      </c>
      <c r="C222" s="104" t="s">
        <v>183</v>
      </c>
      <c r="D222" s="104" t="s">
        <v>184</v>
      </c>
      <c r="E222" s="64">
        <v>4</v>
      </c>
      <c r="F222" s="86">
        <v>46221</v>
      </c>
      <c r="G222" s="40">
        <v>383</v>
      </c>
      <c r="H222" s="86">
        <f>IF(COUNTIFS(Pesagens!$B$3:$B$5001,$B222)=0,"",_xlfn.MAXIFS(Pesagens!$A$3:$A$5001,Pesagens!$B$3:$B$5001,$B222,Pesagens!$E$3:$E$5001,"&lt;&gt;"))</f>
        <v>46221</v>
      </c>
      <c r="I222" s="40">
        <f>IF($H222="","",IFERROR(AVERAGEIFS(Pesagens!$E$3:$E$5001,Pesagens!$B$3:$B$5001,$B222,Pesagens!$A$3:$A$5001,$H222),""))</f>
        <v>383</v>
      </c>
      <c r="J222" s="64">
        <f>IF(F222="","",Parâmetros!$C$4-F222)</f>
        <v>17</v>
      </c>
      <c r="K222" s="40">
        <f t="shared" si="6"/>
        <v>0</v>
      </c>
      <c r="L222" s="105" t="str">
        <f t="shared" si="7"/>
        <v/>
      </c>
      <c r="M222" s="106">
        <f>IF(I222="","",I222*Parâmetros!$C$8/15)</f>
        <v>13.532666666666668</v>
      </c>
      <c r="N222" s="106">
        <f>IF(K222="","",K222*Parâmetros!$C$8/15)</f>
        <v>0</v>
      </c>
      <c r="O222" s="28">
        <f>IF(M222="","",M222*Parâmetros!$C$5)</f>
        <v>4330.4533333333338</v>
      </c>
      <c r="P222" s="64" t="str">
        <f>IF(L222="","",IF(L222&gt;=Parâmetros!$C$10,"Sim","Não"))</f>
        <v/>
      </c>
    </row>
    <row r="223" spans="1:16" ht="15" customHeight="1" x14ac:dyDescent="0.3">
      <c r="A223" s="60">
        <v>221</v>
      </c>
      <c r="B223" s="60" t="s">
        <v>404</v>
      </c>
      <c r="C223" s="101" t="s">
        <v>183</v>
      </c>
      <c r="D223" s="101" t="s">
        <v>184</v>
      </c>
      <c r="E223" s="60">
        <v>4</v>
      </c>
      <c r="F223" s="85">
        <v>46221</v>
      </c>
      <c r="G223" s="35">
        <v>379</v>
      </c>
      <c r="H223" s="85">
        <f>IF(COUNTIFS(Pesagens!$B$3:$B$5001,$B223)=0,"",_xlfn.MAXIFS(Pesagens!$A$3:$A$5001,Pesagens!$B$3:$B$5001,$B223,Pesagens!$E$3:$E$5001,"&lt;&gt;"))</f>
        <v>46221</v>
      </c>
      <c r="I223" s="35">
        <f>IF($H223="","",IFERROR(AVERAGEIFS(Pesagens!$E$3:$E$5001,Pesagens!$B$3:$B$5001,$B223,Pesagens!$A$3:$A$5001,$H223),""))</f>
        <v>379</v>
      </c>
      <c r="J223" s="60">
        <f>IF(F223="","",Parâmetros!$C$4-F223)</f>
        <v>17</v>
      </c>
      <c r="K223" s="35">
        <f t="shared" si="6"/>
        <v>0</v>
      </c>
      <c r="L223" s="102" t="str">
        <f t="shared" si="7"/>
        <v/>
      </c>
      <c r="M223" s="103">
        <f>IF(I223="","",I223*Parâmetros!$C$8/15)</f>
        <v>13.391333333333334</v>
      </c>
      <c r="N223" s="103">
        <f>IF(K223="","",K223*Parâmetros!$C$8/15)</f>
        <v>0</v>
      </c>
      <c r="O223" s="26">
        <f>IF(M223="","",M223*Parâmetros!$C$5)</f>
        <v>4285.2266666666665</v>
      </c>
      <c r="P223" s="60" t="str">
        <f>IF(L223="","",IF(L223&gt;=Parâmetros!$C$10,"Sim","Não"))</f>
        <v/>
      </c>
    </row>
    <row r="224" spans="1:16" ht="15" customHeight="1" x14ac:dyDescent="0.3">
      <c r="A224" s="64">
        <v>222</v>
      </c>
      <c r="B224" s="64" t="s">
        <v>405</v>
      </c>
      <c r="C224" s="104" t="s">
        <v>183</v>
      </c>
      <c r="D224" s="104" t="s">
        <v>184</v>
      </c>
      <c r="E224" s="64">
        <v>4</v>
      </c>
      <c r="F224" s="86">
        <v>46221</v>
      </c>
      <c r="G224" s="40">
        <v>396</v>
      </c>
      <c r="H224" s="86">
        <f>IF(COUNTIFS(Pesagens!$B$3:$B$5001,$B224)=0,"",_xlfn.MAXIFS(Pesagens!$A$3:$A$5001,Pesagens!$B$3:$B$5001,$B224,Pesagens!$E$3:$E$5001,"&lt;&gt;"))</f>
        <v>46221</v>
      </c>
      <c r="I224" s="40">
        <f>IF($H224="","",IFERROR(AVERAGEIFS(Pesagens!$E$3:$E$5001,Pesagens!$B$3:$B$5001,$B224,Pesagens!$A$3:$A$5001,$H224),""))</f>
        <v>396</v>
      </c>
      <c r="J224" s="64">
        <f>IF(F224="","",Parâmetros!$C$4-F224)</f>
        <v>17</v>
      </c>
      <c r="K224" s="40">
        <f t="shared" si="6"/>
        <v>0</v>
      </c>
      <c r="L224" s="105" t="str">
        <f t="shared" si="7"/>
        <v/>
      </c>
      <c r="M224" s="106">
        <f>IF(I224="","",I224*Parâmetros!$C$8/15)</f>
        <v>13.992000000000001</v>
      </c>
      <c r="N224" s="106">
        <f>IF(K224="","",K224*Parâmetros!$C$8/15)</f>
        <v>0</v>
      </c>
      <c r="O224" s="28">
        <f>IF(M224="","",M224*Parâmetros!$C$5)</f>
        <v>4477.4400000000005</v>
      </c>
      <c r="P224" s="64" t="str">
        <f>IF(L224="","",IF(L224&gt;=Parâmetros!$C$10,"Sim","Não"))</f>
        <v/>
      </c>
    </row>
    <row r="225" spans="1:16" ht="15" customHeight="1" x14ac:dyDescent="0.3">
      <c r="A225" s="60">
        <v>223</v>
      </c>
      <c r="B225" s="60" t="s">
        <v>406</v>
      </c>
      <c r="C225" s="101" t="s">
        <v>183</v>
      </c>
      <c r="D225" s="101" t="s">
        <v>184</v>
      </c>
      <c r="E225" s="60">
        <v>4</v>
      </c>
      <c r="F225" s="85">
        <v>46221</v>
      </c>
      <c r="G225" s="35">
        <v>376</v>
      </c>
      <c r="H225" s="85">
        <f>IF(COUNTIFS(Pesagens!$B$3:$B$5001,$B225)=0,"",_xlfn.MAXIFS(Pesagens!$A$3:$A$5001,Pesagens!$B$3:$B$5001,$B225,Pesagens!$E$3:$E$5001,"&lt;&gt;"))</f>
        <v>46221</v>
      </c>
      <c r="I225" s="35">
        <f>IF($H225="","",IFERROR(AVERAGEIFS(Pesagens!$E$3:$E$5001,Pesagens!$B$3:$B$5001,$B225,Pesagens!$A$3:$A$5001,$H225),""))</f>
        <v>376</v>
      </c>
      <c r="J225" s="60">
        <f>IF(F225="","",Parâmetros!$C$4-F225)</f>
        <v>17</v>
      </c>
      <c r="K225" s="35">
        <f t="shared" si="6"/>
        <v>0</v>
      </c>
      <c r="L225" s="102" t="str">
        <f t="shared" si="7"/>
        <v/>
      </c>
      <c r="M225" s="103">
        <f>IF(I225="","",I225*Parâmetros!$C$8/15)</f>
        <v>13.285333333333334</v>
      </c>
      <c r="N225" s="103">
        <f>IF(K225="","",K225*Parâmetros!$C$8/15)</f>
        <v>0</v>
      </c>
      <c r="O225" s="26">
        <f>IF(M225="","",M225*Parâmetros!$C$5)</f>
        <v>4251.3066666666673</v>
      </c>
      <c r="P225" s="60" t="str">
        <f>IF(L225="","",IF(L225&gt;=Parâmetros!$C$10,"Sim","Não"))</f>
        <v/>
      </c>
    </row>
    <row r="226" spans="1:16" ht="15" customHeight="1" x14ac:dyDescent="0.3">
      <c r="A226" s="64">
        <v>224</v>
      </c>
      <c r="B226" s="64" t="s">
        <v>407</v>
      </c>
      <c r="C226" s="104" t="s">
        <v>183</v>
      </c>
      <c r="D226" s="104" t="s">
        <v>184</v>
      </c>
      <c r="E226" s="64">
        <v>4</v>
      </c>
      <c r="F226" s="86">
        <v>46221</v>
      </c>
      <c r="G226" s="40">
        <v>386</v>
      </c>
      <c r="H226" s="86">
        <f>IF(COUNTIFS(Pesagens!$B$3:$B$5001,$B226)=0,"",_xlfn.MAXIFS(Pesagens!$A$3:$A$5001,Pesagens!$B$3:$B$5001,$B226,Pesagens!$E$3:$E$5001,"&lt;&gt;"))</f>
        <v>46221</v>
      </c>
      <c r="I226" s="40">
        <f>IF($H226="","",IFERROR(AVERAGEIFS(Pesagens!$E$3:$E$5001,Pesagens!$B$3:$B$5001,$B226,Pesagens!$A$3:$A$5001,$H226),""))</f>
        <v>386</v>
      </c>
      <c r="J226" s="64">
        <f>IF(F226="","",Parâmetros!$C$4-F226)</f>
        <v>17</v>
      </c>
      <c r="K226" s="40">
        <f t="shared" si="6"/>
        <v>0</v>
      </c>
      <c r="L226" s="105" t="str">
        <f t="shared" si="7"/>
        <v/>
      </c>
      <c r="M226" s="106">
        <f>IF(I226="","",I226*Parâmetros!$C$8/15)</f>
        <v>13.638666666666667</v>
      </c>
      <c r="N226" s="106">
        <f>IF(K226="","",K226*Parâmetros!$C$8/15)</f>
        <v>0</v>
      </c>
      <c r="O226" s="28">
        <f>IF(M226="","",M226*Parâmetros!$C$5)</f>
        <v>4364.3733333333339</v>
      </c>
      <c r="P226" s="64" t="str">
        <f>IF(L226="","",IF(L226&gt;=Parâmetros!$C$10,"Sim","Não"))</f>
        <v/>
      </c>
    </row>
    <row r="227" spans="1:16" ht="15" customHeight="1" x14ac:dyDescent="0.3">
      <c r="A227" s="60">
        <v>225</v>
      </c>
      <c r="B227" s="60" t="s">
        <v>408</v>
      </c>
      <c r="C227" s="101" t="s">
        <v>183</v>
      </c>
      <c r="D227" s="101" t="s">
        <v>184</v>
      </c>
      <c r="E227" s="60">
        <v>4</v>
      </c>
      <c r="F227" s="85">
        <v>46221</v>
      </c>
      <c r="G227" s="35">
        <v>378</v>
      </c>
      <c r="H227" s="85">
        <f>IF(COUNTIFS(Pesagens!$B$3:$B$5001,$B227)=0,"",_xlfn.MAXIFS(Pesagens!$A$3:$A$5001,Pesagens!$B$3:$B$5001,$B227,Pesagens!$E$3:$E$5001,"&lt;&gt;"))</f>
        <v>46221</v>
      </c>
      <c r="I227" s="35">
        <f>IF($H227="","",IFERROR(AVERAGEIFS(Pesagens!$E$3:$E$5001,Pesagens!$B$3:$B$5001,$B227,Pesagens!$A$3:$A$5001,$H227),""))</f>
        <v>378</v>
      </c>
      <c r="J227" s="60">
        <f>IF(F227="","",Parâmetros!$C$4-F227)</f>
        <v>17</v>
      </c>
      <c r="K227" s="35">
        <f t="shared" si="6"/>
        <v>0</v>
      </c>
      <c r="L227" s="102" t="str">
        <f t="shared" si="7"/>
        <v/>
      </c>
      <c r="M227" s="103">
        <f>IF(I227="","",I227*Parâmetros!$C$8/15)</f>
        <v>13.356</v>
      </c>
      <c r="N227" s="103">
        <f>IF(K227="","",K227*Parâmetros!$C$8/15)</f>
        <v>0</v>
      </c>
      <c r="O227" s="26">
        <f>IF(M227="","",M227*Parâmetros!$C$5)</f>
        <v>4273.92</v>
      </c>
      <c r="P227" s="60" t="str">
        <f>IF(L227="","",IF(L227&gt;=Parâmetros!$C$10,"Sim","Não"))</f>
        <v/>
      </c>
    </row>
    <row r="228" spans="1:16" ht="15" customHeight="1" x14ac:dyDescent="0.3">
      <c r="A228" s="64">
        <v>226</v>
      </c>
      <c r="B228" s="64" t="s">
        <v>409</v>
      </c>
      <c r="C228" s="104" t="s">
        <v>183</v>
      </c>
      <c r="D228" s="104" t="s">
        <v>184</v>
      </c>
      <c r="E228" s="64">
        <v>4</v>
      </c>
      <c r="F228" s="86">
        <v>46221</v>
      </c>
      <c r="G228" s="40">
        <v>381</v>
      </c>
      <c r="H228" s="86">
        <f>IF(COUNTIFS(Pesagens!$B$3:$B$5001,$B228)=0,"",_xlfn.MAXIFS(Pesagens!$A$3:$A$5001,Pesagens!$B$3:$B$5001,$B228,Pesagens!$E$3:$E$5001,"&lt;&gt;"))</f>
        <v>46221</v>
      </c>
      <c r="I228" s="40">
        <f>IF($H228="","",IFERROR(AVERAGEIFS(Pesagens!$E$3:$E$5001,Pesagens!$B$3:$B$5001,$B228,Pesagens!$A$3:$A$5001,$H228),""))</f>
        <v>381</v>
      </c>
      <c r="J228" s="64">
        <f>IF(F228="","",Parâmetros!$C$4-F228)</f>
        <v>17</v>
      </c>
      <c r="K228" s="40">
        <f t="shared" si="6"/>
        <v>0</v>
      </c>
      <c r="L228" s="105" t="str">
        <f t="shared" si="7"/>
        <v/>
      </c>
      <c r="M228" s="106">
        <f>IF(I228="","",I228*Parâmetros!$C$8/15)</f>
        <v>13.462</v>
      </c>
      <c r="N228" s="106">
        <f>IF(K228="","",K228*Parâmetros!$C$8/15)</f>
        <v>0</v>
      </c>
      <c r="O228" s="28">
        <f>IF(M228="","",M228*Parâmetros!$C$5)</f>
        <v>4307.84</v>
      </c>
      <c r="P228" s="64" t="str">
        <f>IF(L228="","",IF(L228&gt;=Parâmetros!$C$10,"Sim","Não"))</f>
        <v/>
      </c>
    </row>
    <row r="229" spans="1:16" ht="15" customHeight="1" x14ac:dyDescent="0.3">
      <c r="A229" s="60">
        <v>227</v>
      </c>
      <c r="B229" s="60" t="s">
        <v>410</v>
      </c>
      <c r="C229" s="101" t="s">
        <v>183</v>
      </c>
      <c r="D229" s="101" t="s">
        <v>184</v>
      </c>
      <c r="E229" s="60">
        <v>4</v>
      </c>
      <c r="F229" s="85">
        <v>46221</v>
      </c>
      <c r="G229" s="35">
        <v>389</v>
      </c>
      <c r="H229" s="85">
        <f>IF(COUNTIFS(Pesagens!$B$3:$B$5001,$B229)=0,"",_xlfn.MAXIFS(Pesagens!$A$3:$A$5001,Pesagens!$B$3:$B$5001,$B229,Pesagens!$E$3:$E$5001,"&lt;&gt;"))</f>
        <v>46221</v>
      </c>
      <c r="I229" s="35">
        <f>IF($H229="","",IFERROR(AVERAGEIFS(Pesagens!$E$3:$E$5001,Pesagens!$B$3:$B$5001,$B229,Pesagens!$A$3:$A$5001,$H229),""))</f>
        <v>389</v>
      </c>
      <c r="J229" s="60">
        <f>IF(F229="","",Parâmetros!$C$4-F229)</f>
        <v>17</v>
      </c>
      <c r="K229" s="35">
        <f t="shared" si="6"/>
        <v>0</v>
      </c>
      <c r="L229" s="102" t="str">
        <f t="shared" si="7"/>
        <v/>
      </c>
      <c r="M229" s="103">
        <f>IF(I229="","",I229*Parâmetros!$C$8/15)</f>
        <v>13.744666666666667</v>
      </c>
      <c r="N229" s="103">
        <f>IF(K229="","",K229*Parâmetros!$C$8/15)</f>
        <v>0</v>
      </c>
      <c r="O229" s="26">
        <f>IF(M229="","",M229*Parâmetros!$C$5)</f>
        <v>4398.2933333333331</v>
      </c>
      <c r="P229" s="60" t="str">
        <f>IF(L229="","",IF(L229&gt;=Parâmetros!$C$10,"Sim","Não"))</f>
        <v/>
      </c>
    </row>
    <row r="230" spans="1:16" ht="15" customHeight="1" x14ac:dyDescent="0.3">
      <c r="A230" s="64">
        <v>228</v>
      </c>
      <c r="B230" s="64" t="s">
        <v>411</v>
      </c>
      <c r="C230" s="104" t="s">
        <v>183</v>
      </c>
      <c r="D230" s="104" t="s">
        <v>184</v>
      </c>
      <c r="E230" s="64">
        <v>4</v>
      </c>
      <c r="F230" s="86">
        <v>46221</v>
      </c>
      <c r="G230" s="40">
        <v>378</v>
      </c>
      <c r="H230" s="86">
        <f>IF(COUNTIFS(Pesagens!$B$3:$B$5001,$B230)=0,"",_xlfn.MAXIFS(Pesagens!$A$3:$A$5001,Pesagens!$B$3:$B$5001,$B230,Pesagens!$E$3:$E$5001,"&lt;&gt;"))</f>
        <v>46221</v>
      </c>
      <c r="I230" s="40">
        <f>IF($H230="","",IFERROR(AVERAGEIFS(Pesagens!$E$3:$E$5001,Pesagens!$B$3:$B$5001,$B230,Pesagens!$A$3:$A$5001,$H230),""))</f>
        <v>378</v>
      </c>
      <c r="J230" s="64">
        <f>IF(F230="","",Parâmetros!$C$4-F230)</f>
        <v>17</v>
      </c>
      <c r="K230" s="40">
        <f t="shared" si="6"/>
        <v>0</v>
      </c>
      <c r="L230" s="105" t="str">
        <f t="shared" si="7"/>
        <v/>
      </c>
      <c r="M230" s="106">
        <f>IF(I230="","",I230*Parâmetros!$C$8/15)</f>
        <v>13.356</v>
      </c>
      <c r="N230" s="106">
        <f>IF(K230="","",K230*Parâmetros!$C$8/15)</f>
        <v>0</v>
      </c>
      <c r="O230" s="28">
        <f>IF(M230="","",M230*Parâmetros!$C$5)</f>
        <v>4273.92</v>
      </c>
      <c r="P230" s="64" t="str">
        <f>IF(L230="","",IF(L230&gt;=Parâmetros!$C$10,"Sim","Não"))</f>
        <v/>
      </c>
    </row>
    <row r="231" spans="1:16" ht="15" customHeight="1" x14ac:dyDescent="0.3">
      <c r="A231" s="60">
        <v>229</v>
      </c>
      <c r="B231" s="60" t="s">
        <v>412</v>
      </c>
      <c r="C231" s="101" t="s">
        <v>183</v>
      </c>
      <c r="D231" s="101" t="s">
        <v>184</v>
      </c>
      <c r="E231" s="60">
        <v>4</v>
      </c>
      <c r="F231" s="85">
        <v>46221</v>
      </c>
      <c r="G231" s="35">
        <v>377</v>
      </c>
      <c r="H231" s="85">
        <f>IF(COUNTIFS(Pesagens!$B$3:$B$5001,$B231)=0,"",_xlfn.MAXIFS(Pesagens!$A$3:$A$5001,Pesagens!$B$3:$B$5001,$B231,Pesagens!$E$3:$E$5001,"&lt;&gt;"))</f>
        <v>46221</v>
      </c>
      <c r="I231" s="35">
        <f>IF($H231="","",IFERROR(AVERAGEIFS(Pesagens!$E$3:$E$5001,Pesagens!$B$3:$B$5001,$B231,Pesagens!$A$3:$A$5001,$H231),""))</f>
        <v>377</v>
      </c>
      <c r="J231" s="60">
        <f>IF(F231="","",Parâmetros!$C$4-F231)</f>
        <v>17</v>
      </c>
      <c r="K231" s="35">
        <f t="shared" si="6"/>
        <v>0</v>
      </c>
      <c r="L231" s="102" t="str">
        <f t="shared" si="7"/>
        <v/>
      </c>
      <c r="M231" s="103">
        <f>IF(I231="","",I231*Parâmetros!$C$8/15)</f>
        <v>13.320666666666666</v>
      </c>
      <c r="N231" s="103">
        <f>IF(K231="","",K231*Parâmetros!$C$8/15)</f>
        <v>0</v>
      </c>
      <c r="O231" s="26">
        <f>IF(M231="","",M231*Parâmetros!$C$5)</f>
        <v>4262.6133333333328</v>
      </c>
      <c r="P231" s="60" t="str">
        <f>IF(L231="","",IF(L231&gt;=Parâmetros!$C$10,"Sim","Não"))</f>
        <v/>
      </c>
    </row>
    <row r="232" spans="1:16" ht="15" customHeight="1" x14ac:dyDescent="0.3">
      <c r="A232" s="64">
        <v>230</v>
      </c>
      <c r="B232" s="64" t="s">
        <v>413</v>
      </c>
      <c r="C232" s="104" t="s">
        <v>183</v>
      </c>
      <c r="D232" s="104" t="s">
        <v>184</v>
      </c>
      <c r="E232" s="64">
        <v>4</v>
      </c>
      <c r="F232" s="86">
        <v>46221</v>
      </c>
      <c r="G232" s="40">
        <v>385</v>
      </c>
      <c r="H232" s="86">
        <f>IF(COUNTIFS(Pesagens!$B$3:$B$5001,$B232)=0,"",_xlfn.MAXIFS(Pesagens!$A$3:$A$5001,Pesagens!$B$3:$B$5001,$B232,Pesagens!$E$3:$E$5001,"&lt;&gt;"))</f>
        <v>46221</v>
      </c>
      <c r="I232" s="40">
        <f>IF($H232="","",IFERROR(AVERAGEIFS(Pesagens!$E$3:$E$5001,Pesagens!$B$3:$B$5001,$B232,Pesagens!$A$3:$A$5001,$H232),""))</f>
        <v>385</v>
      </c>
      <c r="J232" s="64">
        <f>IF(F232="","",Parâmetros!$C$4-F232)</f>
        <v>17</v>
      </c>
      <c r="K232" s="40">
        <f t="shared" si="6"/>
        <v>0</v>
      </c>
      <c r="L232" s="105" t="str">
        <f t="shared" si="7"/>
        <v/>
      </c>
      <c r="M232" s="106">
        <f>IF(I232="","",I232*Parâmetros!$C$8/15)</f>
        <v>13.603333333333333</v>
      </c>
      <c r="N232" s="106">
        <f>IF(K232="","",K232*Parâmetros!$C$8/15)</f>
        <v>0</v>
      </c>
      <c r="O232" s="28">
        <f>IF(M232="","",M232*Parâmetros!$C$5)</f>
        <v>4353.0666666666666</v>
      </c>
      <c r="P232" s="64" t="str">
        <f>IF(L232="","",IF(L232&gt;=Parâmetros!$C$10,"Sim","Não"))</f>
        <v/>
      </c>
    </row>
    <row r="233" spans="1:16" ht="15" customHeight="1" x14ac:dyDescent="0.3">
      <c r="A233" s="60">
        <v>231</v>
      </c>
      <c r="B233" s="60" t="s">
        <v>414</v>
      </c>
      <c r="C233" s="101" t="s">
        <v>183</v>
      </c>
      <c r="D233" s="101" t="s">
        <v>184</v>
      </c>
      <c r="E233" s="60">
        <v>4</v>
      </c>
      <c r="F233" s="85">
        <v>46221</v>
      </c>
      <c r="G233" s="35">
        <v>373</v>
      </c>
      <c r="H233" s="85">
        <f>IF(COUNTIFS(Pesagens!$B$3:$B$5001,$B233)=0,"",_xlfn.MAXIFS(Pesagens!$A$3:$A$5001,Pesagens!$B$3:$B$5001,$B233,Pesagens!$E$3:$E$5001,"&lt;&gt;"))</f>
        <v>46221</v>
      </c>
      <c r="I233" s="35">
        <f>IF($H233="","",IFERROR(AVERAGEIFS(Pesagens!$E$3:$E$5001,Pesagens!$B$3:$B$5001,$B233,Pesagens!$A$3:$A$5001,$H233),""))</f>
        <v>373</v>
      </c>
      <c r="J233" s="60">
        <f>IF(F233="","",Parâmetros!$C$4-F233)</f>
        <v>17</v>
      </c>
      <c r="K233" s="35">
        <f t="shared" si="6"/>
        <v>0</v>
      </c>
      <c r="L233" s="102" t="str">
        <f t="shared" si="7"/>
        <v/>
      </c>
      <c r="M233" s="103">
        <f>IF(I233="","",I233*Parâmetros!$C$8/15)</f>
        <v>13.179333333333334</v>
      </c>
      <c r="N233" s="103">
        <f>IF(K233="","",K233*Parâmetros!$C$8/15)</f>
        <v>0</v>
      </c>
      <c r="O233" s="26">
        <f>IF(M233="","",M233*Parâmetros!$C$5)</f>
        <v>4217.3866666666672</v>
      </c>
      <c r="P233" s="60" t="str">
        <f>IF(L233="","",IF(L233&gt;=Parâmetros!$C$10,"Sim","Não"))</f>
        <v/>
      </c>
    </row>
    <row r="234" spans="1:16" ht="15" customHeight="1" x14ac:dyDescent="0.3">
      <c r="A234" s="64">
        <v>232</v>
      </c>
      <c r="B234" s="64" t="s">
        <v>415</v>
      </c>
      <c r="C234" s="104" t="s">
        <v>183</v>
      </c>
      <c r="D234" s="104" t="s">
        <v>184</v>
      </c>
      <c r="E234" s="64">
        <v>4</v>
      </c>
      <c r="F234" s="86">
        <v>46221</v>
      </c>
      <c r="G234" s="40">
        <v>391</v>
      </c>
      <c r="H234" s="86">
        <f>IF(COUNTIFS(Pesagens!$B$3:$B$5001,$B234)=0,"",_xlfn.MAXIFS(Pesagens!$A$3:$A$5001,Pesagens!$B$3:$B$5001,$B234,Pesagens!$E$3:$E$5001,"&lt;&gt;"))</f>
        <v>46221</v>
      </c>
      <c r="I234" s="40">
        <f>IF($H234="","",IFERROR(AVERAGEIFS(Pesagens!$E$3:$E$5001,Pesagens!$B$3:$B$5001,$B234,Pesagens!$A$3:$A$5001,$H234),""))</f>
        <v>391</v>
      </c>
      <c r="J234" s="64">
        <f>IF(F234="","",Parâmetros!$C$4-F234)</f>
        <v>17</v>
      </c>
      <c r="K234" s="40">
        <f t="shared" si="6"/>
        <v>0</v>
      </c>
      <c r="L234" s="105" t="str">
        <f t="shared" si="7"/>
        <v/>
      </c>
      <c r="M234" s="106">
        <f>IF(I234="","",I234*Parâmetros!$C$8/15)</f>
        <v>13.815333333333335</v>
      </c>
      <c r="N234" s="106">
        <f>IF(K234="","",K234*Parâmetros!$C$8/15)</f>
        <v>0</v>
      </c>
      <c r="O234" s="28">
        <f>IF(M234="","",M234*Parâmetros!$C$5)</f>
        <v>4420.9066666666677</v>
      </c>
      <c r="P234" s="64" t="str">
        <f>IF(L234="","",IF(L234&gt;=Parâmetros!$C$10,"Sim","Não"))</f>
        <v/>
      </c>
    </row>
    <row r="235" spans="1:16" ht="15" customHeight="1" x14ac:dyDescent="0.3">
      <c r="A235" s="60">
        <v>233</v>
      </c>
      <c r="B235" s="60" t="s">
        <v>416</v>
      </c>
      <c r="C235" s="101" t="s">
        <v>183</v>
      </c>
      <c r="D235" s="101" t="s">
        <v>184</v>
      </c>
      <c r="E235" s="60">
        <v>4</v>
      </c>
      <c r="F235" s="85">
        <v>46221</v>
      </c>
      <c r="G235" s="35">
        <v>392</v>
      </c>
      <c r="H235" s="85">
        <f>IF(COUNTIFS(Pesagens!$B$3:$B$5001,$B235)=0,"",_xlfn.MAXIFS(Pesagens!$A$3:$A$5001,Pesagens!$B$3:$B$5001,$B235,Pesagens!$E$3:$E$5001,"&lt;&gt;"))</f>
        <v>46221</v>
      </c>
      <c r="I235" s="35">
        <f>IF($H235="","",IFERROR(AVERAGEIFS(Pesagens!$E$3:$E$5001,Pesagens!$B$3:$B$5001,$B235,Pesagens!$A$3:$A$5001,$H235),""))</f>
        <v>392</v>
      </c>
      <c r="J235" s="60">
        <f>IF(F235="","",Parâmetros!$C$4-F235)</f>
        <v>17</v>
      </c>
      <c r="K235" s="35">
        <f t="shared" si="6"/>
        <v>0</v>
      </c>
      <c r="L235" s="102" t="str">
        <f t="shared" si="7"/>
        <v/>
      </c>
      <c r="M235" s="103">
        <f>IF(I235="","",I235*Parâmetros!$C$8/15)</f>
        <v>13.850666666666667</v>
      </c>
      <c r="N235" s="103">
        <f>IF(K235="","",K235*Parâmetros!$C$8/15)</f>
        <v>0</v>
      </c>
      <c r="O235" s="26">
        <f>IF(M235="","",M235*Parâmetros!$C$5)</f>
        <v>4432.2133333333331</v>
      </c>
      <c r="P235" s="60" t="str">
        <f>IF(L235="","",IF(L235&gt;=Parâmetros!$C$10,"Sim","Não"))</f>
        <v/>
      </c>
    </row>
    <row r="236" spans="1:16" ht="15" customHeight="1" x14ac:dyDescent="0.3">
      <c r="A236" s="64">
        <v>234</v>
      </c>
      <c r="B236" s="64" t="s">
        <v>417</v>
      </c>
      <c r="C236" s="104" t="s">
        <v>183</v>
      </c>
      <c r="D236" s="104" t="s">
        <v>184</v>
      </c>
      <c r="E236" s="64">
        <v>4</v>
      </c>
      <c r="F236" s="86">
        <v>46221</v>
      </c>
      <c r="G236" s="40">
        <v>378</v>
      </c>
      <c r="H236" s="86">
        <f>IF(COUNTIFS(Pesagens!$B$3:$B$5001,$B236)=0,"",_xlfn.MAXIFS(Pesagens!$A$3:$A$5001,Pesagens!$B$3:$B$5001,$B236,Pesagens!$E$3:$E$5001,"&lt;&gt;"))</f>
        <v>46221</v>
      </c>
      <c r="I236" s="40">
        <f>IF($H236="","",IFERROR(AVERAGEIFS(Pesagens!$E$3:$E$5001,Pesagens!$B$3:$B$5001,$B236,Pesagens!$A$3:$A$5001,$H236),""))</f>
        <v>378</v>
      </c>
      <c r="J236" s="64">
        <f>IF(F236="","",Parâmetros!$C$4-F236)</f>
        <v>17</v>
      </c>
      <c r="K236" s="40">
        <f t="shared" si="6"/>
        <v>0</v>
      </c>
      <c r="L236" s="105" t="str">
        <f t="shared" si="7"/>
        <v/>
      </c>
      <c r="M236" s="106">
        <f>IF(I236="","",I236*Parâmetros!$C$8/15)</f>
        <v>13.356</v>
      </c>
      <c r="N236" s="106">
        <f>IF(K236="","",K236*Parâmetros!$C$8/15)</f>
        <v>0</v>
      </c>
      <c r="O236" s="28">
        <f>IF(M236="","",M236*Parâmetros!$C$5)</f>
        <v>4273.92</v>
      </c>
      <c r="P236" s="64" t="str">
        <f>IF(L236="","",IF(L236&gt;=Parâmetros!$C$10,"Sim","Não"))</f>
        <v/>
      </c>
    </row>
    <row r="237" spans="1:16" ht="15" customHeight="1" x14ac:dyDescent="0.3">
      <c r="A237" s="60">
        <v>235</v>
      </c>
      <c r="B237" s="60" t="s">
        <v>418</v>
      </c>
      <c r="C237" s="101" t="s">
        <v>183</v>
      </c>
      <c r="D237" s="101" t="s">
        <v>184</v>
      </c>
      <c r="E237" s="60">
        <v>4</v>
      </c>
      <c r="F237" s="85">
        <v>46221</v>
      </c>
      <c r="G237" s="35">
        <v>383</v>
      </c>
      <c r="H237" s="85">
        <f>IF(COUNTIFS(Pesagens!$B$3:$B$5001,$B237)=0,"",_xlfn.MAXIFS(Pesagens!$A$3:$A$5001,Pesagens!$B$3:$B$5001,$B237,Pesagens!$E$3:$E$5001,"&lt;&gt;"))</f>
        <v>46221</v>
      </c>
      <c r="I237" s="35">
        <f>IF($H237="","",IFERROR(AVERAGEIFS(Pesagens!$E$3:$E$5001,Pesagens!$B$3:$B$5001,$B237,Pesagens!$A$3:$A$5001,$H237),""))</f>
        <v>383</v>
      </c>
      <c r="J237" s="60">
        <f>IF(F237="","",Parâmetros!$C$4-F237)</f>
        <v>17</v>
      </c>
      <c r="K237" s="35">
        <f t="shared" si="6"/>
        <v>0</v>
      </c>
      <c r="L237" s="102" t="str">
        <f t="shared" si="7"/>
        <v/>
      </c>
      <c r="M237" s="103">
        <f>IF(I237="","",I237*Parâmetros!$C$8/15)</f>
        <v>13.532666666666668</v>
      </c>
      <c r="N237" s="103">
        <f>IF(K237="","",K237*Parâmetros!$C$8/15)</f>
        <v>0</v>
      </c>
      <c r="O237" s="26">
        <f>IF(M237="","",M237*Parâmetros!$C$5)</f>
        <v>4330.4533333333338</v>
      </c>
      <c r="P237" s="60" t="str">
        <f>IF(L237="","",IF(L237&gt;=Parâmetros!$C$10,"Sim","Não"))</f>
        <v/>
      </c>
    </row>
    <row r="238" spans="1:16" ht="15" customHeight="1" x14ac:dyDescent="0.3">
      <c r="A238" s="64">
        <v>236</v>
      </c>
      <c r="B238" s="64" t="s">
        <v>419</v>
      </c>
      <c r="C238" s="104" t="s">
        <v>183</v>
      </c>
      <c r="D238" s="104" t="s">
        <v>184</v>
      </c>
      <c r="E238" s="64">
        <v>4</v>
      </c>
      <c r="F238" s="86">
        <v>46221</v>
      </c>
      <c r="G238" s="40">
        <v>389</v>
      </c>
      <c r="H238" s="86">
        <f>IF(COUNTIFS(Pesagens!$B$3:$B$5001,$B238)=0,"",_xlfn.MAXIFS(Pesagens!$A$3:$A$5001,Pesagens!$B$3:$B$5001,$B238,Pesagens!$E$3:$E$5001,"&lt;&gt;"))</f>
        <v>46221</v>
      </c>
      <c r="I238" s="40">
        <f>IF($H238="","",IFERROR(AVERAGEIFS(Pesagens!$E$3:$E$5001,Pesagens!$B$3:$B$5001,$B238,Pesagens!$A$3:$A$5001,$H238),""))</f>
        <v>389</v>
      </c>
      <c r="J238" s="64">
        <f>IF(F238="","",Parâmetros!$C$4-F238)</f>
        <v>17</v>
      </c>
      <c r="K238" s="40">
        <f t="shared" si="6"/>
        <v>0</v>
      </c>
      <c r="L238" s="105" t="str">
        <f t="shared" si="7"/>
        <v/>
      </c>
      <c r="M238" s="106">
        <f>IF(I238="","",I238*Parâmetros!$C$8/15)</f>
        <v>13.744666666666667</v>
      </c>
      <c r="N238" s="106">
        <f>IF(K238="","",K238*Parâmetros!$C$8/15)</f>
        <v>0</v>
      </c>
      <c r="O238" s="28">
        <f>IF(M238="","",M238*Parâmetros!$C$5)</f>
        <v>4398.2933333333331</v>
      </c>
      <c r="P238" s="64" t="str">
        <f>IF(L238="","",IF(L238&gt;=Parâmetros!$C$10,"Sim","Não"))</f>
        <v/>
      </c>
    </row>
    <row r="239" spans="1:16" ht="15" customHeight="1" x14ac:dyDescent="0.3">
      <c r="A239" s="60">
        <v>237</v>
      </c>
      <c r="B239" s="60" t="s">
        <v>420</v>
      </c>
      <c r="C239" s="101" t="s">
        <v>183</v>
      </c>
      <c r="D239" s="101" t="s">
        <v>184</v>
      </c>
      <c r="E239" s="60">
        <v>4</v>
      </c>
      <c r="F239" s="85">
        <v>46221</v>
      </c>
      <c r="G239" s="35">
        <v>385</v>
      </c>
      <c r="H239" s="85">
        <f>IF(COUNTIFS(Pesagens!$B$3:$B$5001,$B239)=0,"",_xlfn.MAXIFS(Pesagens!$A$3:$A$5001,Pesagens!$B$3:$B$5001,$B239,Pesagens!$E$3:$E$5001,"&lt;&gt;"))</f>
        <v>46221</v>
      </c>
      <c r="I239" s="35">
        <f>IF($H239="","",IFERROR(AVERAGEIFS(Pesagens!$E$3:$E$5001,Pesagens!$B$3:$B$5001,$B239,Pesagens!$A$3:$A$5001,$H239),""))</f>
        <v>385</v>
      </c>
      <c r="J239" s="60">
        <f>IF(F239="","",Parâmetros!$C$4-F239)</f>
        <v>17</v>
      </c>
      <c r="K239" s="35">
        <f t="shared" si="6"/>
        <v>0</v>
      </c>
      <c r="L239" s="102" t="str">
        <f t="shared" si="7"/>
        <v/>
      </c>
      <c r="M239" s="103">
        <f>IF(I239="","",I239*Parâmetros!$C$8/15)</f>
        <v>13.603333333333333</v>
      </c>
      <c r="N239" s="103">
        <f>IF(K239="","",K239*Parâmetros!$C$8/15)</f>
        <v>0</v>
      </c>
      <c r="O239" s="26">
        <f>IF(M239="","",M239*Parâmetros!$C$5)</f>
        <v>4353.0666666666666</v>
      </c>
      <c r="P239" s="60" t="str">
        <f>IF(L239="","",IF(L239&gt;=Parâmetros!$C$10,"Sim","Não"))</f>
        <v/>
      </c>
    </row>
    <row r="240" spans="1:16" ht="15" customHeight="1" x14ac:dyDescent="0.3">
      <c r="A240" s="64">
        <v>238</v>
      </c>
      <c r="B240" s="64" t="s">
        <v>421</v>
      </c>
      <c r="C240" s="104" t="s">
        <v>183</v>
      </c>
      <c r="D240" s="104" t="s">
        <v>184</v>
      </c>
      <c r="E240" s="64">
        <v>4</v>
      </c>
      <c r="F240" s="86">
        <v>46221</v>
      </c>
      <c r="G240" s="40">
        <v>378</v>
      </c>
      <c r="H240" s="86">
        <f>IF(COUNTIFS(Pesagens!$B$3:$B$5001,$B240)=0,"",_xlfn.MAXIFS(Pesagens!$A$3:$A$5001,Pesagens!$B$3:$B$5001,$B240,Pesagens!$E$3:$E$5001,"&lt;&gt;"))</f>
        <v>46221</v>
      </c>
      <c r="I240" s="40">
        <f>IF($H240="","",IFERROR(AVERAGEIFS(Pesagens!$E$3:$E$5001,Pesagens!$B$3:$B$5001,$B240,Pesagens!$A$3:$A$5001,$H240),""))</f>
        <v>378</v>
      </c>
      <c r="J240" s="64">
        <f>IF(F240="","",Parâmetros!$C$4-F240)</f>
        <v>17</v>
      </c>
      <c r="K240" s="40">
        <f t="shared" si="6"/>
        <v>0</v>
      </c>
      <c r="L240" s="105" t="str">
        <f t="shared" si="7"/>
        <v/>
      </c>
      <c r="M240" s="106">
        <f>IF(I240="","",I240*Parâmetros!$C$8/15)</f>
        <v>13.356</v>
      </c>
      <c r="N240" s="106">
        <f>IF(K240="","",K240*Parâmetros!$C$8/15)</f>
        <v>0</v>
      </c>
      <c r="O240" s="28">
        <f>IF(M240="","",M240*Parâmetros!$C$5)</f>
        <v>4273.92</v>
      </c>
      <c r="P240" s="64" t="str">
        <f>IF(L240="","",IF(L240&gt;=Parâmetros!$C$10,"Sim","Não"))</f>
        <v/>
      </c>
    </row>
    <row r="241" spans="1:16" ht="15" customHeight="1" x14ac:dyDescent="0.3">
      <c r="A241" s="60">
        <v>239</v>
      </c>
      <c r="B241" s="60" t="s">
        <v>422</v>
      </c>
      <c r="C241" s="101" t="s">
        <v>183</v>
      </c>
      <c r="D241" s="101" t="s">
        <v>184</v>
      </c>
      <c r="E241" s="60">
        <v>4</v>
      </c>
      <c r="F241" s="85">
        <v>46221</v>
      </c>
      <c r="G241" s="35">
        <v>373</v>
      </c>
      <c r="H241" s="85">
        <f>IF(COUNTIFS(Pesagens!$B$3:$B$5001,$B241)=0,"",_xlfn.MAXIFS(Pesagens!$A$3:$A$5001,Pesagens!$B$3:$B$5001,$B241,Pesagens!$E$3:$E$5001,"&lt;&gt;"))</f>
        <v>46221</v>
      </c>
      <c r="I241" s="35">
        <f>IF($H241="","",IFERROR(AVERAGEIFS(Pesagens!$E$3:$E$5001,Pesagens!$B$3:$B$5001,$B241,Pesagens!$A$3:$A$5001,$H241),""))</f>
        <v>373</v>
      </c>
      <c r="J241" s="60">
        <f>IF(F241="","",Parâmetros!$C$4-F241)</f>
        <v>17</v>
      </c>
      <c r="K241" s="35">
        <f t="shared" si="6"/>
        <v>0</v>
      </c>
      <c r="L241" s="102" t="str">
        <f t="shared" si="7"/>
        <v/>
      </c>
      <c r="M241" s="103">
        <f>IF(I241="","",I241*Parâmetros!$C$8/15)</f>
        <v>13.179333333333334</v>
      </c>
      <c r="N241" s="103">
        <f>IF(K241="","",K241*Parâmetros!$C$8/15)</f>
        <v>0</v>
      </c>
      <c r="O241" s="26">
        <f>IF(M241="","",M241*Parâmetros!$C$5)</f>
        <v>4217.3866666666672</v>
      </c>
      <c r="P241" s="60" t="str">
        <f>IF(L241="","",IF(L241&gt;=Parâmetros!$C$10,"Sim","Não"))</f>
        <v/>
      </c>
    </row>
    <row r="242" spans="1:16" ht="15" customHeight="1" x14ac:dyDescent="0.3">
      <c r="A242" s="64">
        <v>240</v>
      </c>
      <c r="B242" s="64" t="s">
        <v>423</v>
      </c>
      <c r="C242" s="104" t="s">
        <v>183</v>
      </c>
      <c r="D242" s="104" t="s">
        <v>184</v>
      </c>
      <c r="E242" s="64">
        <v>4</v>
      </c>
      <c r="F242" s="86">
        <v>46221</v>
      </c>
      <c r="G242" s="40">
        <v>388</v>
      </c>
      <c r="H242" s="86">
        <f>IF(COUNTIFS(Pesagens!$B$3:$B$5001,$B242)=0,"",_xlfn.MAXIFS(Pesagens!$A$3:$A$5001,Pesagens!$B$3:$B$5001,$B242,Pesagens!$E$3:$E$5001,"&lt;&gt;"))</f>
        <v>46221</v>
      </c>
      <c r="I242" s="40">
        <f>IF($H242="","",IFERROR(AVERAGEIFS(Pesagens!$E$3:$E$5001,Pesagens!$B$3:$B$5001,$B242,Pesagens!$A$3:$A$5001,$H242),""))</f>
        <v>388</v>
      </c>
      <c r="J242" s="64">
        <f>IF(F242="","",Parâmetros!$C$4-F242)</f>
        <v>17</v>
      </c>
      <c r="K242" s="40">
        <f t="shared" si="6"/>
        <v>0</v>
      </c>
      <c r="L242" s="105" t="str">
        <f t="shared" si="7"/>
        <v/>
      </c>
      <c r="M242" s="106">
        <f>IF(I242="","",I242*Parâmetros!$C$8/15)</f>
        <v>13.709333333333335</v>
      </c>
      <c r="N242" s="106">
        <f>IF(K242="","",K242*Parâmetros!$C$8/15)</f>
        <v>0</v>
      </c>
      <c r="O242" s="28">
        <f>IF(M242="","",M242*Parâmetros!$C$5)</f>
        <v>4386.9866666666676</v>
      </c>
      <c r="P242" s="64" t="str">
        <f>IF(L242="","",IF(L242&gt;=Parâmetros!$C$10,"Sim","Não"))</f>
        <v/>
      </c>
    </row>
    <row r="243" spans="1:16" ht="15" customHeight="1" x14ac:dyDescent="0.3">
      <c r="A243" s="60">
        <v>241</v>
      </c>
      <c r="B243" s="60" t="s">
        <v>424</v>
      </c>
      <c r="C243" s="101" t="s">
        <v>183</v>
      </c>
      <c r="D243" s="101" t="s">
        <v>184</v>
      </c>
      <c r="E243" s="60">
        <v>4</v>
      </c>
      <c r="F243" s="85">
        <v>46221</v>
      </c>
      <c r="G243" s="35">
        <v>378</v>
      </c>
      <c r="H243" s="85">
        <f>IF(COUNTIFS(Pesagens!$B$3:$B$5001,$B243)=0,"",_xlfn.MAXIFS(Pesagens!$A$3:$A$5001,Pesagens!$B$3:$B$5001,$B243,Pesagens!$E$3:$E$5001,"&lt;&gt;"))</f>
        <v>46221</v>
      </c>
      <c r="I243" s="35">
        <f>IF($H243="","",IFERROR(AVERAGEIFS(Pesagens!$E$3:$E$5001,Pesagens!$B$3:$B$5001,$B243,Pesagens!$A$3:$A$5001,$H243),""))</f>
        <v>378</v>
      </c>
      <c r="J243" s="60">
        <f>IF(F243="","",Parâmetros!$C$4-F243)</f>
        <v>17</v>
      </c>
      <c r="K243" s="35">
        <f t="shared" si="6"/>
        <v>0</v>
      </c>
      <c r="L243" s="102" t="str">
        <f t="shared" si="7"/>
        <v/>
      </c>
      <c r="M243" s="103">
        <f>IF(I243="","",I243*Parâmetros!$C$8/15)</f>
        <v>13.356</v>
      </c>
      <c r="N243" s="103">
        <f>IF(K243="","",K243*Parâmetros!$C$8/15)</f>
        <v>0</v>
      </c>
      <c r="O243" s="26">
        <f>IF(M243="","",M243*Parâmetros!$C$5)</f>
        <v>4273.92</v>
      </c>
      <c r="P243" s="60" t="str">
        <f>IF(L243="","",IF(L243&gt;=Parâmetros!$C$10,"Sim","Não"))</f>
        <v/>
      </c>
    </row>
    <row r="244" spans="1:16" ht="15" customHeight="1" x14ac:dyDescent="0.3">
      <c r="A244" s="64">
        <v>242</v>
      </c>
      <c r="B244" s="64" t="s">
        <v>425</v>
      </c>
      <c r="C244" s="104" t="s">
        <v>183</v>
      </c>
      <c r="D244" s="104" t="s">
        <v>184</v>
      </c>
      <c r="E244" s="64">
        <v>4</v>
      </c>
      <c r="F244" s="86">
        <v>46221</v>
      </c>
      <c r="G244" s="40">
        <v>378</v>
      </c>
      <c r="H244" s="86">
        <f>IF(COUNTIFS(Pesagens!$B$3:$B$5001,$B244)=0,"",_xlfn.MAXIFS(Pesagens!$A$3:$A$5001,Pesagens!$B$3:$B$5001,$B244,Pesagens!$E$3:$E$5001,"&lt;&gt;"))</f>
        <v>46221</v>
      </c>
      <c r="I244" s="40">
        <f>IF($H244="","",IFERROR(AVERAGEIFS(Pesagens!$E$3:$E$5001,Pesagens!$B$3:$B$5001,$B244,Pesagens!$A$3:$A$5001,$H244),""))</f>
        <v>378</v>
      </c>
      <c r="J244" s="64">
        <f>IF(F244="","",Parâmetros!$C$4-F244)</f>
        <v>17</v>
      </c>
      <c r="K244" s="40">
        <f t="shared" si="6"/>
        <v>0</v>
      </c>
      <c r="L244" s="105" t="str">
        <f t="shared" si="7"/>
        <v/>
      </c>
      <c r="M244" s="106">
        <f>IF(I244="","",I244*Parâmetros!$C$8/15)</f>
        <v>13.356</v>
      </c>
      <c r="N244" s="106">
        <f>IF(K244="","",K244*Parâmetros!$C$8/15)</f>
        <v>0</v>
      </c>
      <c r="O244" s="28">
        <f>IF(M244="","",M244*Parâmetros!$C$5)</f>
        <v>4273.92</v>
      </c>
      <c r="P244" s="64" t="str">
        <f>IF(L244="","",IF(L244&gt;=Parâmetros!$C$10,"Sim","Não"))</f>
        <v/>
      </c>
    </row>
    <row r="245" spans="1:16" ht="15" customHeight="1" x14ac:dyDescent="0.3">
      <c r="A245" s="60">
        <v>243</v>
      </c>
      <c r="B245" s="60" t="s">
        <v>426</v>
      </c>
      <c r="C245" s="101" t="s">
        <v>183</v>
      </c>
      <c r="D245" s="101" t="s">
        <v>184</v>
      </c>
      <c r="E245" s="60">
        <v>4</v>
      </c>
      <c r="F245" s="85">
        <v>46221</v>
      </c>
      <c r="G245" s="35">
        <v>372</v>
      </c>
      <c r="H245" s="85">
        <f>IF(COUNTIFS(Pesagens!$B$3:$B$5001,$B245)=0,"",_xlfn.MAXIFS(Pesagens!$A$3:$A$5001,Pesagens!$B$3:$B$5001,$B245,Pesagens!$E$3:$E$5001,"&lt;&gt;"))</f>
        <v>46221</v>
      </c>
      <c r="I245" s="35">
        <f>IF($H245="","",IFERROR(AVERAGEIFS(Pesagens!$E$3:$E$5001,Pesagens!$B$3:$B$5001,$B245,Pesagens!$A$3:$A$5001,$H245),""))</f>
        <v>372</v>
      </c>
      <c r="J245" s="60">
        <f>IF(F245="","",Parâmetros!$C$4-F245)</f>
        <v>17</v>
      </c>
      <c r="K245" s="35">
        <f t="shared" si="6"/>
        <v>0</v>
      </c>
      <c r="L245" s="102" t="str">
        <f t="shared" si="7"/>
        <v/>
      </c>
      <c r="M245" s="103">
        <f>IF(I245="","",I245*Parâmetros!$C$8/15)</f>
        <v>13.144</v>
      </c>
      <c r="N245" s="103">
        <f>IF(K245="","",K245*Parâmetros!$C$8/15)</f>
        <v>0</v>
      </c>
      <c r="O245" s="26">
        <f>IF(M245="","",M245*Parâmetros!$C$5)</f>
        <v>4206.08</v>
      </c>
      <c r="P245" s="60" t="str">
        <f>IF(L245="","",IF(L245&gt;=Parâmetros!$C$10,"Sim","Não"))</f>
        <v/>
      </c>
    </row>
    <row r="246" spans="1:16" ht="15" customHeight="1" x14ac:dyDescent="0.3">
      <c r="A246" s="64">
        <v>244</v>
      </c>
      <c r="B246" s="64" t="s">
        <v>427</v>
      </c>
      <c r="C246" s="104" t="s">
        <v>183</v>
      </c>
      <c r="D246" s="104" t="s">
        <v>184</v>
      </c>
      <c r="E246" s="64">
        <v>4</v>
      </c>
      <c r="F246" s="86">
        <v>46221</v>
      </c>
      <c r="G246" s="40">
        <v>380</v>
      </c>
      <c r="H246" s="86">
        <f>IF(COUNTIFS(Pesagens!$B$3:$B$5001,$B246)=0,"",_xlfn.MAXIFS(Pesagens!$A$3:$A$5001,Pesagens!$B$3:$B$5001,$B246,Pesagens!$E$3:$E$5001,"&lt;&gt;"))</f>
        <v>46221</v>
      </c>
      <c r="I246" s="40">
        <f>IF($H246="","",IFERROR(AVERAGEIFS(Pesagens!$E$3:$E$5001,Pesagens!$B$3:$B$5001,$B246,Pesagens!$A$3:$A$5001,$H246),""))</f>
        <v>380</v>
      </c>
      <c r="J246" s="64">
        <f>IF(F246="","",Parâmetros!$C$4-F246)</f>
        <v>17</v>
      </c>
      <c r="K246" s="40">
        <f t="shared" si="6"/>
        <v>0</v>
      </c>
      <c r="L246" s="105" t="str">
        <f t="shared" si="7"/>
        <v/>
      </c>
      <c r="M246" s="106">
        <f>IF(I246="","",I246*Parâmetros!$C$8/15)</f>
        <v>13.426666666666668</v>
      </c>
      <c r="N246" s="106">
        <f>IF(K246="","",K246*Parâmetros!$C$8/15)</f>
        <v>0</v>
      </c>
      <c r="O246" s="28">
        <f>IF(M246="","",M246*Parâmetros!$C$5)</f>
        <v>4296.5333333333338</v>
      </c>
      <c r="P246" s="64" t="str">
        <f>IF(L246="","",IF(L246&gt;=Parâmetros!$C$10,"Sim","Não"))</f>
        <v/>
      </c>
    </row>
    <row r="247" spans="1:16" ht="15" customHeight="1" x14ac:dyDescent="0.3">
      <c r="A247" s="60">
        <v>245</v>
      </c>
      <c r="B247" s="60" t="s">
        <v>428</v>
      </c>
      <c r="C247" s="101" t="s">
        <v>183</v>
      </c>
      <c r="D247" s="101" t="s">
        <v>184</v>
      </c>
      <c r="E247" s="60">
        <v>4</v>
      </c>
      <c r="F247" s="85">
        <v>46221</v>
      </c>
      <c r="G247" s="35">
        <v>379</v>
      </c>
      <c r="H247" s="85">
        <f>IF(COUNTIFS(Pesagens!$B$3:$B$5001,$B247)=0,"",_xlfn.MAXIFS(Pesagens!$A$3:$A$5001,Pesagens!$B$3:$B$5001,$B247,Pesagens!$E$3:$E$5001,"&lt;&gt;"))</f>
        <v>46221</v>
      </c>
      <c r="I247" s="35">
        <f>IF($H247="","",IFERROR(AVERAGEIFS(Pesagens!$E$3:$E$5001,Pesagens!$B$3:$B$5001,$B247,Pesagens!$A$3:$A$5001,$H247),""))</f>
        <v>379</v>
      </c>
      <c r="J247" s="60">
        <f>IF(F247="","",Parâmetros!$C$4-F247)</f>
        <v>17</v>
      </c>
      <c r="K247" s="35">
        <f t="shared" si="6"/>
        <v>0</v>
      </c>
      <c r="L247" s="102" t="str">
        <f t="shared" si="7"/>
        <v/>
      </c>
      <c r="M247" s="103">
        <f>IF(I247="","",I247*Parâmetros!$C$8/15)</f>
        <v>13.391333333333334</v>
      </c>
      <c r="N247" s="103">
        <f>IF(K247="","",K247*Parâmetros!$C$8/15)</f>
        <v>0</v>
      </c>
      <c r="O247" s="26">
        <f>IF(M247="","",M247*Parâmetros!$C$5)</f>
        <v>4285.2266666666665</v>
      </c>
      <c r="P247" s="60" t="str">
        <f>IF(L247="","",IF(L247&gt;=Parâmetros!$C$10,"Sim","Não"))</f>
        <v/>
      </c>
    </row>
    <row r="248" spans="1:16" ht="15" customHeight="1" x14ac:dyDescent="0.3">
      <c r="A248" s="64">
        <v>246</v>
      </c>
      <c r="B248" s="64" t="s">
        <v>429</v>
      </c>
      <c r="C248" s="104" t="s">
        <v>183</v>
      </c>
      <c r="D248" s="104" t="s">
        <v>184</v>
      </c>
      <c r="E248" s="64">
        <v>4</v>
      </c>
      <c r="F248" s="86">
        <v>46221</v>
      </c>
      <c r="G248" s="40">
        <v>387</v>
      </c>
      <c r="H248" s="86">
        <f>IF(COUNTIFS(Pesagens!$B$3:$B$5001,$B248)=0,"",_xlfn.MAXIFS(Pesagens!$A$3:$A$5001,Pesagens!$B$3:$B$5001,$B248,Pesagens!$E$3:$E$5001,"&lt;&gt;"))</f>
        <v>46221</v>
      </c>
      <c r="I248" s="40">
        <f>IF($H248="","",IFERROR(AVERAGEIFS(Pesagens!$E$3:$E$5001,Pesagens!$B$3:$B$5001,$B248,Pesagens!$A$3:$A$5001,$H248),""))</f>
        <v>387</v>
      </c>
      <c r="J248" s="64">
        <f>IF(F248="","",Parâmetros!$C$4-F248)</f>
        <v>17</v>
      </c>
      <c r="K248" s="40">
        <f t="shared" si="6"/>
        <v>0</v>
      </c>
      <c r="L248" s="105" t="str">
        <f t="shared" si="7"/>
        <v/>
      </c>
      <c r="M248" s="106">
        <f>IF(I248="","",I248*Parâmetros!$C$8/15)</f>
        <v>13.674000000000001</v>
      </c>
      <c r="N248" s="106">
        <f>IF(K248="","",K248*Parâmetros!$C$8/15)</f>
        <v>0</v>
      </c>
      <c r="O248" s="28">
        <f>IF(M248="","",M248*Parâmetros!$C$5)</f>
        <v>4375.68</v>
      </c>
      <c r="P248" s="64" t="str">
        <f>IF(L248="","",IF(L248&gt;=Parâmetros!$C$10,"Sim","Não"))</f>
        <v/>
      </c>
    </row>
    <row r="249" spans="1:16" ht="15" customHeight="1" x14ac:dyDescent="0.3">
      <c r="A249" s="60">
        <v>247</v>
      </c>
      <c r="B249" s="60" t="s">
        <v>430</v>
      </c>
      <c r="C249" s="101" t="s">
        <v>183</v>
      </c>
      <c r="D249" s="101" t="s">
        <v>184</v>
      </c>
      <c r="E249" s="60">
        <v>4</v>
      </c>
      <c r="F249" s="85">
        <v>46221</v>
      </c>
      <c r="G249" s="35">
        <v>378</v>
      </c>
      <c r="H249" s="85">
        <f>IF(COUNTIFS(Pesagens!$B$3:$B$5001,$B249)=0,"",_xlfn.MAXIFS(Pesagens!$A$3:$A$5001,Pesagens!$B$3:$B$5001,$B249,Pesagens!$E$3:$E$5001,"&lt;&gt;"))</f>
        <v>46221</v>
      </c>
      <c r="I249" s="35">
        <f>IF($H249="","",IFERROR(AVERAGEIFS(Pesagens!$E$3:$E$5001,Pesagens!$B$3:$B$5001,$B249,Pesagens!$A$3:$A$5001,$H249),""))</f>
        <v>378</v>
      </c>
      <c r="J249" s="60">
        <f>IF(F249="","",Parâmetros!$C$4-F249)</f>
        <v>17</v>
      </c>
      <c r="K249" s="35">
        <f t="shared" si="6"/>
        <v>0</v>
      </c>
      <c r="L249" s="102" t="str">
        <f t="shared" si="7"/>
        <v/>
      </c>
      <c r="M249" s="103">
        <f>IF(I249="","",I249*Parâmetros!$C$8/15)</f>
        <v>13.356</v>
      </c>
      <c r="N249" s="103">
        <f>IF(K249="","",K249*Parâmetros!$C$8/15)</f>
        <v>0</v>
      </c>
      <c r="O249" s="26">
        <f>IF(M249="","",M249*Parâmetros!$C$5)</f>
        <v>4273.92</v>
      </c>
      <c r="P249" s="60" t="str">
        <f>IF(L249="","",IF(L249&gt;=Parâmetros!$C$10,"Sim","Não"))</f>
        <v/>
      </c>
    </row>
    <row r="250" spans="1:16" ht="15" customHeight="1" x14ac:dyDescent="0.3">
      <c r="A250" s="64">
        <v>248</v>
      </c>
      <c r="B250" s="64" t="s">
        <v>431</v>
      </c>
      <c r="C250" s="104" t="s">
        <v>183</v>
      </c>
      <c r="D250" s="104" t="s">
        <v>184</v>
      </c>
      <c r="E250" s="64">
        <v>4</v>
      </c>
      <c r="F250" s="86">
        <v>46221</v>
      </c>
      <c r="G250" s="40">
        <v>381</v>
      </c>
      <c r="H250" s="86">
        <f>IF(COUNTIFS(Pesagens!$B$3:$B$5001,$B250)=0,"",_xlfn.MAXIFS(Pesagens!$A$3:$A$5001,Pesagens!$B$3:$B$5001,$B250,Pesagens!$E$3:$E$5001,"&lt;&gt;"))</f>
        <v>46221</v>
      </c>
      <c r="I250" s="40">
        <f>IF($H250="","",IFERROR(AVERAGEIFS(Pesagens!$E$3:$E$5001,Pesagens!$B$3:$B$5001,$B250,Pesagens!$A$3:$A$5001,$H250),""))</f>
        <v>381</v>
      </c>
      <c r="J250" s="64">
        <f>IF(F250="","",Parâmetros!$C$4-F250)</f>
        <v>17</v>
      </c>
      <c r="K250" s="40">
        <f t="shared" si="6"/>
        <v>0</v>
      </c>
      <c r="L250" s="105" t="str">
        <f t="shared" si="7"/>
        <v/>
      </c>
      <c r="M250" s="106">
        <f>IF(I250="","",I250*Parâmetros!$C$8/15)</f>
        <v>13.462</v>
      </c>
      <c r="N250" s="106">
        <f>IF(K250="","",K250*Parâmetros!$C$8/15)</f>
        <v>0</v>
      </c>
      <c r="O250" s="28">
        <f>IF(M250="","",M250*Parâmetros!$C$5)</f>
        <v>4307.84</v>
      </c>
      <c r="P250" s="64" t="str">
        <f>IF(L250="","",IF(L250&gt;=Parâmetros!$C$10,"Sim","Não"))</f>
        <v/>
      </c>
    </row>
    <row r="251" spans="1:16" ht="15" customHeight="1" x14ac:dyDescent="0.3">
      <c r="A251" s="60">
        <v>249</v>
      </c>
      <c r="B251" s="60" t="s">
        <v>432</v>
      </c>
      <c r="C251" s="101" t="s">
        <v>183</v>
      </c>
      <c r="D251" s="101" t="s">
        <v>184</v>
      </c>
      <c r="E251" s="60">
        <v>4</v>
      </c>
      <c r="F251" s="85">
        <v>46221</v>
      </c>
      <c r="G251" s="35">
        <v>384</v>
      </c>
      <c r="H251" s="85">
        <f>IF(COUNTIFS(Pesagens!$B$3:$B$5001,$B251)=0,"",_xlfn.MAXIFS(Pesagens!$A$3:$A$5001,Pesagens!$B$3:$B$5001,$B251,Pesagens!$E$3:$E$5001,"&lt;&gt;"))</f>
        <v>46221</v>
      </c>
      <c r="I251" s="35">
        <f>IF($H251="","",IFERROR(AVERAGEIFS(Pesagens!$E$3:$E$5001,Pesagens!$B$3:$B$5001,$B251,Pesagens!$A$3:$A$5001,$H251),""))</f>
        <v>384</v>
      </c>
      <c r="J251" s="60">
        <f>IF(F251="","",Parâmetros!$C$4-F251)</f>
        <v>17</v>
      </c>
      <c r="K251" s="35">
        <f t="shared" si="6"/>
        <v>0</v>
      </c>
      <c r="L251" s="102" t="str">
        <f t="shared" si="7"/>
        <v/>
      </c>
      <c r="M251" s="103">
        <f>IF(I251="","",I251*Parâmetros!$C$8/15)</f>
        <v>13.568000000000001</v>
      </c>
      <c r="N251" s="103">
        <f>IF(K251="","",K251*Parâmetros!$C$8/15)</f>
        <v>0</v>
      </c>
      <c r="O251" s="26">
        <f>IF(M251="","",M251*Parâmetros!$C$5)</f>
        <v>4341.76</v>
      </c>
      <c r="P251" s="60" t="str">
        <f>IF(L251="","",IF(L251&gt;=Parâmetros!$C$10,"Sim","Não"))</f>
        <v/>
      </c>
    </row>
    <row r="252" spans="1:16" ht="15" customHeight="1" x14ac:dyDescent="0.3">
      <c r="A252" s="64">
        <v>250</v>
      </c>
      <c r="B252" s="64" t="s">
        <v>433</v>
      </c>
      <c r="C252" s="104" t="s">
        <v>183</v>
      </c>
      <c r="D252" s="104" t="s">
        <v>184</v>
      </c>
      <c r="E252" s="64">
        <v>4</v>
      </c>
      <c r="F252" s="86">
        <v>46221</v>
      </c>
      <c r="G252" s="40">
        <v>387</v>
      </c>
      <c r="H252" s="86">
        <f>IF(COUNTIFS(Pesagens!$B$3:$B$5001,$B252)=0,"",_xlfn.MAXIFS(Pesagens!$A$3:$A$5001,Pesagens!$B$3:$B$5001,$B252,Pesagens!$E$3:$E$5001,"&lt;&gt;"))</f>
        <v>46221</v>
      </c>
      <c r="I252" s="40">
        <f>IF($H252="","",IFERROR(AVERAGEIFS(Pesagens!$E$3:$E$5001,Pesagens!$B$3:$B$5001,$B252,Pesagens!$A$3:$A$5001,$H252),""))</f>
        <v>387</v>
      </c>
      <c r="J252" s="64">
        <f>IF(F252="","",Parâmetros!$C$4-F252)</f>
        <v>17</v>
      </c>
      <c r="K252" s="40">
        <f t="shared" si="6"/>
        <v>0</v>
      </c>
      <c r="L252" s="105" t="str">
        <f t="shared" si="7"/>
        <v/>
      </c>
      <c r="M252" s="106">
        <f>IF(I252="","",I252*Parâmetros!$C$8/15)</f>
        <v>13.674000000000001</v>
      </c>
      <c r="N252" s="106">
        <f>IF(K252="","",K252*Parâmetros!$C$8/15)</f>
        <v>0</v>
      </c>
      <c r="O252" s="28">
        <f>IF(M252="","",M252*Parâmetros!$C$5)</f>
        <v>4375.68</v>
      </c>
      <c r="P252" s="64" t="str">
        <f>IF(L252="","",IF(L252&gt;=Parâmetros!$C$10,"Sim","Não"))</f>
        <v/>
      </c>
    </row>
    <row r="253" spans="1:16" ht="15" customHeight="1" x14ac:dyDescent="0.3">
      <c r="A253" s="60">
        <v>251</v>
      </c>
      <c r="B253" s="60" t="s">
        <v>434</v>
      </c>
      <c r="C253" s="101" t="s">
        <v>183</v>
      </c>
      <c r="D253" s="101" t="s">
        <v>184</v>
      </c>
      <c r="E253" s="60">
        <v>4</v>
      </c>
      <c r="F253" s="85">
        <v>46221</v>
      </c>
      <c r="G253" s="35">
        <v>377</v>
      </c>
      <c r="H253" s="85">
        <f>IF(COUNTIFS(Pesagens!$B$3:$B$5001,$B253)=0,"",_xlfn.MAXIFS(Pesagens!$A$3:$A$5001,Pesagens!$B$3:$B$5001,$B253,Pesagens!$E$3:$E$5001,"&lt;&gt;"))</f>
        <v>46221</v>
      </c>
      <c r="I253" s="35">
        <f>IF($H253="","",IFERROR(AVERAGEIFS(Pesagens!$E$3:$E$5001,Pesagens!$B$3:$B$5001,$B253,Pesagens!$A$3:$A$5001,$H253),""))</f>
        <v>377</v>
      </c>
      <c r="J253" s="60">
        <f>IF(F253="","",Parâmetros!$C$4-F253)</f>
        <v>17</v>
      </c>
      <c r="K253" s="35">
        <f t="shared" si="6"/>
        <v>0</v>
      </c>
      <c r="L253" s="102" t="str">
        <f t="shared" si="7"/>
        <v/>
      </c>
      <c r="M253" s="103">
        <f>IF(I253="","",I253*Parâmetros!$C$8/15)</f>
        <v>13.320666666666666</v>
      </c>
      <c r="N253" s="103">
        <f>IF(K253="","",K253*Parâmetros!$C$8/15)</f>
        <v>0</v>
      </c>
      <c r="O253" s="26">
        <f>IF(M253="","",M253*Parâmetros!$C$5)</f>
        <v>4262.6133333333328</v>
      </c>
      <c r="P253" s="60" t="str">
        <f>IF(L253="","",IF(L253&gt;=Parâmetros!$C$10,"Sim","Não"))</f>
        <v/>
      </c>
    </row>
    <row r="254" spans="1:16" ht="15" customHeight="1" x14ac:dyDescent="0.3">
      <c r="A254" s="64">
        <v>252</v>
      </c>
      <c r="B254" s="64" t="s">
        <v>435</v>
      </c>
      <c r="C254" s="104" t="s">
        <v>183</v>
      </c>
      <c r="D254" s="104" t="s">
        <v>184</v>
      </c>
      <c r="E254" s="64">
        <v>4</v>
      </c>
      <c r="F254" s="86">
        <v>46221</v>
      </c>
      <c r="G254" s="40">
        <v>381</v>
      </c>
      <c r="H254" s="86">
        <f>IF(COUNTIFS(Pesagens!$B$3:$B$5001,$B254)=0,"",_xlfn.MAXIFS(Pesagens!$A$3:$A$5001,Pesagens!$B$3:$B$5001,$B254,Pesagens!$E$3:$E$5001,"&lt;&gt;"))</f>
        <v>46221</v>
      </c>
      <c r="I254" s="40">
        <f>IF($H254="","",IFERROR(AVERAGEIFS(Pesagens!$E$3:$E$5001,Pesagens!$B$3:$B$5001,$B254,Pesagens!$A$3:$A$5001,$H254),""))</f>
        <v>381</v>
      </c>
      <c r="J254" s="64">
        <f>IF(F254="","",Parâmetros!$C$4-F254)</f>
        <v>17</v>
      </c>
      <c r="K254" s="40">
        <f t="shared" si="6"/>
        <v>0</v>
      </c>
      <c r="L254" s="105" t="str">
        <f t="shared" si="7"/>
        <v/>
      </c>
      <c r="M254" s="106">
        <f>IF(I254="","",I254*Parâmetros!$C$8/15)</f>
        <v>13.462</v>
      </c>
      <c r="N254" s="106">
        <f>IF(K254="","",K254*Parâmetros!$C$8/15)</f>
        <v>0</v>
      </c>
      <c r="O254" s="28">
        <f>IF(M254="","",M254*Parâmetros!$C$5)</f>
        <v>4307.84</v>
      </c>
      <c r="P254" s="64" t="str">
        <f>IF(L254="","",IF(L254&gt;=Parâmetros!$C$10,"Sim","Não"))</f>
        <v/>
      </c>
    </row>
    <row r="255" spans="1:16" ht="15" customHeight="1" x14ac:dyDescent="0.3">
      <c r="A255" s="60">
        <v>253</v>
      </c>
      <c r="B255" s="60" t="s">
        <v>436</v>
      </c>
      <c r="C255" s="101" t="s">
        <v>183</v>
      </c>
      <c r="D255" s="101" t="s">
        <v>184</v>
      </c>
      <c r="E255" s="60">
        <v>4</v>
      </c>
      <c r="F255" s="85">
        <v>46221</v>
      </c>
      <c r="G255" s="35">
        <v>376</v>
      </c>
      <c r="H255" s="85">
        <f>IF(COUNTIFS(Pesagens!$B$3:$B$5001,$B255)=0,"",_xlfn.MAXIFS(Pesagens!$A$3:$A$5001,Pesagens!$B$3:$B$5001,$B255,Pesagens!$E$3:$E$5001,"&lt;&gt;"))</f>
        <v>46221</v>
      </c>
      <c r="I255" s="35">
        <f>IF($H255="","",IFERROR(AVERAGEIFS(Pesagens!$E$3:$E$5001,Pesagens!$B$3:$B$5001,$B255,Pesagens!$A$3:$A$5001,$H255),""))</f>
        <v>376</v>
      </c>
      <c r="J255" s="60">
        <f>IF(F255="","",Parâmetros!$C$4-F255)</f>
        <v>17</v>
      </c>
      <c r="K255" s="35">
        <f t="shared" si="6"/>
        <v>0</v>
      </c>
      <c r="L255" s="102" t="str">
        <f t="shared" si="7"/>
        <v/>
      </c>
      <c r="M255" s="103">
        <f>IF(I255="","",I255*Parâmetros!$C$8/15)</f>
        <v>13.285333333333334</v>
      </c>
      <c r="N255" s="103">
        <f>IF(K255="","",K255*Parâmetros!$C$8/15)</f>
        <v>0</v>
      </c>
      <c r="O255" s="26">
        <f>IF(M255="","",M255*Parâmetros!$C$5)</f>
        <v>4251.3066666666673</v>
      </c>
      <c r="P255" s="60" t="str">
        <f>IF(L255="","",IF(L255&gt;=Parâmetros!$C$10,"Sim","Não"))</f>
        <v/>
      </c>
    </row>
    <row r="256" spans="1:16" ht="15" customHeight="1" x14ac:dyDescent="0.3">
      <c r="A256" s="64">
        <v>254</v>
      </c>
      <c r="B256" s="64" t="s">
        <v>437</v>
      </c>
      <c r="C256" s="104" t="s">
        <v>183</v>
      </c>
      <c r="D256" s="104" t="s">
        <v>184</v>
      </c>
      <c r="E256" s="64">
        <v>4</v>
      </c>
      <c r="F256" s="86">
        <v>46221</v>
      </c>
      <c r="G256" s="40">
        <v>381</v>
      </c>
      <c r="H256" s="86">
        <f>IF(COUNTIFS(Pesagens!$B$3:$B$5001,$B256)=0,"",_xlfn.MAXIFS(Pesagens!$A$3:$A$5001,Pesagens!$B$3:$B$5001,$B256,Pesagens!$E$3:$E$5001,"&lt;&gt;"))</f>
        <v>46221</v>
      </c>
      <c r="I256" s="40">
        <f>IF($H256="","",IFERROR(AVERAGEIFS(Pesagens!$E$3:$E$5001,Pesagens!$B$3:$B$5001,$B256,Pesagens!$A$3:$A$5001,$H256),""))</f>
        <v>381</v>
      </c>
      <c r="J256" s="64">
        <f>IF(F256="","",Parâmetros!$C$4-F256)</f>
        <v>17</v>
      </c>
      <c r="K256" s="40">
        <f t="shared" si="6"/>
        <v>0</v>
      </c>
      <c r="L256" s="105" t="str">
        <f t="shared" si="7"/>
        <v/>
      </c>
      <c r="M256" s="106">
        <f>IF(I256="","",I256*Parâmetros!$C$8/15)</f>
        <v>13.462</v>
      </c>
      <c r="N256" s="106">
        <f>IF(K256="","",K256*Parâmetros!$C$8/15)</f>
        <v>0</v>
      </c>
      <c r="O256" s="28">
        <f>IF(M256="","",M256*Parâmetros!$C$5)</f>
        <v>4307.84</v>
      </c>
      <c r="P256" s="64" t="str">
        <f>IF(L256="","",IF(L256&gt;=Parâmetros!$C$10,"Sim","Não"))</f>
        <v/>
      </c>
    </row>
    <row r="257" spans="1:16" ht="15" customHeight="1" x14ac:dyDescent="0.3">
      <c r="A257" s="60">
        <v>255</v>
      </c>
      <c r="B257" s="60" t="s">
        <v>438</v>
      </c>
      <c r="C257" s="101" t="s">
        <v>183</v>
      </c>
      <c r="D257" s="101" t="s">
        <v>184</v>
      </c>
      <c r="E257" s="60">
        <v>4</v>
      </c>
      <c r="F257" s="85">
        <v>46221</v>
      </c>
      <c r="G257" s="35">
        <v>376</v>
      </c>
      <c r="H257" s="85">
        <f>IF(COUNTIFS(Pesagens!$B$3:$B$5001,$B257)=0,"",_xlfn.MAXIFS(Pesagens!$A$3:$A$5001,Pesagens!$B$3:$B$5001,$B257,Pesagens!$E$3:$E$5001,"&lt;&gt;"))</f>
        <v>46221</v>
      </c>
      <c r="I257" s="35">
        <f>IF($H257="","",IFERROR(AVERAGEIFS(Pesagens!$E$3:$E$5001,Pesagens!$B$3:$B$5001,$B257,Pesagens!$A$3:$A$5001,$H257),""))</f>
        <v>376</v>
      </c>
      <c r="J257" s="60">
        <f>IF(F257="","",Parâmetros!$C$4-F257)</f>
        <v>17</v>
      </c>
      <c r="K257" s="35">
        <f t="shared" si="6"/>
        <v>0</v>
      </c>
      <c r="L257" s="102" t="str">
        <f t="shared" si="7"/>
        <v/>
      </c>
      <c r="M257" s="103">
        <f>IF(I257="","",I257*Parâmetros!$C$8/15)</f>
        <v>13.285333333333334</v>
      </c>
      <c r="N257" s="103">
        <f>IF(K257="","",K257*Parâmetros!$C$8/15)</f>
        <v>0</v>
      </c>
      <c r="O257" s="26">
        <f>IF(M257="","",M257*Parâmetros!$C$5)</f>
        <v>4251.3066666666673</v>
      </c>
      <c r="P257" s="60" t="str">
        <f>IF(L257="","",IF(L257&gt;=Parâmetros!$C$10,"Sim","Não"))</f>
        <v/>
      </c>
    </row>
    <row r="258" spans="1:16" ht="15" customHeight="1" x14ac:dyDescent="0.3">
      <c r="A258" s="64">
        <v>256</v>
      </c>
      <c r="B258" s="64" t="s">
        <v>439</v>
      </c>
      <c r="C258" s="104" t="s">
        <v>183</v>
      </c>
      <c r="D258" s="104" t="s">
        <v>184</v>
      </c>
      <c r="E258" s="64">
        <v>4</v>
      </c>
      <c r="F258" s="86">
        <v>46221</v>
      </c>
      <c r="G258" s="40">
        <v>375</v>
      </c>
      <c r="H258" s="86">
        <f>IF(COUNTIFS(Pesagens!$B$3:$B$5001,$B258)=0,"",_xlfn.MAXIFS(Pesagens!$A$3:$A$5001,Pesagens!$B$3:$B$5001,$B258,Pesagens!$E$3:$E$5001,"&lt;&gt;"))</f>
        <v>46221</v>
      </c>
      <c r="I258" s="40">
        <f>IF($H258="","",IFERROR(AVERAGEIFS(Pesagens!$E$3:$E$5001,Pesagens!$B$3:$B$5001,$B258,Pesagens!$A$3:$A$5001,$H258),""))</f>
        <v>375</v>
      </c>
      <c r="J258" s="64">
        <f>IF(F258="","",Parâmetros!$C$4-F258)</f>
        <v>17</v>
      </c>
      <c r="K258" s="40">
        <f t="shared" si="6"/>
        <v>0</v>
      </c>
      <c r="L258" s="105" t="str">
        <f t="shared" si="7"/>
        <v/>
      </c>
      <c r="M258" s="106">
        <f>IF(I258="","",I258*Parâmetros!$C$8/15)</f>
        <v>13.25</v>
      </c>
      <c r="N258" s="106">
        <f>IF(K258="","",K258*Parâmetros!$C$8/15)</f>
        <v>0</v>
      </c>
      <c r="O258" s="28">
        <f>IF(M258="","",M258*Parâmetros!$C$5)</f>
        <v>4240</v>
      </c>
      <c r="P258" s="64" t="str">
        <f>IF(L258="","",IF(L258&gt;=Parâmetros!$C$10,"Sim","Não"))</f>
        <v/>
      </c>
    </row>
    <row r="259" spans="1:16" ht="15" customHeight="1" x14ac:dyDescent="0.3">
      <c r="A259" s="60">
        <v>257</v>
      </c>
      <c r="B259" s="60" t="s">
        <v>440</v>
      </c>
      <c r="C259" s="101" t="s">
        <v>183</v>
      </c>
      <c r="D259" s="101" t="s">
        <v>184</v>
      </c>
      <c r="E259" s="60">
        <v>4</v>
      </c>
      <c r="F259" s="85">
        <v>46221</v>
      </c>
      <c r="G259" s="35">
        <v>393</v>
      </c>
      <c r="H259" s="85">
        <f>IF(COUNTIFS(Pesagens!$B$3:$B$5001,$B259)=0,"",_xlfn.MAXIFS(Pesagens!$A$3:$A$5001,Pesagens!$B$3:$B$5001,$B259,Pesagens!$E$3:$E$5001,"&lt;&gt;"))</f>
        <v>46221</v>
      </c>
      <c r="I259" s="35">
        <f>IF($H259="","",IFERROR(AVERAGEIFS(Pesagens!$E$3:$E$5001,Pesagens!$B$3:$B$5001,$B259,Pesagens!$A$3:$A$5001,$H259),""))</f>
        <v>393</v>
      </c>
      <c r="J259" s="60">
        <f>IF(F259="","",Parâmetros!$C$4-F259)</f>
        <v>17</v>
      </c>
      <c r="K259" s="35">
        <f t="shared" ref="K259:K322" si="8">IF(OR(I259="",G259=""),"",I259-G259)</f>
        <v>0</v>
      </c>
      <c r="L259" s="102" t="str">
        <f t="shared" ref="L259:L322" si="9">IF(OR(I259="",G259="",H259&lt;=F259),"",(I259-G259)/(H259-F259))</f>
        <v/>
      </c>
      <c r="M259" s="103">
        <f>IF(I259="","",I259*Parâmetros!$C$8/15)</f>
        <v>13.886000000000001</v>
      </c>
      <c r="N259" s="103">
        <f>IF(K259="","",K259*Parâmetros!$C$8/15)</f>
        <v>0</v>
      </c>
      <c r="O259" s="26">
        <f>IF(M259="","",M259*Parâmetros!$C$5)</f>
        <v>4443.5200000000004</v>
      </c>
      <c r="P259" s="60" t="str">
        <f>IF(L259="","",IF(L259&gt;=Parâmetros!$C$10,"Sim","Não"))</f>
        <v/>
      </c>
    </row>
    <row r="260" spans="1:16" ht="15" customHeight="1" x14ac:dyDescent="0.3">
      <c r="A260" s="64">
        <v>258</v>
      </c>
      <c r="B260" s="64" t="s">
        <v>441</v>
      </c>
      <c r="C260" s="104" t="s">
        <v>183</v>
      </c>
      <c r="D260" s="104" t="s">
        <v>184</v>
      </c>
      <c r="E260" s="64">
        <v>4</v>
      </c>
      <c r="F260" s="86">
        <v>46221</v>
      </c>
      <c r="G260" s="40">
        <v>388</v>
      </c>
      <c r="H260" s="86">
        <f>IF(COUNTIFS(Pesagens!$B$3:$B$5001,$B260)=0,"",_xlfn.MAXIFS(Pesagens!$A$3:$A$5001,Pesagens!$B$3:$B$5001,$B260,Pesagens!$E$3:$E$5001,"&lt;&gt;"))</f>
        <v>46221</v>
      </c>
      <c r="I260" s="40">
        <f>IF($H260="","",IFERROR(AVERAGEIFS(Pesagens!$E$3:$E$5001,Pesagens!$B$3:$B$5001,$B260,Pesagens!$A$3:$A$5001,$H260),""))</f>
        <v>388</v>
      </c>
      <c r="J260" s="64">
        <f>IF(F260="","",Parâmetros!$C$4-F260)</f>
        <v>17</v>
      </c>
      <c r="K260" s="40">
        <f t="shared" si="8"/>
        <v>0</v>
      </c>
      <c r="L260" s="105" t="str">
        <f t="shared" si="9"/>
        <v/>
      </c>
      <c r="M260" s="106">
        <f>IF(I260="","",I260*Parâmetros!$C$8/15)</f>
        <v>13.709333333333335</v>
      </c>
      <c r="N260" s="106">
        <f>IF(K260="","",K260*Parâmetros!$C$8/15)</f>
        <v>0</v>
      </c>
      <c r="O260" s="28">
        <f>IF(M260="","",M260*Parâmetros!$C$5)</f>
        <v>4386.9866666666676</v>
      </c>
      <c r="P260" s="64" t="str">
        <f>IF(L260="","",IF(L260&gt;=Parâmetros!$C$10,"Sim","Não"))</f>
        <v/>
      </c>
    </row>
    <row r="261" spans="1:16" ht="15" customHeight="1" x14ac:dyDescent="0.3">
      <c r="A261" s="60">
        <v>259</v>
      </c>
      <c r="B261" s="60" t="s">
        <v>442</v>
      </c>
      <c r="C261" s="101" t="s">
        <v>183</v>
      </c>
      <c r="D261" s="101" t="s">
        <v>184</v>
      </c>
      <c r="E261" s="60">
        <v>4</v>
      </c>
      <c r="F261" s="85">
        <v>46221</v>
      </c>
      <c r="G261" s="35">
        <v>385</v>
      </c>
      <c r="H261" s="85">
        <f>IF(COUNTIFS(Pesagens!$B$3:$B$5001,$B261)=0,"",_xlfn.MAXIFS(Pesagens!$A$3:$A$5001,Pesagens!$B$3:$B$5001,$B261,Pesagens!$E$3:$E$5001,"&lt;&gt;"))</f>
        <v>46221</v>
      </c>
      <c r="I261" s="35">
        <f>IF($H261="","",IFERROR(AVERAGEIFS(Pesagens!$E$3:$E$5001,Pesagens!$B$3:$B$5001,$B261,Pesagens!$A$3:$A$5001,$H261),""))</f>
        <v>385</v>
      </c>
      <c r="J261" s="60">
        <f>IF(F261="","",Parâmetros!$C$4-F261)</f>
        <v>17</v>
      </c>
      <c r="K261" s="35">
        <f t="shared" si="8"/>
        <v>0</v>
      </c>
      <c r="L261" s="102" t="str">
        <f t="shared" si="9"/>
        <v/>
      </c>
      <c r="M261" s="103">
        <f>IF(I261="","",I261*Parâmetros!$C$8/15)</f>
        <v>13.603333333333333</v>
      </c>
      <c r="N261" s="103">
        <f>IF(K261="","",K261*Parâmetros!$C$8/15)</f>
        <v>0</v>
      </c>
      <c r="O261" s="26">
        <f>IF(M261="","",M261*Parâmetros!$C$5)</f>
        <v>4353.0666666666666</v>
      </c>
      <c r="P261" s="60" t="str">
        <f>IF(L261="","",IF(L261&gt;=Parâmetros!$C$10,"Sim","Não"))</f>
        <v/>
      </c>
    </row>
    <row r="262" spans="1:16" ht="15" customHeight="1" x14ac:dyDescent="0.3">
      <c r="A262" s="64">
        <v>260</v>
      </c>
      <c r="B262" s="64" t="s">
        <v>443</v>
      </c>
      <c r="C262" s="104" t="s">
        <v>183</v>
      </c>
      <c r="D262" s="104" t="s">
        <v>184</v>
      </c>
      <c r="E262" s="64">
        <v>4</v>
      </c>
      <c r="F262" s="86">
        <v>46221</v>
      </c>
      <c r="G262" s="40">
        <v>385</v>
      </c>
      <c r="H262" s="86">
        <f>IF(COUNTIFS(Pesagens!$B$3:$B$5001,$B262)=0,"",_xlfn.MAXIFS(Pesagens!$A$3:$A$5001,Pesagens!$B$3:$B$5001,$B262,Pesagens!$E$3:$E$5001,"&lt;&gt;"))</f>
        <v>46221</v>
      </c>
      <c r="I262" s="40">
        <f>IF($H262="","",IFERROR(AVERAGEIFS(Pesagens!$E$3:$E$5001,Pesagens!$B$3:$B$5001,$B262,Pesagens!$A$3:$A$5001,$H262),""))</f>
        <v>385</v>
      </c>
      <c r="J262" s="64">
        <f>IF(F262="","",Parâmetros!$C$4-F262)</f>
        <v>17</v>
      </c>
      <c r="K262" s="40">
        <f t="shared" si="8"/>
        <v>0</v>
      </c>
      <c r="L262" s="105" t="str">
        <f t="shared" si="9"/>
        <v/>
      </c>
      <c r="M262" s="106">
        <f>IF(I262="","",I262*Parâmetros!$C$8/15)</f>
        <v>13.603333333333333</v>
      </c>
      <c r="N262" s="106">
        <f>IF(K262="","",K262*Parâmetros!$C$8/15)</f>
        <v>0</v>
      </c>
      <c r="O262" s="28">
        <f>IF(M262="","",M262*Parâmetros!$C$5)</f>
        <v>4353.0666666666666</v>
      </c>
      <c r="P262" s="64" t="str">
        <f>IF(L262="","",IF(L262&gt;=Parâmetros!$C$10,"Sim","Não"))</f>
        <v/>
      </c>
    </row>
    <row r="263" spans="1:16" ht="15" customHeight="1" x14ac:dyDescent="0.3">
      <c r="A263" s="60">
        <v>261</v>
      </c>
      <c r="B263" s="60" t="s">
        <v>444</v>
      </c>
      <c r="C263" s="101" t="s">
        <v>183</v>
      </c>
      <c r="D263" s="101" t="s">
        <v>184</v>
      </c>
      <c r="E263" s="60">
        <v>4</v>
      </c>
      <c r="F263" s="85">
        <v>46221</v>
      </c>
      <c r="G263" s="35">
        <v>380</v>
      </c>
      <c r="H263" s="85">
        <f>IF(COUNTIFS(Pesagens!$B$3:$B$5001,$B263)=0,"",_xlfn.MAXIFS(Pesagens!$A$3:$A$5001,Pesagens!$B$3:$B$5001,$B263,Pesagens!$E$3:$E$5001,"&lt;&gt;"))</f>
        <v>46221</v>
      </c>
      <c r="I263" s="35">
        <f>IF($H263="","",IFERROR(AVERAGEIFS(Pesagens!$E$3:$E$5001,Pesagens!$B$3:$B$5001,$B263,Pesagens!$A$3:$A$5001,$H263),""))</f>
        <v>380</v>
      </c>
      <c r="J263" s="60">
        <f>IF(F263="","",Parâmetros!$C$4-F263)</f>
        <v>17</v>
      </c>
      <c r="K263" s="35">
        <f t="shared" si="8"/>
        <v>0</v>
      </c>
      <c r="L263" s="102" t="str">
        <f t="shared" si="9"/>
        <v/>
      </c>
      <c r="M263" s="103">
        <f>IF(I263="","",I263*Parâmetros!$C$8/15)</f>
        <v>13.426666666666668</v>
      </c>
      <c r="N263" s="103">
        <f>IF(K263="","",K263*Parâmetros!$C$8/15)</f>
        <v>0</v>
      </c>
      <c r="O263" s="26">
        <f>IF(M263="","",M263*Parâmetros!$C$5)</f>
        <v>4296.5333333333338</v>
      </c>
      <c r="P263" s="60" t="str">
        <f>IF(L263="","",IF(L263&gt;=Parâmetros!$C$10,"Sim","Não"))</f>
        <v/>
      </c>
    </row>
    <row r="264" spans="1:16" ht="15" customHeight="1" x14ac:dyDescent="0.3">
      <c r="A264" s="64">
        <v>262</v>
      </c>
      <c r="B264" s="64" t="s">
        <v>445</v>
      </c>
      <c r="C264" s="104" t="s">
        <v>183</v>
      </c>
      <c r="D264" s="104" t="s">
        <v>184</v>
      </c>
      <c r="E264" s="64">
        <v>4</v>
      </c>
      <c r="F264" s="86">
        <v>46221</v>
      </c>
      <c r="G264" s="40">
        <v>389</v>
      </c>
      <c r="H264" s="86">
        <f>IF(COUNTIFS(Pesagens!$B$3:$B$5001,$B264)=0,"",_xlfn.MAXIFS(Pesagens!$A$3:$A$5001,Pesagens!$B$3:$B$5001,$B264,Pesagens!$E$3:$E$5001,"&lt;&gt;"))</f>
        <v>46221</v>
      </c>
      <c r="I264" s="40">
        <f>IF($H264="","",IFERROR(AVERAGEIFS(Pesagens!$E$3:$E$5001,Pesagens!$B$3:$B$5001,$B264,Pesagens!$A$3:$A$5001,$H264),""))</f>
        <v>389</v>
      </c>
      <c r="J264" s="64">
        <f>IF(F264="","",Parâmetros!$C$4-F264)</f>
        <v>17</v>
      </c>
      <c r="K264" s="40">
        <f t="shared" si="8"/>
        <v>0</v>
      </c>
      <c r="L264" s="105" t="str">
        <f t="shared" si="9"/>
        <v/>
      </c>
      <c r="M264" s="106">
        <f>IF(I264="","",I264*Parâmetros!$C$8/15)</f>
        <v>13.744666666666667</v>
      </c>
      <c r="N264" s="106">
        <f>IF(K264="","",K264*Parâmetros!$C$8/15)</f>
        <v>0</v>
      </c>
      <c r="O264" s="28">
        <f>IF(M264="","",M264*Parâmetros!$C$5)</f>
        <v>4398.2933333333331</v>
      </c>
      <c r="P264" s="64" t="str">
        <f>IF(L264="","",IF(L264&gt;=Parâmetros!$C$10,"Sim","Não"))</f>
        <v/>
      </c>
    </row>
    <row r="265" spans="1:16" ht="15" customHeight="1" x14ac:dyDescent="0.3">
      <c r="A265" s="60">
        <v>263</v>
      </c>
      <c r="B265" s="60" t="s">
        <v>446</v>
      </c>
      <c r="C265" s="101" t="s">
        <v>183</v>
      </c>
      <c r="D265" s="101" t="s">
        <v>184</v>
      </c>
      <c r="E265" s="60">
        <v>4</v>
      </c>
      <c r="F265" s="85">
        <v>46221</v>
      </c>
      <c r="G265" s="35">
        <v>390</v>
      </c>
      <c r="H265" s="85">
        <f>IF(COUNTIFS(Pesagens!$B$3:$B$5001,$B265)=0,"",_xlfn.MAXIFS(Pesagens!$A$3:$A$5001,Pesagens!$B$3:$B$5001,$B265,Pesagens!$E$3:$E$5001,"&lt;&gt;"))</f>
        <v>46221</v>
      </c>
      <c r="I265" s="35">
        <f>IF($H265="","",IFERROR(AVERAGEIFS(Pesagens!$E$3:$E$5001,Pesagens!$B$3:$B$5001,$B265,Pesagens!$A$3:$A$5001,$H265),""))</f>
        <v>390</v>
      </c>
      <c r="J265" s="60">
        <f>IF(F265="","",Parâmetros!$C$4-F265)</f>
        <v>17</v>
      </c>
      <c r="K265" s="35">
        <f t="shared" si="8"/>
        <v>0</v>
      </c>
      <c r="L265" s="102" t="str">
        <f t="shared" si="9"/>
        <v/>
      </c>
      <c r="M265" s="103">
        <f>IF(I265="","",I265*Parâmetros!$C$8/15)</f>
        <v>13.780000000000001</v>
      </c>
      <c r="N265" s="103">
        <f>IF(K265="","",K265*Parâmetros!$C$8/15)</f>
        <v>0</v>
      </c>
      <c r="O265" s="26">
        <f>IF(M265="","",M265*Parâmetros!$C$5)</f>
        <v>4409.6000000000004</v>
      </c>
      <c r="P265" s="60" t="str">
        <f>IF(L265="","",IF(L265&gt;=Parâmetros!$C$10,"Sim","Não"))</f>
        <v/>
      </c>
    </row>
    <row r="266" spans="1:16" ht="15" customHeight="1" x14ac:dyDescent="0.3">
      <c r="A266" s="64">
        <v>264</v>
      </c>
      <c r="B266" s="64" t="s">
        <v>447</v>
      </c>
      <c r="C266" s="104" t="s">
        <v>183</v>
      </c>
      <c r="D266" s="104" t="s">
        <v>184</v>
      </c>
      <c r="E266" s="64">
        <v>4</v>
      </c>
      <c r="F266" s="86">
        <v>46221</v>
      </c>
      <c r="G266" s="40">
        <v>397</v>
      </c>
      <c r="H266" s="86">
        <f>IF(COUNTIFS(Pesagens!$B$3:$B$5001,$B266)=0,"",_xlfn.MAXIFS(Pesagens!$A$3:$A$5001,Pesagens!$B$3:$B$5001,$B266,Pesagens!$E$3:$E$5001,"&lt;&gt;"))</f>
        <v>46221</v>
      </c>
      <c r="I266" s="40">
        <f>IF($H266="","",IFERROR(AVERAGEIFS(Pesagens!$E$3:$E$5001,Pesagens!$B$3:$B$5001,$B266,Pesagens!$A$3:$A$5001,$H266),""))</f>
        <v>397</v>
      </c>
      <c r="J266" s="64">
        <f>IF(F266="","",Parâmetros!$C$4-F266)</f>
        <v>17</v>
      </c>
      <c r="K266" s="40">
        <f t="shared" si="8"/>
        <v>0</v>
      </c>
      <c r="L266" s="105" t="str">
        <f t="shared" si="9"/>
        <v/>
      </c>
      <c r="M266" s="106">
        <f>IF(I266="","",I266*Parâmetros!$C$8/15)</f>
        <v>14.027333333333333</v>
      </c>
      <c r="N266" s="106">
        <f>IF(K266="","",K266*Parâmetros!$C$8/15)</f>
        <v>0</v>
      </c>
      <c r="O266" s="28">
        <f>IF(M266="","",M266*Parâmetros!$C$5)</f>
        <v>4488.7466666666669</v>
      </c>
      <c r="P266" s="64" t="str">
        <f>IF(L266="","",IF(L266&gt;=Parâmetros!$C$10,"Sim","Não"))</f>
        <v/>
      </c>
    </row>
    <row r="267" spans="1:16" ht="15" customHeight="1" x14ac:dyDescent="0.3">
      <c r="A267" s="60">
        <v>265</v>
      </c>
      <c r="B267" s="60" t="s">
        <v>448</v>
      </c>
      <c r="C267" s="101" t="s">
        <v>183</v>
      </c>
      <c r="D267" s="101" t="s">
        <v>184</v>
      </c>
      <c r="E267" s="60">
        <v>4</v>
      </c>
      <c r="F267" s="85">
        <v>46221</v>
      </c>
      <c r="G267" s="35">
        <v>374</v>
      </c>
      <c r="H267" s="85">
        <f>IF(COUNTIFS(Pesagens!$B$3:$B$5001,$B267)=0,"",_xlfn.MAXIFS(Pesagens!$A$3:$A$5001,Pesagens!$B$3:$B$5001,$B267,Pesagens!$E$3:$E$5001,"&lt;&gt;"))</f>
        <v>46221</v>
      </c>
      <c r="I267" s="35">
        <f>IF($H267="","",IFERROR(AVERAGEIFS(Pesagens!$E$3:$E$5001,Pesagens!$B$3:$B$5001,$B267,Pesagens!$A$3:$A$5001,$H267),""))</f>
        <v>374</v>
      </c>
      <c r="J267" s="60">
        <f>IF(F267="","",Parâmetros!$C$4-F267)</f>
        <v>17</v>
      </c>
      <c r="K267" s="35">
        <f t="shared" si="8"/>
        <v>0</v>
      </c>
      <c r="L267" s="102" t="str">
        <f t="shared" si="9"/>
        <v/>
      </c>
      <c r="M267" s="103">
        <f>IF(I267="","",I267*Parâmetros!$C$8/15)</f>
        <v>13.214666666666666</v>
      </c>
      <c r="N267" s="103">
        <f>IF(K267="","",K267*Parâmetros!$C$8/15)</f>
        <v>0</v>
      </c>
      <c r="O267" s="26">
        <f>IF(M267="","",M267*Parâmetros!$C$5)</f>
        <v>4228.6933333333327</v>
      </c>
      <c r="P267" s="60" t="str">
        <f>IF(L267="","",IF(L267&gt;=Parâmetros!$C$10,"Sim","Não"))</f>
        <v/>
      </c>
    </row>
    <row r="268" spans="1:16" ht="15" customHeight="1" x14ac:dyDescent="0.3">
      <c r="A268" s="64">
        <v>266</v>
      </c>
      <c r="B268" s="64" t="s">
        <v>449</v>
      </c>
      <c r="C268" s="104" t="s">
        <v>183</v>
      </c>
      <c r="D268" s="104" t="s">
        <v>184</v>
      </c>
      <c r="E268" s="64">
        <v>4</v>
      </c>
      <c r="F268" s="86">
        <v>46221</v>
      </c>
      <c r="G268" s="40">
        <v>373</v>
      </c>
      <c r="H268" s="86">
        <f>IF(COUNTIFS(Pesagens!$B$3:$B$5001,$B268)=0,"",_xlfn.MAXIFS(Pesagens!$A$3:$A$5001,Pesagens!$B$3:$B$5001,$B268,Pesagens!$E$3:$E$5001,"&lt;&gt;"))</f>
        <v>46221</v>
      </c>
      <c r="I268" s="40">
        <f>IF($H268="","",IFERROR(AVERAGEIFS(Pesagens!$E$3:$E$5001,Pesagens!$B$3:$B$5001,$B268,Pesagens!$A$3:$A$5001,$H268),""))</f>
        <v>373</v>
      </c>
      <c r="J268" s="64">
        <f>IF(F268="","",Parâmetros!$C$4-F268)</f>
        <v>17</v>
      </c>
      <c r="K268" s="40">
        <f t="shared" si="8"/>
        <v>0</v>
      </c>
      <c r="L268" s="105" t="str">
        <f t="shared" si="9"/>
        <v/>
      </c>
      <c r="M268" s="106">
        <f>IF(I268="","",I268*Parâmetros!$C$8/15)</f>
        <v>13.179333333333334</v>
      </c>
      <c r="N268" s="106">
        <f>IF(K268="","",K268*Parâmetros!$C$8/15)</f>
        <v>0</v>
      </c>
      <c r="O268" s="28">
        <f>IF(M268="","",M268*Parâmetros!$C$5)</f>
        <v>4217.3866666666672</v>
      </c>
      <c r="P268" s="64" t="str">
        <f>IF(L268="","",IF(L268&gt;=Parâmetros!$C$10,"Sim","Não"))</f>
        <v/>
      </c>
    </row>
    <row r="269" spans="1:16" ht="15" customHeight="1" x14ac:dyDescent="0.3">
      <c r="A269" s="60">
        <v>267</v>
      </c>
      <c r="B269" s="60" t="s">
        <v>450</v>
      </c>
      <c r="C269" s="101" t="s">
        <v>183</v>
      </c>
      <c r="D269" s="101" t="s">
        <v>184</v>
      </c>
      <c r="E269" s="60">
        <v>4</v>
      </c>
      <c r="F269" s="85">
        <v>46221</v>
      </c>
      <c r="G269" s="35">
        <v>385</v>
      </c>
      <c r="H269" s="85">
        <f>IF(COUNTIFS(Pesagens!$B$3:$B$5001,$B269)=0,"",_xlfn.MAXIFS(Pesagens!$A$3:$A$5001,Pesagens!$B$3:$B$5001,$B269,Pesagens!$E$3:$E$5001,"&lt;&gt;"))</f>
        <v>46221</v>
      </c>
      <c r="I269" s="35">
        <f>IF($H269="","",IFERROR(AVERAGEIFS(Pesagens!$E$3:$E$5001,Pesagens!$B$3:$B$5001,$B269,Pesagens!$A$3:$A$5001,$H269),""))</f>
        <v>385</v>
      </c>
      <c r="J269" s="60">
        <f>IF(F269="","",Parâmetros!$C$4-F269)</f>
        <v>17</v>
      </c>
      <c r="K269" s="35">
        <f t="shared" si="8"/>
        <v>0</v>
      </c>
      <c r="L269" s="102" t="str">
        <f t="shared" si="9"/>
        <v/>
      </c>
      <c r="M269" s="103">
        <f>IF(I269="","",I269*Parâmetros!$C$8/15)</f>
        <v>13.603333333333333</v>
      </c>
      <c r="N269" s="103">
        <f>IF(K269="","",K269*Parâmetros!$C$8/15)</f>
        <v>0</v>
      </c>
      <c r="O269" s="26">
        <f>IF(M269="","",M269*Parâmetros!$C$5)</f>
        <v>4353.0666666666666</v>
      </c>
      <c r="P269" s="60" t="str">
        <f>IF(L269="","",IF(L269&gt;=Parâmetros!$C$10,"Sim","Não"))</f>
        <v/>
      </c>
    </row>
    <row r="270" spans="1:16" ht="15" customHeight="1" x14ac:dyDescent="0.3">
      <c r="A270" s="64">
        <v>268</v>
      </c>
      <c r="B270" s="64" t="s">
        <v>451</v>
      </c>
      <c r="C270" s="104" t="s">
        <v>183</v>
      </c>
      <c r="D270" s="104" t="s">
        <v>184</v>
      </c>
      <c r="E270" s="64">
        <v>4</v>
      </c>
      <c r="F270" s="86">
        <v>46221</v>
      </c>
      <c r="G270" s="40">
        <v>383</v>
      </c>
      <c r="H270" s="86">
        <f>IF(COUNTIFS(Pesagens!$B$3:$B$5001,$B270)=0,"",_xlfn.MAXIFS(Pesagens!$A$3:$A$5001,Pesagens!$B$3:$B$5001,$B270,Pesagens!$E$3:$E$5001,"&lt;&gt;"))</f>
        <v>46221</v>
      </c>
      <c r="I270" s="40">
        <f>IF($H270="","",IFERROR(AVERAGEIFS(Pesagens!$E$3:$E$5001,Pesagens!$B$3:$B$5001,$B270,Pesagens!$A$3:$A$5001,$H270),""))</f>
        <v>383</v>
      </c>
      <c r="J270" s="64">
        <f>IF(F270="","",Parâmetros!$C$4-F270)</f>
        <v>17</v>
      </c>
      <c r="K270" s="40">
        <f t="shared" si="8"/>
        <v>0</v>
      </c>
      <c r="L270" s="105" t="str">
        <f t="shared" si="9"/>
        <v/>
      </c>
      <c r="M270" s="106">
        <f>IF(I270="","",I270*Parâmetros!$C$8/15)</f>
        <v>13.532666666666668</v>
      </c>
      <c r="N270" s="106">
        <f>IF(K270="","",K270*Parâmetros!$C$8/15)</f>
        <v>0</v>
      </c>
      <c r="O270" s="28">
        <f>IF(M270="","",M270*Parâmetros!$C$5)</f>
        <v>4330.4533333333338</v>
      </c>
      <c r="P270" s="64" t="str">
        <f>IF(L270="","",IF(L270&gt;=Parâmetros!$C$10,"Sim","Não"))</f>
        <v/>
      </c>
    </row>
    <row r="271" spans="1:16" ht="15" customHeight="1" x14ac:dyDescent="0.3">
      <c r="A271" s="60">
        <v>269</v>
      </c>
      <c r="B271" s="60" t="s">
        <v>452</v>
      </c>
      <c r="C271" s="101" t="s">
        <v>183</v>
      </c>
      <c r="D271" s="101" t="s">
        <v>184</v>
      </c>
      <c r="E271" s="60">
        <v>4</v>
      </c>
      <c r="F271" s="85">
        <v>46221</v>
      </c>
      <c r="G271" s="35">
        <v>373</v>
      </c>
      <c r="H271" s="85">
        <f>IF(COUNTIFS(Pesagens!$B$3:$B$5001,$B271)=0,"",_xlfn.MAXIFS(Pesagens!$A$3:$A$5001,Pesagens!$B$3:$B$5001,$B271,Pesagens!$E$3:$E$5001,"&lt;&gt;"))</f>
        <v>46221</v>
      </c>
      <c r="I271" s="35">
        <f>IF($H271="","",IFERROR(AVERAGEIFS(Pesagens!$E$3:$E$5001,Pesagens!$B$3:$B$5001,$B271,Pesagens!$A$3:$A$5001,$H271),""))</f>
        <v>373</v>
      </c>
      <c r="J271" s="60">
        <f>IF(F271="","",Parâmetros!$C$4-F271)</f>
        <v>17</v>
      </c>
      <c r="K271" s="35">
        <f t="shared" si="8"/>
        <v>0</v>
      </c>
      <c r="L271" s="102" t="str">
        <f t="shared" si="9"/>
        <v/>
      </c>
      <c r="M271" s="103">
        <f>IF(I271="","",I271*Parâmetros!$C$8/15)</f>
        <v>13.179333333333334</v>
      </c>
      <c r="N271" s="103">
        <f>IF(K271="","",K271*Parâmetros!$C$8/15)</f>
        <v>0</v>
      </c>
      <c r="O271" s="26">
        <f>IF(M271="","",M271*Parâmetros!$C$5)</f>
        <v>4217.3866666666672</v>
      </c>
      <c r="P271" s="60" t="str">
        <f>IF(L271="","",IF(L271&gt;=Parâmetros!$C$10,"Sim","Não"))</f>
        <v/>
      </c>
    </row>
    <row r="272" spans="1:16" ht="15" customHeight="1" x14ac:dyDescent="0.3">
      <c r="A272" s="64">
        <v>270</v>
      </c>
      <c r="B272" s="64" t="s">
        <v>453</v>
      </c>
      <c r="C272" s="104" t="s">
        <v>183</v>
      </c>
      <c r="D272" s="104" t="s">
        <v>184</v>
      </c>
      <c r="E272" s="64">
        <v>4</v>
      </c>
      <c r="F272" s="86">
        <v>46221</v>
      </c>
      <c r="G272" s="40">
        <v>375</v>
      </c>
      <c r="H272" s="86">
        <f>IF(COUNTIFS(Pesagens!$B$3:$B$5001,$B272)=0,"",_xlfn.MAXIFS(Pesagens!$A$3:$A$5001,Pesagens!$B$3:$B$5001,$B272,Pesagens!$E$3:$E$5001,"&lt;&gt;"))</f>
        <v>46221</v>
      </c>
      <c r="I272" s="40">
        <f>IF($H272="","",IFERROR(AVERAGEIFS(Pesagens!$E$3:$E$5001,Pesagens!$B$3:$B$5001,$B272,Pesagens!$A$3:$A$5001,$H272),""))</f>
        <v>375</v>
      </c>
      <c r="J272" s="64">
        <f>IF(F272="","",Parâmetros!$C$4-F272)</f>
        <v>17</v>
      </c>
      <c r="K272" s="40">
        <f t="shared" si="8"/>
        <v>0</v>
      </c>
      <c r="L272" s="105" t="str">
        <f t="shared" si="9"/>
        <v/>
      </c>
      <c r="M272" s="106">
        <f>IF(I272="","",I272*Parâmetros!$C$8/15)</f>
        <v>13.25</v>
      </c>
      <c r="N272" s="106">
        <f>IF(K272="","",K272*Parâmetros!$C$8/15)</f>
        <v>0</v>
      </c>
      <c r="O272" s="28">
        <f>IF(M272="","",M272*Parâmetros!$C$5)</f>
        <v>4240</v>
      </c>
      <c r="P272" s="64" t="str">
        <f>IF(L272="","",IF(L272&gt;=Parâmetros!$C$10,"Sim","Não"))</f>
        <v/>
      </c>
    </row>
    <row r="273" spans="1:16" ht="15" customHeight="1" x14ac:dyDescent="0.3">
      <c r="A273" s="60">
        <v>271</v>
      </c>
      <c r="B273" s="60" t="s">
        <v>454</v>
      </c>
      <c r="C273" s="101" t="s">
        <v>183</v>
      </c>
      <c r="D273" s="101" t="s">
        <v>184</v>
      </c>
      <c r="E273" s="60">
        <v>4</v>
      </c>
      <c r="F273" s="85">
        <v>46221</v>
      </c>
      <c r="G273" s="35">
        <v>393</v>
      </c>
      <c r="H273" s="85">
        <f>IF(COUNTIFS(Pesagens!$B$3:$B$5001,$B273)=0,"",_xlfn.MAXIFS(Pesagens!$A$3:$A$5001,Pesagens!$B$3:$B$5001,$B273,Pesagens!$E$3:$E$5001,"&lt;&gt;"))</f>
        <v>46221</v>
      </c>
      <c r="I273" s="35">
        <f>IF($H273="","",IFERROR(AVERAGEIFS(Pesagens!$E$3:$E$5001,Pesagens!$B$3:$B$5001,$B273,Pesagens!$A$3:$A$5001,$H273),""))</f>
        <v>393</v>
      </c>
      <c r="J273" s="60">
        <f>IF(F273="","",Parâmetros!$C$4-F273)</f>
        <v>17</v>
      </c>
      <c r="K273" s="35">
        <f t="shared" si="8"/>
        <v>0</v>
      </c>
      <c r="L273" s="102" t="str">
        <f t="shared" si="9"/>
        <v/>
      </c>
      <c r="M273" s="103">
        <f>IF(I273="","",I273*Parâmetros!$C$8/15)</f>
        <v>13.886000000000001</v>
      </c>
      <c r="N273" s="103">
        <f>IF(K273="","",K273*Parâmetros!$C$8/15)</f>
        <v>0</v>
      </c>
      <c r="O273" s="26">
        <f>IF(M273="","",M273*Parâmetros!$C$5)</f>
        <v>4443.5200000000004</v>
      </c>
      <c r="P273" s="60" t="str">
        <f>IF(L273="","",IF(L273&gt;=Parâmetros!$C$10,"Sim","Não"))</f>
        <v/>
      </c>
    </row>
    <row r="274" spans="1:16" ht="15" customHeight="1" x14ac:dyDescent="0.3">
      <c r="A274" s="64">
        <v>272</v>
      </c>
      <c r="B274" s="64" t="s">
        <v>455</v>
      </c>
      <c r="C274" s="104" t="s">
        <v>183</v>
      </c>
      <c r="D274" s="104" t="s">
        <v>184</v>
      </c>
      <c r="E274" s="64">
        <v>4</v>
      </c>
      <c r="F274" s="86">
        <v>46221</v>
      </c>
      <c r="G274" s="40">
        <v>375</v>
      </c>
      <c r="H274" s="86">
        <f>IF(COUNTIFS(Pesagens!$B$3:$B$5001,$B274)=0,"",_xlfn.MAXIFS(Pesagens!$A$3:$A$5001,Pesagens!$B$3:$B$5001,$B274,Pesagens!$E$3:$E$5001,"&lt;&gt;"))</f>
        <v>46221</v>
      </c>
      <c r="I274" s="40">
        <f>IF($H274="","",IFERROR(AVERAGEIFS(Pesagens!$E$3:$E$5001,Pesagens!$B$3:$B$5001,$B274,Pesagens!$A$3:$A$5001,$H274),""))</f>
        <v>375</v>
      </c>
      <c r="J274" s="64">
        <f>IF(F274="","",Parâmetros!$C$4-F274)</f>
        <v>17</v>
      </c>
      <c r="K274" s="40">
        <f t="shared" si="8"/>
        <v>0</v>
      </c>
      <c r="L274" s="105" t="str">
        <f t="shared" si="9"/>
        <v/>
      </c>
      <c r="M274" s="106">
        <f>IF(I274="","",I274*Parâmetros!$C$8/15)</f>
        <v>13.25</v>
      </c>
      <c r="N274" s="106">
        <f>IF(K274="","",K274*Parâmetros!$C$8/15)</f>
        <v>0</v>
      </c>
      <c r="O274" s="28">
        <f>IF(M274="","",M274*Parâmetros!$C$5)</f>
        <v>4240</v>
      </c>
      <c r="P274" s="64" t="str">
        <f>IF(L274="","",IF(L274&gt;=Parâmetros!$C$10,"Sim","Não"))</f>
        <v/>
      </c>
    </row>
    <row r="275" spans="1:16" ht="15" customHeight="1" x14ac:dyDescent="0.3">
      <c r="A275" s="60">
        <v>273</v>
      </c>
      <c r="B275" s="60" t="s">
        <v>456</v>
      </c>
      <c r="C275" s="101" t="s">
        <v>183</v>
      </c>
      <c r="D275" s="101" t="s">
        <v>184</v>
      </c>
      <c r="E275" s="60">
        <v>4</v>
      </c>
      <c r="F275" s="85">
        <v>46221</v>
      </c>
      <c r="G275" s="35">
        <v>375</v>
      </c>
      <c r="H275" s="85">
        <f>IF(COUNTIFS(Pesagens!$B$3:$B$5001,$B275)=0,"",_xlfn.MAXIFS(Pesagens!$A$3:$A$5001,Pesagens!$B$3:$B$5001,$B275,Pesagens!$E$3:$E$5001,"&lt;&gt;"))</f>
        <v>46221</v>
      </c>
      <c r="I275" s="35">
        <f>IF($H275="","",IFERROR(AVERAGEIFS(Pesagens!$E$3:$E$5001,Pesagens!$B$3:$B$5001,$B275,Pesagens!$A$3:$A$5001,$H275),""))</f>
        <v>375</v>
      </c>
      <c r="J275" s="60">
        <f>IF(F275="","",Parâmetros!$C$4-F275)</f>
        <v>17</v>
      </c>
      <c r="K275" s="35">
        <f t="shared" si="8"/>
        <v>0</v>
      </c>
      <c r="L275" s="102" t="str">
        <f t="shared" si="9"/>
        <v/>
      </c>
      <c r="M275" s="103">
        <f>IF(I275="","",I275*Parâmetros!$C$8/15)</f>
        <v>13.25</v>
      </c>
      <c r="N275" s="103">
        <f>IF(K275="","",K275*Parâmetros!$C$8/15)</f>
        <v>0</v>
      </c>
      <c r="O275" s="26">
        <f>IF(M275="","",M275*Parâmetros!$C$5)</f>
        <v>4240</v>
      </c>
      <c r="P275" s="60" t="str">
        <f>IF(L275="","",IF(L275&gt;=Parâmetros!$C$10,"Sim","Não"))</f>
        <v/>
      </c>
    </row>
    <row r="276" spans="1:16" ht="15" customHeight="1" x14ac:dyDescent="0.3">
      <c r="A276" s="64">
        <v>274</v>
      </c>
      <c r="B276" s="64" t="s">
        <v>457</v>
      </c>
      <c r="C276" s="104" t="s">
        <v>183</v>
      </c>
      <c r="D276" s="104" t="s">
        <v>184</v>
      </c>
      <c r="E276" s="64">
        <v>5</v>
      </c>
      <c r="F276" s="86">
        <v>46224</v>
      </c>
      <c r="G276" s="40">
        <v>366</v>
      </c>
      <c r="H276" s="86">
        <f>IF(COUNTIFS(Pesagens!$B$3:$B$5001,$B276)=0,"",_xlfn.MAXIFS(Pesagens!$A$3:$A$5001,Pesagens!$B$3:$B$5001,$B276,Pesagens!$E$3:$E$5001,"&lt;&gt;"))</f>
        <v>46224</v>
      </c>
      <c r="I276" s="40">
        <f>IF($H276="","",IFERROR(AVERAGEIFS(Pesagens!$E$3:$E$5001,Pesagens!$B$3:$B$5001,$B276,Pesagens!$A$3:$A$5001,$H276),""))</f>
        <v>366</v>
      </c>
      <c r="J276" s="64">
        <f>IF(F276="","",Parâmetros!$C$4-F276)</f>
        <v>14</v>
      </c>
      <c r="K276" s="40">
        <f t="shared" si="8"/>
        <v>0</v>
      </c>
      <c r="L276" s="105" t="str">
        <f t="shared" si="9"/>
        <v/>
      </c>
      <c r="M276" s="106">
        <f>IF(I276="","",I276*Parâmetros!$C$8/15)</f>
        <v>12.932</v>
      </c>
      <c r="N276" s="106">
        <f>IF(K276="","",K276*Parâmetros!$C$8/15)</f>
        <v>0</v>
      </c>
      <c r="O276" s="28">
        <f>IF(M276="","",M276*Parâmetros!$C$5)</f>
        <v>4138.24</v>
      </c>
      <c r="P276" s="64" t="str">
        <f>IF(L276="","",IF(L276&gt;=Parâmetros!$C$10,"Sim","Não"))</f>
        <v/>
      </c>
    </row>
    <row r="277" spans="1:16" ht="15" customHeight="1" x14ac:dyDescent="0.3">
      <c r="A277" s="60">
        <v>275</v>
      </c>
      <c r="B277" s="60" t="s">
        <v>458</v>
      </c>
      <c r="C277" s="101" t="s">
        <v>183</v>
      </c>
      <c r="D277" s="101" t="s">
        <v>184</v>
      </c>
      <c r="E277" s="60">
        <v>5</v>
      </c>
      <c r="F277" s="85">
        <v>46224</v>
      </c>
      <c r="G277" s="35">
        <v>363</v>
      </c>
      <c r="H277" s="85">
        <f>IF(COUNTIFS(Pesagens!$B$3:$B$5001,$B277)=0,"",_xlfn.MAXIFS(Pesagens!$A$3:$A$5001,Pesagens!$B$3:$B$5001,$B277,Pesagens!$E$3:$E$5001,"&lt;&gt;"))</f>
        <v>46224</v>
      </c>
      <c r="I277" s="35">
        <f>IF($H277="","",IFERROR(AVERAGEIFS(Pesagens!$E$3:$E$5001,Pesagens!$B$3:$B$5001,$B277,Pesagens!$A$3:$A$5001,$H277),""))</f>
        <v>363</v>
      </c>
      <c r="J277" s="60">
        <f>IF(F277="","",Parâmetros!$C$4-F277)</f>
        <v>14</v>
      </c>
      <c r="K277" s="35">
        <f t="shared" si="8"/>
        <v>0</v>
      </c>
      <c r="L277" s="102" t="str">
        <f t="shared" si="9"/>
        <v/>
      </c>
      <c r="M277" s="103">
        <f>IF(I277="","",I277*Parâmetros!$C$8/15)</f>
        <v>12.826000000000001</v>
      </c>
      <c r="N277" s="103">
        <f>IF(K277="","",K277*Parâmetros!$C$8/15)</f>
        <v>0</v>
      </c>
      <c r="O277" s="26">
        <f>IF(M277="","",M277*Parâmetros!$C$5)</f>
        <v>4104.32</v>
      </c>
      <c r="P277" s="60" t="str">
        <f>IF(L277="","",IF(L277&gt;=Parâmetros!$C$10,"Sim","Não"))</f>
        <v/>
      </c>
    </row>
    <row r="278" spans="1:16" ht="15" customHeight="1" x14ac:dyDescent="0.3">
      <c r="A278" s="64">
        <v>276</v>
      </c>
      <c r="B278" s="64" t="s">
        <v>459</v>
      </c>
      <c r="C278" s="104" t="s">
        <v>183</v>
      </c>
      <c r="D278" s="104" t="s">
        <v>184</v>
      </c>
      <c r="E278" s="64">
        <v>5</v>
      </c>
      <c r="F278" s="86">
        <v>46224</v>
      </c>
      <c r="G278" s="40">
        <v>360</v>
      </c>
      <c r="H278" s="86">
        <f>IF(COUNTIFS(Pesagens!$B$3:$B$5001,$B278)=0,"",_xlfn.MAXIFS(Pesagens!$A$3:$A$5001,Pesagens!$B$3:$B$5001,$B278,Pesagens!$E$3:$E$5001,"&lt;&gt;"))</f>
        <v>46224</v>
      </c>
      <c r="I278" s="40">
        <f>IF($H278="","",IFERROR(AVERAGEIFS(Pesagens!$E$3:$E$5001,Pesagens!$B$3:$B$5001,$B278,Pesagens!$A$3:$A$5001,$H278),""))</f>
        <v>360</v>
      </c>
      <c r="J278" s="64">
        <f>IF(F278="","",Parâmetros!$C$4-F278)</f>
        <v>14</v>
      </c>
      <c r="K278" s="40">
        <f t="shared" si="8"/>
        <v>0</v>
      </c>
      <c r="L278" s="105" t="str">
        <f t="shared" si="9"/>
        <v/>
      </c>
      <c r="M278" s="106">
        <f>IF(I278="","",I278*Parâmetros!$C$8/15)</f>
        <v>12.72</v>
      </c>
      <c r="N278" s="106">
        <f>IF(K278="","",K278*Parâmetros!$C$8/15)</f>
        <v>0</v>
      </c>
      <c r="O278" s="28">
        <f>IF(M278="","",M278*Parâmetros!$C$5)</f>
        <v>4070.4</v>
      </c>
      <c r="P278" s="64" t="str">
        <f>IF(L278="","",IF(L278&gt;=Parâmetros!$C$10,"Sim","Não"))</f>
        <v/>
      </c>
    </row>
    <row r="279" spans="1:16" ht="15" customHeight="1" x14ac:dyDescent="0.3">
      <c r="A279" s="60">
        <v>277</v>
      </c>
      <c r="B279" s="60" t="s">
        <v>460</v>
      </c>
      <c r="C279" s="101" t="s">
        <v>183</v>
      </c>
      <c r="D279" s="101" t="s">
        <v>184</v>
      </c>
      <c r="E279" s="60">
        <v>5</v>
      </c>
      <c r="F279" s="85">
        <v>46224</v>
      </c>
      <c r="G279" s="35">
        <v>369</v>
      </c>
      <c r="H279" s="85">
        <f>IF(COUNTIFS(Pesagens!$B$3:$B$5001,$B279)=0,"",_xlfn.MAXIFS(Pesagens!$A$3:$A$5001,Pesagens!$B$3:$B$5001,$B279,Pesagens!$E$3:$E$5001,"&lt;&gt;"))</f>
        <v>46224</v>
      </c>
      <c r="I279" s="35">
        <f>IF($H279="","",IFERROR(AVERAGEIFS(Pesagens!$E$3:$E$5001,Pesagens!$B$3:$B$5001,$B279,Pesagens!$A$3:$A$5001,$H279),""))</f>
        <v>369</v>
      </c>
      <c r="J279" s="60">
        <f>IF(F279="","",Parâmetros!$C$4-F279)</f>
        <v>14</v>
      </c>
      <c r="K279" s="35">
        <f t="shared" si="8"/>
        <v>0</v>
      </c>
      <c r="L279" s="102" t="str">
        <f t="shared" si="9"/>
        <v/>
      </c>
      <c r="M279" s="103">
        <f>IF(I279="","",I279*Parâmetros!$C$8/15)</f>
        <v>13.038000000000002</v>
      </c>
      <c r="N279" s="103">
        <f>IF(K279="","",K279*Parâmetros!$C$8/15)</f>
        <v>0</v>
      </c>
      <c r="O279" s="26">
        <f>IF(M279="","",M279*Parâmetros!$C$5)</f>
        <v>4172.1600000000008</v>
      </c>
      <c r="P279" s="60" t="str">
        <f>IF(L279="","",IF(L279&gt;=Parâmetros!$C$10,"Sim","Não"))</f>
        <v/>
      </c>
    </row>
    <row r="280" spans="1:16" ht="15" customHeight="1" x14ac:dyDescent="0.3">
      <c r="A280" s="64">
        <v>278</v>
      </c>
      <c r="B280" s="64" t="s">
        <v>461</v>
      </c>
      <c r="C280" s="104" t="s">
        <v>183</v>
      </c>
      <c r="D280" s="104" t="s">
        <v>184</v>
      </c>
      <c r="E280" s="64">
        <v>5</v>
      </c>
      <c r="F280" s="86">
        <v>46224</v>
      </c>
      <c r="G280" s="40">
        <v>356</v>
      </c>
      <c r="H280" s="86">
        <f>IF(COUNTIFS(Pesagens!$B$3:$B$5001,$B280)=0,"",_xlfn.MAXIFS(Pesagens!$A$3:$A$5001,Pesagens!$B$3:$B$5001,$B280,Pesagens!$E$3:$E$5001,"&lt;&gt;"))</f>
        <v>46224</v>
      </c>
      <c r="I280" s="40">
        <f>IF($H280="","",IFERROR(AVERAGEIFS(Pesagens!$E$3:$E$5001,Pesagens!$B$3:$B$5001,$B280,Pesagens!$A$3:$A$5001,$H280),""))</f>
        <v>356</v>
      </c>
      <c r="J280" s="64">
        <f>IF(F280="","",Parâmetros!$C$4-F280)</f>
        <v>14</v>
      </c>
      <c r="K280" s="40">
        <f t="shared" si="8"/>
        <v>0</v>
      </c>
      <c r="L280" s="105" t="str">
        <f t="shared" si="9"/>
        <v/>
      </c>
      <c r="M280" s="106">
        <f>IF(I280="","",I280*Parâmetros!$C$8/15)</f>
        <v>12.578666666666667</v>
      </c>
      <c r="N280" s="106">
        <f>IF(K280="","",K280*Parâmetros!$C$8/15)</f>
        <v>0</v>
      </c>
      <c r="O280" s="28">
        <f>IF(M280="","",M280*Parâmetros!$C$5)</f>
        <v>4025.1733333333332</v>
      </c>
      <c r="P280" s="64" t="str">
        <f>IF(L280="","",IF(L280&gt;=Parâmetros!$C$10,"Sim","Não"))</f>
        <v/>
      </c>
    </row>
    <row r="281" spans="1:16" ht="15" customHeight="1" x14ac:dyDescent="0.3">
      <c r="A281" s="60">
        <v>279</v>
      </c>
      <c r="B281" s="60" t="s">
        <v>462</v>
      </c>
      <c r="C281" s="101" t="s">
        <v>183</v>
      </c>
      <c r="D281" s="101" t="s">
        <v>184</v>
      </c>
      <c r="E281" s="60">
        <v>5</v>
      </c>
      <c r="F281" s="85">
        <v>46224</v>
      </c>
      <c r="G281" s="35">
        <v>368</v>
      </c>
      <c r="H281" s="85">
        <f>IF(COUNTIFS(Pesagens!$B$3:$B$5001,$B281)=0,"",_xlfn.MAXIFS(Pesagens!$A$3:$A$5001,Pesagens!$B$3:$B$5001,$B281,Pesagens!$E$3:$E$5001,"&lt;&gt;"))</f>
        <v>46224</v>
      </c>
      <c r="I281" s="35">
        <f>IF($H281="","",IFERROR(AVERAGEIFS(Pesagens!$E$3:$E$5001,Pesagens!$B$3:$B$5001,$B281,Pesagens!$A$3:$A$5001,$H281),""))</f>
        <v>368</v>
      </c>
      <c r="J281" s="60">
        <f>IF(F281="","",Parâmetros!$C$4-F281)</f>
        <v>14</v>
      </c>
      <c r="K281" s="35">
        <f t="shared" si="8"/>
        <v>0</v>
      </c>
      <c r="L281" s="102" t="str">
        <f t="shared" si="9"/>
        <v/>
      </c>
      <c r="M281" s="103">
        <f>IF(I281="","",I281*Parâmetros!$C$8/15)</f>
        <v>13.002666666666668</v>
      </c>
      <c r="N281" s="103">
        <f>IF(K281="","",K281*Parâmetros!$C$8/15)</f>
        <v>0</v>
      </c>
      <c r="O281" s="26">
        <f>IF(M281="","",M281*Parâmetros!$C$5)</f>
        <v>4160.8533333333335</v>
      </c>
      <c r="P281" s="60" t="str">
        <f>IF(L281="","",IF(L281&gt;=Parâmetros!$C$10,"Sim","Não"))</f>
        <v/>
      </c>
    </row>
    <row r="282" spans="1:16" ht="15" customHeight="1" x14ac:dyDescent="0.3">
      <c r="A282" s="64">
        <v>280</v>
      </c>
      <c r="B282" s="64" t="s">
        <v>463</v>
      </c>
      <c r="C282" s="104" t="s">
        <v>183</v>
      </c>
      <c r="D282" s="104" t="s">
        <v>184</v>
      </c>
      <c r="E282" s="64">
        <v>5</v>
      </c>
      <c r="F282" s="86">
        <v>46224</v>
      </c>
      <c r="G282" s="40">
        <v>356</v>
      </c>
      <c r="H282" s="86">
        <f>IF(COUNTIFS(Pesagens!$B$3:$B$5001,$B282)=0,"",_xlfn.MAXIFS(Pesagens!$A$3:$A$5001,Pesagens!$B$3:$B$5001,$B282,Pesagens!$E$3:$E$5001,"&lt;&gt;"))</f>
        <v>46224</v>
      </c>
      <c r="I282" s="40">
        <f>IF($H282="","",IFERROR(AVERAGEIFS(Pesagens!$E$3:$E$5001,Pesagens!$B$3:$B$5001,$B282,Pesagens!$A$3:$A$5001,$H282),""))</f>
        <v>356</v>
      </c>
      <c r="J282" s="64">
        <f>IF(F282="","",Parâmetros!$C$4-F282)</f>
        <v>14</v>
      </c>
      <c r="K282" s="40">
        <f t="shared" si="8"/>
        <v>0</v>
      </c>
      <c r="L282" s="105" t="str">
        <f t="shared" si="9"/>
        <v/>
      </c>
      <c r="M282" s="106">
        <f>IF(I282="","",I282*Parâmetros!$C$8/15)</f>
        <v>12.578666666666667</v>
      </c>
      <c r="N282" s="106">
        <f>IF(K282="","",K282*Parâmetros!$C$8/15)</f>
        <v>0</v>
      </c>
      <c r="O282" s="28">
        <f>IF(M282="","",M282*Parâmetros!$C$5)</f>
        <v>4025.1733333333332</v>
      </c>
      <c r="P282" s="64" t="str">
        <f>IF(L282="","",IF(L282&gt;=Parâmetros!$C$10,"Sim","Não"))</f>
        <v/>
      </c>
    </row>
    <row r="283" spans="1:16" ht="15" customHeight="1" x14ac:dyDescent="0.3">
      <c r="A283" s="60">
        <v>281</v>
      </c>
      <c r="B283" s="60" t="s">
        <v>464</v>
      </c>
      <c r="C283" s="101" t="s">
        <v>183</v>
      </c>
      <c r="D283" s="101" t="s">
        <v>184</v>
      </c>
      <c r="E283" s="60">
        <v>5</v>
      </c>
      <c r="F283" s="85">
        <v>46224</v>
      </c>
      <c r="G283" s="35">
        <v>363</v>
      </c>
      <c r="H283" s="85">
        <f>IF(COUNTIFS(Pesagens!$B$3:$B$5001,$B283)=0,"",_xlfn.MAXIFS(Pesagens!$A$3:$A$5001,Pesagens!$B$3:$B$5001,$B283,Pesagens!$E$3:$E$5001,"&lt;&gt;"))</f>
        <v>46224</v>
      </c>
      <c r="I283" s="35">
        <f>IF($H283="","",IFERROR(AVERAGEIFS(Pesagens!$E$3:$E$5001,Pesagens!$B$3:$B$5001,$B283,Pesagens!$A$3:$A$5001,$H283),""))</f>
        <v>363</v>
      </c>
      <c r="J283" s="60">
        <f>IF(F283="","",Parâmetros!$C$4-F283)</f>
        <v>14</v>
      </c>
      <c r="K283" s="35">
        <f t="shared" si="8"/>
        <v>0</v>
      </c>
      <c r="L283" s="102" t="str">
        <f t="shared" si="9"/>
        <v/>
      </c>
      <c r="M283" s="103">
        <f>IF(I283="","",I283*Parâmetros!$C$8/15)</f>
        <v>12.826000000000001</v>
      </c>
      <c r="N283" s="103">
        <f>IF(K283="","",K283*Parâmetros!$C$8/15)</f>
        <v>0</v>
      </c>
      <c r="O283" s="26">
        <f>IF(M283="","",M283*Parâmetros!$C$5)</f>
        <v>4104.32</v>
      </c>
      <c r="P283" s="60" t="str">
        <f>IF(L283="","",IF(L283&gt;=Parâmetros!$C$10,"Sim","Não"))</f>
        <v/>
      </c>
    </row>
    <row r="284" spans="1:16" ht="15" customHeight="1" x14ac:dyDescent="0.3">
      <c r="A284" s="64">
        <v>282</v>
      </c>
      <c r="B284" s="64" t="s">
        <v>465</v>
      </c>
      <c r="C284" s="104" t="s">
        <v>183</v>
      </c>
      <c r="D284" s="104" t="s">
        <v>184</v>
      </c>
      <c r="E284" s="64">
        <v>5</v>
      </c>
      <c r="F284" s="86">
        <v>46224</v>
      </c>
      <c r="G284" s="40">
        <v>369</v>
      </c>
      <c r="H284" s="86">
        <f>IF(COUNTIFS(Pesagens!$B$3:$B$5001,$B284)=0,"",_xlfn.MAXIFS(Pesagens!$A$3:$A$5001,Pesagens!$B$3:$B$5001,$B284,Pesagens!$E$3:$E$5001,"&lt;&gt;"))</f>
        <v>46224</v>
      </c>
      <c r="I284" s="40">
        <f>IF($H284="","",IFERROR(AVERAGEIFS(Pesagens!$E$3:$E$5001,Pesagens!$B$3:$B$5001,$B284,Pesagens!$A$3:$A$5001,$H284),""))</f>
        <v>369</v>
      </c>
      <c r="J284" s="64">
        <f>IF(F284="","",Parâmetros!$C$4-F284)</f>
        <v>14</v>
      </c>
      <c r="K284" s="40">
        <f t="shared" si="8"/>
        <v>0</v>
      </c>
      <c r="L284" s="105" t="str">
        <f t="shared" si="9"/>
        <v/>
      </c>
      <c r="M284" s="106">
        <f>IF(I284="","",I284*Parâmetros!$C$8/15)</f>
        <v>13.038000000000002</v>
      </c>
      <c r="N284" s="106">
        <f>IF(K284="","",K284*Parâmetros!$C$8/15)</f>
        <v>0</v>
      </c>
      <c r="O284" s="28">
        <f>IF(M284="","",M284*Parâmetros!$C$5)</f>
        <v>4172.1600000000008</v>
      </c>
      <c r="P284" s="64" t="str">
        <f>IF(L284="","",IF(L284&gt;=Parâmetros!$C$10,"Sim","Não"))</f>
        <v/>
      </c>
    </row>
    <row r="285" spans="1:16" ht="15" customHeight="1" x14ac:dyDescent="0.3">
      <c r="A285" s="60">
        <v>283</v>
      </c>
      <c r="B285" s="60" t="s">
        <v>466</v>
      </c>
      <c r="C285" s="101" t="s">
        <v>183</v>
      </c>
      <c r="D285" s="101" t="s">
        <v>184</v>
      </c>
      <c r="E285" s="60">
        <v>5</v>
      </c>
      <c r="F285" s="85">
        <v>46224</v>
      </c>
      <c r="G285" s="35">
        <v>365</v>
      </c>
      <c r="H285" s="85">
        <f>IF(COUNTIFS(Pesagens!$B$3:$B$5001,$B285)=0,"",_xlfn.MAXIFS(Pesagens!$A$3:$A$5001,Pesagens!$B$3:$B$5001,$B285,Pesagens!$E$3:$E$5001,"&lt;&gt;"))</f>
        <v>46224</v>
      </c>
      <c r="I285" s="35">
        <f>IF($H285="","",IFERROR(AVERAGEIFS(Pesagens!$E$3:$E$5001,Pesagens!$B$3:$B$5001,$B285,Pesagens!$A$3:$A$5001,$H285),""))</f>
        <v>365</v>
      </c>
      <c r="J285" s="60">
        <f>IF(F285="","",Parâmetros!$C$4-F285)</f>
        <v>14</v>
      </c>
      <c r="K285" s="35">
        <f t="shared" si="8"/>
        <v>0</v>
      </c>
      <c r="L285" s="102" t="str">
        <f t="shared" si="9"/>
        <v/>
      </c>
      <c r="M285" s="103">
        <f>IF(I285="","",I285*Parâmetros!$C$8/15)</f>
        <v>12.896666666666668</v>
      </c>
      <c r="N285" s="103">
        <f>IF(K285="","",K285*Parâmetros!$C$8/15)</f>
        <v>0</v>
      </c>
      <c r="O285" s="26">
        <f>IF(M285="","",M285*Parâmetros!$C$5)</f>
        <v>4126.9333333333343</v>
      </c>
      <c r="P285" s="60" t="str">
        <f>IF(L285="","",IF(L285&gt;=Parâmetros!$C$10,"Sim","Não"))</f>
        <v/>
      </c>
    </row>
    <row r="286" spans="1:16" ht="15" customHeight="1" x14ac:dyDescent="0.3">
      <c r="A286" s="64">
        <v>284</v>
      </c>
      <c r="B286" s="64" t="s">
        <v>467</v>
      </c>
      <c r="C286" s="104" t="s">
        <v>183</v>
      </c>
      <c r="D286" s="104" t="s">
        <v>184</v>
      </c>
      <c r="E286" s="64">
        <v>5</v>
      </c>
      <c r="F286" s="86">
        <v>46224</v>
      </c>
      <c r="G286" s="40">
        <v>362</v>
      </c>
      <c r="H286" s="86">
        <f>IF(COUNTIFS(Pesagens!$B$3:$B$5001,$B286)=0,"",_xlfn.MAXIFS(Pesagens!$A$3:$A$5001,Pesagens!$B$3:$B$5001,$B286,Pesagens!$E$3:$E$5001,"&lt;&gt;"))</f>
        <v>46224</v>
      </c>
      <c r="I286" s="40">
        <f>IF($H286="","",IFERROR(AVERAGEIFS(Pesagens!$E$3:$E$5001,Pesagens!$B$3:$B$5001,$B286,Pesagens!$A$3:$A$5001,$H286),""))</f>
        <v>362</v>
      </c>
      <c r="J286" s="64">
        <f>IF(F286="","",Parâmetros!$C$4-F286)</f>
        <v>14</v>
      </c>
      <c r="K286" s="40">
        <f t="shared" si="8"/>
        <v>0</v>
      </c>
      <c r="L286" s="105" t="str">
        <f t="shared" si="9"/>
        <v/>
      </c>
      <c r="M286" s="106">
        <f>IF(I286="","",I286*Parâmetros!$C$8/15)</f>
        <v>12.790666666666668</v>
      </c>
      <c r="N286" s="106">
        <f>IF(K286="","",K286*Parâmetros!$C$8/15)</f>
        <v>0</v>
      </c>
      <c r="O286" s="28">
        <f>IF(M286="","",M286*Parâmetros!$C$5)</f>
        <v>4093.0133333333338</v>
      </c>
      <c r="P286" s="64" t="str">
        <f>IF(L286="","",IF(L286&gt;=Parâmetros!$C$10,"Sim","Não"))</f>
        <v/>
      </c>
    </row>
    <row r="287" spans="1:16" ht="15" customHeight="1" x14ac:dyDescent="0.3">
      <c r="A287" s="60">
        <v>285</v>
      </c>
      <c r="B287" s="60" t="s">
        <v>468</v>
      </c>
      <c r="C287" s="101" t="s">
        <v>183</v>
      </c>
      <c r="D287" s="101" t="s">
        <v>184</v>
      </c>
      <c r="E287" s="60">
        <v>5</v>
      </c>
      <c r="F287" s="85">
        <v>46224</v>
      </c>
      <c r="G287" s="35">
        <v>362</v>
      </c>
      <c r="H287" s="85">
        <f>IF(COUNTIFS(Pesagens!$B$3:$B$5001,$B287)=0,"",_xlfn.MAXIFS(Pesagens!$A$3:$A$5001,Pesagens!$B$3:$B$5001,$B287,Pesagens!$E$3:$E$5001,"&lt;&gt;"))</f>
        <v>46224</v>
      </c>
      <c r="I287" s="35">
        <f>IF($H287="","",IFERROR(AVERAGEIFS(Pesagens!$E$3:$E$5001,Pesagens!$B$3:$B$5001,$B287,Pesagens!$A$3:$A$5001,$H287),""))</f>
        <v>362</v>
      </c>
      <c r="J287" s="60">
        <f>IF(F287="","",Parâmetros!$C$4-F287)</f>
        <v>14</v>
      </c>
      <c r="K287" s="35">
        <f t="shared" si="8"/>
        <v>0</v>
      </c>
      <c r="L287" s="102" t="str">
        <f t="shared" si="9"/>
        <v/>
      </c>
      <c r="M287" s="103">
        <f>IF(I287="","",I287*Parâmetros!$C$8/15)</f>
        <v>12.790666666666668</v>
      </c>
      <c r="N287" s="103">
        <f>IF(K287="","",K287*Parâmetros!$C$8/15)</f>
        <v>0</v>
      </c>
      <c r="O287" s="26">
        <f>IF(M287="","",M287*Parâmetros!$C$5)</f>
        <v>4093.0133333333338</v>
      </c>
      <c r="P287" s="60" t="str">
        <f>IF(L287="","",IF(L287&gt;=Parâmetros!$C$10,"Sim","Não"))</f>
        <v/>
      </c>
    </row>
    <row r="288" spans="1:16" ht="15" customHeight="1" x14ac:dyDescent="0.3">
      <c r="A288" s="64">
        <v>286</v>
      </c>
      <c r="B288" s="64" t="s">
        <v>469</v>
      </c>
      <c r="C288" s="104" t="s">
        <v>183</v>
      </c>
      <c r="D288" s="104" t="s">
        <v>184</v>
      </c>
      <c r="E288" s="64">
        <v>5</v>
      </c>
      <c r="F288" s="86">
        <v>46224</v>
      </c>
      <c r="G288" s="40">
        <v>368</v>
      </c>
      <c r="H288" s="86">
        <f>IF(COUNTIFS(Pesagens!$B$3:$B$5001,$B288)=0,"",_xlfn.MAXIFS(Pesagens!$A$3:$A$5001,Pesagens!$B$3:$B$5001,$B288,Pesagens!$E$3:$E$5001,"&lt;&gt;"))</f>
        <v>46224</v>
      </c>
      <c r="I288" s="40">
        <f>IF($H288="","",IFERROR(AVERAGEIFS(Pesagens!$E$3:$E$5001,Pesagens!$B$3:$B$5001,$B288,Pesagens!$A$3:$A$5001,$H288),""))</f>
        <v>368</v>
      </c>
      <c r="J288" s="64">
        <f>IF(F288="","",Parâmetros!$C$4-F288)</f>
        <v>14</v>
      </c>
      <c r="K288" s="40">
        <f t="shared" si="8"/>
        <v>0</v>
      </c>
      <c r="L288" s="105" t="str">
        <f t="shared" si="9"/>
        <v/>
      </c>
      <c r="M288" s="106">
        <f>IF(I288="","",I288*Parâmetros!$C$8/15)</f>
        <v>13.002666666666668</v>
      </c>
      <c r="N288" s="106">
        <f>IF(K288="","",K288*Parâmetros!$C$8/15)</f>
        <v>0</v>
      </c>
      <c r="O288" s="28">
        <f>IF(M288="","",M288*Parâmetros!$C$5)</f>
        <v>4160.8533333333335</v>
      </c>
      <c r="P288" s="64" t="str">
        <f>IF(L288="","",IF(L288&gt;=Parâmetros!$C$10,"Sim","Não"))</f>
        <v/>
      </c>
    </row>
    <row r="289" spans="1:16" ht="15" customHeight="1" x14ac:dyDescent="0.3">
      <c r="A289" s="60">
        <v>287</v>
      </c>
      <c r="B289" s="60" t="s">
        <v>470</v>
      </c>
      <c r="C289" s="101" t="s">
        <v>183</v>
      </c>
      <c r="D289" s="101" t="s">
        <v>184</v>
      </c>
      <c r="E289" s="60">
        <v>5</v>
      </c>
      <c r="F289" s="85">
        <v>46224</v>
      </c>
      <c r="G289" s="35">
        <v>355</v>
      </c>
      <c r="H289" s="85">
        <f>IF(COUNTIFS(Pesagens!$B$3:$B$5001,$B289)=0,"",_xlfn.MAXIFS(Pesagens!$A$3:$A$5001,Pesagens!$B$3:$B$5001,$B289,Pesagens!$E$3:$E$5001,"&lt;&gt;"))</f>
        <v>46224</v>
      </c>
      <c r="I289" s="35">
        <f>IF($H289="","",IFERROR(AVERAGEIFS(Pesagens!$E$3:$E$5001,Pesagens!$B$3:$B$5001,$B289,Pesagens!$A$3:$A$5001,$H289),""))</f>
        <v>355</v>
      </c>
      <c r="J289" s="60">
        <f>IF(F289="","",Parâmetros!$C$4-F289)</f>
        <v>14</v>
      </c>
      <c r="K289" s="35">
        <f t="shared" si="8"/>
        <v>0</v>
      </c>
      <c r="L289" s="102" t="str">
        <f t="shared" si="9"/>
        <v/>
      </c>
      <c r="M289" s="103">
        <f>IF(I289="","",I289*Parâmetros!$C$8/15)</f>
        <v>12.543333333333333</v>
      </c>
      <c r="N289" s="103">
        <f>IF(K289="","",K289*Parâmetros!$C$8/15)</f>
        <v>0</v>
      </c>
      <c r="O289" s="26">
        <f>IF(M289="","",M289*Parâmetros!$C$5)</f>
        <v>4013.8666666666668</v>
      </c>
      <c r="P289" s="60" t="str">
        <f>IF(L289="","",IF(L289&gt;=Parâmetros!$C$10,"Sim","Não"))</f>
        <v/>
      </c>
    </row>
    <row r="290" spans="1:16" ht="15" customHeight="1" x14ac:dyDescent="0.3">
      <c r="A290" s="64">
        <v>288</v>
      </c>
      <c r="B290" s="64" t="s">
        <v>471</v>
      </c>
      <c r="C290" s="104" t="s">
        <v>183</v>
      </c>
      <c r="D290" s="104" t="s">
        <v>184</v>
      </c>
      <c r="E290" s="64">
        <v>5</v>
      </c>
      <c r="F290" s="86">
        <v>46221</v>
      </c>
      <c r="G290" s="40">
        <v>366</v>
      </c>
      <c r="H290" s="86">
        <f>IF(COUNTIFS(Pesagens!$B$3:$B$5001,$B290)=0,"",_xlfn.MAXIFS(Pesagens!$A$3:$A$5001,Pesagens!$B$3:$B$5001,$B290,Pesagens!$E$3:$E$5001,"&lt;&gt;"))</f>
        <v>46221</v>
      </c>
      <c r="I290" s="40">
        <f>IF($H290="","",IFERROR(AVERAGEIFS(Pesagens!$E$3:$E$5001,Pesagens!$B$3:$B$5001,$B290,Pesagens!$A$3:$A$5001,$H290),""))</f>
        <v>366</v>
      </c>
      <c r="J290" s="64">
        <f>IF(F290="","",Parâmetros!$C$4-F290)</f>
        <v>17</v>
      </c>
      <c r="K290" s="40">
        <f t="shared" si="8"/>
        <v>0</v>
      </c>
      <c r="L290" s="105" t="str">
        <f t="shared" si="9"/>
        <v/>
      </c>
      <c r="M290" s="106">
        <f>IF(I290="","",I290*Parâmetros!$C$8/15)</f>
        <v>12.932</v>
      </c>
      <c r="N290" s="106">
        <f>IF(K290="","",K290*Parâmetros!$C$8/15)</f>
        <v>0</v>
      </c>
      <c r="O290" s="28">
        <f>IF(M290="","",M290*Parâmetros!$C$5)</f>
        <v>4138.24</v>
      </c>
      <c r="P290" s="64" t="str">
        <f>IF(L290="","",IF(L290&gt;=Parâmetros!$C$10,"Sim","Não"))</f>
        <v/>
      </c>
    </row>
    <row r="291" spans="1:16" ht="15" customHeight="1" x14ac:dyDescent="0.3">
      <c r="A291" s="60">
        <v>289</v>
      </c>
      <c r="B291" s="60" t="s">
        <v>472</v>
      </c>
      <c r="C291" s="101" t="s">
        <v>183</v>
      </c>
      <c r="D291" s="101" t="s">
        <v>184</v>
      </c>
      <c r="E291" s="60">
        <v>5</v>
      </c>
      <c r="F291" s="85">
        <v>46221</v>
      </c>
      <c r="G291" s="35">
        <v>369</v>
      </c>
      <c r="H291" s="85">
        <f>IF(COUNTIFS(Pesagens!$B$3:$B$5001,$B291)=0,"",_xlfn.MAXIFS(Pesagens!$A$3:$A$5001,Pesagens!$B$3:$B$5001,$B291,Pesagens!$E$3:$E$5001,"&lt;&gt;"))</f>
        <v>46221</v>
      </c>
      <c r="I291" s="35">
        <f>IF($H291="","",IFERROR(AVERAGEIFS(Pesagens!$E$3:$E$5001,Pesagens!$B$3:$B$5001,$B291,Pesagens!$A$3:$A$5001,$H291),""))</f>
        <v>369</v>
      </c>
      <c r="J291" s="60">
        <f>IF(F291="","",Parâmetros!$C$4-F291)</f>
        <v>17</v>
      </c>
      <c r="K291" s="35">
        <f t="shared" si="8"/>
        <v>0</v>
      </c>
      <c r="L291" s="102" t="str">
        <f t="shared" si="9"/>
        <v/>
      </c>
      <c r="M291" s="103">
        <f>IF(I291="","",I291*Parâmetros!$C$8/15)</f>
        <v>13.038000000000002</v>
      </c>
      <c r="N291" s="103">
        <f>IF(K291="","",K291*Parâmetros!$C$8/15)</f>
        <v>0</v>
      </c>
      <c r="O291" s="26">
        <f>IF(M291="","",M291*Parâmetros!$C$5)</f>
        <v>4172.1600000000008</v>
      </c>
      <c r="P291" s="60" t="str">
        <f>IF(L291="","",IF(L291&gt;=Parâmetros!$C$10,"Sim","Não"))</f>
        <v/>
      </c>
    </row>
    <row r="292" spans="1:16" ht="15" customHeight="1" x14ac:dyDescent="0.3">
      <c r="A292" s="64">
        <v>290</v>
      </c>
      <c r="B292" s="64" t="s">
        <v>473</v>
      </c>
      <c r="C292" s="104" t="s">
        <v>183</v>
      </c>
      <c r="D292" s="104" t="s">
        <v>184</v>
      </c>
      <c r="E292" s="64">
        <v>5</v>
      </c>
      <c r="F292" s="86">
        <v>46221</v>
      </c>
      <c r="G292" s="40">
        <v>366</v>
      </c>
      <c r="H292" s="86">
        <f>IF(COUNTIFS(Pesagens!$B$3:$B$5001,$B292)=0,"",_xlfn.MAXIFS(Pesagens!$A$3:$A$5001,Pesagens!$B$3:$B$5001,$B292,Pesagens!$E$3:$E$5001,"&lt;&gt;"))</f>
        <v>46221</v>
      </c>
      <c r="I292" s="40">
        <f>IF($H292="","",IFERROR(AVERAGEIFS(Pesagens!$E$3:$E$5001,Pesagens!$B$3:$B$5001,$B292,Pesagens!$A$3:$A$5001,$H292),""))</f>
        <v>366</v>
      </c>
      <c r="J292" s="64">
        <f>IF(F292="","",Parâmetros!$C$4-F292)</f>
        <v>17</v>
      </c>
      <c r="K292" s="40">
        <f t="shared" si="8"/>
        <v>0</v>
      </c>
      <c r="L292" s="105" t="str">
        <f t="shared" si="9"/>
        <v/>
      </c>
      <c r="M292" s="106">
        <f>IF(I292="","",I292*Parâmetros!$C$8/15)</f>
        <v>12.932</v>
      </c>
      <c r="N292" s="106">
        <f>IF(K292="","",K292*Parâmetros!$C$8/15)</f>
        <v>0</v>
      </c>
      <c r="O292" s="28">
        <f>IF(M292="","",M292*Parâmetros!$C$5)</f>
        <v>4138.24</v>
      </c>
      <c r="P292" s="64" t="str">
        <f>IF(L292="","",IF(L292&gt;=Parâmetros!$C$10,"Sim","Não"))</f>
        <v/>
      </c>
    </row>
    <row r="293" spans="1:16" ht="15" customHeight="1" x14ac:dyDescent="0.3">
      <c r="A293" s="60">
        <v>291</v>
      </c>
      <c r="B293" s="60" t="s">
        <v>474</v>
      </c>
      <c r="C293" s="101" t="s">
        <v>183</v>
      </c>
      <c r="D293" s="101" t="s">
        <v>184</v>
      </c>
      <c r="E293" s="60">
        <v>5</v>
      </c>
      <c r="F293" s="85">
        <v>46221</v>
      </c>
      <c r="G293" s="35">
        <v>365</v>
      </c>
      <c r="H293" s="85">
        <f>IF(COUNTIFS(Pesagens!$B$3:$B$5001,$B293)=0,"",_xlfn.MAXIFS(Pesagens!$A$3:$A$5001,Pesagens!$B$3:$B$5001,$B293,Pesagens!$E$3:$E$5001,"&lt;&gt;"))</f>
        <v>46221</v>
      </c>
      <c r="I293" s="35">
        <f>IF($H293="","",IFERROR(AVERAGEIFS(Pesagens!$E$3:$E$5001,Pesagens!$B$3:$B$5001,$B293,Pesagens!$A$3:$A$5001,$H293),""))</f>
        <v>365</v>
      </c>
      <c r="J293" s="60">
        <f>IF(F293="","",Parâmetros!$C$4-F293)</f>
        <v>17</v>
      </c>
      <c r="K293" s="35">
        <f t="shared" si="8"/>
        <v>0</v>
      </c>
      <c r="L293" s="102" t="str">
        <f t="shared" si="9"/>
        <v/>
      </c>
      <c r="M293" s="103">
        <f>IF(I293="","",I293*Parâmetros!$C$8/15)</f>
        <v>12.896666666666668</v>
      </c>
      <c r="N293" s="103">
        <f>IF(K293="","",K293*Parâmetros!$C$8/15)</f>
        <v>0</v>
      </c>
      <c r="O293" s="26">
        <f>IF(M293="","",M293*Parâmetros!$C$5)</f>
        <v>4126.9333333333343</v>
      </c>
      <c r="P293" s="60" t="str">
        <f>IF(L293="","",IF(L293&gt;=Parâmetros!$C$10,"Sim","Não"))</f>
        <v/>
      </c>
    </row>
    <row r="294" spans="1:16" ht="15" customHeight="1" x14ac:dyDescent="0.3">
      <c r="A294" s="64">
        <v>292</v>
      </c>
      <c r="B294" s="64" t="s">
        <v>475</v>
      </c>
      <c r="C294" s="104" t="s">
        <v>183</v>
      </c>
      <c r="D294" s="104" t="s">
        <v>184</v>
      </c>
      <c r="E294" s="64">
        <v>5</v>
      </c>
      <c r="F294" s="86">
        <v>46221</v>
      </c>
      <c r="G294" s="40">
        <v>356</v>
      </c>
      <c r="H294" s="86">
        <f>IF(COUNTIFS(Pesagens!$B$3:$B$5001,$B294)=0,"",_xlfn.MAXIFS(Pesagens!$A$3:$A$5001,Pesagens!$B$3:$B$5001,$B294,Pesagens!$E$3:$E$5001,"&lt;&gt;"))</f>
        <v>46221</v>
      </c>
      <c r="I294" s="40">
        <f>IF($H294="","",IFERROR(AVERAGEIFS(Pesagens!$E$3:$E$5001,Pesagens!$B$3:$B$5001,$B294,Pesagens!$A$3:$A$5001,$H294),""))</f>
        <v>356</v>
      </c>
      <c r="J294" s="64">
        <f>IF(F294="","",Parâmetros!$C$4-F294)</f>
        <v>17</v>
      </c>
      <c r="K294" s="40">
        <f t="shared" si="8"/>
        <v>0</v>
      </c>
      <c r="L294" s="105" t="str">
        <f t="shared" si="9"/>
        <v/>
      </c>
      <c r="M294" s="106">
        <f>IF(I294="","",I294*Parâmetros!$C$8/15)</f>
        <v>12.578666666666667</v>
      </c>
      <c r="N294" s="106">
        <f>IF(K294="","",K294*Parâmetros!$C$8/15)</f>
        <v>0</v>
      </c>
      <c r="O294" s="28">
        <f>IF(M294="","",M294*Parâmetros!$C$5)</f>
        <v>4025.1733333333332</v>
      </c>
      <c r="P294" s="64" t="str">
        <f>IF(L294="","",IF(L294&gt;=Parâmetros!$C$10,"Sim","Não"))</f>
        <v/>
      </c>
    </row>
    <row r="295" spans="1:16" ht="15" customHeight="1" x14ac:dyDescent="0.3">
      <c r="A295" s="60">
        <v>293</v>
      </c>
      <c r="B295" s="60" t="s">
        <v>476</v>
      </c>
      <c r="C295" s="101" t="s">
        <v>183</v>
      </c>
      <c r="D295" s="101" t="s">
        <v>184</v>
      </c>
      <c r="E295" s="60">
        <v>5</v>
      </c>
      <c r="F295" s="85">
        <v>46221</v>
      </c>
      <c r="G295" s="35">
        <v>357</v>
      </c>
      <c r="H295" s="85">
        <f>IF(COUNTIFS(Pesagens!$B$3:$B$5001,$B295)=0,"",_xlfn.MAXIFS(Pesagens!$A$3:$A$5001,Pesagens!$B$3:$B$5001,$B295,Pesagens!$E$3:$E$5001,"&lt;&gt;"))</f>
        <v>46221</v>
      </c>
      <c r="I295" s="35">
        <f>IF($H295="","",IFERROR(AVERAGEIFS(Pesagens!$E$3:$E$5001,Pesagens!$B$3:$B$5001,$B295,Pesagens!$A$3:$A$5001,$H295),""))</f>
        <v>357</v>
      </c>
      <c r="J295" s="60">
        <f>IF(F295="","",Parâmetros!$C$4-F295)</f>
        <v>17</v>
      </c>
      <c r="K295" s="35">
        <f t="shared" si="8"/>
        <v>0</v>
      </c>
      <c r="L295" s="102" t="str">
        <f t="shared" si="9"/>
        <v/>
      </c>
      <c r="M295" s="103">
        <f>IF(I295="","",I295*Parâmetros!$C$8/15)</f>
        <v>12.614000000000001</v>
      </c>
      <c r="N295" s="103">
        <f>IF(K295="","",K295*Parâmetros!$C$8/15)</f>
        <v>0</v>
      </c>
      <c r="O295" s="26">
        <f>IF(M295="","",M295*Parâmetros!$C$5)</f>
        <v>4036.4800000000005</v>
      </c>
      <c r="P295" s="60" t="str">
        <f>IF(L295="","",IF(L295&gt;=Parâmetros!$C$10,"Sim","Não"))</f>
        <v/>
      </c>
    </row>
    <row r="296" spans="1:16" ht="15" customHeight="1" x14ac:dyDescent="0.3">
      <c r="A296" s="64">
        <v>294</v>
      </c>
      <c r="B296" s="64" t="s">
        <v>477</v>
      </c>
      <c r="C296" s="104" t="s">
        <v>183</v>
      </c>
      <c r="D296" s="104" t="s">
        <v>184</v>
      </c>
      <c r="E296" s="64">
        <v>5</v>
      </c>
      <c r="F296" s="86">
        <v>46221</v>
      </c>
      <c r="G296" s="40">
        <v>356</v>
      </c>
      <c r="H296" s="86">
        <f>IF(COUNTIFS(Pesagens!$B$3:$B$5001,$B296)=0,"",_xlfn.MAXIFS(Pesagens!$A$3:$A$5001,Pesagens!$B$3:$B$5001,$B296,Pesagens!$E$3:$E$5001,"&lt;&gt;"))</f>
        <v>46221</v>
      </c>
      <c r="I296" s="40">
        <f>IF($H296="","",IFERROR(AVERAGEIFS(Pesagens!$E$3:$E$5001,Pesagens!$B$3:$B$5001,$B296,Pesagens!$A$3:$A$5001,$H296),""))</f>
        <v>356</v>
      </c>
      <c r="J296" s="64">
        <f>IF(F296="","",Parâmetros!$C$4-F296)</f>
        <v>17</v>
      </c>
      <c r="K296" s="40">
        <f t="shared" si="8"/>
        <v>0</v>
      </c>
      <c r="L296" s="105" t="str">
        <f t="shared" si="9"/>
        <v/>
      </c>
      <c r="M296" s="106">
        <f>IF(I296="","",I296*Parâmetros!$C$8/15)</f>
        <v>12.578666666666667</v>
      </c>
      <c r="N296" s="106">
        <f>IF(K296="","",K296*Parâmetros!$C$8/15)</f>
        <v>0</v>
      </c>
      <c r="O296" s="28">
        <f>IF(M296="","",M296*Parâmetros!$C$5)</f>
        <v>4025.1733333333332</v>
      </c>
      <c r="P296" s="64" t="str">
        <f>IF(L296="","",IF(L296&gt;=Parâmetros!$C$10,"Sim","Não"))</f>
        <v/>
      </c>
    </row>
    <row r="297" spans="1:16" ht="15" customHeight="1" x14ac:dyDescent="0.3">
      <c r="A297" s="60">
        <v>295</v>
      </c>
      <c r="B297" s="60" t="s">
        <v>478</v>
      </c>
      <c r="C297" s="101" t="s">
        <v>183</v>
      </c>
      <c r="D297" s="101" t="s">
        <v>184</v>
      </c>
      <c r="E297" s="60">
        <v>5</v>
      </c>
      <c r="F297" s="85">
        <v>46221</v>
      </c>
      <c r="G297" s="35">
        <v>344</v>
      </c>
      <c r="H297" s="85">
        <f>IF(COUNTIFS(Pesagens!$B$3:$B$5001,$B297)=0,"",_xlfn.MAXIFS(Pesagens!$A$3:$A$5001,Pesagens!$B$3:$B$5001,$B297,Pesagens!$E$3:$E$5001,"&lt;&gt;"))</f>
        <v>46221</v>
      </c>
      <c r="I297" s="35">
        <f>IF($H297="","",IFERROR(AVERAGEIFS(Pesagens!$E$3:$E$5001,Pesagens!$B$3:$B$5001,$B297,Pesagens!$A$3:$A$5001,$H297),""))</f>
        <v>344</v>
      </c>
      <c r="J297" s="60">
        <f>IF(F297="","",Parâmetros!$C$4-F297)</f>
        <v>17</v>
      </c>
      <c r="K297" s="35">
        <f t="shared" si="8"/>
        <v>0</v>
      </c>
      <c r="L297" s="102" t="str">
        <f t="shared" si="9"/>
        <v/>
      </c>
      <c r="M297" s="103">
        <f>IF(I297="","",I297*Parâmetros!$C$8/15)</f>
        <v>12.154666666666667</v>
      </c>
      <c r="N297" s="103">
        <f>IF(K297="","",K297*Parâmetros!$C$8/15)</f>
        <v>0</v>
      </c>
      <c r="O297" s="26">
        <f>IF(M297="","",M297*Parâmetros!$C$5)</f>
        <v>3889.4933333333338</v>
      </c>
      <c r="P297" s="60" t="str">
        <f>IF(L297="","",IF(L297&gt;=Parâmetros!$C$10,"Sim","Não"))</f>
        <v/>
      </c>
    </row>
    <row r="298" spans="1:16" ht="15" customHeight="1" x14ac:dyDescent="0.3">
      <c r="A298" s="64">
        <v>296</v>
      </c>
      <c r="B298" s="64" t="s">
        <v>479</v>
      </c>
      <c r="C298" s="104" t="s">
        <v>183</v>
      </c>
      <c r="D298" s="104" t="s">
        <v>184</v>
      </c>
      <c r="E298" s="64">
        <v>5</v>
      </c>
      <c r="F298" s="86">
        <v>46221</v>
      </c>
      <c r="G298" s="40">
        <v>366</v>
      </c>
      <c r="H298" s="86">
        <f>IF(COUNTIFS(Pesagens!$B$3:$B$5001,$B298)=0,"",_xlfn.MAXIFS(Pesagens!$A$3:$A$5001,Pesagens!$B$3:$B$5001,$B298,Pesagens!$E$3:$E$5001,"&lt;&gt;"))</f>
        <v>46221</v>
      </c>
      <c r="I298" s="40">
        <f>IF($H298="","",IFERROR(AVERAGEIFS(Pesagens!$E$3:$E$5001,Pesagens!$B$3:$B$5001,$B298,Pesagens!$A$3:$A$5001,$H298),""))</f>
        <v>366</v>
      </c>
      <c r="J298" s="64">
        <f>IF(F298="","",Parâmetros!$C$4-F298)</f>
        <v>17</v>
      </c>
      <c r="K298" s="40">
        <f t="shared" si="8"/>
        <v>0</v>
      </c>
      <c r="L298" s="105" t="str">
        <f t="shared" si="9"/>
        <v/>
      </c>
      <c r="M298" s="106">
        <f>IF(I298="","",I298*Parâmetros!$C$8/15)</f>
        <v>12.932</v>
      </c>
      <c r="N298" s="106">
        <f>IF(K298="","",K298*Parâmetros!$C$8/15)</f>
        <v>0</v>
      </c>
      <c r="O298" s="28">
        <f>IF(M298="","",M298*Parâmetros!$C$5)</f>
        <v>4138.24</v>
      </c>
      <c r="P298" s="64" t="str">
        <f>IF(L298="","",IF(L298&gt;=Parâmetros!$C$10,"Sim","Não"))</f>
        <v/>
      </c>
    </row>
    <row r="299" spans="1:16" ht="15" customHeight="1" x14ac:dyDescent="0.3">
      <c r="A299" s="60">
        <v>297</v>
      </c>
      <c r="B299" s="60" t="s">
        <v>480</v>
      </c>
      <c r="C299" s="101" t="s">
        <v>183</v>
      </c>
      <c r="D299" s="101" t="s">
        <v>184</v>
      </c>
      <c r="E299" s="60">
        <v>5</v>
      </c>
      <c r="F299" s="85">
        <v>46221</v>
      </c>
      <c r="G299" s="35">
        <v>372</v>
      </c>
      <c r="H299" s="85">
        <f>IF(COUNTIFS(Pesagens!$B$3:$B$5001,$B299)=0,"",_xlfn.MAXIFS(Pesagens!$A$3:$A$5001,Pesagens!$B$3:$B$5001,$B299,Pesagens!$E$3:$E$5001,"&lt;&gt;"))</f>
        <v>46221</v>
      </c>
      <c r="I299" s="35">
        <f>IF($H299="","",IFERROR(AVERAGEIFS(Pesagens!$E$3:$E$5001,Pesagens!$B$3:$B$5001,$B299,Pesagens!$A$3:$A$5001,$H299),""))</f>
        <v>372</v>
      </c>
      <c r="J299" s="60">
        <f>IF(F299="","",Parâmetros!$C$4-F299)</f>
        <v>17</v>
      </c>
      <c r="K299" s="35">
        <f t="shared" si="8"/>
        <v>0</v>
      </c>
      <c r="L299" s="102" t="str">
        <f t="shared" si="9"/>
        <v/>
      </c>
      <c r="M299" s="103">
        <f>IF(I299="","",I299*Parâmetros!$C$8/15)</f>
        <v>13.144</v>
      </c>
      <c r="N299" s="103">
        <f>IF(K299="","",K299*Parâmetros!$C$8/15)</f>
        <v>0</v>
      </c>
      <c r="O299" s="26">
        <f>IF(M299="","",M299*Parâmetros!$C$5)</f>
        <v>4206.08</v>
      </c>
      <c r="P299" s="60" t="str">
        <f>IF(L299="","",IF(L299&gt;=Parâmetros!$C$10,"Sim","Não"))</f>
        <v/>
      </c>
    </row>
    <row r="300" spans="1:16" ht="15" customHeight="1" x14ac:dyDescent="0.3">
      <c r="A300" s="64">
        <v>298</v>
      </c>
      <c r="B300" s="64" t="s">
        <v>481</v>
      </c>
      <c r="C300" s="104" t="s">
        <v>183</v>
      </c>
      <c r="D300" s="104" t="s">
        <v>184</v>
      </c>
      <c r="E300" s="64">
        <v>5</v>
      </c>
      <c r="F300" s="86">
        <v>46221</v>
      </c>
      <c r="G300" s="40">
        <v>342</v>
      </c>
      <c r="H300" s="86">
        <f>IF(COUNTIFS(Pesagens!$B$3:$B$5001,$B300)=0,"",_xlfn.MAXIFS(Pesagens!$A$3:$A$5001,Pesagens!$B$3:$B$5001,$B300,Pesagens!$E$3:$E$5001,"&lt;&gt;"))</f>
        <v>46221</v>
      </c>
      <c r="I300" s="40">
        <f>IF($H300="","",IFERROR(AVERAGEIFS(Pesagens!$E$3:$E$5001,Pesagens!$B$3:$B$5001,$B300,Pesagens!$A$3:$A$5001,$H300),""))</f>
        <v>342</v>
      </c>
      <c r="J300" s="64">
        <f>IF(F300="","",Parâmetros!$C$4-F300)</f>
        <v>17</v>
      </c>
      <c r="K300" s="40">
        <f t="shared" si="8"/>
        <v>0</v>
      </c>
      <c r="L300" s="105" t="str">
        <f t="shared" si="9"/>
        <v/>
      </c>
      <c r="M300" s="106">
        <f>IF(I300="","",I300*Parâmetros!$C$8/15)</f>
        <v>12.084000000000001</v>
      </c>
      <c r="N300" s="106">
        <f>IF(K300="","",K300*Parâmetros!$C$8/15)</f>
        <v>0</v>
      </c>
      <c r="O300" s="28">
        <f>IF(M300="","",M300*Parâmetros!$C$5)</f>
        <v>3866.8800000000006</v>
      </c>
      <c r="P300" s="64" t="str">
        <f>IF(L300="","",IF(L300&gt;=Parâmetros!$C$10,"Sim","Não"))</f>
        <v/>
      </c>
    </row>
    <row r="301" spans="1:16" ht="15" customHeight="1" x14ac:dyDescent="0.3">
      <c r="A301" s="60">
        <v>299</v>
      </c>
      <c r="B301" s="60" t="s">
        <v>482</v>
      </c>
      <c r="C301" s="101" t="s">
        <v>183</v>
      </c>
      <c r="D301" s="101" t="s">
        <v>184</v>
      </c>
      <c r="E301" s="60">
        <v>5</v>
      </c>
      <c r="F301" s="85">
        <v>46221</v>
      </c>
      <c r="G301" s="35">
        <v>366</v>
      </c>
      <c r="H301" s="85">
        <f>IF(COUNTIFS(Pesagens!$B$3:$B$5001,$B301)=0,"",_xlfn.MAXIFS(Pesagens!$A$3:$A$5001,Pesagens!$B$3:$B$5001,$B301,Pesagens!$E$3:$E$5001,"&lt;&gt;"))</f>
        <v>46221</v>
      </c>
      <c r="I301" s="35">
        <f>IF($H301="","",IFERROR(AVERAGEIFS(Pesagens!$E$3:$E$5001,Pesagens!$B$3:$B$5001,$B301,Pesagens!$A$3:$A$5001,$H301),""))</f>
        <v>366</v>
      </c>
      <c r="J301" s="60">
        <f>IF(F301="","",Parâmetros!$C$4-F301)</f>
        <v>17</v>
      </c>
      <c r="K301" s="35">
        <f t="shared" si="8"/>
        <v>0</v>
      </c>
      <c r="L301" s="102" t="str">
        <f t="shared" si="9"/>
        <v/>
      </c>
      <c r="M301" s="103">
        <f>IF(I301="","",I301*Parâmetros!$C$8/15)</f>
        <v>12.932</v>
      </c>
      <c r="N301" s="103">
        <f>IF(K301="","",K301*Parâmetros!$C$8/15)</f>
        <v>0</v>
      </c>
      <c r="O301" s="26">
        <f>IF(M301="","",M301*Parâmetros!$C$5)</f>
        <v>4138.24</v>
      </c>
      <c r="P301" s="60" t="str">
        <f>IF(L301="","",IF(L301&gt;=Parâmetros!$C$10,"Sim","Não"))</f>
        <v/>
      </c>
    </row>
    <row r="302" spans="1:16" ht="15" customHeight="1" x14ac:dyDescent="0.3">
      <c r="A302" s="64">
        <v>300</v>
      </c>
      <c r="B302" s="64" t="s">
        <v>483</v>
      </c>
      <c r="C302" s="104" t="s">
        <v>183</v>
      </c>
      <c r="D302" s="104" t="s">
        <v>184</v>
      </c>
      <c r="E302" s="64">
        <v>5</v>
      </c>
      <c r="F302" s="86">
        <v>46221</v>
      </c>
      <c r="G302" s="40">
        <v>368</v>
      </c>
      <c r="H302" s="86">
        <f>IF(COUNTIFS(Pesagens!$B$3:$B$5001,$B302)=0,"",_xlfn.MAXIFS(Pesagens!$A$3:$A$5001,Pesagens!$B$3:$B$5001,$B302,Pesagens!$E$3:$E$5001,"&lt;&gt;"))</f>
        <v>46221</v>
      </c>
      <c r="I302" s="40">
        <f>IF($H302="","",IFERROR(AVERAGEIFS(Pesagens!$E$3:$E$5001,Pesagens!$B$3:$B$5001,$B302,Pesagens!$A$3:$A$5001,$H302),""))</f>
        <v>368</v>
      </c>
      <c r="J302" s="64">
        <f>IF(F302="","",Parâmetros!$C$4-F302)</f>
        <v>17</v>
      </c>
      <c r="K302" s="40">
        <f t="shared" si="8"/>
        <v>0</v>
      </c>
      <c r="L302" s="105" t="str">
        <f t="shared" si="9"/>
        <v/>
      </c>
      <c r="M302" s="106">
        <f>IF(I302="","",I302*Parâmetros!$C$8/15)</f>
        <v>13.002666666666668</v>
      </c>
      <c r="N302" s="106">
        <f>IF(K302="","",K302*Parâmetros!$C$8/15)</f>
        <v>0</v>
      </c>
      <c r="O302" s="28">
        <f>IF(M302="","",M302*Parâmetros!$C$5)</f>
        <v>4160.8533333333335</v>
      </c>
      <c r="P302" s="64" t="str">
        <f>IF(L302="","",IF(L302&gt;=Parâmetros!$C$10,"Sim","Não"))</f>
        <v/>
      </c>
    </row>
    <row r="303" spans="1:16" ht="15" customHeight="1" x14ac:dyDescent="0.3">
      <c r="A303" s="60">
        <v>301</v>
      </c>
      <c r="B303" s="60" t="s">
        <v>484</v>
      </c>
      <c r="C303" s="101" t="s">
        <v>183</v>
      </c>
      <c r="D303" s="101" t="s">
        <v>184</v>
      </c>
      <c r="E303" s="60">
        <v>5</v>
      </c>
      <c r="F303" s="85">
        <v>46221</v>
      </c>
      <c r="G303" s="35">
        <v>357</v>
      </c>
      <c r="H303" s="85">
        <f>IF(COUNTIFS(Pesagens!$B$3:$B$5001,$B303)=0,"",_xlfn.MAXIFS(Pesagens!$A$3:$A$5001,Pesagens!$B$3:$B$5001,$B303,Pesagens!$E$3:$E$5001,"&lt;&gt;"))</f>
        <v>46221</v>
      </c>
      <c r="I303" s="35">
        <f>IF($H303="","",IFERROR(AVERAGEIFS(Pesagens!$E$3:$E$5001,Pesagens!$B$3:$B$5001,$B303,Pesagens!$A$3:$A$5001,$H303),""))</f>
        <v>357</v>
      </c>
      <c r="J303" s="60">
        <f>IF(F303="","",Parâmetros!$C$4-F303)</f>
        <v>17</v>
      </c>
      <c r="K303" s="35">
        <f t="shared" si="8"/>
        <v>0</v>
      </c>
      <c r="L303" s="102" t="str">
        <f t="shared" si="9"/>
        <v/>
      </c>
      <c r="M303" s="103">
        <f>IF(I303="","",I303*Parâmetros!$C$8/15)</f>
        <v>12.614000000000001</v>
      </c>
      <c r="N303" s="103">
        <f>IF(K303="","",K303*Parâmetros!$C$8/15)</f>
        <v>0</v>
      </c>
      <c r="O303" s="26">
        <f>IF(M303="","",M303*Parâmetros!$C$5)</f>
        <v>4036.4800000000005</v>
      </c>
      <c r="P303" s="60" t="str">
        <f>IF(L303="","",IF(L303&gt;=Parâmetros!$C$10,"Sim","Não"))</f>
        <v/>
      </c>
    </row>
    <row r="304" spans="1:16" ht="15" customHeight="1" x14ac:dyDescent="0.3">
      <c r="A304" s="64">
        <v>302</v>
      </c>
      <c r="B304" s="64" t="s">
        <v>485</v>
      </c>
      <c r="C304" s="104" t="s">
        <v>183</v>
      </c>
      <c r="D304" s="104" t="s">
        <v>184</v>
      </c>
      <c r="E304" s="64">
        <v>5</v>
      </c>
      <c r="F304" s="86">
        <v>46221</v>
      </c>
      <c r="G304" s="40">
        <v>363</v>
      </c>
      <c r="H304" s="86">
        <f>IF(COUNTIFS(Pesagens!$B$3:$B$5001,$B304)=0,"",_xlfn.MAXIFS(Pesagens!$A$3:$A$5001,Pesagens!$B$3:$B$5001,$B304,Pesagens!$E$3:$E$5001,"&lt;&gt;"))</f>
        <v>46221</v>
      </c>
      <c r="I304" s="40">
        <f>IF($H304="","",IFERROR(AVERAGEIFS(Pesagens!$E$3:$E$5001,Pesagens!$B$3:$B$5001,$B304,Pesagens!$A$3:$A$5001,$H304),""))</f>
        <v>363</v>
      </c>
      <c r="J304" s="64">
        <f>IF(F304="","",Parâmetros!$C$4-F304)</f>
        <v>17</v>
      </c>
      <c r="K304" s="40">
        <f t="shared" si="8"/>
        <v>0</v>
      </c>
      <c r="L304" s="105" t="str">
        <f t="shared" si="9"/>
        <v/>
      </c>
      <c r="M304" s="106">
        <f>IF(I304="","",I304*Parâmetros!$C$8/15)</f>
        <v>12.826000000000001</v>
      </c>
      <c r="N304" s="106">
        <f>IF(K304="","",K304*Parâmetros!$C$8/15)</f>
        <v>0</v>
      </c>
      <c r="O304" s="28">
        <f>IF(M304="","",M304*Parâmetros!$C$5)</f>
        <v>4104.32</v>
      </c>
      <c r="P304" s="64" t="str">
        <f>IF(L304="","",IF(L304&gt;=Parâmetros!$C$10,"Sim","Não"))</f>
        <v/>
      </c>
    </row>
    <row r="305" spans="1:16" ht="15" customHeight="1" x14ac:dyDescent="0.3">
      <c r="A305" s="60">
        <v>303</v>
      </c>
      <c r="B305" s="60" t="s">
        <v>486</v>
      </c>
      <c r="C305" s="101" t="s">
        <v>183</v>
      </c>
      <c r="D305" s="101" t="s">
        <v>184</v>
      </c>
      <c r="E305" s="60">
        <v>5</v>
      </c>
      <c r="F305" s="85">
        <v>46221</v>
      </c>
      <c r="G305" s="35">
        <v>360</v>
      </c>
      <c r="H305" s="85">
        <f>IF(COUNTIFS(Pesagens!$B$3:$B$5001,$B305)=0,"",_xlfn.MAXIFS(Pesagens!$A$3:$A$5001,Pesagens!$B$3:$B$5001,$B305,Pesagens!$E$3:$E$5001,"&lt;&gt;"))</f>
        <v>46221</v>
      </c>
      <c r="I305" s="35">
        <f>IF($H305="","",IFERROR(AVERAGEIFS(Pesagens!$E$3:$E$5001,Pesagens!$B$3:$B$5001,$B305,Pesagens!$A$3:$A$5001,$H305),""))</f>
        <v>360</v>
      </c>
      <c r="J305" s="60">
        <f>IF(F305="","",Parâmetros!$C$4-F305)</f>
        <v>17</v>
      </c>
      <c r="K305" s="35">
        <f t="shared" si="8"/>
        <v>0</v>
      </c>
      <c r="L305" s="102" t="str">
        <f t="shared" si="9"/>
        <v/>
      </c>
      <c r="M305" s="103">
        <f>IF(I305="","",I305*Parâmetros!$C$8/15)</f>
        <v>12.72</v>
      </c>
      <c r="N305" s="103">
        <f>IF(K305="","",K305*Parâmetros!$C$8/15)</f>
        <v>0</v>
      </c>
      <c r="O305" s="26">
        <f>IF(M305="","",M305*Parâmetros!$C$5)</f>
        <v>4070.4</v>
      </c>
      <c r="P305" s="60" t="str">
        <f>IF(L305="","",IF(L305&gt;=Parâmetros!$C$10,"Sim","Não"))</f>
        <v/>
      </c>
    </row>
    <row r="306" spans="1:16" ht="15" customHeight="1" x14ac:dyDescent="0.3">
      <c r="A306" s="64">
        <v>304</v>
      </c>
      <c r="B306" s="64" t="s">
        <v>487</v>
      </c>
      <c r="C306" s="104" t="s">
        <v>183</v>
      </c>
      <c r="D306" s="104" t="s">
        <v>184</v>
      </c>
      <c r="E306" s="64">
        <v>5</v>
      </c>
      <c r="F306" s="86">
        <v>46221</v>
      </c>
      <c r="G306" s="40">
        <v>367</v>
      </c>
      <c r="H306" s="86">
        <f>IF(COUNTIFS(Pesagens!$B$3:$B$5001,$B306)=0,"",_xlfn.MAXIFS(Pesagens!$A$3:$A$5001,Pesagens!$B$3:$B$5001,$B306,Pesagens!$E$3:$E$5001,"&lt;&gt;"))</f>
        <v>46221</v>
      </c>
      <c r="I306" s="40">
        <f>IF($H306="","",IFERROR(AVERAGEIFS(Pesagens!$E$3:$E$5001,Pesagens!$B$3:$B$5001,$B306,Pesagens!$A$3:$A$5001,$H306),""))</f>
        <v>367</v>
      </c>
      <c r="J306" s="64">
        <f>IF(F306="","",Parâmetros!$C$4-F306)</f>
        <v>17</v>
      </c>
      <c r="K306" s="40">
        <f t="shared" si="8"/>
        <v>0</v>
      </c>
      <c r="L306" s="105" t="str">
        <f t="shared" si="9"/>
        <v/>
      </c>
      <c r="M306" s="106">
        <f>IF(I306="","",I306*Parâmetros!$C$8/15)</f>
        <v>12.967333333333334</v>
      </c>
      <c r="N306" s="106">
        <f>IF(K306="","",K306*Parâmetros!$C$8/15)</f>
        <v>0</v>
      </c>
      <c r="O306" s="28">
        <f>IF(M306="","",M306*Parâmetros!$C$5)</f>
        <v>4149.5466666666671</v>
      </c>
      <c r="P306" s="64" t="str">
        <f>IF(L306="","",IF(L306&gt;=Parâmetros!$C$10,"Sim","Não"))</f>
        <v/>
      </c>
    </row>
    <row r="307" spans="1:16" ht="15" customHeight="1" x14ac:dyDescent="0.3">
      <c r="A307" s="60">
        <v>305</v>
      </c>
      <c r="B307" s="60" t="s">
        <v>488</v>
      </c>
      <c r="C307" s="101" t="s">
        <v>183</v>
      </c>
      <c r="D307" s="101" t="s">
        <v>184</v>
      </c>
      <c r="E307" s="60">
        <v>5</v>
      </c>
      <c r="F307" s="85">
        <v>46221</v>
      </c>
      <c r="G307" s="35">
        <v>362</v>
      </c>
      <c r="H307" s="85">
        <f>IF(COUNTIFS(Pesagens!$B$3:$B$5001,$B307)=0,"",_xlfn.MAXIFS(Pesagens!$A$3:$A$5001,Pesagens!$B$3:$B$5001,$B307,Pesagens!$E$3:$E$5001,"&lt;&gt;"))</f>
        <v>46221</v>
      </c>
      <c r="I307" s="35">
        <f>IF($H307="","",IFERROR(AVERAGEIFS(Pesagens!$E$3:$E$5001,Pesagens!$B$3:$B$5001,$B307,Pesagens!$A$3:$A$5001,$H307),""))</f>
        <v>362</v>
      </c>
      <c r="J307" s="60">
        <f>IF(F307="","",Parâmetros!$C$4-F307)</f>
        <v>17</v>
      </c>
      <c r="K307" s="35">
        <f t="shared" si="8"/>
        <v>0</v>
      </c>
      <c r="L307" s="102" t="str">
        <f t="shared" si="9"/>
        <v/>
      </c>
      <c r="M307" s="103">
        <f>IF(I307="","",I307*Parâmetros!$C$8/15)</f>
        <v>12.790666666666668</v>
      </c>
      <c r="N307" s="103">
        <f>IF(K307="","",K307*Parâmetros!$C$8/15)</f>
        <v>0</v>
      </c>
      <c r="O307" s="26">
        <f>IF(M307="","",M307*Parâmetros!$C$5)</f>
        <v>4093.0133333333338</v>
      </c>
      <c r="P307" s="60" t="str">
        <f>IF(L307="","",IF(L307&gt;=Parâmetros!$C$10,"Sim","Não"))</f>
        <v/>
      </c>
    </row>
    <row r="308" spans="1:16" ht="15" customHeight="1" x14ac:dyDescent="0.3">
      <c r="A308" s="64">
        <v>306</v>
      </c>
      <c r="B308" s="64" t="s">
        <v>489</v>
      </c>
      <c r="C308" s="104" t="s">
        <v>183</v>
      </c>
      <c r="D308" s="104" t="s">
        <v>184</v>
      </c>
      <c r="E308" s="64">
        <v>5</v>
      </c>
      <c r="F308" s="86">
        <v>46221</v>
      </c>
      <c r="G308" s="40">
        <v>358</v>
      </c>
      <c r="H308" s="86">
        <f>IF(COUNTIFS(Pesagens!$B$3:$B$5001,$B308)=0,"",_xlfn.MAXIFS(Pesagens!$A$3:$A$5001,Pesagens!$B$3:$B$5001,$B308,Pesagens!$E$3:$E$5001,"&lt;&gt;"))</f>
        <v>46221</v>
      </c>
      <c r="I308" s="40">
        <f>IF($H308="","",IFERROR(AVERAGEIFS(Pesagens!$E$3:$E$5001,Pesagens!$B$3:$B$5001,$B308,Pesagens!$A$3:$A$5001,$H308),""))</f>
        <v>358</v>
      </c>
      <c r="J308" s="64">
        <f>IF(F308="","",Parâmetros!$C$4-F308)</f>
        <v>17</v>
      </c>
      <c r="K308" s="40">
        <f t="shared" si="8"/>
        <v>0</v>
      </c>
      <c r="L308" s="105" t="str">
        <f t="shared" si="9"/>
        <v/>
      </c>
      <c r="M308" s="106">
        <f>IF(I308="","",I308*Parâmetros!$C$8/15)</f>
        <v>12.649333333333335</v>
      </c>
      <c r="N308" s="106">
        <f>IF(K308="","",K308*Parâmetros!$C$8/15)</f>
        <v>0</v>
      </c>
      <c r="O308" s="28">
        <f>IF(M308="","",M308*Parâmetros!$C$5)</f>
        <v>4047.7866666666669</v>
      </c>
      <c r="P308" s="64" t="str">
        <f>IF(L308="","",IF(L308&gt;=Parâmetros!$C$10,"Sim","Não"))</f>
        <v/>
      </c>
    </row>
    <row r="309" spans="1:16" ht="15" customHeight="1" x14ac:dyDescent="0.3">
      <c r="A309" s="60">
        <v>307</v>
      </c>
      <c r="B309" s="60" t="s">
        <v>490</v>
      </c>
      <c r="C309" s="101" t="s">
        <v>183</v>
      </c>
      <c r="D309" s="101" t="s">
        <v>184</v>
      </c>
      <c r="E309" s="60">
        <v>5</v>
      </c>
      <c r="F309" s="85">
        <v>46221</v>
      </c>
      <c r="G309" s="35">
        <v>360</v>
      </c>
      <c r="H309" s="85">
        <f>IF(COUNTIFS(Pesagens!$B$3:$B$5001,$B309)=0,"",_xlfn.MAXIFS(Pesagens!$A$3:$A$5001,Pesagens!$B$3:$B$5001,$B309,Pesagens!$E$3:$E$5001,"&lt;&gt;"))</f>
        <v>46221</v>
      </c>
      <c r="I309" s="35">
        <f>IF($H309="","",IFERROR(AVERAGEIFS(Pesagens!$E$3:$E$5001,Pesagens!$B$3:$B$5001,$B309,Pesagens!$A$3:$A$5001,$H309),""))</f>
        <v>360</v>
      </c>
      <c r="J309" s="60">
        <f>IF(F309="","",Parâmetros!$C$4-F309)</f>
        <v>17</v>
      </c>
      <c r="K309" s="35">
        <f t="shared" si="8"/>
        <v>0</v>
      </c>
      <c r="L309" s="102" t="str">
        <f t="shared" si="9"/>
        <v/>
      </c>
      <c r="M309" s="103">
        <f>IF(I309="","",I309*Parâmetros!$C$8/15)</f>
        <v>12.72</v>
      </c>
      <c r="N309" s="103">
        <f>IF(K309="","",K309*Parâmetros!$C$8/15)</f>
        <v>0</v>
      </c>
      <c r="O309" s="26">
        <f>IF(M309="","",M309*Parâmetros!$C$5)</f>
        <v>4070.4</v>
      </c>
      <c r="P309" s="60" t="str">
        <f>IF(L309="","",IF(L309&gt;=Parâmetros!$C$10,"Sim","Não"))</f>
        <v/>
      </c>
    </row>
    <row r="310" spans="1:16" ht="15" customHeight="1" x14ac:dyDescent="0.3">
      <c r="A310" s="64">
        <v>308</v>
      </c>
      <c r="B310" s="64" t="s">
        <v>491</v>
      </c>
      <c r="C310" s="104" t="s">
        <v>183</v>
      </c>
      <c r="D310" s="104" t="s">
        <v>184</v>
      </c>
      <c r="E310" s="64">
        <v>5</v>
      </c>
      <c r="F310" s="86">
        <v>46221</v>
      </c>
      <c r="G310" s="40">
        <v>364</v>
      </c>
      <c r="H310" s="86">
        <f>IF(COUNTIFS(Pesagens!$B$3:$B$5001,$B310)=0,"",_xlfn.MAXIFS(Pesagens!$A$3:$A$5001,Pesagens!$B$3:$B$5001,$B310,Pesagens!$E$3:$E$5001,"&lt;&gt;"))</f>
        <v>46221</v>
      </c>
      <c r="I310" s="40">
        <f>IF($H310="","",IFERROR(AVERAGEIFS(Pesagens!$E$3:$E$5001,Pesagens!$B$3:$B$5001,$B310,Pesagens!$A$3:$A$5001,$H310),""))</f>
        <v>364</v>
      </c>
      <c r="J310" s="64">
        <f>IF(F310="","",Parâmetros!$C$4-F310)</f>
        <v>17</v>
      </c>
      <c r="K310" s="40">
        <f t="shared" si="8"/>
        <v>0</v>
      </c>
      <c r="L310" s="105" t="str">
        <f t="shared" si="9"/>
        <v/>
      </c>
      <c r="M310" s="106">
        <f>IF(I310="","",I310*Parâmetros!$C$8/15)</f>
        <v>12.861333333333334</v>
      </c>
      <c r="N310" s="106">
        <f>IF(K310="","",K310*Parâmetros!$C$8/15)</f>
        <v>0</v>
      </c>
      <c r="O310" s="28">
        <f>IF(M310="","",M310*Parâmetros!$C$5)</f>
        <v>4115.626666666667</v>
      </c>
      <c r="P310" s="64" t="str">
        <f>IF(L310="","",IF(L310&gt;=Parâmetros!$C$10,"Sim","Não"))</f>
        <v/>
      </c>
    </row>
    <row r="311" spans="1:16" ht="15" customHeight="1" x14ac:dyDescent="0.3">
      <c r="A311" s="60">
        <v>309</v>
      </c>
      <c r="B311" s="60" t="s">
        <v>492</v>
      </c>
      <c r="C311" s="101" t="s">
        <v>183</v>
      </c>
      <c r="D311" s="101" t="s">
        <v>184</v>
      </c>
      <c r="E311" s="60">
        <v>5</v>
      </c>
      <c r="F311" s="85">
        <v>46221</v>
      </c>
      <c r="G311" s="35">
        <v>365</v>
      </c>
      <c r="H311" s="85">
        <f>IF(COUNTIFS(Pesagens!$B$3:$B$5001,$B311)=0,"",_xlfn.MAXIFS(Pesagens!$A$3:$A$5001,Pesagens!$B$3:$B$5001,$B311,Pesagens!$E$3:$E$5001,"&lt;&gt;"))</f>
        <v>46221</v>
      </c>
      <c r="I311" s="35">
        <f>IF($H311="","",IFERROR(AVERAGEIFS(Pesagens!$E$3:$E$5001,Pesagens!$B$3:$B$5001,$B311,Pesagens!$A$3:$A$5001,$H311),""))</f>
        <v>365</v>
      </c>
      <c r="J311" s="60">
        <f>IF(F311="","",Parâmetros!$C$4-F311)</f>
        <v>17</v>
      </c>
      <c r="K311" s="35">
        <f t="shared" si="8"/>
        <v>0</v>
      </c>
      <c r="L311" s="102" t="str">
        <f t="shared" si="9"/>
        <v/>
      </c>
      <c r="M311" s="103">
        <f>IF(I311="","",I311*Parâmetros!$C$8/15)</f>
        <v>12.896666666666668</v>
      </c>
      <c r="N311" s="103">
        <f>IF(K311="","",K311*Parâmetros!$C$8/15)</f>
        <v>0</v>
      </c>
      <c r="O311" s="26">
        <f>IF(M311="","",M311*Parâmetros!$C$5)</f>
        <v>4126.9333333333343</v>
      </c>
      <c r="P311" s="60" t="str">
        <f>IF(L311="","",IF(L311&gt;=Parâmetros!$C$10,"Sim","Não"))</f>
        <v/>
      </c>
    </row>
    <row r="312" spans="1:16" ht="15" customHeight="1" x14ac:dyDescent="0.3">
      <c r="A312" s="64">
        <v>310</v>
      </c>
      <c r="B312" s="64" t="s">
        <v>493</v>
      </c>
      <c r="C312" s="104" t="s">
        <v>183</v>
      </c>
      <c r="D312" s="104" t="s">
        <v>184</v>
      </c>
      <c r="E312" s="64">
        <v>5</v>
      </c>
      <c r="F312" s="86">
        <v>46221</v>
      </c>
      <c r="G312" s="40">
        <v>358</v>
      </c>
      <c r="H312" s="86">
        <f>IF(COUNTIFS(Pesagens!$B$3:$B$5001,$B312)=0,"",_xlfn.MAXIFS(Pesagens!$A$3:$A$5001,Pesagens!$B$3:$B$5001,$B312,Pesagens!$E$3:$E$5001,"&lt;&gt;"))</f>
        <v>46221</v>
      </c>
      <c r="I312" s="40">
        <f>IF($H312="","",IFERROR(AVERAGEIFS(Pesagens!$E$3:$E$5001,Pesagens!$B$3:$B$5001,$B312,Pesagens!$A$3:$A$5001,$H312),""))</f>
        <v>358</v>
      </c>
      <c r="J312" s="64">
        <f>IF(F312="","",Parâmetros!$C$4-F312)</f>
        <v>17</v>
      </c>
      <c r="K312" s="40">
        <f t="shared" si="8"/>
        <v>0</v>
      </c>
      <c r="L312" s="105" t="str">
        <f t="shared" si="9"/>
        <v/>
      </c>
      <c r="M312" s="106">
        <f>IF(I312="","",I312*Parâmetros!$C$8/15)</f>
        <v>12.649333333333335</v>
      </c>
      <c r="N312" s="106">
        <f>IF(K312="","",K312*Parâmetros!$C$8/15)</f>
        <v>0</v>
      </c>
      <c r="O312" s="28">
        <f>IF(M312="","",M312*Parâmetros!$C$5)</f>
        <v>4047.7866666666669</v>
      </c>
      <c r="P312" s="64" t="str">
        <f>IF(L312="","",IF(L312&gt;=Parâmetros!$C$10,"Sim","Não"))</f>
        <v/>
      </c>
    </row>
    <row r="313" spans="1:16" ht="15" customHeight="1" x14ac:dyDescent="0.3">
      <c r="A313" s="60">
        <v>311</v>
      </c>
      <c r="B313" s="60" t="s">
        <v>494</v>
      </c>
      <c r="C313" s="101" t="s">
        <v>183</v>
      </c>
      <c r="D313" s="101" t="s">
        <v>184</v>
      </c>
      <c r="E313" s="60">
        <v>5</v>
      </c>
      <c r="F313" s="85">
        <v>46221</v>
      </c>
      <c r="G313" s="35">
        <v>365</v>
      </c>
      <c r="H313" s="85">
        <f>IF(COUNTIFS(Pesagens!$B$3:$B$5001,$B313)=0,"",_xlfn.MAXIFS(Pesagens!$A$3:$A$5001,Pesagens!$B$3:$B$5001,$B313,Pesagens!$E$3:$E$5001,"&lt;&gt;"))</f>
        <v>46221</v>
      </c>
      <c r="I313" s="35">
        <f>IF($H313="","",IFERROR(AVERAGEIFS(Pesagens!$E$3:$E$5001,Pesagens!$B$3:$B$5001,$B313,Pesagens!$A$3:$A$5001,$H313),""))</f>
        <v>365</v>
      </c>
      <c r="J313" s="60">
        <f>IF(F313="","",Parâmetros!$C$4-F313)</f>
        <v>17</v>
      </c>
      <c r="K313" s="35">
        <f t="shared" si="8"/>
        <v>0</v>
      </c>
      <c r="L313" s="102" t="str">
        <f t="shared" si="9"/>
        <v/>
      </c>
      <c r="M313" s="103">
        <f>IF(I313="","",I313*Parâmetros!$C$8/15)</f>
        <v>12.896666666666668</v>
      </c>
      <c r="N313" s="103">
        <f>IF(K313="","",K313*Parâmetros!$C$8/15)</f>
        <v>0</v>
      </c>
      <c r="O313" s="26">
        <f>IF(M313="","",M313*Parâmetros!$C$5)</f>
        <v>4126.9333333333343</v>
      </c>
      <c r="P313" s="60" t="str">
        <f>IF(L313="","",IF(L313&gt;=Parâmetros!$C$10,"Sim","Não"))</f>
        <v/>
      </c>
    </row>
    <row r="314" spans="1:16" ht="15" customHeight="1" x14ac:dyDescent="0.3">
      <c r="A314" s="64">
        <v>312</v>
      </c>
      <c r="B314" s="64" t="s">
        <v>495</v>
      </c>
      <c r="C314" s="104" t="s">
        <v>183</v>
      </c>
      <c r="D314" s="104" t="s">
        <v>184</v>
      </c>
      <c r="E314" s="64">
        <v>5</v>
      </c>
      <c r="F314" s="86">
        <v>46221</v>
      </c>
      <c r="G314" s="40">
        <v>358</v>
      </c>
      <c r="H314" s="86">
        <f>IF(COUNTIFS(Pesagens!$B$3:$B$5001,$B314)=0,"",_xlfn.MAXIFS(Pesagens!$A$3:$A$5001,Pesagens!$B$3:$B$5001,$B314,Pesagens!$E$3:$E$5001,"&lt;&gt;"))</f>
        <v>46221</v>
      </c>
      <c r="I314" s="40">
        <f>IF($H314="","",IFERROR(AVERAGEIFS(Pesagens!$E$3:$E$5001,Pesagens!$B$3:$B$5001,$B314,Pesagens!$A$3:$A$5001,$H314),""))</f>
        <v>358</v>
      </c>
      <c r="J314" s="64">
        <f>IF(F314="","",Parâmetros!$C$4-F314)</f>
        <v>17</v>
      </c>
      <c r="K314" s="40">
        <f t="shared" si="8"/>
        <v>0</v>
      </c>
      <c r="L314" s="105" t="str">
        <f t="shared" si="9"/>
        <v/>
      </c>
      <c r="M314" s="106">
        <f>IF(I314="","",I314*Parâmetros!$C$8/15)</f>
        <v>12.649333333333335</v>
      </c>
      <c r="N314" s="106">
        <f>IF(K314="","",K314*Parâmetros!$C$8/15)</f>
        <v>0</v>
      </c>
      <c r="O314" s="28">
        <f>IF(M314="","",M314*Parâmetros!$C$5)</f>
        <v>4047.7866666666669</v>
      </c>
      <c r="P314" s="64" t="str">
        <f>IF(L314="","",IF(L314&gt;=Parâmetros!$C$10,"Sim","Não"))</f>
        <v/>
      </c>
    </row>
    <row r="315" spans="1:16" ht="15" customHeight="1" x14ac:dyDescent="0.3">
      <c r="A315" s="60">
        <v>313</v>
      </c>
      <c r="B315" s="60" t="s">
        <v>496</v>
      </c>
      <c r="C315" s="101" t="s">
        <v>183</v>
      </c>
      <c r="D315" s="101" t="s">
        <v>184</v>
      </c>
      <c r="E315" s="60">
        <v>5</v>
      </c>
      <c r="F315" s="85">
        <v>46221</v>
      </c>
      <c r="G315" s="35">
        <v>355</v>
      </c>
      <c r="H315" s="85">
        <f>IF(COUNTIFS(Pesagens!$B$3:$B$5001,$B315)=0,"",_xlfn.MAXIFS(Pesagens!$A$3:$A$5001,Pesagens!$B$3:$B$5001,$B315,Pesagens!$E$3:$E$5001,"&lt;&gt;"))</f>
        <v>46221</v>
      </c>
      <c r="I315" s="35">
        <f>IF($H315="","",IFERROR(AVERAGEIFS(Pesagens!$E$3:$E$5001,Pesagens!$B$3:$B$5001,$B315,Pesagens!$A$3:$A$5001,$H315),""))</f>
        <v>355</v>
      </c>
      <c r="J315" s="60">
        <f>IF(F315="","",Parâmetros!$C$4-F315)</f>
        <v>17</v>
      </c>
      <c r="K315" s="35">
        <f t="shared" si="8"/>
        <v>0</v>
      </c>
      <c r="L315" s="102" t="str">
        <f t="shared" si="9"/>
        <v/>
      </c>
      <c r="M315" s="103">
        <f>IF(I315="","",I315*Parâmetros!$C$8/15)</f>
        <v>12.543333333333333</v>
      </c>
      <c r="N315" s="103">
        <f>IF(K315="","",K315*Parâmetros!$C$8/15)</f>
        <v>0</v>
      </c>
      <c r="O315" s="26">
        <f>IF(M315="","",M315*Parâmetros!$C$5)</f>
        <v>4013.8666666666668</v>
      </c>
      <c r="P315" s="60" t="str">
        <f>IF(L315="","",IF(L315&gt;=Parâmetros!$C$10,"Sim","Não"))</f>
        <v/>
      </c>
    </row>
    <row r="316" spans="1:16" ht="15" customHeight="1" x14ac:dyDescent="0.3">
      <c r="A316" s="64">
        <v>314</v>
      </c>
      <c r="B316" s="64" t="s">
        <v>497</v>
      </c>
      <c r="C316" s="104" t="s">
        <v>183</v>
      </c>
      <c r="D316" s="104" t="s">
        <v>184</v>
      </c>
      <c r="E316" s="64">
        <v>5</v>
      </c>
      <c r="F316" s="86">
        <v>46221</v>
      </c>
      <c r="G316" s="40">
        <v>362</v>
      </c>
      <c r="H316" s="86">
        <f>IF(COUNTIFS(Pesagens!$B$3:$B$5001,$B316)=0,"",_xlfn.MAXIFS(Pesagens!$A$3:$A$5001,Pesagens!$B$3:$B$5001,$B316,Pesagens!$E$3:$E$5001,"&lt;&gt;"))</f>
        <v>46221</v>
      </c>
      <c r="I316" s="40">
        <f>IF($H316="","",IFERROR(AVERAGEIFS(Pesagens!$E$3:$E$5001,Pesagens!$B$3:$B$5001,$B316,Pesagens!$A$3:$A$5001,$H316),""))</f>
        <v>362</v>
      </c>
      <c r="J316" s="64">
        <f>IF(F316="","",Parâmetros!$C$4-F316)</f>
        <v>17</v>
      </c>
      <c r="K316" s="40">
        <f t="shared" si="8"/>
        <v>0</v>
      </c>
      <c r="L316" s="105" t="str">
        <f t="shared" si="9"/>
        <v/>
      </c>
      <c r="M316" s="106">
        <f>IF(I316="","",I316*Parâmetros!$C$8/15)</f>
        <v>12.790666666666668</v>
      </c>
      <c r="N316" s="106">
        <f>IF(K316="","",K316*Parâmetros!$C$8/15)</f>
        <v>0</v>
      </c>
      <c r="O316" s="28">
        <f>IF(M316="","",M316*Parâmetros!$C$5)</f>
        <v>4093.0133333333338</v>
      </c>
      <c r="P316" s="64" t="str">
        <f>IF(L316="","",IF(L316&gt;=Parâmetros!$C$10,"Sim","Não"))</f>
        <v/>
      </c>
    </row>
    <row r="317" spans="1:16" ht="15" customHeight="1" x14ac:dyDescent="0.3">
      <c r="A317" s="60">
        <v>315</v>
      </c>
      <c r="B317" s="60" t="s">
        <v>498</v>
      </c>
      <c r="C317" s="101" t="s">
        <v>183</v>
      </c>
      <c r="D317" s="101" t="s">
        <v>184</v>
      </c>
      <c r="E317" s="60">
        <v>5</v>
      </c>
      <c r="F317" s="85">
        <v>46221</v>
      </c>
      <c r="G317" s="35">
        <v>367</v>
      </c>
      <c r="H317" s="85">
        <f>IF(COUNTIFS(Pesagens!$B$3:$B$5001,$B317)=0,"",_xlfn.MAXIFS(Pesagens!$A$3:$A$5001,Pesagens!$B$3:$B$5001,$B317,Pesagens!$E$3:$E$5001,"&lt;&gt;"))</f>
        <v>46221</v>
      </c>
      <c r="I317" s="35">
        <f>IF($H317="","",IFERROR(AVERAGEIFS(Pesagens!$E$3:$E$5001,Pesagens!$B$3:$B$5001,$B317,Pesagens!$A$3:$A$5001,$H317),""))</f>
        <v>367</v>
      </c>
      <c r="J317" s="60">
        <f>IF(F317="","",Parâmetros!$C$4-F317)</f>
        <v>17</v>
      </c>
      <c r="K317" s="35">
        <f t="shared" si="8"/>
        <v>0</v>
      </c>
      <c r="L317" s="102" t="str">
        <f t="shared" si="9"/>
        <v/>
      </c>
      <c r="M317" s="103">
        <f>IF(I317="","",I317*Parâmetros!$C$8/15)</f>
        <v>12.967333333333334</v>
      </c>
      <c r="N317" s="103">
        <f>IF(K317="","",K317*Parâmetros!$C$8/15)</f>
        <v>0</v>
      </c>
      <c r="O317" s="26">
        <f>IF(M317="","",M317*Parâmetros!$C$5)</f>
        <v>4149.5466666666671</v>
      </c>
      <c r="P317" s="60" t="str">
        <f>IF(L317="","",IF(L317&gt;=Parâmetros!$C$10,"Sim","Não"))</f>
        <v/>
      </c>
    </row>
    <row r="318" spans="1:16" ht="15" customHeight="1" x14ac:dyDescent="0.3">
      <c r="A318" s="64">
        <v>316</v>
      </c>
      <c r="B318" s="64" t="s">
        <v>499</v>
      </c>
      <c r="C318" s="104" t="s">
        <v>183</v>
      </c>
      <c r="D318" s="104" t="s">
        <v>184</v>
      </c>
      <c r="E318" s="64">
        <v>5</v>
      </c>
      <c r="F318" s="86">
        <v>46221</v>
      </c>
      <c r="G318" s="40">
        <v>356</v>
      </c>
      <c r="H318" s="86">
        <f>IF(COUNTIFS(Pesagens!$B$3:$B$5001,$B318)=0,"",_xlfn.MAXIFS(Pesagens!$A$3:$A$5001,Pesagens!$B$3:$B$5001,$B318,Pesagens!$E$3:$E$5001,"&lt;&gt;"))</f>
        <v>46221</v>
      </c>
      <c r="I318" s="40">
        <f>IF($H318="","",IFERROR(AVERAGEIFS(Pesagens!$E$3:$E$5001,Pesagens!$B$3:$B$5001,$B318,Pesagens!$A$3:$A$5001,$H318),""))</f>
        <v>356</v>
      </c>
      <c r="J318" s="64">
        <f>IF(F318="","",Parâmetros!$C$4-F318)</f>
        <v>17</v>
      </c>
      <c r="K318" s="40">
        <f t="shared" si="8"/>
        <v>0</v>
      </c>
      <c r="L318" s="105" t="str">
        <f t="shared" si="9"/>
        <v/>
      </c>
      <c r="M318" s="106">
        <f>IF(I318="","",I318*Parâmetros!$C$8/15)</f>
        <v>12.578666666666667</v>
      </c>
      <c r="N318" s="106">
        <f>IF(K318="","",K318*Parâmetros!$C$8/15)</f>
        <v>0</v>
      </c>
      <c r="O318" s="28">
        <f>IF(M318="","",M318*Parâmetros!$C$5)</f>
        <v>4025.1733333333332</v>
      </c>
      <c r="P318" s="64" t="str">
        <f>IF(L318="","",IF(L318&gt;=Parâmetros!$C$10,"Sim","Não"))</f>
        <v/>
      </c>
    </row>
    <row r="319" spans="1:16" ht="15" customHeight="1" x14ac:dyDescent="0.3">
      <c r="A319" s="60">
        <v>317</v>
      </c>
      <c r="B319" s="60" t="s">
        <v>500</v>
      </c>
      <c r="C319" s="101" t="s">
        <v>183</v>
      </c>
      <c r="D319" s="101" t="s">
        <v>184</v>
      </c>
      <c r="E319" s="60">
        <v>5</v>
      </c>
      <c r="F319" s="85">
        <v>46221</v>
      </c>
      <c r="G319" s="35">
        <v>363</v>
      </c>
      <c r="H319" s="85">
        <f>IF(COUNTIFS(Pesagens!$B$3:$B$5001,$B319)=0,"",_xlfn.MAXIFS(Pesagens!$A$3:$A$5001,Pesagens!$B$3:$B$5001,$B319,Pesagens!$E$3:$E$5001,"&lt;&gt;"))</f>
        <v>46221</v>
      </c>
      <c r="I319" s="35">
        <f>IF($H319="","",IFERROR(AVERAGEIFS(Pesagens!$E$3:$E$5001,Pesagens!$B$3:$B$5001,$B319,Pesagens!$A$3:$A$5001,$H319),""))</f>
        <v>363</v>
      </c>
      <c r="J319" s="60">
        <f>IF(F319="","",Parâmetros!$C$4-F319)</f>
        <v>17</v>
      </c>
      <c r="K319" s="35">
        <f t="shared" si="8"/>
        <v>0</v>
      </c>
      <c r="L319" s="102" t="str">
        <f t="shared" si="9"/>
        <v/>
      </c>
      <c r="M319" s="103">
        <f>IF(I319="","",I319*Parâmetros!$C$8/15)</f>
        <v>12.826000000000001</v>
      </c>
      <c r="N319" s="103">
        <f>IF(K319="","",K319*Parâmetros!$C$8/15)</f>
        <v>0</v>
      </c>
      <c r="O319" s="26">
        <f>IF(M319="","",M319*Parâmetros!$C$5)</f>
        <v>4104.32</v>
      </c>
      <c r="P319" s="60" t="str">
        <f>IF(L319="","",IF(L319&gt;=Parâmetros!$C$10,"Sim","Não"))</f>
        <v/>
      </c>
    </row>
    <row r="320" spans="1:16" ht="15" customHeight="1" x14ac:dyDescent="0.3">
      <c r="A320" s="64">
        <v>318</v>
      </c>
      <c r="B320" s="64" t="s">
        <v>501</v>
      </c>
      <c r="C320" s="104" t="s">
        <v>183</v>
      </c>
      <c r="D320" s="104" t="s">
        <v>184</v>
      </c>
      <c r="E320" s="64">
        <v>5</v>
      </c>
      <c r="F320" s="86">
        <v>46221</v>
      </c>
      <c r="G320" s="40">
        <v>355</v>
      </c>
      <c r="H320" s="86">
        <f>IF(COUNTIFS(Pesagens!$B$3:$B$5001,$B320)=0,"",_xlfn.MAXIFS(Pesagens!$A$3:$A$5001,Pesagens!$B$3:$B$5001,$B320,Pesagens!$E$3:$E$5001,"&lt;&gt;"))</f>
        <v>46221</v>
      </c>
      <c r="I320" s="40">
        <f>IF($H320="","",IFERROR(AVERAGEIFS(Pesagens!$E$3:$E$5001,Pesagens!$B$3:$B$5001,$B320,Pesagens!$A$3:$A$5001,$H320),""))</f>
        <v>355</v>
      </c>
      <c r="J320" s="64">
        <f>IF(F320="","",Parâmetros!$C$4-F320)</f>
        <v>17</v>
      </c>
      <c r="K320" s="40">
        <f t="shared" si="8"/>
        <v>0</v>
      </c>
      <c r="L320" s="105" t="str">
        <f t="shared" si="9"/>
        <v/>
      </c>
      <c r="M320" s="106">
        <f>IF(I320="","",I320*Parâmetros!$C$8/15)</f>
        <v>12.543333333333333</v>
      </c>
      <c r="N320" s="106">
        <f>IF(K320="","",K320*Parâmetros!$C$8/15)</f>
        <v>0</v>
      </c>
      <c r="O320" s="28">
        <f>IF(M320="","",M320*Parâmetros!$C$5)</f>
        <v>4013.8666666666668</v>
      </c>
      <c r="P320" s="64" t="str">
        <f>IF(L320="","",IF(L320&gt;=Parâmetros!$C$10,"Sim","Não"))</f>
        <v/>
      </c>
    </row>
    <row r="321" spans="1:16" ht="15" customHeight="1" x14ac:dyDescent="0.3">
      <c r="A321" s="60">
        <v>319</v>
      </c>
      <c r="B321" s="60" t="s">
        <v>502</v>
      </c>
      <c r="C321" s="101" t="s">
        <v>183</v>
      </c>
      <c r="D321" s="101" t="s">
        <v>184</v>
      </c>
      <c r="E321" s="60">
        <v>5</v>
      </c>
      <c r="F321" s="85">
        <v>46221</v>
      </c>
      <c r="G321" s="35">
        <v>366</v>
      </c>
      <c r="H321" s="85">
        <f>IF(COUNTIFS(Pesagens!$B$3:$B$5001,$B321)=0,"",_xlfn.MAXIFS(Pesagens!$A$3:$A$5001,Pesagens!$B$3:$B$5001,$B321,Pesagens!$E$3:$E$5001,"&lt;&gt;"))</f>
        <v>46221</v>
      </c>
      <c r="I321" s="35">
        <f>IF($H321="","",IFERROR(AVERAGEIFS(Pesagens!$E$3:$E$5001,Pesagens!$B$3:$B$5001,$B321,Pesagens!$A$3:$A$5001,$H321),""))</f>
        <v>366</v>
      </c>
      <c r="J321" s="60">
        <f>IF(F321="","",Parâmetros!$C$4-F321)</f>
        <v>17</v>
      </c>
      <c r="K321" s="35">
        <f t="shared" si="8"/>
        <v>0</v>
      </c>
      <c r="L321" s="102" t="str">
        <f t="shared" si="9"/>
        <v/>
      </c>
      <c r="M321" s="103">
        <f>IF(I321="","",I321*Parâmetros!$C$8/15)</f>
        <v>12.932</v>
      </c>
      <c r="N321" s="103">
        <f>IF(K321="","",K321*Parâmetros!$C$8/15)</f>
        <v>0</v>
      </c>
      <c r="O321" s="26">
        <f>IF(M321="","",M321*Parâmetros!$C$5)</f>
        <v>4138.24</v>
      </c>
      <c r="P321" s="60" t="str">
        <f>IF(L321="","",IF(L321&gt;=Parâmetros!$C$10,"Sim","Não"))</f>
        <v/>
      </c>
    </row>
    <row r="322" spans="1:16" ht="15" customHeight="1" x14ac:dyDescent="0.3">
      <c r="A322" s="64">
        <v>320</v>
      </c>
      <c r="B322" s="64" t="s">
        <v>503</v>
      </c>
      <c r="C322" s="104" t="s">
        <v>183</v>
      </c>
      <c r="D322" s="104" t="s">
        <v>184</v>
      </c>
      <c r="E322" s="64">
        <v>5</v>
      </c>
      <c r="F322" s="86">
        <v>46221</v>
      </c>
      <c r="G322" s="40">
        <v>356</v>
      </c>
      <c r="H322" s="86">
        <f>IF(COUNTIFS(Pesagens!$B$3:$B$5001,$B322)=0,"",_xlfn.MAXIFS(Pesagens!$A$3:$A$5001,Pesagens!$B$3:$B$5001,$B322,Pesagens!$E$3:$E$5001,"&lt;&gt;"))</f>
        <v>46221</v>
      </c>
      <c r="I322" s="40">
        <f>IF($H322="","",IFERROR(AVERAGEIFS(Pesagens!$E$3:$E$5001,Pesagens!$B$3:$B$5001,$B322,Pesagens!$A$3:$A$5001,$H322),""))</f>
        <v>356</v>
      </c>
      <c r="J322" s="64">
        <f>IF(F322="","",Parâmetros!$C$4-F322)</f>
        <v>17</v>
      </c>
      <c r="K322" s="40">
        <f t="shared" si="8"/>
        <v>0</v>
      </c>
      <c r="L322" s="105" t="str">
        <f t="shared" si="9"/>
        <v/>
      </c>
      <c r="M322" s="106">
        <f>IF(I322="","",I322*Parâmetros!$C$8/15)</f>
        <v>12.578666666666667</v>
      </c>
      <c r="N322" s="106">
        <f>IF(K322="","",K322*Parâmetros!$C$8/15)</f>
        <v>0</v>
      </c>
      <c r="O322" s="28">
        <f>IF(M322="","",M322*Parâmetros!$C$5)</f>
        <v>4025.1733333333332</v>
      </c>
      <c r="P322" s="64" t="str">
        <f>IF(L322="","",IF(L322&gt;=Parâmetros!$C$10,"Sim","Não"))</f>
        <v/>
      </c>
    </row>
    <row r="323" spans="1:16" ht="15" customHeight="1" x14ac:dyDescent="0.3">
      <c r="A323" s="60">
        <v>321</v>
      </c>
      <c r="B323" s="60" t="s">
        <v>504</v>
      </c>
      <c r="C323" s="101" t="s">
        <v>183</v>
      </c>
      <c r="D323" s="101" t="s">
        <v>184</v>
      </c>
      <c r="E323" s="60">
        <v>5</v>
      </c>
      <c r="F323" s="85">
        <v>46221</v>
      </c>
      <c r="G323" s="35">
        <v>366</v>
      </c>
      <c r="H323" s="85">
        <f>IF(COUNTIFS(Pesagens!$B$3:$B$5001,$B323)=0,"",_xlfn.MAXIFS(Pesagens!$A$3:$A$5001,Pesagens!$B$3:$B$5001,$B323,Pesagens!$E$3:$E$5001,"&lt;&gt;"))</f>
        <v>46221</v>
      </c>
      <c r="I323" s="35">
        <f>IF($H323="","",IFERROR(AVERAGEIFS(Pesagens!$E$3:$E$5001,Pesagens!$B$3:$B$5001,$B323,Pesagens!$A$3:$A$5001,$H323),""))</f>
        <v>366</v>
      </c>
      <c r="J323" s="60">
        <f>IF(F323="","",Parâmetros!$C$4-F323)</f>
        <v>17</v>
      </c>
      <c r="K323" s="35">
        <f t="shared" ref="K323:K386" si="10">IF(OR(I323="",G323=""),"",I323-G323)</f>
        <v>0</v>
      </c>
      <c r="L323" s="102" t="str">
        <f t="shared" ref="L323:L386" si="11">IF(OR(I323="",G323="",H323&lt;=F323),"",(I323-G323)/(H323-F323))</f>
        <v/>
      </c>
      <c r="M323" s="103">
        <f>IF(I323="","",I323*Parâmetros!$C$8/15)</f>
        <v>12.932</v>
      </c>
      <c r="N323" s="103">
        <f>IF(K323="","",K323*Parâmetros!$C$8/15)</f>
        <v>0</v>
      </c>
      <c r="O323" s="26">
        <f>IF(M323="","",M323*Parâmetros!$C$5)</f>
        <v>4138.24</v>
      </c>
      <c r="P323" s="60" t="str">
        <f>IF(L323="","",IF(L323&gt;=Parâmetros!$C$10,"Sim","Não"))</f>
        <v/>
      </c>
    </row>
    <row r="324" spans="1:16" ht="15" customHeight="1" x14ac:dyDescent="0.3">
      <c r="A324" s="64">
        <v>322</v>
      </c>
      <c r="B324" s="64" t="s">
        <v>505</v>
      </c>
      <c r="C324" s="104" t="s">
        <v>183</v>
      </c>
      <c r="D324" s="104" t="s">
        <v>184</v>
      </c>
      <c r="E324" s="64">
        <v>5</v>
      </c>
      <c r="F324" s="86">
        <v>46221</v>
      </c>
      <c r="G324" s="40">
        <v>362</v>
      </c>
      <c r="H324" s="86">
        <f>IF(COUNTIFS(Pesagens!$B$3:$B$5001,$B324)=0,"",_xlfn.MAXIFS(Pesagens!$A$3:$A$5001,Pesagens!$B$3:$B$5001,$B324,Pesagens!$E$3:$E$5001,"&lt;&gt;"))</f>
        <v>46221</v>
      </c>
      <c r="I324" s="40">
        <f>IF($H324="","",IFERROR(AVERAGEIFS(Pesagens!$E$3:$E$5001,Pesagens!$B$3:$B$5001,$B324,Pesagens!$A$3:$A$5001,$H324),""))</f>
        <v>362</v>
      </c>
      <c r="J324" s="64">
        <f>IF(F324="","",Parâmetros!$C$4-F324)</f>
        <v>17</v>
      </c>
      <c r="K324" s="40">
        <f t="shared" si="10"/>
        <v>0</v>
      </c>
      <c r="L324" s="105" t="str">
        <f t="shared" si="11"/>
        <v/>
      </c>
      <c r="M324" s="106">
        <f>IF(I324="","",I324*Parâmetros!$C$8/15)</f>
        <v>12.790666666666668</v>
      </c>
      <c r="N324" s="106">
        <f>IF(K324="","",K324*Parâmetros!$C$8/15)</f>
        <v>0</v>
      </c>
      <c r="O324" s="28">
        <f>IF(M324="","",M324*Parâmetros!$C$5)</f>
        <v>4093.0133333333338</v>
      </c>
      <c r="P324" s="64" t="str">
        <f>IF(L324="","",IF(L324&gt;=Parâmetros!$C$10,"Sim","Não"))</f>
        <v/>
      </c>
    </row>
    <row r="325" spans="1:16" ht="15" customHeight="1" x14ac:dyDescent="0.3">
      <c r="A325" s="60">
        <v>323</v>
      </c>
      <c r="B325" s="60" t="s">
        <v>506</v>
      </c>
      <c r="C325" s="101" t="s">
        <v>183</v>
      </c>
      <c r="D325" s="101" t="s">
        <v>184</v>
      </c>
      <c r="E325" s="60">
        <v>5</v>
      </c>
      <c r="F325" s="85">
        <v>46221</v>
      </c>
      <c r="G325" s="35">
        <v>366</v>
      </c>
      <c r="H325" s="85">
        <f>IF(COUNTIFS(Pesagens!$B$3:$B$5001,$B325)=0,"",_xlfn.MAXIFS(Pesagens!$A$3:$A$5001,Pesagens!$B$3:$B$5001,$B325,Pesagens!$E$3:$E$5001,"&lt;&gt;"))</f>
        <v>46221</v>
      </c>
      <c r="I325" s="35">
        <f>IF($H325="","",IFERROR(AVERAGEIFS(Pesagens!$E$3:$E$5001,Pesagens!$B$3:$B$5001,$B325,Pesagens!$A$3:$A$5001,$H325),""))</f>
        <v>366</v>
      </c>
      <c r="J325" s="60">
        <f>IF(F325="","",Parâmetros!$C$4-F325)</f>
        <v>17</v>
      </c>
      <c r="K325" s="35">
        <f t="shared" si="10"/>
        <v>0</v>
      </c>
      <c r="L325" s="102" t="str">
        <f t="shared" si="11"/>
        <v/>
      </c>
      <c r="M325" s="103">
        <f>IF(I325="","",I325*Parâmetros!$C$8/15)</f>
        <v>12.932</v>
      </c>
      <c r="N325" s="103">
        <f>IF(K325="","",K325*Parâmetros!$C$8/15)</f>
        <v>0</v>
      </c>
      <c r="O325" s="26">
        <f>IF(M325="","",M325*Parâmetros!$C$5)</f>
        <v>4138.24</v>
      </c>
      <c r="P325" s="60" t="str">
        <f>IF(L325="","",IF(L325&gt;=Parâmetros!$C$10,"Sim","Não"))</f>
        <v/>
      </c>
    </row>
    <row r="326" spans="1:16" ht="15" customHeight="1" x14ac:dyDescent="0.3">
      <c r="A326" s="64">
        <v>324</v>
      </c>
      <c r="B326" s="64" t="s">
        <v>507</v>
      </c>
      <c r="C326" s="104" t="s">
        <v>183</v>
      </c>
      <c r="D326" s="104" t="s">
        <v>184</v>
      </c>
      <c r="E326" s="64">
        <v>5</v>
      </c>
      <c r="F326" s="86">
        <v>46221</v>
      </c>
      <c r="G326" s="40">
        <v>353</v>
      </c>
      <c r="H326" s="86">
        <f>IF(COUNTIFS(Pesagens!$B$3:$B$5001,$B326)=0,"",_xlfn.MAXIFS(Pesagens!$A$3:$A$5001,Pesagens!$B$3:$B$5001,$B326,Pesagens!$E$3:$E$5001,"&lt;&gt;"))</f>
        <v>46221</v>
      </c>
      <c r="I326" s="40">
        <f>IF($H326="","",IFERROR(AVERAGEIFS(Pesagens!$E$3:$E$5001,Pesagens!$B$3:$B$5001,$B326,Pesagens!$A$3:$A$5001,$H326),""))</f>
        <v>353</v>
      </c>
      <c r="J326" s="64">
        <f>IF(F326="","",Parâmetros!$C$4-F326)</f>
        <v>17</v>
      </c>
      <c r="K326" s="40">
        <f t="shared" si="10"/>
        <v>0</v>
      </c>
      <c r="L326" s="105" t="str">
        <f t="shared" si="11"/>
        <v/>
      </c>
      <c r="M326" s="106">
        <f>IF(I326="","",I326*Parâmetros!$C$8/15)</f>
        <v>12.472666666666667</v>
      </c>
      <c r="N326" s="106">
        <f>IF(K326="","",K326*Parâmetros!$C$8/15)</f>
        <v>0</v>
      </c>
      <c r="O326" s="28">
        <f>IF(M326="","",M326*Parâmetros!$C$5)</f>
        <v>3991.2533333333336</v>
      </c>
      <c r="P326" s="64" t="str">
        <f>IF(L326="","",IF(L326&gt;=Parâmetros!$C$10,"Sim","Não"))</f>
        <v/>
      </c>
    </row>
    <row r="327" spans="1:16" ht="15" customHeight="1" x14ac:dyDescent="0.3">
      <c r="A327" s="60">
        <v>325</v>
      </c>
      <c r="B327" s="60" t="s">
        <v>508</v>
      </c>
      <c r="C327" s="101" t="s">
        <v>183</v>
      </c>
      <c r="D327" s="101" t="s">
        <v>184</v>
      </c>
      <c r="E327" s="60">
        <v>5</v>
      </c>
      <c r="F327" s="85">
        <v>46221</v>
      </c>
      <c r="G327" s="35">
        <v>360</v>
      </c>
      <c r="H327" s="85">
        <f>IF(COUNTIFS(Pesagens!$B$3:$B$5001,$B327)=0,"",_xlfn.MAXIFS(Pesagens!$A$3:$A$5001,Pesagens!$B$3:$B$5001,$B327,Pesagens!$E$3:$E$5001,"&lt;&gt;"))</f>
        <v>46221</v>
      </c>
      <c r="I327" s="35">
        <f>IF($H327="","",IFERROR(AVERAGEIFS(Pesagens!$E$3:$E$5001,Pesagens!$B$3:$B$5001,$B327,Pesagens!$A$3:$A$5001,$H327),""))</f>
        <v>360</v>
      </c>
      <c r="J327" s="60">
        <f>IF(F327="","",Parâmetros!$C$4-F327)</f>
        <v>17</v>
      </c>
      <c r="K327" s="35">
        <f t="shared" si="10"/>
        <v>0</v>
      </c>
      <c r="L327" s="102" t="str">
        <f t="shared" si="11"/>
        <v/>
      </c>
      <c r="M327" s="103">
        <f>IF(I327="","",I327*Parâmetros!$C$8/15)</f>
        <v>12.72</v>
      </c>
      <c r="N327" s="103">
        <f>IF(K327="","",K327*Parâmetros!$C$8/15)</f>
        <v>0</v>
      </c>
      <c r="O327" s="26">
        <f>IF(M327="","",M327*Parâmetros!$C$5)</f>
        <v>4070.4</v>
      </c>
      <c r="P327" s="60" t="str">
        <f>IF(L327="","",IF(L327&gt;=Parâmetros!$C$10,"Sim","Não"))</f>
        <v/>
      </c>
    </row>
    <row r="328" spans="1:16" ht="15" customHeight="1" x14ac:dyDescent="0.3">
      <c r="A328" s="64">
        <v>326</v>
      </c>
      <c r="B328" s="64" t="s">
        <v>509</v>
      </c>
      <c r="C328" s="104" t="s">
        <v>183</v>
      </c>
      <c r="D328" s="104" t="s">
        <v>184</v>
      </c>
      <c r="E328" s="64">
        <v>5</v>
      </c>
      <c r="F328" s="86">
        <v>46221</v>
      </c>
      <c r="G328" s="40">
        <v>368</v>
      </c>
      <c r="H328" s="86">
        <f>IF(COUNTIFS(Pesagens!$B$3:$B$5001,$B328)=0,"",_xlfn.MAXIFS(Pesagens!$A$3:$A$5001,Pesagens!$B$3:$B$5001,$B328,Pesagens!$E$3:$E$5001,"&lt;&gt;"))</f>
        <v>46221</v>
      </c>
      <c r="I328" s="40">
        <f>IF($H328="","",IFERROR(AVERAGEIFS(Pesagens!$E$3:$E$5001,Pesagens!$B$3:$B$5001,$B328,Pesagens!$A$3:$A$5001,$H328),""))</f>
        <v>368</v>
      </c>
      <c r="J328" s="64">
        <f>IF(F328="","",Parâmetros!$C$4-F328)</f>
        <v>17</v>
      </c>
      <c r="K328" s="40">
        <f t="shared" si="10"/>
        <v>0</v>
      </c>
      <c r="L328" s="105" t="str">
        <f t="shared" si="11"/>
        <v/>
      </c>
      <c r="M328" s="106">
        <f>IF(I328="","",I328*Parâmetros!$C$8/15)</f>
        <v>13.002666666666668</v>
      </c>
      <c r="N328" s="106">
        <f>IF(K328="","",K328*Parâmetros!$C$8/15)</f>
        <v>0</v>
      </c>
      <c r="O328" s="28">
        <f>IF(M328="","",M328*Parâmetros!$C$5)</f>
        <v>4160.8533333333335</v>
      </c>
      <c r="P328" s="64" t="str">
        <f>IF(L328="","",IF(L328&gt;=Parâmetros!$C$10,"Sim","Não"))</f>
        <v/>
      </c>
    </row>
    <row r="329" spans="1:16" ht="15" customHeight="1" x14ac:dyDescent="0.3">
      <c r="A329" s="60">
        <v>327</v>
      </c>
      <c r="B329" s="60" t="s">
        <v>510</v>
      </c>
      <c r="C329" s="101" t="s">
        <v>183</v>
      </c>
      <c r="D329" s="101" t="s">
        <v>184</v>
      </c>
      <c r="E329" s="60">
        <v>5</v>
      </c>
      <c r="F329" s="85">
        <v>46221</v>
      </c>
      <c r="G329" s="35">
        <v>364</v>
      </c>
      <c r="H329" s="85">
        <f>IF(COUNTIFS(Pesagens!$B$3:$B$5001,$B329)=0,"",_xlfn.MAXIFS(Pesagens!$A$3:$A$5001,Pesagens!$B$3:$B$5001,$B329,Pesagens!$E$3:$E$5001,"&lt;&gt;"))</f>
        <v>46221</v>
      </c>
      <c r="I329" s="35">
        <f>IF($H329="","",IFERROR(AVERAGEIFS(Pesagens!$E$3:$E$5001,Pesagens!$B$3:$B$5001,$B329,Pesagens!$A$3:$A$5001,$H329),""))</f>
        <v>364</v>
      </c>
      <c r="J329" s="60">
        <f>IF(F329="","",Parâmetros!$C$4-F329)</f>
        <v>17</v>
      </c>
      <c r="K329" s="35">
        <f t="shared" si="10"/>
        <v>0</v>
      </c>
      <c r="L329" s="102" t="str">
        <f t="shared" si="11"/>
        <v/>
      </c>
      <c r="M329" s="103">
        <f>IF(I329="","",I329*Parâmetros!$C$8/15)</f>
        <v>12.861333333333334</v>
      </c>
      <c r="N329" s="103">
        <f>IF(K329="","",K329*Parâmetros!$C$8/15)</f>
        <v>0</v>
      </c>
      <c r="O329" s="26">
        <f>IF(M329="","",M329*Parâmetros!$C$5)</f>
        <v>4115.626666666667</v>
      </c>
      <c r="P329" s="60" t="str">
        <f>IF(L329="","",IF(L329&gt;=Parâmetros!$C$10,"Sim","Não"))</f>
        <v/>
      </c>
    </row>
    <row r="330" spans="1:16" ht="15" customHeight="1" x14ac:dyDescent="0.3">
      <c r="A330" s="64">
        <v>328</v>
      </c>
      <c r="B330" s="64" t="s">
        <v>511</v>
      </c>
      <c r="C330" s="104" t="s">
        <v>183</v>
      </c>
      <c r="D330" s="104" t="s">
        <v>184</v>
      </c>
      <c r="E330" s="64">
        <v>5</v>
      </c>
      <c r="F330" s="86">
        <v>46221</v>
      </c>
      <c r="G330" s="40">
        <v>362</v>
      </c>
      <c r="H330" s="86">
        <f>IF(COUNTIFS(Pesagens!$B$3:$B$5001,$B330)=0,"",_xlfn.MAXIFS(Pesagens!$A$3:$A$5001,Pesagens!$B$3:$B$5001,$B330,Pesagens!$E$3:$E$5001,"&lt;&gt;"))</f>
        <v>46221</v>
      </c>
      <c r="I330" s="40">
        <f>IF($H330="","",IFERROR(AVERAGEIFS(Pesagens!$E$3:$E$5001,Pesagens!$B$3:$B$5001,$B330,Pesagens!$A$3:$A$5001,$H330),""))</f>
        <v>362</v>
      </c>
      <c r="J330" s="64">
        <f>IF(F330="","",Parâmetros!$C$4-F330)</f>
        <v>17</v>
      </c>
      <c r="K330" s="40">
        <f t="shared" si="10"/>
        <v>0</v>
      </c>
      <c r="L330" s="105" t="str">
        <f t="shared" si="11"/>
        <v/>
      </c>
      <c r="M330" s="106">
        <f>IF(I330="","",I330*Parâmetros!$C$8/15)</f>
        <v>12.790666666666668</v>
      </c>
      <c r="N330" s="106">
        <f>IF(K330="","",K330*Parâmetros!$C$8/15)</f>
        <v>0</v>
      </c>
      <c r="O330" s="28">
        <f>IF(M330="","",M330*Parâmetros!$C$5)</f>
        <v>4093.0133333333338</v>
      </c>
      <c r="P330" s="64" t="str">
        <f>IF(L330="","",IF(L330&gt;=Parâmetros!$C$10,"Sim","Não"))</f>
        <v/>
      </c>
    </row>
    <row r="331" spans="1:16" ht="15" customHeight="1" x14ac:dyDescent="0.3">
      <c r="A331" s="60">
        <v>329</v>
      </c>
      <c r="B331" s="60" t="s">
        <v>512</v>
      </c>
      <c r="C331" s="101" t="s">
        <v>183</v>
      </c>
      <c r="D331" s="101" t="s">
        <v>184</v>
      </c>
      <c r="E331" s="60">
        <v>5</v>
      </c>
      <c r="F331" s="85">
        <v>46221</v>
      </c>
      <c r="G331" s="35">
        <v>362</v>
      </c>
      <c r="H331" s="85">
        <f>IF(COUNTIFS(Pesagens!$B$3:$B$5001,$B331)=0,"",_xlfn.MAXIFS(Pesagens!$A$3:$A$5001,Pesagens!$B$3:$B$5001,$B331,Pesagens!$E$3:$E$5001,"&lt;&gt;"))</f>
        <v>46221</v>
      </c>
      <c r="I331" s="35">
        <f>IF($H331="","",IFERROR(AVERAGEIFS(Pesagens!$E$3:$E$5001,Pesagens!$B$3:$B$5001,$B331,Pesagens!$A$3:$A$5001,$H331),""))</f>
        <v>362</v>
      </c>
      <c r="J331" s="60">
        <f>IF(F331="","",Parâmetros!$C$4-F331)</f>
        <v>17</v>
      </c>
      <c r="K331" s="35">
        <f t="shared" si="10"/>
        <v>0</v>
      </c>
      <c r="L331" s="102" t="str">
        <f t="shared" si="11"/>
        <v/>
      </c>
      <c r="M331" s="103">
        <f>IF(I331="","",I331*Parâmetros!$C$8/15)</f>
        <v>12.790666666666668</v>
      </c>
      <c r="N331" s="103">
        <f>IF(K331="","",K331*Parâmetros!$C$8/15)</f>
        <v>0</v>
      </c>
      <c r="O331" s="26">
        <f>IF(M331="","",M331*Parâmetros!$C$5)</f>
        <v>4093.0133333333338</v>
      </c>
      <c r="P331" s="60" t="str">
        <f>IF(L331="","",IF(L331&gt;=Parâmetros!$C$10,"Sim","Não"))</f>
        <v/>
      </c>
    </row>
    <row r="332" spans="1:16" ht="15" customHeight="1" x14ac:dyDescent="0.3">
      <c r="A332" s="64">
        <v>330</v>
      </c>
      <c r="B332" s="64" t="s">
        <v>513</v>
      </c>
      <c r="C332" s="104" t="s">
        <v>183</v>
      </c>
      <c r="D332" s="104" t="s">
        <v>184</v>
      </c>
      <c r="E332" s="64">
        <v>5</v>
      </c>
      <c r="F332" s="86">
        <v>46221</v>
      </c>
      <c r="G332" s="40">
        <v>364</v>
      </c>
      <c r="H332" s="86">
        <f>IF(COUNTIFS(Pesagens!$B$3:$B$5001,$B332)=0,"",_xlfn.MAXIFS(Pesagens!$A$3:$A$5001,Pesagens!$B$3:$B$5001,$B332,Pesagens!$E$3:$E$5001,"&lt;&gt;"))</f>
        <v>46221</v>
      </c>
      <c r="I332" s="40">
        <f>IF($H332="","",IFERROR(AVERAGEIFS(Pesagens!$E$3:$E$5001,Pesagens!$B$3:$B$5001,$B332,Pesagens!$A$3:$A$5001,$H332),""))</f>
        <v>364</v>
      </c>
      <c r="J332" s="64">
        <f>IF(F332="","",Parâmetros!$C$4-F332)</f>
        <v>17</v>
      </c>
      <c r="K332" s="40">
        <f t="shared" si="10"/>
        <v>0</v>
      </c>
      <c r="L332" s="105" t="str">
        <f t="shared" si="11"/>
        <v/>
      </c>
      <c r="M332" s="106">
        <f>IF(I332="","",I332*Parâmetros!$C$8/15)</f>
        <v>12.861333333333334</v>
      </c>
      <c r="N332" s="106">
        <f>IF(K332="","",K332*Parâmetros!$C$8/15)</f>
        <v>0</v>
      </c>
      <c r="O332" s="28">
        <f>IF(M332="","",M332*Parâmetros!$C$5)</f>
        <v>4115.626666666667</v>
      </c>
      <c r="P332" s="64" t="str">
        <f>IF(L332="","",IF(L332&gt;=Parâmetros!$C$10,"Sim","Não"))</f>
        <v/>
      </c>
    </row>
    <row r="333" spans="1:16" ht="15" customHeight="1" x14ac:dyDescent="0.3">
      <c r="A333" s="60">
        <v>331</v>
      </c>
      <c r="B333" s="60" t="s">
        <v>514</v>
      </c>
      <c r="C333" s="101" t="s">
        <v>183</v>
      </c>
      <c r="D333" s="101" t="s">
        <v>184</v>
      </c>
      <c r="E333" s="60">
        <v>5</v>
      </c>
      <c r="F333" s="85">
        <v>46221</v>
      </c>
      <c r="G333" s="35">
        <v>364</v>
      </c>
      <c r="H333" s="85">
        <f>IF(COUNTIFS(Pesagens!$B$3:$B$5001,$B333)=0,"",_xlfn.MAXIFS(Pesagens!$A$3:$A$5001,Pesagens!$B$3:$B$5001,$B333,Pesagens!$E$3:$E$5001,"&lt;&gt;"))</f>
        <v>46221</v>
      </c>
      <c r="I333" s="35">
        <f>IF($H333="","",IFERROR(AVERAGEIFS(Pesagens!$E$3:$E$5001,Pesagens!$B$3:$B$5001,$B333,Pesagens!$A$3:$A$5001,$H333),""))</f>
        <v>364</v>
      </c>
      <c r="J333" s="60">
        <f>IF(F333="","",Parâmetros!$C$4-F333)</f>
        <v>17</v>
      </c>
      <c r="K333" s="35">
        <f t="shared" si="10"/>
        <v>0</v>
      </c>
      <c r="L333" s="102" t="str">
        <f t="shared" si="11"/>
        <v/>
      </c>
      <c r="M333" s="103">
        <f>IF(I333="","",I333*Parâmetros!$C$8/15)</f>
        <v>12.861333333333334</v>
      </c>
      <c r="N333" s="103">
        <f>IF(K333="","",K333*Parâmetros!$C$8/15)</f>
        <v>0</v>
      </c>
      <c r="O333" s="26">
        <f>IF(M333="","",M333*Parâmetros!$C$5)</f>
        <v>4115.626666666667</v>
      </c>
      <c r="P333" s="60" t="str">
        <f>IF(L333="","",IF(L333&gt;=Parâmetros!$C$10,"Sim","Não"))</f>
        <v/>
      </c>
    </row>
    <row r="334" spans="1:16" ht="15" customHeight="1" x14ac:dyDescent="0.3">
      <c r="A334" s="64">
        <v>332</v>
      </c>
      <c r="B334" s="64" t="s">
        <v>515</v>
      </c>
      <c r="C334" s="104" t="s">
        <v>183</v>
      </c>
      <c r="D334" s="104" t="s">
        <v>184</v>
      </c>
      <c r="E334" s="64">
        <v>5</v>
      </c>
      <c r="F334" s="86">
        <v>46221</v>
      </c>
      <c r="G334" s="40">
        <v>357</v>
      </c>
      <c r="H334" s="86">
        <f>IF(COUNTIFS(Pesagens!$B$3:$B$5001,$B334)=0,"",_xlfn.MAXIFS(Pesagens!$A$3:$A$5001,Pesagens!$B$3:$B$5001,$B334,Pesagens!$E$3:$E$5001,"&lt;&gt;"))</f>
        <v>46221</v>
      </c>
      <c r="I334" s="40">
        <f>IF($H334="","",IFERROR(AVERAGEIFS(Pesagens!$E$3:$E$5001,Pesagens!$B$3:$B$5001,$B334,Pesagens!$A$3:$A$5001,$H334),""))</f>
        <v>357</v>
      </c>
      <c r="J334" s="64">
        <f>IF(F334="","",Parâmetros!$C$4-F334)</f>
        <v>17</v>
      </c>
      <c r="K334" s="40">
        <f t="shared" si="10"/>
        <v>0</v>
      </c>
      <c r="L334" s="105" t="str">
        <f t="shared" si="11"/>
        <v/>
      </c>
      <c r="M334" s="106">
        <f>IF(I334="","",I334*Parâmetros!$C$8/15)</f>
        <v>12.614000000000001</v>
      </c>
      <c r="N334" s="106">
        <f>IF(K334="","",K334*Parâmetros!$C$8/15)</f>
        <v>0</v>
      </c>
      <c r="O334" s="28">
        <f>IF(M334="","",M334*Parâmetros!$C$5)</f>
        <v>4036.4800000000005</v>
      </c>
      <c r="P334" s="64" t="str">
        <f>IF(L334="","",IF(L334&gt;=Parâmetros!$C$10,"Sim","Não"))</f>
        <v/>
      </c>
    </row>
    <row r="335" spans="1:16" ht="15" customHeight="1" x14ac:dyDescent="0.3">
      <c r="A335" s="60">
        <v>333</v>
      </c>
      <c r="B335" s="60" t="s">
        <v>516</v>
      </c>
      <c r="C335" s="101" t="s">
        <v>183</v>
      </c>
      <c r="D335" s="101" t="s">
        <v>184</v>
      </c>
      <c r="E335" s="60">
        <v>5</v>
      </c>
      <c r="F335" s="85">
        <v>46221</v>
      </c>
      <c r="G335" s="35">
        <v>341</v>
      </c>
      <c r="H335" s="85">
        <f>IF(COUNTIFS(Pesagens!$B$3:$B$5001,$B335)=0,"",_xlfn.MAXIFS(Pesagens!$A$3:$A$5001,Pesagens!$B$3:$B$5001,$B335,Pesagens!$E$3:$E$5001,"&lt;&gt;"))</f>
        <v>46221</v>
      </c>
      <c r="I335" s="35">
        <f>IF($H335="","",IFERROR(AVERAGEIFS(Pesagens!$E$3:$E$5001,Pesagens!$B$3:$B$5001,$B335,Pesagens!$A$3:$A$5001,$H335),""))</f>
        <v>341</v>
      </c>
      <c r="J335" s="60">
        <f>IF(F335="","",Parâmetros!$C$4-F335)</f>
        <v>17</v>
      </c>
      <c r="K335" s="35">
        <f t="shared" si="10"/>
        <v>0</v>
      </c>
      <c r="L335" s="102" t="str">
        <f t="shared" si="11"/>
        <v/>
      </c>
      <c r="M335" s="103">
        <f>IF(I335="","",I335*Parâmetros!$C$8/15)</f>
        <v>12.048666666666668</v>
      </c>
      <c r="N335" s="103">
        <f>IF(K335="","",K335*Parâmetros!$C$8/15)</f>
        <v>0</v>
      </c>
      <c r="O335" s="26">
        <f>IF(M335="","",M335*Parâmetros!$C$5)</f>
        <v>3855.5733333333337</v>
      </c>
      <c r="P335" s="60" t="str">
        <f>IF(L335="","",IF(L335&gt;=Parâmetros!$C$10,"Sim","Não"))</f>
        <v/>
      </c>
    </row>
    <row r="336" spans="1:16" ht="15" customHeight="1" x14ac:dyDescent="0.3">
      <c r="A336" s="64">
        <v>334</v>
      </c>
      <c r="B336" s="64" t="s">
        <v>517</v>
      </c>
      <c r="C336" s="104" t="s">
        <v>183</v>
      </c>
      <c r="D336" s="104" t="s">
        <v>184</v>
      </c>
      <c r="E336" s="64">
        <v>5</v>
      </c>
      <c r="F336" s="86">
        <v>46221</v>
      </c>
      <c r="G336" s="40">
        <v>365</v>
      </c>
      <c r="H336" s="86">
        <f>IF(COUNTIFS(Pesagens!$B$3:$B$5001,$B336)=0,"",_xlfn.MAXIFS(Pesagens!$A$3:$A$5001,Pesagens!$B$3:$B$5001,$B336,Pesagens!$E$3:$E$5001,"&lt;&gt;"))</f>
        <v>46221</v>
      </c>
      <c r="I336" s="40">
        <f>IF($H336="","",IFERROR(AVERAGEIFS(Pesagens!$E$3:$E$5001,Pesagens!$B$3:$B$5001,$B336,Pesagens!$A$3:$A$5001,$H336),""))</f>
        <v>365</v>
      </c>
      <c r="J336" s="64">
        <f>IF(F336="","",Parâmetros!$C$4-F336)</f>
        <v>17</v>
      </c>
      <c r="K336" s="40">
        <f t="shared" si="10"/>
        <v>0</v>
      </c>
      <c r="L336" s="105" t="str">
        <f t="shared" si="11"/>
        <v/>
      </c>
      <c r="M336" s="106">
        <f>IF(I336="","",I336*Parâmetros!$C$8/15)</f>
        <v>12.896666666666668</v>
      </c>
      <c r="N336" s="106">
        <f>IF(K336="","",K336*Parâmetros!$C$8/15)</f>
        <v>0</v>
      </c>
      <c r="O336" s="28">
        <f>IF(M336="","",M336*Parâmetros!$C$5)</f>
        <v>4126.9333333333343</v>
      </c>
      <c r="P336" s="64" t="str">
        <f>IF(L336="","",IF(L336&gt;=Parâmetros!$C$10,"Sim","Não"))</f>
        <v/>
      </c>
    </row>
    <row r="337" spans="1:16" ht="15" customHeight="1" x14ac:dyDescent="0.3">
      <c r="A337" s="60">
        <v>335</v>
      </c>
      <c r="B337" s="60" t="s">
        <v>518</v>
      </c>
      <c r="C337" s="101" t="s">
        <v>183</v>
      </c>
      <c r="D337" s="101" t="s">
        <v>184</v>
      </c>
      <c r="E337" s="60">
        <v>5</v>
      </c>
      <c r="F337" s="85">
        <v>46221</v>
      </c>
      <c r="G337" s="35">
        <v>368</v>
      </c>
      <c r="H337" s="85">
        <f>IF(COUNTIFS(Pesagens!$B$3:$B$5001,$B337)=0,"",_xlfn.MAXIFS(Pesagens!$A$3:$A$5001,Pesagens!$B$3:$B$5001,$B337,Pesagens!$E$3:$E$5001,"&lt;&gt;"))</f>
        <v>46221</v>
      </c>
      <c r="I337" s="35">
        <f>IF($H337="","",IFERROR(AVERAGEIFS(Pesagens!$E$3:$E$5001,Pesagens!$B$3:$B$5001,$B337,Pesagens!$A$3:$A$5001,$H337),""))</f>
        <v>368</v>
      </c>
      <c r="J337" s="60">
        <f>IF(F337="","",Parâmetros!$C$4-F337)</f>
        <v>17</v>
      </c>
      <c r="K337" s="35">
        <f t="shared" si="10"/>
        <v>0</v>
      </c>
      <c r="L337" s="102" t="str">
        <f t="shared" si="11"/>
        <v/>
      </c>
      <c r="M337" s="103">
        <f>IF(I337="","",I337*Parâmetros!$C$8/15)</f>
        <v>13.002666666666668</v>
      </c>
      <c r="N337" s="103">
        <f>IF(K337="","",K337*Parâmetros!$C$8/15)</f>
        <v>0</v>
      </c>
      <c r="O337" s="26">
        <f>IF(M337="","",M337*Parâmetros!$C$5)</f>
        <v>4160.8533333333335</v>
      </c>
      <c r="P337" s="60" t="str">
        <f>IF(L337="","",IF(L337&gt;=Parâmetros!$C$10,"Sim","Não"))</f>
        <v/>
      </c>
    </row>
    <row r="338" spans="1:16" ht="15" customHeight="1" x14ac:dyDescent="0.3">
      <c r="A338" s="64">
        <v>336</v>
      </c>
      <c r="B338" s="64" t="s">
        <v>519</v>
      </c>
      <c r="C338" s="104" t="s">
        <v>183</v>
      </c>
      <c r="D338" s="104" t="s">
        <v>184</v>
      </c>
      <c r="E338" s="64">
        <v>5</v>
      </c>
      <c r="F338" s="86">
        <v>46221</v>
      </c>
      <c r="G338" s="40">
        <v>363</v>
      </c>
      <c r="H338" s="86">
        <f>IF(COUNTIFS(Pesagens!$B$3:$B$5001,$B338)=0,"",_xlfn.MAXIFS(Pesagens!$A$3:$A$5001,Pesagens!$B$3:$B$5001,$B338,Pesagens!$E$3:$E$5001,"&lt;&gt;"))</f>
        <v>46221</v>
      </c>
      <c r="I338" s="40">
        <f>IF($H338="","",IFERROR(AVERAGEIFS(Pesagens!$E$3:$E$5001,Pesagens!$B$3:$B$5001,$B338,Pesagens!$A$3:$A$5001,$H338),""))</f>
        <v>363</v>
      </c>
      <c r="J338" s="64">
        <f>IF(F338="","",Parâmetros!$C$4-F338)</f>
        <v>17</v>
      </c>
      <c r="K338" s="40">
        <f t="shared" si="10"/>
        <v>0</v>
      </c>
      <c r="L338" s="105" t="str">
        <f t="shared" si="11"/>
        <v/>
      </c>
      <c r="M338" s="106">
        <f>IF(I338="","",I338*Parâmetros!$C$8/15)</f>
        <v>12.826000000000001</v>
      </c>
      <c r="N338" s="106">
        <f>IF(K338="","",K338*Parâmetros!$C$8/15)</f>
        <v>0</v>
      </c>
      <c r="O338" s="28">
        <f>IF(M338="","",M338*Parâmetros!$C$5)</f>
        <v>4104.32</v>
      </c>
      <c r="P338" s="64" t="str">
        <f>IF(L338="","",IF(L338&gt;=Parâmetros!$C$10,"Sim","Não"))</f>
        <v/>
      </c>
    </row>
    <row r="339" spans="1:16" ht="15" customHeight="1" x14ac:dyDescent="0.3">
      <c r="A339" s="60">
        <v>337</v>
      </c>
      <c r="B339" s="60" t="s">
        <v>520</v>
      </c>
      <c r="C339" s="101" t="s">
        <v>183</v>
      </c>
      <c r="D339" s="101" t="s">
        <v>184</v>
      </c>
      <c r="E339" s="60">
        <v>5</v>
      </c>
      <c r="F339" s="85">
        <v>46221</v>
      </c>
      <c r="G339" s="35">
        <v>365</v>
      </c>
      <c r="H339" s="85">
        <f>IF(COUNTIFS(Pesagens!$B$3:$B$5001,$B339)=0,"",_xlfn.MAXIFS(Pesagens!$A$3:$A$5001,Pesagens!$B$3:$B$5001,$B339,Pesagens!$E$3:$E$5001,"&lt;&gt;"))</f>
        <v>46221</v>
      </c>
      <c r="I339" s="35">
        <f>IF($H339="","",IFERROR(AVERAGEIFS(Pesagens!$E$3:$E$5001,Pesagens!$B$3:$B$5001,$B339,Pesagens!$A$3:$A$5001,$H339),""))</f>
        <v>365</v>
      </c>
      <c r="J339" s="60">
        <f>IF(F339="","",Parâmetros!$C$4-F339)</f>
        <v>17</v>
      </c>
      <c r="K339" s="35">
        <f t="shared" si="10"/>
        <v>0</v>
      </c>
      <c r="L339" s="102" t="str">
        <f t="shared" si="11"/>
        <v/>
      </c>
      <c r="M339" s="103">
        <f>IF(I339="","",I339*Parâmetros!$C$8/15)</f>
        <v>12.896666666666668</v>
      </c>
      <c r="N339" s="103">
        <f>IF(K339="","",K339*Parâmetros!$C$8/15)</f>
        <v>0</v>
      </c>
      <c r="O339" s="26">
        <f>IF(M339="","",M339*Parâmetros!$C$5)</f>
        <v>4126.9333333333343</v>
      </c>
      <c r="P339" s="60" t="str">
        <f>IF(L339="","",IF(L339&gt;=Parâmetros!$C$10,"Sim","Não"))</f>
        <v/>
      </c>
    </row>
    <row r="340" spans="1:16" ht="15" customHeight="1" x14ac:dyDescent="0.3">
      <c r="A340" s="64">
        <v>338</v>
      </c>
      <c r="B340" s="64" t="s">
        <v>521</v>
      </c>
      <c r="C340" s="104" t="s">
        <v>183</v>
      </c>
      <c r="D340" s="104" t="s">
        <v>184</v>
      </c>
      <c r="E340" s="64">
        <v>5</v>
      </c>
      <c r="F340" s="86">
        <v>46221</v>
      </c>
      <c r="G340" s="40">
        <v>358</v>
      </c>
      <c r="H340" s="86">
        <f>IF(COUNTIFS(Pesagens!$B$3:$B$5001,$B340)=0,"",_xlfn.MAXIFS(Pesagens!$A$3:$A$5001,Pesagens!$B$3:$B$5001,$B340,Pesagens!$E$3:$E$5001,"&lt;&gt;"))</f>
        <v>46221</v>
      </c>
      <c r="I340" s="40">
        <f>IF($H340="","",IFERROR(AVERAGEIFS(Pesagens!$E$3:$E$5001,Pesagens!$B$3:$B$5001,$B340,Pesagens!$A$3:$A$5001,$H340),""))</f>
        <v>358</v>
      </c>
      <c r="J340" s="64">
        <f>IF(F340="","",Parâmetros!$C$4-F340)</f>
        <v>17</v>
      </c>
      <c r="K340" s="40">
        <f t="shared" si="10"/>
        <v>0</v>
      </c>
      <c r="L340" s="105" t="str">
        <f t="shared" si="11"/>
        <v/>
      </c>
      <c r="M340" s="106">
        <f>IF(I340="","",I340*Parâmetros!$C$8/15)</f>
        <v>12.649333333333335</v>
      </c>
      <c r="N340" s="106">
        <f>IF(K340="","",K340*Parâmetros!$C$8/15)</f>
        <v>0</v>
      </c>
      <c r="O340" s="28">
        <f>IF(M340="","",M340*Parâmetros!$C$5)</f>
        <v>4047.7866666666669</v>
      </c>
      <c r="P340" s="64" t="str">
        <f>IF(L340="","",IF(L340&gt;=Parâmetros!$C$10,"Sim","Não"))</f>
        <v/>
      </c>
    </row>
    <row r="341" spans="1:16" ht="15" customHeight="1" x14ac:dyDescent="0.3">
      <c r="A341" s="60">
        <v>339</v>
      </c>
      <c r="B341" s="60" t="s">
        <v>522</v>
      </c>
      <c r="C341" s="101" t="s">
        <v>183</v>
      </c>
      <c r="D341" s="101" t="s">
        <v>184</v>
      </c>
      <c r="E341" s="60">
        <v>5</v>
      </c>
      <c r="F341" s="85">
        <v>46221</v>
      </c>
      <c r="G341" s="35">
        <v>363</v>
      </c>
      <c r="H341" s="85">
        <f>IF(COUNTIFS(Pesagens!$B$3:$B$5001,$B341)=0,"",_xlfn.MAXIFS(Pesagens!$A$3:$A$5001,Pesagens!$B$3:$B$5001,$B341,Pesagens!$E$3:$E$5001,"&lt;&gt;"))</f>
        <v>46221</v>
      </c>
      <c r="I341" s="35">
        <f>IF($H341="","",IFERROR(AVERAGEIFS(Pesagens!$E$3:$E$5001,Pesagens!$B$3:$B$5001,$B341,Pesagens!$A$3:$A$5001,$H341),""))</f>
        <v>363</v>
      </c>
      <c r="J341" s="60">
        <f>IF(F341="","",Parâmetros!$C$4-F341)</f>
        <v>17</v>
      </c>
      <c r="K341" s="35">
        <f t="shared" si="10"/>
        <v>0</v>
      </c>
      <c r="L341" s="102" t="str">
        <f t="shared" si="11"/>
        <v/>
      </c>
      <c r="M341" s="103">
        <f>IF(I341="","",I341*Parâmetros!$C$8/15)</f>
        <v>12.826000000000001</v>
      </c>
      <c r="N341" s="103">
        <f>IF(K341="","",K341*Parâmetros!$C$8/15)</f>
        <v>0</v>
      </c>
      <c r="O341" s="26">
        <f>IF(M341="","",M341*Parâmetros!$C$5)</f>
        <v>4104.32</v>
      </c>
      <c r="P341" s="60" t="str">
        <f>IF(L341="","",IF(L341&gt;=Parâmetros!$C$10,"Sim","Não"))</f>
        <v/>
      </c>
    </row>
    <row r="342" spans="1:16" ht="15" customHeight="1" x14ac:dyDescent="0.3">
      <c r="A342" s="64">
        <v>340</v>
      </c>
      <c r="B342" s="64" t="s">
        <v>523</v>
      </c>
      <c r="C342" s="104" t="s">
        <v>183</v>
      </c>
      <c r="D342" s="104" t="s">
        <v>184</v>
      </c>
      <c r="E342" s="64">
        <v>5</v>
      </c>
      <c r="F342" s="86">
        <v>46221</v>
      </c>
      <c r="G342" s="40">
        <v>352</v>
      </c>
      <c r="H342" s="86">
        <f>IF(COUNTIFS(Pesagens!$B$3:$B$5001,$B342)=0,"",_xlfn.MAXIFS(Pesagens!$A$3:$A$5001,Pesagens!$B$3:$B$5001,$B342,Pesagens!$E$3:$E$5001,"&lt;&gt;"))</f>
        <v>46221</v>
      </c>
      <c r="I342" s="40">
        <f>IF($H342="","",IFERROR(AVERAGEIFS(Pesagens!$E$3:$E$5001,Pesagens!$B$3:$B$5001,$B342,Pesagens!$A$3:$A$5001,$H342),""))</f>
        <v>352</v>
      </c>
      <c r="J342" s="64">
        <f>IF(F342="","",Parâmetros!$C$4-F342)</f>
        <v>17</v>
      </c>
      <c r="K342" s="40">
        <f t="shared" si="10"/>
        <v>0</v>
      </c>
      <c r="L342" s="105" t="str">
        <f t="shared" si="11"/>
        <v/>
      </c>
      <c r="M342" s="106">
        <f>IF(I342="","",I342*Parâmetros!$C$8/15)</f>
        <v>12.437333333333333</v>
      </c>
      <c r="N342" s="106">
        <f>IF(K342="","",K342*Parâmetros!$C$8/15)</f>
        <v>0</v>
      </c>
      <c r="O342" s="28">
        <f>IF(M342="","",M342*Parâmetros!$C$5)</f>
        <v>3979.9466666666667</v>
      </c>
      <c r="P342" s="64" t="str">
        <f>IF(L342="","",IF(L342&gt;=Parâmetros!$C$10,"Sim","Não"))</f>
        <v/>
      </c>
    </row>
    <row r="343" spans="1:16" ht="15" customHeight="1" x14ac:dyDescent="0.3">
      <c r="A343" s="60">
        <v>341</v>
      </c>
      <c r="B343" s="60" t="s">
        <v>524</v>
      </c>
      <c r="C343" s="101" t="s">
        <v>183</v>
      </c>
      <c r="D343" s="101" t="s">
        <v>184</v>
      </c>
      <c r="E343" s="60">
        <v>5</v>
      </c>
      <c r="F343" s="85">
        <v>46221</v>
      </c>
      <c r="G343" s="35">
        <v>361</v>
      </c>
      <c r="H343" s="85">
        <f>IF(COUNTIFS(Pesagens!$B$3:$B$5001,$B343)=0,"",_xlfn.MAXIFS(Pesagens!$A$3:$A$5001,Pesagens!$B$3:$B$5001,$B343,Pesagens!$E$3:$E$5001,"&lt;&gt;"))</f>
        <v>46221</v>
      </c>
      <c r="I343" s="35">
        <f>IF($H343="","",IFERROR(AVERAGEIFS(Pesagens!$E$3:$E$5001,Pesagens!$B$3:$B$5001,$B343,Pesagens!$A$3:$A$5001,$H343),""))</f>
        <v>361</v>
      </c>
      <c r="J343" s="60">
        <f>IF(F343="","",Parâmetros!$C$4-F343)</f>
        <v>17</v>
      </c>
      <c r="K343" s="35">
        <f t="shared" si="10"/>
        <v>0</v>
      </c>
      <c r="L343" s="102" t="str">
        <f t="shared" si="11"/>
        <v/>
      </c>
      <c r="M343" s="103">
        <f>IF(I343="","",I343*Parâmetros!$C$8/15)</f>
        <v>12.755333333333335</v>
      </c>
      <c r="N343" s="103">
        <f>IF(K343="","",K343*Parâmetros!$C$8/15)</f>
        <v>0</v>
      </c>
      <c r="O343" s="26">
        <f>IF(M343="","",M343*Parâmetros!$C$5)</f>
        <v>4081.7066666666669</v>
      </c>
      <c r="P343" s="60" t="str">
        <f>IF(L343="","",IF(L343&gt;=Parâmetros!$C$10,"Sim","Não"))</f>
        <v/>
      </c>
    </row>
    <row r="344" spans="1:16" ht="15" customHeight="1" x14ac:dyDescent="0.3">
      <c r="A344" s="64">
        <v>342</v>
      </c>
      <c r="B344" s="64" t="s">
        <v>525</v>
      </c>
      <c r="C344" s="104" t="s">
        <v>183</v>
      </c>
      <c r="D344" s="104" t="s">
        <v>184</v>
      </c>
      <c r="E344" s="64">
        <v>5</v>
      </c>
      <c r="F344" s="86">
        <v>46221</v>
      </c>
      <c r="G344" s="40">
        <v>364</v>
      </c>
      <c r="H344" s="86">
        <f>IF(COUNTIFS(Pesagens!$B$3:$B$5001,$B344)=0,"",_xlfn.MAXIFS(Pesagens!$A$3:$A$5001,Pesagens!$B$3:$B$5001,$B344,Pesagens!$E$3:$E$5001,"&lt;&gt;"))</f>
        <v>46221</v>
      </c>
      <c r="I344" s="40">
        <f>IF($H344="","",IFERROR(AVERAGEIFS(Pesagens!$E$3:$E$5001,Pesagens!$B$3:$B$5001,$B344,Pesagens!$A$3:$A$5001,$H344),""))</f>
        <v>364</v>
      </c>
      <c r="J344" s="64">
        <f>IF(F344="","",Parâmetros!$C$4-F344)</f>
        <v>17</v>
      </c>
      <c r="K344" s="40">
        <f t="shared" si="10"/>
        <v>0</v>
      </c>
      <c r="L344" s="105" t="str">
        <f t="shared" si="11"/>
        <v/>
      </c>
      <c r="M344" s="106">
        <f>IF(I344="","",I344*Parâmetros!$C$8/15)</f>
        <v>12.861333333333334</v>
      </c>
      <c r="N344" s="106">
        <f>IF(K344="","",K344*Parâmetros!$C$8/15)</f>
        <v>0</v>
      </c>
      <c r="O344" s="28">
        <f>IF(M344="","",M344*Parâmetros!$C$5)</f>
        <v>4115.626666666667</v>
      </c>
      <c r="P344" s="64" t="str">
        <f>IF(L344="","",IF(L344&gt;=Parâmetros!$C$10,"Sim","Não"))</f>
        <v/>
      </c>
    </row>
    <row r="345" spans="1:16" ht="15" customHeight="1" x14ac:dyDescent="0.3">
      <c r="A345" s="60">
        <v>343</v>
      </c>
      <c r="B345" s="60" t="s">
        <v>526</v>
      </c>
      <c r="C345" s="101" t="s">
        <v>183</v>
      </c>
      <c r="D345" s="101" t="s">
        <v>184</v>
      </c>
      <c r="E345" s="60">
        <v>5</v>
      </c>
      <c r="F345" s="85">
        <v>46221</v>
      </c>
      <c r="G345" s="35">
        <v>361</v>
      </c>
      <c r="H345" s="85">
        <f>IF(COUNTIFS(Pesagens!$B$3:$B$5001,$B345)=0,"",_xlfn.MAXIFS(Pesagens!$A$3:$A$5001,Pesagens!$B$3:$B$5001,$B345,Pesagens!$E$3:$E$5001,"&lt;&gt;"))</f>
        <v>46221</v>
      </c>
      <c r="I345" s="35">
        <f>IF($H345="","",IFERROR(AVERAGEIFS(Pesagens!$E$3:$E$5001,Pesagens!$B$3:$B$5001,$B345,Pesagens!$A$3:$A$5001,$H345),""))</f>
        <v>361</v>
      </c>
      <c r="J345" s="60">
        <f>IF(F345="","",Parâmetros!$C$4-F345)</f>
        <v>17</v>
      </c>
      <c r="K345" s="35">
        <f t="shared" si="10"/>
        <v>0</v>
      </c>
      <c r="L345" s="102" t="str">
        <f t="shared" si="11"/>
        <v/>
      </c>
      <c r="M345" s="103">
        <f>IF(I345="","",I345*Parâmetros!$C$8/15)</f>
        <v>12.755333333333335</v>
      </c>
      <c r="N345" s="103">
        <f>IF(K345="","",K345*Parâmetros!$C$8/15)</f>
        <v>0</v>
      </c>
      <c r="O345" s="26">
        <f>IF(M345="","",M345*Parâmetros!$C$5)</f>
        <v>4081.7066666666669</v>
      </c>
      <c r="P345" s="60" t="str">
        <f>IF(L345="","",IF(L345&gt;=Parâmetros!$C$10,"Sim","Não"))</f>
        <v/>
      </c>
    </row>
    <row r="346" spans="1:16" ht="15" customHeight="1" x14ac:dyDescent="0.3">
      <c r="A346" s="64">
        <v>344</v>
      </c>
      <c r="B346" s="64" t="s">
        <v>527</v>
      </c>
      <c r="C346" s="104" t="s">
        <v>183</v>
      </c>
      <c r="D346" s="104" t="s">
        <v>184</v>
      </c>
      <c r="E346" s="64">
        <v>5</v>
      </c>
      <c r="F346" s="86">
        <v>46221</v>
      </c>
      <c r="G346" s="40">
        <v>365</v>
      </c>
      <c r="H346" s="86">
        <f>IF(COUNTIFS(Pesagens!$B$3:$B$5001,$B346)=0,"",_xlfn.MAXIFS(Pesagens!$A$3:$A$5001,Pesagens!$B$3:$B$5001,$B346,Pesagens!$E$3:$E$5001,"&lt;&gt;"))</f>
        <v>46221</v>
      </c>
      <c r="I346" s="40">
        <f>IF($H346="","",IFERROR(AVERAGEIFS(Pesagens!$E$3:$E$5001,Pesagens!$B$3:$B$5001,$B346,Pesagens!$A$3:$A$5001,$H346),""))</f>
        <v>365</v>
      </c>
      <c r="J346" s="64">
        <f>IF(F346="","",Parâmetros!$C$4-F346)</f>
        <v>17</v>
      </c>
      <c r="K346" s="40">
        <f t="shared" si="10"/>
        <v>0</v>
      </c>
      <c r="L346" s="105" t="str">
        <f t="shared" si="11"/>
        <v/>
      </c>
      <c r="M346" s="106">
        <f>IF(I346="","",I346*Parâmetros!$C$8/15)</f>
        <v>12.896666666666668</v>
      </c>
      <c r="N346" s="106">
        <f>IF(K346="","",K346*Parâmetros!$C$8/15)</f>
        <v>0</v>
      </c>
      <c r="O346" s="28">
        <f>IF(M346="","",M346*Parâmetros!$C$5)</f>
        <v>4126.9333333333343</v>
      </c>
      <c r="P346" s="64" t="str">
        <f>IF(L346="","",IF(L346&gt;=Parâmetros!$C$10,"Sim","Não"))</f>
        <v/>
      </c>
    </row>
    <row r="347" spans="1:16" ht="15" customHeight="1" x14ac:dyDescent="0.3">
      <c r="A347" s="60">
        <v>345</v>
      </c>
      <c r="B347" s="60" t="s">
        <v>528</v>
      </c>
      <c r="C347" s="101" t="s">
        <v>183</v>
      </c>
      <c r="D347" s="101" t="s">
        <v>184</v>
      </c>
      <c r="E347" s="60">
        <v>5</v>
      </c>
      <c r="F347" s="85">
        <v>46221</v>
      </c>
      <c r="G347" s="35">
        <v>357</v>
      </c>
      <c r="H347" s="85">
        <f>IF(COUNTIFS(Pesagens!$B$3:$B$5001,$B347)=0,"",_xlfn.MAXIFS(Pesagens!$A$3:$A$5001,Pesagens!$B$3:$B$5001,$B347,Pesagens!$E$3:$E$5001,"&lt;&gt;"))</f>
        <v>46221</v>
      </c>
      <c r="I347" s="35">
        <f>IF($H347="","",IFERROR(AVERAGEIFS(Pesagens!$E$3:$E$5001,Pesagens!$B$3:$B$5001,$B347,Pesagens!$A$3:$A$5001,$H347),""))</f>
        <v>357</v>
      </c>
      <c r="J347" s="60">
        <f>IF(F347="","",Parâmetros!$C$4-F347)</f>
        <v>17</v>
      </c>
      <c r="K347" s="35">
        <f t="shared" si="10"/>
        <v>0</v>
      </c>
      <c r="L347" s="102" t="str">
        <f t="shared" si="11"/>
        <v/>
      </c>
      <c r="M347" s="103">
        <f>IF(I347="","",I347*Parâmetros!$C$8/15)</f>
        <v>12.614000000000001</v>
      </c>
      <c r="N347" s="103">
        <f>IF(K347="","",K347*Parâmetros!$C$8/15)</f>
        <v>0</v>
      </c>
      <c r="O347" s="26">
        <f>IF(M347="","",M347*Parâmetros!$C$5)</f>
        <v>4036.4800000000005</v>
      </c>
      <c r="P347" s="60" t="str">
        <f>IF(L347="","",IF(L347&gt;=Parâmetros!$C$10,"Sim","Não"))</f>
        <v/>
      </c>
    </row>
    <row r="348" spans="1:16" ht="15" customHeight="1" x14ac:dyDescent="0.3">
      <c r="A348" s="64">
        <v>346</v>
      </c>
      <c r="B348" s="64" t="s">
        <v>529</v>
      </c>
      <c r="C348" s="104" t="s">
        <v>183</v>
      </c>
      <c r="D348" s="104" t="s">
        <v>184</v>
      </c>
      <c r="E348" s="64">
        <v>5</v>
      </c>
      <c r="F348" s="86">
        <v>46221</v>
      </c>
      <c r="G348" s="40">
        <v>361</v>
      </c>
      <c r="H348" s="86">
        <f>IF(COUNTIFS(Pesagens!$B$3:$B$5001,$B348)=0,"",_xlfn.MAXIFS(Pesagens!$A$3:$A$5001,Pesagens!$B$3:$B$5001,$B348,Pesagens!$E$3:$E$5001,"&lt;&gt;"))</f>
        <v>46221</v>
      </c>
      <c r="I348" s="40">
        <f>IF($H348="","",IFERROR(AVERAGEIFS(Pesagens!$E$3:$E$5001,Pesagens!$B$3:$B$5001,$B348,Pesagens!$A$3:$A$5001,$H348),""))</f>
        <v>361</v>
      </c>
      <c r="J348" s="64">
        <f>IF(F348="","",Parâmetros!$C$4-F348)</f>
        <v>17</v>
      </c>
      <c r="K348" s="40">
        <f t="shared" si="10"/>
        <v>0</v>
      </c>
      <c r="L348" s="105" t="str">
        <f t="shared" si="11"/>
        <v/>
      </c>
      <c r="M348" s="106">
        <f>IF(I348="","",I348*Parâmetros!$C$8/15)</f>
        <v>12.755333333333335</v>
      </c>
      <c r="N348" s="106">
        <f>IF(K348="","",K348*Parâmetros!$C$8/15)</f>
        <v>0</v>
      </c>
      <c r="O348" s="28">
        <f>IF(M348="","",M348*Parâmetros!$C$5)</f>
        <v>4081.7066666666669</v>
      </c>
      <c r="P348" s="64" t="str">
        <f>IF(L348="","",IF(L348&gt;=Parâmetros!$C$10,"Sim","Não"))</f>
        <v/>
      </c>
    </row>
    <row r="349" spans="1:16" ht="15" customHeight="1" x14ac:dyDescent="0.3">
      <c r="A349" s="60">
        <v>347</v>
      </c>
      <c r="B349" s="60" t="s">
        <v>530</v>
      </c>
      <c r="C349" s="101" t="s">
        <v>183</v>
      </c>
      <c r="D349" s="101" t="s">
        <v>184</v>
      </c>
      <c r="E349" s="60">
        <v>5</v>
      </c>
      <c r="F349" s="85">
        <v>46221</v>
      </c>
      <c r="G349" s="35">
        <v>368</v>
      </c>
      <c r="H349" s="85">
        <f>IF(COUNTIFS(Pesagens!$B$3:$B$5001,$B349)=0,"",_xlfn.MAXIFS(Pesagens!$A$3:$A$5001,Pesagens!$B$3:$B$5001,$B349,Pesagens!$E$3:$E$5001,"&lt;&gt;"))</f>
        <v>46221</v>
      </c>
      <c r="I349" s="35">
        <f>IF($H349="","",IFERROR(AVERAGEIFS(Pesagens!$E$3:$E$5001,Pesagens!$B$3:$B$5001,$B349,Pesagens!$A$3:$A$5001,$H349),""))</f>
        <v>368</v>
      </c>
      <c r="J349" s="60">
        <f>IF(F349="","",Parâmetros!$C$4-F349)</f>
        <v>17</v>
      </c>
      <c r="K349" s="35">
        <f t="shared" si="10"/>
        <v>0</v>
      </c>
      <c r="L349" s="102" t="str">
        <f t="shared" si="11"/>
        <v/>
      </c>
      <c r="M349" s="103">
        <f>IF(I349="","",I349*Parâmetros!$C$8/15)</f>
        <v>13.002666666666668</v>
      </c>
      <c r="N349" s="103">
        <f>IF(K349="","",K349*Parâmetros!$C$8/15)</f>
        <v>0</v>
      </c>
      <c r="O349" s="26">
        <f>IF(M349="","",M349*Parâmetros!$C$5)</f>
        <v>4160.8533333333335</v>
      </c>
      <c r="P349" s="60" t="str">
        <f>IF(L349="","",IF(L349&gt;=Parâmetros!$C$10,"Sim","Não"))</f>
        <v/>
      </c>
    </row>
    <row r="350" spans="1:16" ht="15" customHeight="1" x14ac:dyDescent="0.3">
      <c r="A350" s="64">
        <v>348</v>
      </c>
      <c r="B350" s="64" t="s">
        <v>531</v>
      </c>
      <c r="C350" s="104" t="s">
        <v>183</v>
      </c>
      <c r="D350" s="104" t="s">
        <v>184</v>
      </c>
      <c r="E350" s="64">
        <v>5</v>
      </c>
      <c r="F350" s="86">
        <v>46221</v>
      </c>
      <c r="G350" s="40">
        <v>357</v>
      </c>
      <c r="H350" s="86">
        <f>IF(COUNTIFS(Pesagens!$B$3:$B$5001,$B350)=0,"",_xlfn.MAXIFS(Pesagens!$A$3:$A$5001,Pesagens!$B$3:$B$5001,$B350,Pesagens!$E$3:$E$5001,"&lt;&gt;"))</f>
        <v>46221</v>
      </c>
      <c r="I350" s="40">
        <f>IF($H350="","",IFERROR(AVERAGEIFS(Pesagens!$E$3:$E$5001,Pesagens!$B$3:$B$5001,$B350,Pesagens!$A$3:$A$5001,$H350),""))</f>
        <v>357</v>
      </c>
      <c r="J350" s="64">
        <f>IF(F350="","",Parâmetros!$C$4-F350)</f>
        <v>17</v>
      </c>
      <c r="K350" s="40">
        <f t="shared" si="10"/>
        <v>0</v>
      </c>
      <c r="L350" s="105" t="str">
        <f t="shared" si="11"/>
        <v/>
      </c>
      <c r="M350" s="106">
        <f>IF(I350="","",I350*Parâmetros!$C$8/15)</f>
        <v>12.614000000000001</v>
      </c>
      <c r="N350" s="106">
        <f>IF(K350="","",K350*Parâmetros!$C$8/15)</f>
        <v>0</v>
      </c>
      <c r="O350" s="28">
        <f>IF(M350="","",M350*Parâmetros!$C$5)</f>
        <v>4036.4800000000005</v>
      </c>
      <c r="P350" s="64" t="str">
        <f>IF(L350="","",IF(L350&gt;=Parâmetros!$C$10,"Sim","Não"))</f>
        <v/>
      </c>
    </row>
    <row r="351" spans="1:16" ht="15" customHeight="1" x14ac:dyDescent="0.3">
      <c r="A351" s="60">
        <v>349</v>
      </c>
      <c r="B351" s="60" t="s">
        <v>532</v>
      </c>
      <c r="C351" s="101" t="s">
        <v>183</v>
      </c>
      <c r="D351" s="101" t="s">
        <v>184</v>
      </c>
      <c r="E351" s="60">
        <v>5</v>
      </c>
      <c r="F351" s="85">
        <v>46221</v>
      </c>
      <c r="G351" s="35">
        <v>361</v>
      </c>
      <c r="H351" s="85">
        <f>IF(COUNTIFS(Pesagens!$B$3:$B$5001,$B351)=0,"",_xlfn.MAXIFS(Pesagens!$A$3:$A$5001,Pesagens!$B$3:$B$5001,$B351,Pesagens!$E$3:$E$5001,"&lt;&gt;"))</f>
        <v>46221</v>
      </c>
      <c r="I351" s="35">
        <f>IF($H351="","",IFERROR(AVERAGEIFS(Pesagens!$E$3:$E$5001,Pesagens!$B$3:$B$5001,$B351,Pesagens!$A$3:$A$5001,$H351),""))</f>
        <v>361</v>
      </c>
      <c r="J351" s="60">
        <f>IF(F351="","",Parâmetros!$C$4-F351)</f>
        <v>17</v>
      </c>
      <c r="K351" s="35">
        <f t="shared" si="10"/>
        <v>0</v>
      </c>
      <c r="L351" s="102" t="str">
        <f t="shared" si="11"/>
        <v/>
      </c>
      <c r="M351" s="103">
        <f>IF(I351="","",I351*Parâmetros!$C$8/15)</f>
        <v>12.755333333333335</v>
      </c>
      <c r="N351" s="103">
        <f>IF(K351="","",K351*Parâmetros!$C$8/15)</f>
        <v>0</v>
      </c>
      <c r="O351" s="26">
        <f>IF(M351="","",M351*Parâmetros!$C$5)</f>
        <v>4081.7066666666669</v>
      </c>
      <c r="P351" s="60" t="str">
        <f>IF(L351="","",IF(L351&gt;=Parâmetros!$C$10,"Sim","Não"))</f>
        <v/>
      </c>
    </row>
    <row r="352" spans="1:16" ht="15" customHeight="1" x14ac:dyDescent="0.3">
      <c r="A352" s="64">
        <v>350</v>
      </c>
      <c r="B352" s="64" t="s">
        <v>533</v>
      </c>
      <c r="C352" s="104" t="s">
        <v>183</v>
      </c>
      <c r="D352" s="104" t="s">
        <v>184</v>
      </c>
      <c r="E352" s="64">
        <v>5</v>
      </c>
      <c r="F352" s="86">
        <v>46221</v>
      </c>
      <c r="G352" s="40">
        <v>361</v>
      </c>
      <c r="H352" s="86">
        <f>IF(COUNTIFS(Pesagens!$B$3:$B$5001,$B352)=0,"",_xlfn.MAXIFS(Pesagens!$A$3:$A$5001,Pesagens!$B$3:$B$5001,$B352,Pesagens!$E$3:$E$5001,"&lt;&gt;"))</f>
        <v>46221</v>
      </c>
      <c r="I352" s="40">
        <f>IF($H352="","",IFERROR(AVERAGEIFS(Pesagens!$E$3:$E$5001,Pesagens!$B$3:$B$5001,$B352,Pesagens!$A$3:$A$5001,$H352),""))</f>
        <v>361</v>
      </c>
      <c r="J352" s="64">
        <f>IF(F352="","",Parâmetros!$C$4-F352)</f>
        <v>17</v>
      </c>
      <c r="K352" s="40">
        <f t="shared" si="10"/>
        <v>0</v>
      </c>
      <c r="L352" s="105" t="str">
        <f t="shared" si="11"/>
        <v/>
      </c>
      <c r="M352" s="106">
        <f>IF(I352="","",I352*Parâmetros!$C$8/15)</f>
        <v>12.755333333333335</v>
      </c>
      <c r="N352" s="106">
        <f>IF(K352="","",K352*Parâmetros!$C$8/15)</f>
        <v>0</v>
      </c>
      <c r="O352" s="28">
        <f>IF(M352="","",M352*Parâmetros!$C$5)</f>
        <v>4081.7066666666669</v>
      </c>
      <c r="P352" s="64" t="str">
        <f>IF(L352="","",IF(L352&gt;=Parâmetros!$C$10,"Sim","Não"))</f>
        <v/>
      </c>
    </row>
    <row r="353" spans="1:16" ht="15" customHeight="1" x14ac:dyDescent="0.3">
      <c r="A353" s="60">
        <v>351</v>
      </c>
      <c r="B353" s="60" t="s">
        <v>534</v>
      </c>
      <c r="C353" s="101" t="s">
        <v>183</v>
      </c>
      <c r="D353" s="101" t="s">
        <v>184</v>
      </c>
      <c r="E353" s="60">
        <v>5</v>
      </c>
      <c r="F353" s="85">
        <v>46221</v>
      </c>
      <c r="G353" s="35">
        <v>367</v>
      </c>
      <c r="H353" s="85">
        <f>IF(COUNTIFS(Pesagens!$B$3:$B$5001,$B353)=0,"",_xlfn.MAXIFS(Pesagens!$A$3:$A$5001,Pesagens!$B$3:$B$5001,$B353,Pesagens!$E$3:$E$5001,"&lt;&gt;"))</f>
        <v>46221</v>
      </c>
      <c r="I353" s="35">
        <f>IF($H353="","",IFERROR(AVERAGEIFS(Pesagens!$E$3:$E$5001,Pesagens!$B$3:$B$5001,$B353,Pesagens!$A$3:$A$5001,$H353),""))</f>
        <v>367</v>
      </c>
      <c r="J353" s="60">
        <f>IF(F353="","",Parâmetros!$C$4-F353)</f>
        <v>17</v>
      </c>
      <c r="K353" s="35">
        <f t="shared" si="10"/>
        <v>0</v>
      </c>
      <c r="L353" s="102" t="str">
        <f t="shared" si="11"/>
        <v/>
      </c>
      <c r="M353" s="103">
        <f>IF(I353="","",I353*Parâmetros!$C$8/15)</f>
        <v>12.967333333333334</v>
      </c>
      <c r="N353" s="103">
        <f>IF(K353="","",K353*Parâmetros!$C$8/15)</f>
        <v>0</v>
      </c>
      <c r="O353" s="26">
        <f>IF(M353="","",M353*Parâmetros!$C$5)</f>
        <v>4149.5466666666671</v>
      </c>
      <c r="P353" s="60" t="str">
        <f>IF(L353="","",IF(L353&gt;=Parâmetros!$C$10,"Sim","Não"))</f>
        <v/>
      </c>
    </row>
    <row r="354" spans="1:16" ht="15" customHeight="1" x14ac:dyDescent="0.3">
      <c r="A354" s="64">
        <v>352</v>
      </c>
      <c r="B354" s="64" t="s">
        <v>535</v>
      </c>
      <c r="C354" s="104" t="s">
        <v>183</v>
      </c>
      <c r="D354" s="104" t="s">
        <v>184</v>
      </c>
      <c r="E354" s="64">
        <v>5</v>
      </c>
      <c r="F354" s="86">
        <v>46221</v>
      </c>
      <c r="G354" s="40">
        <v>355</v>
      </c>
      <c r="H354" s="86">
        <f>IF(COUNTIFS(Pesagens!$B$3:$B$5001,$B354)=0,"",_xlfn.MAXIFS(Pesagens!$A$3:$A$5001,Pesagens!$B$3:$B$5001,$B354,Pesagens!$E$3:$E$5001,"&lt;&gt;"))</f>
        <v>46221</v>
      </c>
      <c r="I354" s="40">
        <f>IF($H354="","",IFERROR(AVERAGEIFS(Pesagens!$E$3:$E$5001,Pesagens!$B$3:$B$5001,$B354,Pesagens!$A$3:$A$5001,$H354),""))</f>
        <v>355</v>
      </c>
      <c r="J354" s="64">
        <f>IF(F354="","",Parâmetros!$C$4-F354)</f>
        <v>17</v>
      </c>
      <c r="K354" s="40">
        <f t="shared" si="10"/>
        <v>0</v>
      </c>
      <c r="L354" s="105" t="str">
        <f t="shared" si="11"/>
        <v/>
      </c>
      <c r="M354" s="106">
        <f>IF(I354="","",I354*Parâmetros!$C$8/15)</f>
        <v>12.543333333333333</v>
      </c>
      <c r="N354" s="106">
        <f>IF(K354="","",K354*Parâmetros!$C$8/15)</f>
        <v>0</v>
      </c>
      <c r="O354" s="28">
        <f>IF(M354="","",M354*Parâmetros!$C$5)</f>
        <v>4013.8666666666668</v>
      </c>
      <c r="P354" s="64" t="str">
        <f>IF(L354="","",IF(L354&gt;=Parâmetros!$C$10,"Sim","Não"))</f>
        <v/>
      </c>
    </row>
    <row r="355" spans="1:16" ht="15" customHeight="1" x14ac:dyDescent="0.3">
      <c r="A355" s="60">
        <v>353</v>
      </c>
      <c r="B355" s="60" t="s">
        <v>536</v>
      </c>
      <c r="C355" s="101" t="s">
        <v>183</v>
      </c>
      <c r="D355" s="101" t="s">
        <v>184</v>
      </c>
      <c r="E355" s="60">
        <v>5</v>
      </c>
      <c r="F355" s="85">
        <v>46221</v>
      </c>
      <c r="G355" s="35">
        <v>365</v>
      </c>
      <c r="H355" s="85">
        <f>IF(COUNTIFS(Pesagens!$B$3:$B$5001,$B355)=0,"",_xlfn.MAXIFS(Pesagens!$A$3:$A$5001,Pesagens!$B$3:$B$5001,$B355,Pesagens!$E$3:$E$5001,"&lt;&gt;"))</f>
        <v>46221</v>
      </c>
      <c r="I355" s="35">
        <f>IF($H355="","",IFERROR(AVERAGEIFS(Pesagens!$E$3:$E$5001,Pesagens!$B$3:$B$5001,$B355,Pesagens!$A$3:$A$5001,$H355),""))</f>
        <v>365</v>
      </c>
      <c r="J355" s="60">
        <f>IF(F355="","",Parâmetros!$C$4-F355)</f>
        <v>17</v>
      </c>
      <c r="K355" s="35">
        <f t="shared" si="10"/>
        <v>0</v>
      </c>
      <c r="L355" s="102" t="str">
        <f t="shared" si="11"/>
        <v/>
      </c>
      <c r="M355" s="103">
        <f>IF(I355="","",I355*Parâmetros!$C$8/15)</f>
        <v>12.896666666666668</v>
      </c>
      <c r="N355" s="103">
        <f>IF(K355="","",K355*Parâmetros!$C$8/15)</f>
        <v>0</v>
      </c>
      <c r="O355" s="26">
        <f>IF(M355="","",M355*Parâmetros!$C$5)</f>
        <v>4126.9333333333343</v>
      </c>
      <c r="P355" s="60" t="str">
        <f>IF(L355="","",IF(L355&gt;=Parâmetros!$C$10,"Sim","Não"))</f>
        <v/>
      </c>
    </row>
    <row r="356" spans="1:16" ht="15" customHeight="1" x14ac:dyDescent="0.3">
      <c r="A356" s="64">
        <v>354</v>
      </c>
      <c r="B356" s="64" t="s">
        <v>537</v>
      </c>
      <c r="C356" s="104" t="s">
        <v>183</v>
      </c>
      <c r="D356" s="104" t="s">
        <v>184</v>
      </c>
      <c r="E356" s="64">
        <v>5</v>
      </c>
      <c r="F356" s="86">
        <v>46225</v>
      </c>
      <c r="G356" s="40">
        <v>357</v>
      </c>
      <c r="H356" s="86">
        <f>IF(COUNTIFS(Pesagens!$B$3:$B$5001,$B356)=0,"",_xlfn.MAXIFS(Pesagens!$A$3:$A$5001,Pesagens!$B$3:$B$5001,$B356,Pesagens!$E$3:$E$5001,"&lt;&gt;"))</f>
        <v>46225</v>
      </c>
      <c r="I356" s="40">
        <f>IF($H356="","",IFERROR(AVERAGEIFS(Pesagens!$E$3:$E$5001,Pesagens!$B$3:$B$5001,$B356,Pesagens!$A$3:$A$5001,$H356),""))</f>
        <v>357</v>
      </c>
      <c r="J356" s="64">
        <f>IF(F356="","",Parâmetros!$C$4-F356)</f>
        <v>13</v>
      </c>
      <c r="K356" s="40">
        <f t="shared" si="10"/>
        <v>0</v>
      </c>
      <c r="L356" s="105" t="str">
        <f t="shared" si="11"/>
        <v/>
      </c>
      <c r="M356" s="106">
        <f>IF(I356="","",I356*Parâmetros!$C$8/15)</f>
        <v>12.614000000000001</v>
      </c>
      <c r="N356" s="106">
        <f>IF(K356="","",K356*Parâmetros!$C$8/15)</f>
        <v>0</v>
      </c>
      <c r="O356" s="28">
        <f>IF(M356="","",M356*Parâmetros!$C$5)</f>
        <v>4036.4800000000005</v>
      </c>
      <c r="P356" s="64" t="str">
        <f>IF(L356="","",IF(L356&gt;=Parâmetros!$C$10,"Sim","Não"))</f>
        <v/>
      </c>
    </row>
    <row r="357" spans="1:16" ht="15" customHeight="1" x14ac:dyDescent="0.3">
      <c r="A357" s="60">
        <v>355</v>
      </c>
      <c r="B357" s="60" t="s">
        <v>538</v>
      </c>
      <c r="C357" s="101" t="s">
        <v>183</v>
      </c>
      <c r="D357" s="101" t="s">
        <v>184</v>
      </c>
      <c r="E357" s="60">
        <v>5</v>
      </c>
      <c r="F357" s="85">
        <v>46225</v>
      </c>
      <c r="G357" s="35">
        <v>372</v>
      </c>
      <c r="H357" s="85">
        <f>IF(COUNTIFS(Pesagens!$B$3:$B$5001,$B357)=0,"",_xlfn.MAXIFS(Pesagens!$A$3:$A$5001,Pesagens!$B$3:$B$5001,$B357,Pesagens!$E$3:$E$5001,"&lt;&gt;"))</f>
        <v>46225</v>
      </c>
      <c r="I357" s="35">
        <f>IF($H357="","",IFERROR(AVERAGEIFS(Pesagens!$E$3:$E$5001,Pesagens!$B$3:$B$5001,$B357,Pesagens!$A$3:$A$5001,$H357),""))</f>
        <v>372</v>
      </c>
      <c r="J357" s="60">
        <f>IF(F357="","",Parâmetros!$C$4-F357)</f>
        <v>13</v>
      </c>
      <c r="K357" s="35">
        <f t="shared" si="10"/>
        <v>0</v>
      </c>
      <c r="L357" s="102" t="str">
        <f t="shared" si="11"/>
        <v/>
      </c>
      <c r="M357" s="103">
        <f>IF(I357="","",I357*Parâmetros!$C$8/15)</f>
        <v>13.144</v>
      </c>
      <c r="N357" s="103">
        <f>IF(K357="","",K357*Parâmetros!$C$8/15)</f>
        <v>0</v>
      </c>
      <c r="O357" s="26">
        <f>IF(M357="","",M357*Parâmetros!$C$5)</f>
        <v>4206.08</v>
      </c>
      <c r="P357" s="60" t="str">
        <f>IF(L357="","",IF(L357&gt;=Parâmetros!$C$10,"Sim","Não"))</f>
        <v/>
      </c>
    </row>
    <row r="358" spans="1:16" ht="15" customHeight="1" x14ac:dyDescent="0.3">
      <c r="A358" s="64">
        <v>356</v>
      </c>
      <c r="B358" s="64" t="s">
        <v>539</v>
      </c>
      <c r="C358" s="104" t="s">
        <v>183</v>
      </c>
      <c r="D358" s="104" t="s">
        <v>184</v>
      </c>
      <c r="E358" s="64">
        <v>5</v>
      </c>
      <c r="F358" s="86">
        <v>46225</v>
      </c>
      <c r="G358" s="40">
        <v>377</v>
      </c>
      <c r="H358" s="86">
        <f>IF(COUNTIFS(Pesagens!$B$3:$B$5001,$B358)=0,"",_xlfn.MAXIFS(Pesagens!$A$3:$A$5001,Pesagens!$B$3:$B$5001,$B358,Pesagens!$E$3:$E$5001,"&lt;&gt;"))</f>
        <v>46225</v>
      </c>
      <c r="I358" s="40">
        <f>IF($H358="","",IFERROR(AVERAGEIFS(Pesagens!$E$3:$E$5001,Pesagens!$B$3:$B$5001,$B358,Pesagens!$A$3:$A$5001,$H358),""))</f>
        <v>377</v>
      </c>
      <c r="J358" s="64">
        <f>IF(F358="","",Parâmetros!$C$4-F358)</f>
        <v>13</v>
      </c>
      <c r="K358" s="40">
        <f t="shared" si="10"/>
        <v>0</v>
      </c>
      <c r="L358" s="105" t="str">
        <f t="shared" si="11"/>
        <v/>
      </c>
      <c r="M358" s="106">
        <f>IF(I358="","",I358*Parâmetros!$C$8/15)</f>
        <v>13.320666666666666</v>
      </c>
      <c r="N358" s="106">
        <f>IF(K358="","",K358*Parâmetros!$C$8/15)</f>
        <v>0</v>
      </c>
      <c r="O358" s="28">
        <f>IF(M358="","",M358*Parâmetros!$C$5)</f>
        <v>4262.6133333333328</v>
      </c>
      <c r="P358" s="64" t="str">
        <f>IF(L358="","",IF(L358&gt;=Parâmetros!$C$10,"Sim","Não"))</f>
        <v/>
      </c>
    </row>
    <row r="359" spans="1:16" ht="15" customHeight="1" x14ac:dyDescent="0.3">
      <c r="A359" s="60">
        <v>357</v>
      </c>
      <c r="B359" s="60" t="s">
        <v>540</v>
      </c>
      <c r="C359" s="101" t="s">
        <v>183</v>
      </c>
      <c r="D359" s="101" t="s">
        <v>184</v>
      </c>
      <c r="E359" s="60">
        <v>5</v>
      </c>
      <c r="F359" s="85">
        <v>46225</v>
      </c>
      <c r="G359" s="35">
        <v>365</v>
      </c>
      <c r="H359" s="85">
        <f>IF(COUNTIFS(Pesagens!$B$3:$B$5001,$B359)=0,"",_xlfn.MAXIFS(Pesagens!$A$3:$A$5001,Pesagens!$B$3:$B$5001,$B359,Pesagens!$E$3:$E$5001,"&lt;&gt;"))</f>
        <v>46225</v>
      </c>
      <c r="I359" s="35">
        <f>IF($H359="","",IFERROR(AVERAGEIFS(Pesagens!$E$3:$E$5001,Pesagens!$B$3:$B$5001,$B359,Pesagens!$A$3:$A$5001,$H359),""))</f>
        <v>365</v>
      </c>
      <c r="J359" s="60">
        <f>IF(F359="","",Parâmetros!$C$4-F359)</f>
        <v>13</v>
      </c>
      <c r="K359" s="35">
        <f t="shared" si="10"/>
        <v>0</v>
      </c>
      <c r="L359" s="102" t="str">
        <f t="shared" si="11"/>
        <v/>
      </c>
      <c r="M359" s="103">
        <f>IF(I359="","",I359*Parâmetros!$C$8/15)</f>
        <v>12.896666666666668</v>
      </c>
      <c r="N359" s="103">
        <f>IF(K359="","",K359*Parâmetros!$C$8/15)</f>
        <v>0</v>
      </c>
      <c r="O359" s="26">
        <f>IF(M359="","",M359*Parâmetros!$C$5)</f>
        <v>4126.9333333333343</v>
      </c>
      <c r="P359" s="60" t="str">
        <f>IF(L359="","",IF(L359&gt;=Parâmetros!$C$10,"Sim","Não"))</f>
        <v/>
      </c>
    </row>
    <row r="360" spans="1:16" ht="15" customHeight="1" x14ac:dyDescent="0.3">
      <c r="A360" s="64">
        <v>358</v>
      </c>
      <c r="B360" s="64" t="s">
        <v>541</v>
      </c>
      <c r="C360" s="104" t="s">
        <v>183</v>
      </c>
      <c r="D360" s="104" t="s">
        <v>184</v>
      </c>
      <c r="E360" s="64">
        <v>5</v>
      </c>
      <c r="F360" s="86">
        <v>46225</v>
      </c>
      <c r="G360" s="40">
        <v>362</v>
      </c>
      <c r="H360" s="86">
        <f>IF(COUNTIFS(Pesagens!$B$3:$B$5001,$B360)=0,"",_xlfn.MAXIFS(Pesagens!$A$3:$A$5001,Pesagens!$B$3:$B$5001,$B360,Pesagens!$E$3:$E$5001,"&lt;&gt;"))</f>
        <v>46225</v>
      </c>
      <c r="I360" s="40">
        <f>IF($H360="","",IFERROR(AVERAGEIFS(Pesagens!$E$3:$E$5001,Pesagens!$B$3:$B$5001,$B360,Pesagens!$A$3:$A$5001,$H360),""))</f>
        <v>362</v>
      </c>
      <c r="J360" s="64">
        <f>IF(F360="","",Parâmetros!$C$4-F360)</f>
        <v>13</v>
      </c>
      <c r="K360" s="40">
        <f t="shared" si="10"/>
        <v>0</v>
      </c>
      <c r="L360" s="105" t="str">
        <f t="shared" si="11"/>
        <v/>
      </c>
      <c r="M360" s="106">
        <f>IF(I360="","",I360*Parâmetros!$C$8/15)</f>
        <v>12.790666666666668</v>
      </c>
      <c r="N360" s="106">
        <f>IF(K360="","",K360*Parâmetros!$C$8/15)</f>
        <v>0</v>
      </c>
      <c r="O360" s="28">
        <f>IF(M360="","",M360*Parâmetros!$C$5)</f>
        <v>4093.0133333333338</v>
      </c>
      <c r="P360" s="64" t="str">
        <f>IF(L360="","",IF(L360&gt;=Parâmetros!$C$10,"Sim","Não"))</f>
        <v/>
      </c>
    </row>
    <row r="361" spans="1:16" ht="15" customHeight="1" x14ac:dyDescent="0.3">
      <c r="A361" s="60">
        <v>359</v>
      </c>
      <c r="B361" s="60" t="s">
        <v>542</v>
      </c>
      <c r="C361" s="101" t="s">
        <v>183</v>
      </c>
      <c r="D361" s="101" t="s">
        <v>184</v>
      </c>
      <c r="E361" s="60">
        <v>5</v>
      </c>
      <c r="F361" s="85">
        <v>46225</v>
      </c>
      <c r="G361" s="35">
        <v>374</v>
      </c>
      <c r="H361" s="85">
        <f>IF(COUNTIFS(Pesagens!$B$3:$B$5001,$B361)=0,"",_xlfn.MAXIFS(Pesagens!$A$3:$A$5001,Pesagens!$B$3:$B$5001,$B361,Pesagens!$E$3:$E$5001,"&lt;&gt;"))</f>
        <v>46225</v>
      </c>
      <c r="I361" s="35">
        <f>IF($H361="","",IFERROR(AVERAGEIFS(Pesagens!$E$3:$E$5001,Pesagens!$B$3:$B$5001,$B361,Pesagens!$A$3:$A$5001,$H361),""))</f>
        <v>374</v>
      </c>
      <c r="J361" s="60">
        <f>IF(F361="","",Parâmetros!$C$4-F361)</f>
        <v>13</v>
      </c>
      <c r="K361" s="35">
        <f t="shared" si="10"/>
        <v>0</v>
      </c>
      <c r="L361" s="102" t="str">
        <f t="shared" si="11"/>
        <v/>
      </c>
      <c r="M361" s="103">
        <f>IF(I361="","",I361*Parâmetros!$C$8/15)</f>
        <v>13.214666666666666</v>
      </c>
      <c r="N361" s="103">
        <f>IF(K361="","",K361*Parâmetros!$C$8/15)</f>
        <v>0</v>
      </c>
      <c r="O361" s="26">
        <f>IF(M361="","",M361*Parâmetros!$C$5)</f>
        <v>4228.6933333333327</v>
      </c>
      <c r="P361" s="60" t="str">
        <f>IF(L361="","",IF(L361&gt;=Parâmetros!$C$10,"Sim","Não"))</f>
        <v/>
      </c>
    </row>
    <row r="362" spans="1:16" ht="15" customHeight="1" x14ac:dyDescent="0.3">
      <c r="A362" s="64">
        <v>360</v>
      </c>
      <c r="B362" s="64" t="s">
        <v>543</v>
      </c>
      <c r="C362" s="104" t="s">
        <v>183</v>
      </c>
      <c r="D362" s="104" t="s">
        <v>184</v>
      </c>
      <c r="E362" s="64">
        <v>5</v>
      </c>
      <c r="F362" s="86">
        <v>46225</v>
      </c>
      <c r="G362" s="40">
        <v>360</v>
      </c>
      <c r="H362" s="86">
        <f>IF(COUNTIFS(Pesagens!$B$3:$B$5001,$B362)=0,"",_xlfn.MAXIFS(Pesagens!$A$3:$A$5001,Pesagens!$B$3:$B$5001,$B362,Pesagens!$E$3:$E$5001,"&lt;&gt;"))</f>
        <v>46225</v>
      </c>
      <c r="I362" s="40">
        <f>IF($H362="","",IFERROR(AVERAGEIFS(Pesagens!$E$3:$E$5001,Pesagens!$B$3:$B$5001,$B362,Pesagens!$A$3:$A$5001,$H362),""))</f>
        <v>360</v>
      </c>
      <c r="J362" s="64">
        <f>IF(F362="","",Parâmetros!$C$4-F362)</f>
        <v>13</v>
      </c>
      <c r="K362" s="40">
        <f t="shared" si="10"/>
        <v>0</v>
      </c>
      <c r="L362" s="105" t="str">
        <f t="shared" si="11"/>
        <v/>
      </c>
      <c r="M362" s="106">
        <f>IF(I362="","",I362*Parâmetros!$C$8/15)</f>
        <v>12.72</v>
      </c>
      <c r="N362" s="106">
        <f>IF(K362="","",K362*Parâmetros!$C$8/15)</f>
        <v>0</v>
      </c>
      <c r="O362" s="28">
        <f>IF(M362="","",M362*Parâmetros!$C$5)</f>
        <v>4070.4</v>
      </c>
      <c r="P362" s="64" t="str">
        <f>IF(L362="","",IF(L362&gt;=Parâmetros!$C$10,"Sim","Não"))</f>
        <v/>
      </c>
    </row>
    <row r="363" spans="1:16" ht="15" customHeight="1" x14ac:dyDescent="0.3">
      <c r="A363" s="60">
        <v>361</v>
      </c>
      <c r="B363" s="60" t="s">
        <v>544</v>
      </c>
      <c r="C363" s="101" t="s">
        <v>183</v>
      </c>
      <c r="D363" s="101" t="s">
        <v>184</v>
      </c>
      <c r="E363" s="60">
        <v>5</v>
      </c>
      <c r="F363" s="85">
        <v>46225</v>
      </c>
      <c r="G363" s="35">
        <v>354</v>
      </c>
      <c r="H363" s="85">
        <f>IF(COUNTIFS(Pesagens!$B$3:$B$5001,$B363)=0,"",_xlfn.MAXIFS(Pesagens!$A$3:$A$5001,Pesagens!$B$3:$B$5001,$B363,Pesagens!$E$3:$E$5001,"&lt;&gt;"))</f>
        <v>46225</v>
      </c>
      <c r="I363" s="35">
        <f>IF($H363="","",IFERROR(AVERAGEIFS(Pesagens!$E$3:$E$5001,Pesagens!$B$3:$B$5001,$B363,Pesagens!$A$3:$A$5001,$H363),""))</f>
        <v>354</v>
      </c>
      <c r="J363" s="60">
        <f>IF(F363="","",Parâmetros!$C$4-F363)</f>
        <v>13</v>
      </c>
      <c r="K363" s="35">
        <f t="shared" si="10"/>
        <v>0</v>
      </c>
      <c r="L363" s="102" t="str">
        <f t="shared" si="11"/>
        <v/>
      </c>
      <c r="M363" s="103">
        <f>IF(I363="","",I363*Parâmetros!$C$8/15)</f>
        <v>12.508000000000001</v>
      </c>
      <c r="N363" s="103">
        <f>IF(K363="","",K363*Parâmetros!$C$8/15)</f>
        <v>0</v>
      </c>
      <c r="O363" s="26">
        <f>IF(M363="","",M363*Parâmetros!$C$5)</f>
        <v>4002.5600000000004</v>
      </c>
      <c r="P363" s="60" t="str">
        <f>IF(L363="","",IF(L363&gt;=Parâmetros!$C$10,"Sim","Não"))</f>
        <v/>
      </c>
    </row>
    <row r="364" spans="1:16" ht="15" customHeight="1" x14ac:dyDescent="0.3">
      <c r="A364" s="64">
        <v>362</v>
      </c>
      <c r="B364" s="64" t="s">
        <v>545</v>
      </c>
      <c r="C364" s="104" t="s">
        <v>183</v>
      </c>
      <c r="D364" s="104" t="s">
        <v>184</v>
      </c>
      <c r="E364" s="64">
        <v>6</v>
      </c>
      <c r="F364" s="86">
        <v>46224</v>
      </c>
      <c r="G364" s="40">
        <v>383</v>
      </c>
      <c r="H364" s="86">
        <f>IF(COUNTIFS(Pesagens!$B$3:$B$5001,$B364)=0,"",_xlfn.MAXIFS(Pesagens!$A$3:$A$5001,Pesagens!$B$3:$B$5001,$B364,Pesagens!$E$3:$E$5001,"&lt;&gt;"))</f>
        <v>46224</v>
      </c>
      <c r="I364" s="40">
        <f>IF($H364="","",IFERROR(AVERAGEIFS(Pesagens!$E$3:$E$5001,Pesagens!$B$3:$B$5001,$B364,Pesagens!$A$3:$A$5001,$H364),""))</f>
        <v>383</v>
      </c>
      <c r="J364" s="64">
        <f>IF(F364="","",Parâmetros!$C$4-F364)</f>
        <v>14</v>
      </c>
      <c r="K364" s="40">
        <f t="shared" si="10"/>
        <v>0</v>
      </c>
      <c r="L364" s="105" t="str">
        <f t="shared" si="11"/>
        <v/>
      </c>
      <c r="M364" s="106">
        <f>IF(I364="","",I364*Parâmetros!$C$8/15)</f>
        <v>13.532666666666668</v>
      </c>
      <c r="N364" s="106">
        <f>IF(K364="","",K364*Parâmetros!$C$8/15)</f>
        <v>0</v>
      </c>
      <c r="O364" s="28">
        <f>IF(M364="","",M364*Parâmetros!$C$5)</f>
        <v>4330.4533333333338</v>
      </c>
      <c r="P364" s="64" t="str">
        <f>IF(L364="","",IF(L364&gt;=Parâmetros!$C$10,"Sim","Não"))</f>
        <v/>
      </c>
    </row>
    <row r="365" spans="1:16" ht="15" customHeight="1" x14ac:dyDescent="0.3">
      <c r="A365" s="60">
        <v>363</v>
      </c>
      <c r="B365" s="60" t="s">
        <v>546</v>
      </c>
      <c r="C365" s="101" t="s">
        <v>183</v>
      </c>
      <c r="D365" s="101" t="s">
        <v>184</v>
      </c>
      <c r="E365" s="60">
        <v>6</v>
      </c>
      <c r="F365" s="85">
        <v>46224</v>
      </c>
      <c r="G365" s="35">
        <v>391</v>
      </c>
      <c r="H365" s="85">
        <f>IF(COUNTIFS(Pesagens!$B$3:$B$5001,$B365)=0,"",_xlfn.MAXIFS(Pesagens!$A$3:$A$5001,Pesagens!$B$3:$B$5001,$B365,Pesagens!$E$3:$E$5001,"&lt;&gt;"))</f>
        <v>46224</v>
      </c>
      <c r="I365" s="35">
        <f>IF($H365="","",IFERROR(AVERAGEIFS(Pesagens!$E$3:$E$5001,Pesagens!$B$3:$B$5001,$B365,Pesagens!$A$3:$A$5001,$H365),""))</f>
        <v>391</v>
      </c>
      <c r="J365" s="60">
        <f>IF(F365="","",Parâmetros!$C$4-F365)</f>
        <v>14</v>
      </c>
      <c r="K365" s="35">
        <f t="shared" si="10"/>
        <v>0</v>
      </c>
      <c r="L365" s="102" t="str">
        <f t="shared" si="11"/>
        <v/>
      </c>
      <c r="M365" s="103">
        <f>IF(I365="","",I365*Parâmetros!$C$8/15)</f>
        <v>13.815333333333335</v>
      </c>
      <c r="N365" s="103">
        <f>IF(K365="","",K365*Parâmetros!$C$8/15)</f>
        <v>0</v>
      </c>
      <c r="O365" s="26">
        <f>IF(M365="","",M365*Parâmetros!$C$5)</f>
        <v>4420.9066666666677</v>
      </c>
      <c r="P365" s="60" t="str">
        <f>IF(L365="","",IF(L365&gt;=Parâmetros!$C$10,"Sim","Não"))</f>
        <v/>
      </c>
    </row>
    <row r="366" spans="1:16" ht="15" customHeight="1" x14ac:dyDescent="0.3">
      <c r="A366" s="64">
        <v>364</v>
      </c>
      <c r="B366" s="64" t="s">
        <v>547</v>
      </c>
      <c r="C366" s="104" t="s">
        <v>183</v>
      </c>
      <c r="D366" s="104" t="s">
        <v>184</v>
      </c>
      <c r="E366" s="64">
        <v>6</v>
      </c>
      <c r="F366" s="86">
        <v>46224</v>
      </c>
      <c r="G366" s="40">
        <v>392</v>
      </c>
      <c r="H366" s="86">
        <f>IF(COUNTIFS(Pesagens!$B$3:$B$5001,$B366)=0,"",_xlfn.MAXIFS(Pesagens!$A$3:$A$5001,Pesagens!$B$3:$B$5001,$B366,Pesagens!$E$3:$E$5001,"&lt;&gt;"))</f>
        <v>46224</v>
      </c>
      <c r="I366" s="40">
        <f>IF($H366="","",IFERROR(AVERAGEIFS(Pesagens!$E$3:$E$5001,Pesagens!$B$3:$B$5001,$B366,Pesagens!$A$3:$A$5001,$H366),""))</f>
        <v>392</v>
      </c>
      <c r="J366" s="64">
        <f>IF(F366="","",Parâmetros!$C$4-F366)</f>
        <v>14</v>
      </c>
      <c r="K366" s="40">
        <f t="shared" si="10"/>
        <v>0</v>
      </c>
      <c r="L366" s="105" t="str">
        <f t="shared" si="11"/>
        <v/>
      </c>
      <c r="M366" s="106">
        <f>IF(I366="","",I366*Parâmetros!$C$8/15)</f>
        <v>13.850666666666667</v>
      </c>
      <c r="N366" s="106">
        <f>IF(K366="","",K366*Parâmetros!$C$8/15)</f>
        <v>0</v>
      </c>
      <c r="O366" s="28">
        <f>IF(M366="","",M366*Parâmetros!$C$5)</f>
        <v>4432.2133333333331</v>
      </c>
      <c r="P366" s="64" t="str">
        <f>IF(L366="","",IF(L366&gt;=Parâmetros!$C$10,"Sim","Não"))</f>
        <v/>
      </c>
    </row>
    <row r="367" spans="1:16" ht="15" customHeight="1" x14ac:dyDescent="0.3">
      <c r="A367" s="60">
        <v>365</v>
      </c>
      <c r="B367" s="60" t="s">
        <v>548</v>
      </c>
      <c r="C367" s="101" t="s">
        <v>183</v>
      </c>
      <c r="D367" s="101" t="s">
        <v>184</v>
      </c>
      <c r="E367" s="60">
        <v>6</v>
      </c>
      <c r="F367" s="85">
        <v>46224</v>
      </c>
      <c r="G367" s="35">
        <v>375</v>
      </c>
      <c r="H367" s="85">
        <f>IF(COUNTIFS(Pesagens!$B$3:$B$5001,$B367)=0,"",_xlfn.MAXIFS(Pesagens!$A$3:$A$5001,Pesagens!$B$3:$B$5001,$B367,Pesagens!$E$3:$E$5001,"&lt;&gt;"))</f>
        <v>46224</v>
      </c>
      <c r="I367" s="35">
        <f>IF($H367="","",IFERROR(AVERAGEIFS(Pesagens!$E$3:$E$5001,Pesagens!$B$3:$B$5001,$B367,Pesagens!$A$3:$A$5001,$H367),""))</f>
        <v>375</v>
      </c>
      <c r="J367" s="60">
        <f>IF(F367="","",Parâmetros!$C$4-F367)</f>
        <v>14</v>
      </c>
      <c r="K367" s="35">
        <f t="shared" si="10"/>
        <v>0</v>
      </c>
      <c r="L367" s="102" t="str">
        <f t="shared" si="11"/>
        <v/>
      </c>
      <c r="M367" s="103">
        <f>IF(I367="","",I367*Parâmetros!$C$8/15)</f>
        <v>13.25</v>
      </c>
      <c r="N367" s="103">
        <f>IF(K367="","",K367*Parâmetros!$C$8/15)</f>
        <v>0</v>
      </c>
      <c r="O367" s="26">
        <f>IF(M367="","",M367*Parâmetros!$C$5)</f>
        <v>4240</v>
      </c>
      <c r="P367" s="60" t="str">
        <f>IF(L367="","",IF(L367&gt;=Parâmetros!$C$10,"Sim","Não"))</f>
        <v/>
      </c>
    </row>
    <row r="368" spans="1:16" ht="15" customHeight="1" x14ac:dyDescent="0.3">
      <c r="A368" s="64">
        <v>366</v>
      </c>
      <c r="B368" s="64" t="s">
        <v>549</v>
      </c>
      <c r="C368" s="104" t="s">
        <v>183</v>
      </c>
      <c r="D368" s="104" t="s">
        <v>184</v>
      </c>
      <c r="E368" s="64">
        <v>6</v>
      </c>
      <c r="F368" s="86">
        <v>46224</v>
      </c>
      <c r="G368" s="40">
        <v>392</v>
      </c>
      <c r="H368" s="86">
        <f>IF(COUNTIFS(Pesagens!$B$3:$B$5001,$B368)=0,"",_xlfn.MAXIFS(Pesagens!$A$3:$A$5001,Pesagens!$B$3:$B$5001,$B368,Pesagens!$E$3:$E$5001,"&lt;&gt;"))</f>
        <v>46224</v>
      </c>
      <c r="I368" s="40">
        <f>IF($H368="","",IFERROR(AVERAGEIFS(Pesagens!$E$3:$E$5001,Pesagens!$B$3:$B$5001,$B368,Pesagens!$A$3:$A$5001,$H368),""))</f>
        <v>392</v>
      </c>
      <c r="J368" s="64">
        <f>IF(F368="","",Parâmetros!$C$4-F368)</f>
        <v>14</v>
      </c>
      <c r="K368" s="40">
        <f t="shared" si="10"/>
        <v>0</v>
      </c>
      <c r="L368" s="105" t="str">
        <f t="shared" si="11"/>
        <v/>
      </c>
      <c r="M368" s="106">
        <f>IF(I368="","",I368*Parâmetros!$C$8/15)</f>
        <v>13.850666666666667</v>
      </c>
      <c r="N368" s="106">
        <f>IF(K368="","",K368*Parâmetros!$C$8/15)</f>
        <v>0</v>
      </c>
      <c r="O368" s="28">
        <f>IF(M368="","",M368*Parâmetros!$C$5)</f>
        <v>4432.2133333333331</v>
      </c>
      <c r="P368" s="64" t="str">
        <f>IF(L368="","",IF(L368&gt;=Parâmetros!$C$10,"Sim","Não"))</f>
        <v/>
      </c>
    </row>
    <row r="369" spans="1:16" ht="15" customHeight="1" x14ac:dyDescent="0.3">
      <c r="A369" s="60">
        <v>367</v>
      </c>
      <c r="B369" s="60" t="s">
        <v>550</v>
      </c>
      <c r="C369" s="101" t="s">
        <v>183</v>
      </c>
      <c r="D369" s="101" t="s">
        <v>184</v>
      </c>
      <c r="E369" s="60">
        <v>6</v>
      </c>
      <c r="F369" s="85">
        <v>46224</v>
      </c>
      <c r="G369" s="35">
        <v>400</v>
      </c>
      <c r="H369" s="85">
        <f>IF(COUNTIFS(Pesagens!$B$3:$B$5001,$B369)=0,"",_xlfn.MAXIFS(Pesagens!$A$3:$A$5001,Pesagens!$B$3:$B$5001,$B369,Pesagens!$E$3:$E$5001,"&lt;&gt;"))</f>
        <v>46224</v>
      </c>
      <c r="I369" s="35">
        <f>IF($H369="","",IFERROR(AVERAGEIFS(Pesagens!$E$3:$E$5001,Pesagens!$B$3:$B$5001,$B369,Pesagens!$A$3:$A$5001,$H369),""))</f>
        <v>400</v>
      </c>
      <c r="J369" s="60">
        <f>IF(F369="","",Parâmetros!$C$4-F369)</f>
        <v>14</v>
      </c>
      <c r="K369" s="35">
        <f t="shared" si="10"/>
        <v>0</v>
      </c>
      <c r="L369" s="102" t="str">
        <f t="shared" si="11"/>
        <v/>
      </c>
      <c r="M369" s="103">
        <f>IF(I369="","",I369*Parâmetros!$C$8/15)</f>
        <v>14.133333333333333</v>
      </c>
      <c r="N369" s="103">
        <f>IF(K369="","",K369*Parâmetros!$C$8/15)</f>
        <v>0</v>
      </c>
      <c r="O369" s="26">
        <f>IF(M369="","",M369*Parâmetros!$C$5)</f>
        <v>4522.6666666666661</v>
      </c>
      <c r="P369" s="60" t="str">
        <f>IF(L369="","",IF(L369&gt;=Parâmetros!$C$10,"Sim","Não"))</f>
        <v/>
      </c>
    </row>
    <row r="370" spans="1:16" ht="15" customHeight="1" x14ac:dyDescent="0.3">
      <c r="A370" s="64">
        <v>368</v>
      </c>
      <c r="B370" s="64" t="s">
        <v>551</v>
      </c>
      <c r="C370" s="104" t="s">
        <v>183</v>
      </c>
      <c r="D370" s="104" t="s">
        <v>184</v>
      </c>
      <c r="E370" s="64">
        <v>6</v>
      </c>
      <c r="F370" s="86">
        <v>46224</v>
      </c>
      <c r="G370" s="40">
        <v>389</v>
      </c>
      <c r="H370" s="86">
        <f>IF(COUNTIFS(Pesagens!$B$3:$B$5001,$B370)=0,"",_xlfn.MAXIFS(Pesagens!$A$3:$A$5001,Pesagens!$B$3:$B$5001,$B370,Pesagens!$E$3:$E$5001,"&lt;&gt;"))</f>
        <v>46224</v>
      </c>
      <c r="I370" s="40">
        <f>IF($H370="","",IFERROR(AVERAGEIFS(Pesagens!$E$3:$E$5001,Pesagens!$B$3:$B$5001,$B370,Pesagens!$A$3:$A$5001,$H370),""))</f>
        <v>389</v>
      </c>
      <c r="J370" s="64">
        <f>IF(F370="","",Parâmetros!$C$4-F370)</f>
        <v>14</v>
      </c>
      <c r="K370" s="40">
        <f t="shared" si="10"/>
        <v>0</v>
      </c>
      <c r="L370" s="105" t="str">
        <f t="shared" si="11"/>
        <v/>
      </c>
      <c r="M370" s="106">
        <f>IF(I370="","",I370*Parâmetros!$C$8/15)</f>
        <v>13.744666666666667</v>
      </c>
      <c r="N370" s="106">
        <f>IF(K370="","",K370*Parâmetros!$C$8/15)</f>
        <v>0</v>
      </c>
      <c r="O370" s="28">
        <f>IF(M370="","",M370*Parâmetros!$C$5)</f>
        <v>4398.2933333333331</v>
      </c>
      <c r="P370" s="64" t="str">
        <f>IF(L370="","",IF(L370&gt;=Parâmetros!$C$10,"Sim","Não"))</f>
        <v/>
      </c>
    </row>
    <row r="371" spans="1:16" ht="15" customHeight="1" x14ac:dyDescent="0.3">
      <c r="A371" s="60">
        <v>369</v>
      </c>
      <c r="B371" s="60" t="s">
        <v>552</v>
      </c>
      <c r="C371" s="101" t="s">
        <v>183</v>
      </c>
      <c r="D371" s="101" t="s">
        <v>184</v>
      </c>
      <c r="E371" s="60">
        <v>6</v>
      </c>
      <c r="F371" s="85">
        <v>46224</v>
      </c>
      <c r="G371" s="35">
        <v>387</v>
      </c>
      <c r="H371" s="85">
        <f>IF(COUNTIFS(Pesagens!$B$3:$B$5001,$B371)=0,"",_xlfn.MAXIFS(Pesagens!$A$3:$A$5001,Pesagens!$B$3:$B$5001,$B371,Pesagens!$E$3:$E$5001,"&lt;&gt;"))</f>
        <v>46224</v>
      </c>
      <c r="I371" s="35">
        <f>IF($H371="","",IFERROR(AVERAGEIFS(Pesagens!$E$3:$E$5001,Pesagens!$B$3:$B$5001,$B371,Pesagens!$A$3:$A$5001,$H371),""))</f>
        <v>387</v>
      </c>
      <c r="J371" s="60">
        <f>IF(F371="","",Parâmetros!$C$4-F371)</f>
        <v>14</v>
      </c>
      <c r="K371" s="35">
        <f t="shared" si="10"/>
        <v>0</v>
      </c>
      <c r="L371" s="102" t="str">
        <f t="shared" si="11"/>
        <v/>
      </c>
      <c r="M371" s="103">
        <f>IF(I371="","",I371*Parâmetros!$C$8/15)</f>
        <v>13.674000000000001</v>
      </c>
      <c r="N371" s="103">
        <f>IF(K371="","",K371*Parâmetros!$C$8/15)</f>
        <v>0</v>
      </c>
      <c r="O371" s="26">
        <f>IF(M371="","",M371*Parâmetros!$C$5)</f>
        <v>4375.68</v>
      </c>
      <c r="P371" s="60" t="str">
        <f>IF(L371="","",IF(L371&gt;=Parâmetros!$C$10,"Sim","Não"))</f>
        <v/>
      </c>
    </row>
    <row r="372" spans="1:16" ht="15" customHeight="1" x14ac:dyDescent="0.3">
      <c r="A372" s="64">
        <v>370</v>
      </c>
      <c r="B372" s="64" t="s">
        <v>553</v>
      </c>
      <c r="C372" s="104" t="s">
        <v>183</v>
      </c>
      <c r="D372" s="104" t="s">
        <v>184</v>
      </c>
      <c r="E372" s="64">
        <v>6</v>
      </c>
      <c r="F372" s="86">
        <v>46224</v>
      </c>
      <c r="G372" s="40">
        <v>392</v>
      </c>
      <c r="H372" s="86">
        <f>IF(COUNTIFS(Pesagens!$B$3:$B$5001,$B372)=0,"",_xlfn.MAXIFS(Pesagens!$A$3:$A$5001,Pesagens!$B$3:$B$5001,$B372,Pesagens!$E$3:$E$5001,"&lt;&gt;"))</f>
        <v>46224</v>
      </c>
      <c r="I372" s="40">
        <f>IF($H372="","",IFERROR(AVERAGEIFS(Pesagens!$E$3:$E$5001,Pesagens!$B$3:$B$5001,$B372,Pesagens!$A$3:$A$5001,$H372),""))</f>
        <v>392</v>
      </c>
      <c r="J372" s="64">
        <f>IF(F372="","",Parâmetros!$C$4-F372)</f>
        <v>14</v>
      </c>
      <c r="K372" s="40">
        <f t="shared" si="10"/>
        <v>0</v>
      </c>
      <c r="L372" s="105" t="str">
        <f t="shared" si="11"/>
        <v/>
      </c>
      <c r="M372" s="106">
        <f>IF(I372="","",I372*Parâmetros!$C$8/15)</f>
        <v>13.850666666666667</v>
      </c>
      <c r="N372" s="106">
        <f>IF(K372="","",K372*Parâmetros!$C$8/15)</f>
        <v>0</v>
      </c>
      <c r="O372" s="28">
        <f>IF(M372="","",M372*Parâmetros!$C$5)</f>
        <v>4432.2133333333331</v>
      </c>
      <c r="P372" s="64" t="str">
        <f>IF(L372="","",IF(L372&gt;=Parâmetros!$C$10,"Sim","Não"))</f>
        <v/>
      </c>
    </row>
    <row r="373" spans="1:16" ht="15" customHeight="1" x14ac:dyDescent="0.3">
      <c r="A373" s="60">
        <v>371</v>
      </c>
      <c r="B373" s="60" t="s">
        <v>554</v>
      </c>
      <c r="C373" s="101" t="s">
        <v>183</v>
      </c>
      <c r="D373" s="101" t="s">
        <v>184</v>
      </c>
      <c r="E373" s="60">
        <v>6</v>
      </c>
      <c r="F373" s="85">
        <v>46224</v>
      </c>
      <c r="G373" s="35">
        <v>388</v>
      </c>
      <c r="H373" s="85">
        <f>IF(COUNTIFS(Pesagens!$B$3:$B$5001,$B373)=0,"",_xlfn.MAXIFS(Pesagens!$A$3:$A$5001,Pesagens!$B$3:$B$5001,$B373,Pesagens!$E$3:$E$5001,"&lt;&gt;"))</f>
        <v>46224</v>
      </c>
      <c r="I373" s="35">
        <f>IF($H373="","",IFERROR(AVERAGEIFS(Pesagens!$E$3:$E$5001,Pesagens!$B$3:$B$5001,$B373,Pesagens!$A$3:$A$5001,$H373),""))</f>
        <v>388</v>
      </c>
      <c r="J373" s="60">
        <f>IF(F373="","",Parâmetros!$C$4-F373)</f>
        <v>14</v>
      </c>
      <c r="K373" s="35">
        <f t="shared" si="10"/>
        <v>0</v>
      </c>
      <c r="L373" s="102" t="str">
        <f t="shared" si="11"/>
        <v/>
      </c>
      <c r="M373" s="103">
        <f>IF(I373="","",I373*Parâmetros!$C$8/15)</f>
        <v>13.709333333333335</v>
      </c>
      <c r="N373" s="103">
        <f>IF(K373="","",K373*Parâmetros!$C$8/15)</f>
        <v>0</v>
      </c>
      <c r="O373" s="26">
        <f>IF(M373="","",M373*Parâmetros!$C$5)</f>
        <v>4386.9866666666676</v>
      </c>
      <c r="P373" s="60" t="str">
        <f>IF(L373="","",IF(L373&gt;=Parâmetros!$C$10,"Sim","Não"))</f>
        <v/>
      </c>
    </row>
    <row r="374" spans="1:16" ht="15" customHeight="1" x14ac:dyDescent="0.3">
      <c r="A374" s="64">
        <v>372</v>
      </c>
      <c r="B374" s="64" t="s">
        <v>555</v>
      </c>
      <c r="C374" s="104" t="s">
        <v>183</v>
      </c>
      <c r="D374" s="104" t="s">
        <v>184</v>
      </c>
      <c r="E374" s="64">
        <v>6</v>
      </c>
      <c r="F374" s="86">
        <v>46224</v>
      </c>
      <c r="G374" s="40">
        <v>394</v>
      </c>
      <c r="H374" s="86">
        <f>IF(COUNTIFS(Pesagens!$B$3:$B$5001,$B374)=0,"",_xlfn.MAXIFS(Pesagens!$A$3:$A$5001,Pesagens!$B$3:$B$5001,$B374,Pesagens!$E$3:$E$5001,"&lt;&gt;"))</f>
        <v>46224</v>
      </c>
      <c r="I374" s="40">
        <f>IF($H374="","",IFERROR(AVERAGEIFS(Pesagens!$E$3:$E$5001,Pesagens!$B$3:$B$5001,$B374,Pesagens!$A$3:$A$5001,$H374),""))</f>
        <v>394</v>
      </c>
      <c r="J374" s="64">
        <f>IF(F374="","",Parâmetros!$C$4-F374)</f>
        <v>14</v>
      </c>
      <c r="K374" s="40">
        <f t="shared" si="10"/>
        <v>0</v>
      </c>
      <c r="L374" s="105" t="str">
        <f t="shared" si="11"/>
        <v/>
      </c>
      <c r="M374" s="106">
        <f>IF(I374="","",I374*Parâmetros!$C$8/15)</f>
        <v>13.921333333333335</v>
      </c>
      <c r="N374" s="106">
        <f>IF(K374="","",K374*Parâmetros!$C$8/15)</f>
        <v>0</v>
      </c>
      <c r="O374" s="28">
        <f>IF(M374="","",M374*Parâmetros!$C$5)</f>
        <v>4454.8266666666668</v>
      </c>
      <c r="P374" s="64" t="str">
        <f>IF(L374="","",IF(L374&gt;=Parâmetros!$C$10,"Sim","Não"))</f>
        <v/>
      </c>
    </row>
    <row r="375" spans="1:16" ht="15" customHeight="1" x14ac:dyDescent="0.3">
      <c r="A375" s="60">
        <v>373</v>
      </c>
      <c r="B375" s="60" t="s">
        <v>556</v>
      </c>
      <c r="C375" s="101" t="s">
        <v>183</v>
      </c>
      <c r="D375" s="101" t="s">
        <v>184</v>
      </c>
      <c r="E375" s="60">
        <v>6</v>
      </c>
      <c r="F375" s="85">
        <v>46224</v>
      </c>
      <c r="G375" s="35">
        <v>399</v>
      </c>
      <c r="H375" s="85">
        <f>IF(COUNTIFS(Pesagens!$B$3:$B$5001,$B375)=0,"",_xlfn.MAXIFS(Pesagens!$A$3:$A$5001,Pesagens!$B$3:$B$5001,$B375,Pesagens!$E$3:$E$5001,"&lt;&gt;"))</f>
        <v>46224</v>
      </c>
      <c r="I375" s="35">
        <f>IF($H375="","",IFERROR(AVERAGEIFS(Pesagens!$E$3:$E$5001,Pesagens!$B$3:$B$5001,$B375,Pesagens!$A$3:$A$5001,$H375),""))</f>
        <v>399</v>
      </c>
      <c r="J375" s="60">
        <f>IF(F375="","",Parâmetros!$C$4-F375)</f>
        <v>14</v>
      </c>
      <c r="K375" s="35">
        <f t="shared" si="10"/>
        <v>0</v>
      </c>
      <c r="L375" s="102" t="str">
        <f t="shared" si="11"/>
        <v/>
      </c>
      <c r="M375" s="103">
        <f>IF(I375="","",I375*Parâmetros!$C$8/15)</f>
        <v>14.098000000000001</v>
      </c>
      <c r="N375" s="103">
        <f>IF(K375="","",K375*Parâmetros!$C$8/15)</f>
        <v>0</v>
      </c>
      <c r="O375" s="26">
        <f>IF(M375="","",M375*Parâmetros!$C$5)</f>
        <v>4511.3600000000006</v>
      </c>
      <c r="P375" s="60" t="str">
        <f>IF(L375="","",IF(L375&gt;=Parâmetros!$C$10,"Sim","Não"))</f>
        <v/>
      </c>
    </row>
    <row r="376" spans="1:16" ht="15" customHeight="1" x14ac:dyDescent="0.3">
      <c r="A376" s="64">
        <v>374</v>
      </c>
      <c r="B376" s="64" t="s">
        <v>557</v>
      </c>
      <c r="C376" s="104" t="s">
        <v>183</v>
      </c>
      <c r="D376" s="104" t="s">
        <v>184</v>
      </c>
      <c r="E376" s="64">
        <v>6</v>
      </c>
      <c r="F376" s="86">
        <v>46224</v>
      </c>
      <c r="G376" s="40">
        <v>375</v>
      </c>
      <c r="H376" s="86">
        <f>IF(COUNTIFS(Pesagens!$B$3:$B$5001,$B376)=0,"",_xlfn.MAXIFS(Pesagens!$A$3:$A$5001,Pesagens!$B$3:$B$5001,$B376,Pesagens!$E$3:$E$5001,"&lt;&gt;"))</f>
        <v>46224</v>
      </c>
      <c r="I376" s="40">
        <f>IF($H376="","",IFERROR(AVERAGEIFS(Pesagens!$E$3:$E$5001,Pesagens!$B$3:$B$5001,$B376,Pesagens!$A$3:$A$5001,$H376),""))</f>
        <v>375</v>
      </c>
      <c r="J376" s="64">
        <f>IF(F376="","",Parâmetros!$C$4-F376)</f>
        <v>14</v>
      </c>
      <c r="K376" s="40">
        <f t="shared" si="10"/>
        <v>0</v>
      </c>
      <c r="L376" s="105" t="str">
        <f t="shared" si="11"/>
        <v/>
      </c>
      <c r="M376" s="106">
        <f>IF(I376="","",I376*Parâmetros!$C$8/15)</f>
        <v>13.25</v>
      </c>
      <c r="N376" s="106">
        <f>IF(K376="","",K376*Parâmetros!$C$8/15)</f>
        <v>0</v>
      </c>
      <c r="O376" s="28">
        <f>IF(M376="","",M376*Parâmetros!$C$5)</f>
        <v>4240</v>
      </c>
      <c r="P376" s="64" t="str">
        <f>IF(L376="","",IF(L376&gt;=Parâmetros!$C$10,"Sim","Não"))</f>
        <v/>
      </c>
    </row>
    <row r="377" spans="1:16" ht="15" customHeight="1" x14ac:dyDescent="0.3">
      <c r="A377" s="60">
        <v>375</v>
      </c>
      <c r="B377" s="60" t="s">
        <v>558</v>
      </c>
      <c r="C377" s="101" t="s">
        <v>183</v>
      </c>
      <c r="D377" s="101" t="s">
        <v>184</v>
      </c>
      <c r="E377" s="60">
        <v>6</v>
      </c>
      <c r="F377" s="85">
        <v>46224</v>
      </c>
      <c r="G377" s="35">
        <v>382</v>
      </c>
      <c r="H377" s="85">
        <f>IF(COUNTIFS(Pesagens!$B$3:$B$5001,$B377)=0,"",_xlfn.MAXIFS(Pesagens!$A$3:$A$5001,Pesagens!$B$3:$B$5001,$B377,Pesagens!$E$3:$E$5001,"&lt;&gt;"))</f>
        <v>46224</v>
      </c>
      <c r="I377" s="35">
        <f>IF($H377="","",IFERROR(AVERAGEIFS(Pesagens!$E$3:$E$5001,Pesagens!$B$3:$B$5001,$B377,Pesagens!$A$3:$A$5001,$H377),""))</f>
        <v>382</v>
      </c>
      <c r="J377" s="60">
        <f>IF(F377="","",Parâmetros!$C$4-F377)</f>
        <v>14</v>
      </c>
      <c r="K377" s="35">
        <f t="shared" si="10"/>
        <v>0</v>
      </c>
      <c r="L377" s="102" t="str">
        <f t="shared" si="11"/>
        <v/>
      </c>
      <c r="M377" s="103">
        <f>IF(I377="","",I377*Parâmetros!$C$8/15)</f>
        <v>13.497333333333334</v>
      </c>
      <c r="N377" s="103">
        <f>IF(K377="","",K377*Parâmetros!$C$8/15)</f>
        <v>0</v>
      </c>
      <c r="O377" s="26">
        <f>IF(M377="","",M377*Parâmetros!$C$5)</f>
        <v>4319.1466666666665</v>
      </c>
      <c r="P377" s="60" t="str">
        <f>IF(L377="","",IF(L377&gt;=Parâmetros!$C$10,"Sim","Não"))</f>
        <v/>
      </c>
    </row>
    <row r="378" spans="1:16" ht="15" customHeight="1" x14ac:dyDescent="0.3">
      <c r="A378" s="64">
        <v>376</v>
      </c>
      <c r="B378" s="64" t="s">
        <v>559</v>
      </c>
      <c r="C378" s="104" t="s">
        <v>183</v>
      </c>
      <c r="D378" s="104" t="s">
        <v>184</v>
      </c>
      <c r="E378" s="64">
        <v>6</v>
      </c>
      <c r="F378" s="86">
        <v>46224</v>
      </c>
      <c r="G378" s="40">
        <v>379</v>
      </c>
      <c r="H378" s="86">
        <f>IF(COUNTIFS(Pesagens!$B$3:$B$5001,$B378)=0,"",_xlfn.MAXIFS(Pesagens!$A$3:$A$5001,Pesagens!$B$3:$B$5001,$B378,Pesagens!$E$3:$E$5001,"&lt;&gt;"))</f>
        <v>46224</v>
      </c>
      <c r="I378" s="40">
        <f>IF($H378="","",IFERROR(AVERAGEIFS(Pesagens!$E$3:$E$5001,Pesagens!$B$3:$B$5001,$B378,Pesagens!$A$3:$A$5001,$H378),""))</f>
        <v>379</v>
      </c>
      <c r="J378" s="64">
        <f>IF(F378="","",Parâmetros!$C$4-F378)</f>
        <v>14</v>
      </c>
      <c r="K378" s="40">
        <f t="shared" si="10"/>
        <v>0</v>
      </c>
      <c r="L378" s="105" t="str">
        <f t="shared" si="11"/>
        <v/>
      </c>
      <c r="M378" s="106">
        <f>IF(I378="","",I378*Parâmetros!$C$8/15)</f>
        <v>13.391333333333334</v>
      </c>
      <c r="N378" s="106">
        <f>IF(K378="","",K378*Parâmetros!$C$8/15)</f>
        <v>0</v>
      </c>
      <c r="O378" s="28">
        <f>IF(M378="","",M378*Parâmetros!$C$5)</f>
        <v>4285.2266666666665</v>
      </c>
      <c r="P378" s="64" t="str">
        <f>IF(L378="","",IF(L378&gt;=Parâmetros!$C$10,"Sim","Não"))</f>
        <v/>
      </c>
    </row>
    <row r="379" spans="1:16" ht="15" customHeight="1" x14ac:dyDescent="0.3">
      <c r="A379" s="60">
        <v>377</v>
      </c>
      <c r="B379" s="60" t="s">
        <v>560</v>
      </c>
      <c r="C379" s="101" t="s">
        <v>183</v>
      </c>
      <c r="D379" s="101" t="s">
        <v>184</v>
      </c>
      <c r="E379" s="60">
        <v>6</v>
      </c>
      <c r="F379" s="85">
        <v>46224</v>
      </c>
      <c r="G379" s="35">
        <v>385</v>
      </c>
      <c r="H379" s="85">
        <f>IF(COUNTIFS(Pesagens!$B$3:$B$5001,$B379)=0,"",_xlfn.MAXIFS(Pesagens!$A$3:$A$5001,Pesagens!$B$3:$B$5001,$B379,Pesagens!$E$3:$E$5001,"&lt;&gt;"))</f>
        <v>46224</v>
      </c>
      <c r="I379" s="35">
        <f>IF($H379="","",IFERROR(AVERAGEIFS(Pesagens!$E$3:$E$5001,Pesagens!$B$3:$B$5001,$B379,Pesagens!$A$3:$A$5001,$H379),""))</f>
        <v>385</v>
      </c>
      <c r="J379" s="60">
        <f>IF(F379="","",Parâmetros!$C$4-F379)</f>
        <v>14</v>
      </c>
      <c r="K379" s="35">
        <f t="shared" si="10"/>
        <v>0</v>
      </c>
      <c r="L379" s="102" t="str">
        <f t="shared" si="11"/>
        <v/>
      </c>
      <c r="M379" s="103">
        <f>IF(I379="","",I379*Parâmetros!$C$8/15)</f>
        <v>13.603333333333333</v>
      </c>
      <c r="N379" s="103">
        <f>IF(K379="","",K379*Parâmetros!$C$8/15)</f>
        <v>0</v>
      </c>
      <c r="O379" s="26">
        <f>IF(M379="","",M379*Parâmetros!$C$5)</f>
        <v>4353.0666666666666</v>
      </c>
      <c r="P379" s="60" t="str">
        <f>IF(L379="","",IF(L379&gt;=Parâmetros!$C$10,"Sim","Não"))</f>
        <v/>
      </c>
    </row>
    <row r="380" spans="1:16" ht="15" customHeight="1" x14ac:dyDescent="0.3">
      <c r="A380" s="64">
        <v>378</v>
      </c>
      <c r="B380" s="64" t="s">
        <v>561</v>
      </c>
      <c r="C380" s="104" t="s">
        <v>183</v>
      </c>
      <c r="D380" s="104" t="s">
        <v>184</v>
      </c>
      <c r="E380" s="64">
        <v>6</v>
      </c>
      <c r="F380" s="86">
        <v>46224</v>
      </c>
      <c r="G380" s="40">
        <v>386</v>
      </c>
      <c r="H380" s="86">
        <f>IF(COUNTIFS(Pesagens!$B$3:$B$5001,$B380)=0,"",_xlfn.MAXIFS(Pesagens!$A$3:$A$5001,Pesagens!$B$3:$B$5001,$B380,Pesagens!$E$3:$E$5001,"&lt;&gt;"))</f>
        <v>46224</v>
      </c>
      <c r="I380" s="40">
        <f>IF($H380="","",IFERROR(AVERAGEIFS(Pesagens!$E$3:$E$5001,Pesagens!$B$3:$B$5001,$B380,Pesagens!$A$3:$A$5001,$H380),""))</f>
        <v>386</v>
      </c>
      <c r="J380" s="64">
        <f>IF(F380="","",Parâmetros!$C$4-F380)</f>
        <v>14</v>
      </c>
      <c r="K380" s="40">
        <f t="shared" si="10"/>
        <v>0</v>
      </c>
      <c r="L380" s="105" t="str">
        <f t="shared" si="11"/>
        <v/>
      </c>
      <c r="M380" s="106">
        <f>IF(I380="","",I380*Parâmetros!$C$8/15)</f>
        <v>13.638666666666667</v>
      </c>
      <c r="N380" s="106">
        <f>IF(K380="","",K380*Parâmetros!$C$8/15)</f>
        <v>0</v>
      </c>
      <c r="O380" s="28">
        <f>IF(M380="","",M380*Parâmetros!$C$5)</f>
        <v>4364.3733333333339</v>
      </c>
      <c r="P380" s="64" t="str">
        <f>IF(L380="","",IF(L380&gt;=Parâmetros!$C$10,"Sim","Não"))</f>
        <v/>
      </c>
    </row>
    <row r="381" spans="1:16" ht="15" customHeight="1" x14ac:dyDescent="0.3">
      <c r="A381" s="60">
        <v>379</v>
      </c>
      <c r="B381" s="60" t="s">
        <v>562</v>
      </c>
      <c r="C381" s="101" t="s">
        <v>183</v>
      </c>
      <c r="D381" s="101" t="s">
        <v>184</v>
      </c>
      <c r="E381" s="60">
        <v>6</v>
      </c>
      <c r="F381" s="85">
        <v>46224</v>
      </c>
      <c r="G381" s="35">
        <v>378</v>
      </c>
      <c r="H381" s="85">
        <f>IF(COUNTIFS(Pesagens!$B$3:$B$5001,$B381)=0,"",_xlfn.MAXIFS(Pesagens!$A$3:$A$5001,Pesagens!$B$3:$B$5001,$B381,Pesagens!$E$3:$E$5001,"&lt;&gt;"))</f>
        <v>46224</v>
      </c>
      <c r="I381" s="35">
        <f>IF($H381="","",IFERROR(AVERAGEIFS(Pesagens!$E$3:$E$5001,Pesagens!$B$3:$B$5001,$B381,Pesagens!$A$3:$A$5001,$H381),""))</f>
        <v>378</v>
      </c>
      <c r="J381" s="60">
        <f>IF(F381="","",Parâmetros!$C$4-F381)</f>
        <v>14</v>
      </c>
      <c r="K381" s="35">
        <f t="shared" si="10"/>
        <v>0</v>
      </c>
      <c r="L381" s="102" t="str">
        <f t="shared" si="11"/>
        <v/>
      </c>
      <c r="M381" s="103">
        <f>IF(I381="","",I381*Parâmetros!$C$8/15)</f>
        <v>13.356</v>
      </c>
      <c r="N381" s="103">
        <f>IF(K381="","",K381*Parâmetros!$C$8/15)</f>
        <v>0</v>
      </c>
      <c r="O381" s="26">
        <f>IF(M381="","",M381*Parâmetros!$C$5)</f>
        <v>4273.92</v>
      </c>
      <c r="P381" s="60" t="str">
        <f>IF(L381="","",IF(L381&gt;=Parâmetros!$C$10,"Sim","Não"))</f>
        <v/>
      </c>
    </row>
    <row r="382" spans="1:16" ht="15" customHeight="1" x14ac:dyDescent="0.3">
      <c r="A382" s="64">
        <v>380</v>
      </c>
      <c r="B382" s="64" t="s">
        <v>563</v>
      </c>
      <c r="C382" s="104" t="s">
        <v>183</v>
      </c>
      <c r="D382" s="104" t="s">
        <v>184</v>
      </c>
      <c r="E382" s="64">
        <v>6</v>
      </c>
      <c r="F382" s="86">
        <v>46224</v>
      </c>
      <c r="G382" s="40">
        <v>377</v>
      </c>
      <c r="H382" s="86">
        <f>IF(COUNTIFS(Pesagens!$B$3:$B$5001,$B382)=0,"",_xlfn.MAXIFS(Pesagens!$A$3:$A$5001,Pesagens!$B$3:$B$5001,$B382,Pesagens!$E$3:$E$5001,"&lt;&gt;"))</f>
        <v>46224</v>
      </c>
      <c r="I382" s="40">
        <f>IF($H382="","",IFERROR(AVERAGEIFS(Pesagens!$E$3:$E$5001,Pesagens!$B$3:$B$5001,$B382,Pesagens!$A$3:$A$5001,$H382),""))</f>
        <v>377</v>
      </c>
      <c r="J382" s="64">
        <f>IF(F382="","",Parâmetros!$C$4-F382)</f>
        <v>14</v>
      </c>
      <c r="K382" s="40">
        <f t="shared" si="10"/>
        <v>0</v>
      </c>
      <c r="L382" s="105" t="str">
        <f t="shared" si="11"/>
        <v/>
      </c>
      <c r="M382" s="106">
        <f>IF(I382="","",I382*Parâmetros!$C$8/15)</f>
        <v>13.320666666666666</v>
      </c>
      <c r="N382" s="106">
        <f>IF(K382="","",K382*Parâmetros!$C$8/15)</f>
        <v>0</v>
      </c>
      <c r="O382" s="28">
        <f>IF(M382="","",M382*Parâmetros!$C$5)</f>
        <v>4262.6133333333328</v>
      </c>
      <c r="P382" s="64" t="str">
        <f>IF(L382="","",IF(L382&gt;=Parâmetros!$C$10,"Sim","Não"))</f>
        <v/>
      </c>
    </row>
    <row r="383" spans="1:16" ht="15" customHeight="1" x14ac:dyDescent="0.3">
      <c r="A383" s="60">
        <v>381</v>
      </c>
      <c r="B383" s="60" t="s">
        <v>564</v>
      </c>
      <c r="C383" s="101" t="s">
        <v>183</v>
      </c>
      <c r="D383" s="101" t="s">
        <v>184</v>
      </c>
      <c r="E383" s="60">
        <v>6</v>
      </c>
      <c r="F383" s="85">
        <v>46224</v>
      </c>
      <c r="G383" s="35">
        <v>375</v>
      </c>
      <c r="H383" s="85">
        <f>IF(COUNTIFS(Pesagens!$B$3:$B$5001,$B383)=0,"",_xlfn.MAXIFS(Pesagens!$A$3:$A$5001,Pesagens!$B$3:$B$5001,$B383,Pesagens!$E$3:$E$5001,"&lt;&gt;"))</f>
        <v>46224</v>
      </c>
      <c r="I383" s="35">
        <f>IF($H383="","",IFERROR(AVERAGEIFS(Pesagens!$E$3:$E$5001,Pesagens!$B$3:$B$5001,$B383,Pesagens!$A$3:$A$5001,$H383),""))</f>
        <v>375</v>
      </c>
      <c r="J383" s="60">
        <f>IF(F383="","",Parâmetros!$C$4-F383)</f>
        <v>14</v>
      </c>
      <c r="K383" s="35">
        <f t="shared" si="10"/>
        <v>0</v>
      </c>
      <c r="L383" s="102" t="str">
        <f t="shared" si="11"/>
        <v/>
      </c>
      <c r="M383" s="103">
        <f>IF(I383="","",I383*Parâmetros!$C$8/15)</f>
        <v>13.25</v>
      </c>
      <c r="N383" s="103">
        <f>IF(K383="","",K383*Parâmetros!$C$8/15)</f>
        <v>0</v>
      </c>
      <c r="O383" s="26">
        <f>IF(M383="","",M383*Parâmetros!$C$5)</f>
        <v>4240</v>
      </c>
      <c r="P383" s="60" t="str">
        <f>IF(L383="","",IF(L383&gt;=Parâmetros!$C$10,"Sim","Não"))</f>
        <v/>
      </c>
    </row>
    <row r="384" spans="1:16" ht="15" customHeight="1" x14ac:dyDescent="0.3">
      <c r="A384" s="64">
        <v>382</v>
      </c>
      <c r="B384" s="64" t="s">
        <v>565</v>
      </c>
      <c r="C384" s="104" t="s">
        <v>183</v>
      </c>
      <c r="D384" s="104" t="s">
        <v>184</v>
      </c>
      <c r="E384" s="64">
        <v>6</v>
      </c>
      <c r="F384" s="86">
        <v>46224</v>
      </c>
      <c r="G384" s="40">
        <v>375</v>
      </c>
      <c r="H384" s="86">
        <f>IF(COUNTIFS(Pesagens!$B$3:$B$5001,$B384)=0,"",_xlfn.MAXIFS(Pesagens!$A$3:$A$5001,Pesagens!$B$3:$B$5001,$B384,Pesagens!$E$3:$E$5001,"&lt;&gt;"))</f>
        <v>46224</v>
      </c>
      <c r="I384" s="40">
        <f>IF($H384="","",IFERROR(AVERAGEIFS(Pesagens!$E$3:$E$5001,Pesagens!$B$3:$B$5001,$B384,Pesagens!$A$3:$A$5001,$H384),""))</f>
        <v>375</v>
      </c>
      <c r="J384" s="64">
        <f>IF(F384="","",Parâmetros!$C$4-F384)</f>
        <v>14</v>
      </c>
      <c r="K384" s="40">
        <f t="shared" si="10"/>
        <v>0</v>
      </c>
      <c r="L384" s="105" t="str">
        <f t="shared" si="11"/>
        <v/>
      </c>
      <c r="M384" s="106">
        <f>IF(I384="","",I384*Parâmetros!$C$8/15)</f>
        <v>13.25</v>
      </c>
      <c r="N384" s="106">
        <f>IF(K384="","",K384*Parâmetros!$C$8/15)</f>
        <v>0</v>
      </c>
      <c r="O384" s="28">
        <f>IF(M384="","",M384*Parâmetros!$C$5)</f>
        <v>4240</v>
      </c>
      <c r="P384" s="64" t="str">
        <f>IF(L384="","",IF(L384&gt;=Parâmetros!$C$10,"Sim","Não"))</f>
        <v/>
      </c>
    </row>
    <row r="385" spans="1:16" ht="15" customHeight="1" x14ac:dyDescent="0.3">
      <c r="A385" s="60">
        <v>383</v>
      </c>
      <c r="B385" s="60" t="s">
        <v>566</v>
      </c>
      <c r="C385" s="101" t="s">
        <v>183</v>
      </c>
      <c r="D385" s="101" t="s">
        <v>184</v>
      </c>
      <c r="E385" s="60">
        <v>6</v>
      </c>
      <c r="F385" s="85">
        <v>46224</v>
      </c>
      <c r="G385" s="35">
        <v>386</v>
      </c>
      <c r="H385" s="85">
        <f>IF(COUNTIFS(Pesagens!$B$3:$B$5001,$B385)=0,"",_xlfn.MAXIFS(Pesagens!$A$3:$A$5001,Pesagens!$B$3:$B$5001,$B385,Pesagens!$E$3:$E$5001,"&lt;&gt;"))</f>
        <v>46224</v>
      </c>
      <c r="I385" s="35">
        <f>IF($H385="","",IFERROR(AVERAGEIFS(Pesagens!$E$3:$E$5001,Pesagens!$B$3:$B$5001,$B385,Pesagens!$A$3:$A$5001,$H385),""))</f>
        <v>386</v>
      </c>
      <c r="J385" s="60">
        <f>IF(F385="","",Parâmetros!$C$4-F385)</f>
        <v>14</v>
      </c>
      <c r="K385" s="35">
        <f t="shared" si="10"/>
        <v>0</v>
      </c>
      <c r="L385" s="102" t="str">
        <f t="shared" si="11"/>
        <v/>
      </c>
      <c r="M385" s="103">
        <f>IF(I385="","",I385*Parâmetros!$C$8/15)</f>
        <v>13.638666666666667</v>
      </c>
      <c r="N385" s="103">
        <f>IF(K385="","",K385*Parâmetros!$C$8/15)</f>
        <v>0</v>
      </c>
      <c r="O385" s="26">
        <f>IF(M385="","",M385*Parâmetros!$C$5)</f>
        <v>4364.3733333333339</v>
      </c>
      <c r="P385" s="60" t="str">
        <f>IF(L385="","",IF(L385&gt;=Parâmetros!$C$10,"Sim","Não"))</f>
        <v/>
      </c>
    </row>
    <row r="386" spans="1:16" ht="15" customHeight="1" x14ac:dyDescent="0.3">
      <c r="A386" s="64">
        <v>384</v>
      </c>
      <c r="B386" s="64" t="s">
        <v>567</v>
      </c>
      <c r="C386" s="104" t="s">
        <v>183</v>
      </c>
      <c r="D386" s="104" t="s">
        <v>184</v>
      </c>
      <c r="E386" s="64">
        <v>6</v>
      </c>
      <c r="F386" s="86">
        <v>46224</v>
      </c>
      <c r="G386" s="40">
        <v>384</v>
      </c>
      <c r="H386" s="86">
        <f>IF(COUNTIFS(Pesagens!$B$3:$B$5001,$B386)=0,"",_xlfn.MAXIFS(Pesagens!$A$3:$A$5001,Pesagens!$B$3:$B$5001,$B386,Pesagens!$E$3:$E$5001,"&lt;&gt;"))</f>
        <v>46224</v>
      </c>
      <c r="I386" s="40">
        <f>IF($H386="","",IFERROR(AVERAGEIFS(Pesagens!$E$3:$E$5001,Pesagens!$B$3:$B$5001,$B386,Pesagens!$A$3:$A$5001,$H386),""))</f>
        <v>384</v>
      </c>
      <c r="J386" s="64">
        <f>IF(F386="","",Parâmetros!$C$4-F386)</f>
        <v>14</v>
      </c>
      <c r="K386" s="40">
        <f t="shared" si="10"/>
        <v>0</v>
      </c>
      <c r="L386" s="105" t="str">
        <f t="shared" si="11"/>
        <v/>
      </c>
      <c r="M386" s="106">
        <f>IF(I386="","",I386*Parâmetros!$C$8/15)</f>
        <v>13.568000000000001</v>
      </c>
      <c r="N386" s="106">
        <f>IF(K386="","",K386*Parâmetros!$C$8/15)</f>
        <v>0</v>
      </c>
      <c r="O386" s="28">
        <f>IF(M386="","",M386*Parâmetros!$C$5)</f>
        <v>4341.76</v>
      </c>
      <c r="P386" s="64" t="str">
        <f>IF(L386="","",IF(L386&gt;=Parâmetros!$C$10,"Sim","Não"))</f>
        <v/>
      </c>
    </row>
    <row r="387" spans="1:16" ht="15" customHeight="1" x14ac:dyDescent="0.3">
      <c r="A387" s="60">
        <v>385</v>
      </c>
      <c r="B387" s="60" t="s">
        <v>568</v>
      </c>
      <c r="C387" s="101" t="s">
        <v>183</v>
      </c>
      <c r="D387" s="101" t="s">
        <v>184</v>
      </c>
      <c r="E387" s="60">
        <v>6</v>
      </c>
      <c r="F387" s="85">
        <v>46224</v>
      </c>
      <c r="G387" s="35">
        <v>388</v>
      </c>
      <c r="H387" s="85">
        <f>IF(COUNTIFS(Pesagens!$B$3:$B$5001,$B387)=0,"",_xlfn.MAXIFS(Pesagens!$A$3:$A$5001,Pesagens!$B$3:$B$5001,$B387,Pesagens!$E$3:$E$5001,"&lt;&gt;"))</f>
        <v>46224</v>
      </c>
      <c r="I387" s="35">
        <f>IF($H387="","",IFERROR(AVERAGEIFS(Pesagens!$E$3:$E$5001,Pesagens!$B$3:$B$5001,$B387,Pesagens!$A$3:$A$5001,$H387),""))</f>
        <v>388</v>
      </c>
      <c r="J387" s="60">
        <f>IF(F387="","",Parâmetros!$C$4-F387)</f>
        <v>14</v>
      </c>
      <c r="K387" s="35">
        <f t="shared" ref="K387:K450" si="12">IF(OR(I387="",G387=""),"",I387-G387)</f>
        <v>0</v>
      </c>
      <c r="L387" s="102" t="str">
        <f t="shared" ref="L387:L450" si="13">IF(OR(I387="",G387="",H387&lt;=F387),"",(I387-G387)/(H387-F387))</f>
        <v/>
      </c>
      <c r="M387" s="103">
        <f>IF(I387="","",I387*Parâmetros!$C$8/15)</f>
        <v>13.709333333333335</v>
      </c>
      <c r="N387" s="103">
        <f>IF(K387="","",K387*Parâmetros!$C$8/15)</f>
        <v>0</v>
      </c>
      <c r="O387" s="26">
        <f>IF(M387="","",M387*Parâmetros!$C$5)</f>
        <v>4386.9866666666676</v>
      </c>
      <c r="P387" s="60" t="str">
        <f>IF(L387="","",IF(L387&gt;=Parâmetros!$C$10,"Sim","Não"))</f>
        <v/>
      </c>
    </row>
    <row r="388" spans="1:16" ht="15" customHeight="1" x14ac:dyDescent="0.3">
      <c r="A388" s="64">
        <v>386</v>
      </c>
      <c r="B388" s="64" t="s">
        <v>569</v>
      </c>
      <c r="C388" s="104" t="s">
        <v>183</v>
      </c>
      <c r="D388" s="104" t="s">
        <v>184</v>
      </c>
      <c r="E388" s="64">
        <v>6</v>
      </c>
      <c r="F388" s="86">
        <v>46224</v>
      </c>
      <c r="G388" s="40">
        <v>379</v>
      </c>
      <c r="H388" s="86">
        <f>IF(COUNTIFS(Pesagens!$B$3:$B$5001,$B388)=0,"",_xlfn.MAXIFS(Pesagens!$A$3:$A$5001,Pesagens!$B$3:$B$5001,$B388,Pesagens!$E$3:$E$5001,"&lt;&gt;"))</f>
        <v>46224</v>
      </c>
      <c r="I388" s="40">
        <f>IF($H388="","",IFERROR(AVERAGEIFS(Pesagens!$E$3:$E$5001,Pesagens!$B$3:$B$5001,$B388,Pesagens!$A$3:$A$5001,$H388),""))</f>
        <v>379</v>
      </c>
      <c r="J388" s="64">
        <f>IF(F388="","",Parâmetros!$C$4-F388)</f>
        <v>14</v>
      </c>
      <c r="K388" s="40">
        <f t="shared" si="12"/>
        <v>0</v>
      </c>
      <c r="L388" s="105" t="str">
        <f t="shared" si="13"/>
        <v/>
      </c>
      <c r="M388" s="106">
        <f>IF(I388="","",I388*Parâmetros!$C$8/15)</f>
        <v>13.391333333333334</v>
      </c>
      <c r="N388" s="106">
        <f>IF(K388="","",K388*Parâmetros!$C$8/15)</f>
        <v>0</v>
      </c>
      <c r="O388" s="28">
        <f>IF(M388="","",M388*Parâmetros!$C$5)</f>
        <v>4285.2266666666665</v>
      </c>
      <c r="P388" s="64" t="str">
        <f>IF(L388="","",IF(L388&gt;=Parâmetros!$C$10,"Sim","Não"))</f>
        <v/>
      </c>
    </row>
    <row r="389" spans="1:16" ht="15" customHeight="1" x14ac:dyDescent="0.3">
      <c r="A389" s="60">
        <v>387</v>
      </c>
      <c r="B389" s="60" t="s">
        <v>570</v>
      </c>
      <c r="C389" s="101" t="s">
        <v>183</v>
      </c>
      <c r="D389" s="101" t="s">
        <v>184</v>
      </c>
      <c r="E389" s="60">
        <v>6</v>
      </c>
      <c r="F389" s="85">
        <v>46224</v>
      </c>
      <c r="G389" s="35">
        <v>392</v>
      </c>
      <c r="H389" s="85">
        <f>IF(COUNTIFS(Pesagens!$B$3:$B$5001,$B389)=0,"",_xlfn.MAXIFS(Pesagens!$A$3:$A$5001,Pesagens!$B$3:$B$5001,$B389,Pesagens!$E$3:$E$5001,"&lt;&gt;"))</f>
        <v>46224</v>
      </c>
      <c r="I389" s="35">
        <f>IF($H389="","",IFERROR(AVERAGEIFS(Pesagens!$E$3:$E$5001,Pesagens!$B$3:$B$5001,$B389,Pesagens!$A$3:$A$5001,$H389),""))</f>
        <v>392</v>
      </c>
      <c r="J389" s="60">
        <f>IF(F389="","",Parâmetros!$C$4-F389)</f>
        <v>14</v>
      </c>
      <c r="K389" s="35">
        <f t="shared" si="12"/>
        <v>0</v>
      </c>
      <c r="L389" s="102" t="str">
        <f t="shared" si="13"/>
        <v/>
      </c>
      <c r="M389" s="103">
        <f>IF(I389="","",I389*Parâmetros!$C$8/15)</f>
        <v>13.850666666666667</v>
      </c>
      <c r="N389" s="103">
        <f>IF(K389="","",K389*Parâmetros!$C$8/15)</f>
        <v>0</v>
      </c>
      <c r="O389" s="26">
        <f>IF(M389="","",M389*Parâmetros!$C$5)</f>
        <v>4432.2133333333331</v>
      </c>
      <c r="P389" s="60" t="str">
        <f>IF(L389="","",IF(L389&gt;=Parâmetros!$C$10,"Sim","Não"))</f>
        <v/>
      </c>
    </row>
    <row r="390" spans="1:16" ht="15" customHeight="1" x14ac:dyDescent="0.3">
      <c r="A390" s="64">
        <v>388</v>
      </c>
      <c r="B390" s="64" t="s">
        <v>571</v>
      </c>
      <c r="C390" s="104" t="s">
        <v>183</v>
      </c>
      <c r="D390" s="104" t="s">
        <v>184</v>
      </c>
      <c r="E390" s="64">
        <v>6</v>
      </c>
      <c r="F390" s="86">
        <v>46224</v>
      </c>
      <c r="G390" s="40">
        <v>383</v>
      </c>
      <c r="H390" s="86">
        <f>IF(COUNTIFS(Pesagens!$B$3:$B$5001,$B390)=0,"",_xlfn.MAXIFS(Pesagens!$A$3:$A$5001,Pesagens!$B$3:$B$5001,$B390,Pesagens!$E$3:$E$5001,"&lt;&gt;"))</f>
        <v>46224</v>
      </c>
      <c r="I390" s="40">
        <f>IF($H390="","",IFERROR(AVERAGEIFS(Pesagens!$E$3:$E$5001,Pesagens!$B$3:$B$5001,$B390,Pesagens!$A$3:$A$5001,$H390),""))</f>
        <v>383</v>
      </c>
      <c r="J390" s="64">
        <f>IF(F390="","",Parâmetros!$C$4-F390)</f>
        <v>14</v>
      </c>
      <c r="K390" s="40">
        <f t="shared" si="12"/>
        <v>0</v>
      </c>
      <c r="L390" s="105" t="str">
        <f t="shared" si="13"/>
        <v/>
      </c>
      <c r="M390" s="106">
        <f>IF(I390="","",I390*Parâmetros!$C$8/15)</f>
        <v>13.532666666666668</v>
      </c>
      <c r="N390" s="106">
        <f>IF(K390="","",K390*Parâmetros!$C$8/15)</f>
        <v>0</v>
      </c>
      <c r="O390" s="28">
        <f>IF(M390="","",M390*Parâmetros!$C$5)</f>
        <v>4330.4533333333338</v>
      </c>
      <c r="P390" s="64" t="str">
        <f>IF(L390="","",IF(L390&gt;=Parâmetros!$C$10,"Sim","Não"))</f>
        <v/>
      </c>
    </row>
    <row r="391" spans="1:16" ht="15" customHeight="1" x14ac:dyDescent="0.3">
      <c r="A391" s="60">
        <v>389</v>
      </c>
      <c r="B391" s="60" t="s">
        <v>572</v>
      </c>
      <c r="C391" s="101" t="s">
        <v>183</v>
      </c>
      <c r="D391" s="101" t="s">
        <v>184</v>
      </c>
      <c r="E391" s="60">
        <v>6</v>
      </c>
      <c r="F391" s="85">
        <v>46224</v>
      </c>
      <c r="G391" s="35">
        <v>387</v>
      </c>
      <c r="H391" s="85">
        <f>IF(COUNTIFS(Pesagens!$B$3:$B$5001,$B391)=0,"",_xlfn.MAXIFS(Pesagens!$A$3:$A$5001,Pesagens!$B$3:$B$5001,$B391,Pesagens!$E$3:$E$5001,"&lt;&gt;"))</f>
        <v>46224</v>
      </c>
      <c r="I391" s="35">
        <f>IF($H391="","",IFERROR(AVERAGEIFS(Pesagens!$E$3:$E$5001,Pesagens!$B$3:$B$5001,$B391,Pesagens!$A$3:$A$5001,$H391),""))</f>
        <v>387</v>
      </c>
      <c r="J391" s="60">
        <f>IF(F391="","",Parâmetros!$C$4-F391)</f>
        <v>14</v>
      </c>
      <c r="K391" s="35">
        <f t="shared" si="12"/>
        <v>0</v>
      </c>
      <c r="L391" s="102" t="str">
        <f t="shared" si="13"/>
        <v/>
      </c>
      <c r="M391" s="103">
        <f>IF(I391="","",I391*Parâmetros!$C$8/15)</f>
        <v>13.674000000000001</v>
      </c>
      <c r="N391" s="103">
        <f>IF(K391="","",K391*Parâmetros!$C$8/15)</f>
        <v>0</v>
      </c>
      <c r="O391" s="26">
        <f>IF(M391="","",M391*Parâmetros!$C$5)</f>
        <v>4375.68</v>
      </c>
      <c r="P391" s="60" t="str">
        <f>IF(L391="","",IF(L391&gt;=Parâmetros!$C$10,"Sim","Não"))</f>
        <v/>
      </c>
    </row>
    <row r="392" spans="1:16" ht="15" customHeight="1" x14ac:dyDescent="0.3">
      <c r="A392" s="64">
        <v>390</v>
      </c>
      <c r="B392" s="64" t="s">
        <v>573</v>
      </c>
      <c r="C392" s="104" t="s">
        <v>183</v>
      </c>
      <c r="D392" s="104" t="s">
        <v>184</v>
      </c>
      <c r="E392" s="64">
        <v>6</v>
      </c>
      <c r="F392" s="86">
        <v>46224</v>
      </c>
      <c r="G392" s="40">
        <v>391</v>
      </c>
      <c r="H392" s="86">
        <f>IF(COUNTIFS(Pesagens!$B$3:$B$5001,$B392)=0,"",_xlfn.MAXIFS(Pesagens!$A$3:$A$5001,Pesagens!$B$3:$B$5001,$B392,Pesagens!$E$3:$E$5001,"&lt;&gt;"))</f>
        <v>46224</v>
      </c>
      <c r="I392" s="40">
        <f>IF($H392="","",IFERROR(AVERAGEIFS(Pesagens!$E$3:$E$5001,Pesagens!$B$3:$B$5001,$B392,Pesagens!$A$3:$A$5001,$H392),""))</f>
        <v>391</v>
      </c>
      <c r="J392" s="64">
        <f>IF(F392="","",Parâmetros!$C$4-F392)</f>
        <v>14</v>
      </c>
      <c r="K392" s="40">
        <f t="shared" si="12"/>
        <v>0</v>
      </c>
      <c r="L392" s="105" t="str">
        <f t="shared" si="13"/>
        <v/>
      </c>
      <c r="M392" s="106">
        <f>IF(I392="","",I392*Parâmetros!$C$8/15)</f>
        <v>13.815333333333335</v>
      </c>
      <c r="N392" s="106">
        <f>IF(K392="","",K392*Parâmetros!$C$8/15)</f>
        <v>0</v>
      </c>
      <c r="O392" s="28">
        <f>IF(M392="","",M392*Parâmetros!$C$5)</f>
        <v>4420.9066666666677</v>
      </c>
      <c r="P392" s="64" t="str">
        <f>IF(L392="","",IF(L392&gt;=Parâmetros!$C$10,"Sim","Não"))</f>
        <v/>
      </c>
    </row>
    <row r="393" spans="1:16" ht="15" customHeight="1" x14ac:dyDescent="0.3">
      <c r="A393" s="60">
        <v>391</v>
      </c>
      <c r="B393" s="60" t="s">
        <v>574</v>
      </c>
      <c r="C393" s="101" t="s">
        <v>183</v>
      </c>
      <c r="D393" s="101" t="s">
        <v>184</v>
      </c>
      <c r="E393" s="60">
        <v>6</v>
      </c>
      <c r="F393" s="85">
        <v>46224</v>
      </c>
      <c r="G393" s="35">
        <v>380</v>
      </c>
      <c r="H393" s="85">
        <f>IF(COUNTIFS(Pesagens!$B$3:$B$5001,$B393)=0,"",_xlfn.MAXIFS(Pesagens!$A$3:$A$5001,Pesagens!$B$3:$B$5001,$B393,Pesagens!$E$3:$E$5001,"&lt;&gt;"))</f>
        <v>46224</v>
      </c>
      <c r="I393" s="35">
        <f>IF($H393="","",IFERROR(AVERAGEIFS(Pesagens!$E$3:$E$5001,Pesagens!$B$3:$B$5001,$B393,Pesagens!$A$3:$A$5001,$H393),""))</f>
        <v>380</v>
      </c>
      <c r="J393" s="60">
        <f>IF(F393="","",Parâmetros!$C$4-F393)</f>
        <v>14</v>
      </c>
      <c r="K393" s="35">
        <f t="shared" si="12"/>
        <v>0</v>
      </c>
      <c r="L393" s="102" t="str">
        <f t="shared" si="13"/>
        <v/>
      </c>
      <c r="M393" s="103">
        <f>IF(I393="","",I393*Parâmetros!$C$8/15)</f>
        <v>13.426666666666668</v>
      </c>
      <c r="N393" s="103">
        <f>IF(K393="","",K393*Parâmetros!$C$8/15)</f>
        <v>0</v>
      </c>
      <c r="O393" s="26">
        <f>IF(M393="","",M393*Parâmetros!$C$5)</f>
        <v>4296.5333333333338</v>
      </c>
      <c r="P393" s="60" t="str">
        <f>IF(L393="","",IF(L393&gt;=Parâmetros!$C$10,"Sim","Não"))</f>
        <v/>
      </c>
    </row>
    <row r="394" spans="1:16" ht="15" customHeight="1" x14ac:dyDescent="0.3">
      <c r="A394" s="64">
        <v>392</v>
      </c>
      <c r="B394" s="64" t="s">
        <v>575</v>
      </c>
      <c r="C394" s="104" t="s">
        <v>183</v>
      </c>
      <c r="D394" s="104" t="s">
        <v>184</v>
      </c>
      <c r="E394" s="64">
        <v>6</v>
      </c>
      <c r="F394" s="86">
        <v>46224</v>
      </c>
      <c r="G394" s="40">
        <v>383</v>
      </c>
      <c r="H394" s="86">
        <f>IF(COUNTIFS(Pesagens!$B$3:$B$5001,$B394)=0,"",_xlfn.MAXIFS(Pesagens!$A$3:$A$5001,Pesagens!$B$3:$B$5001,$B394,Pesagens!$E$3:$E$5001,"&lt;&gt;"))</f>
        <v>46224</v>
      </c>
      <c r="I394" s="40">
        <f>IF($H394="","",IFERROR(AVERAGEIFS(Pesagens!$E$3:$E$5001,Pesagens!$B$3:$B$5001,$B394,Pesagens!$A$3:$A$5001,$H394),""))</f>
        <v>383</v>
      </c>
      <c r="J394" s="64">
        <f>IF(F394="","",Parâmetros!$C$4-F394)</f>
        <v>14</v>
      </c>
      <c r="K394" s="40">
        <f t="shared" si="12"/>
        <v>0</v>
      </c>
      <c r="L394" s="105" t="str">
        <f t="shared" si="13"/>
        <v/>
      </c>
      <c r="M394" s="106">
        <f>IF(I394="","",I394*Parâmetros!$C$8/15)</f>
        <v>13.532666666666668</v>
      </c>
      <c r="N394" s="106">
        <f>IF(K394="","",K394*Parâmetros!$C$8/15)</f>
        <v>0</v>
      </c>
      <c r="O394" s="28">
        <f>IF(M394="","",M394*Parâmetros!$C$5)</f>
        <v>4330.4533333333338</v>
      </c>
      <c r="P394" s="64" t="str">
        <f>IF(L394="","",IF(L394&gt;=Parâmetros!$C$10,"Sim","Não"))</f>
        <v/>
      </c>
    </row>
    <row r="395" spans="1:16" ht="15" customHeight="1" x14ac:dyDescent="0.3">
      <c r="A395" s="60">
        <v>393</v>
      </c>
      <c r="B395" s="60" t="s">
        <v>576</v>
      </c>
      <c r="C395" s="101" t="s">
        <v>183</v>
      </c>
      <c r="D395" s="101" t="s">
        <v>184</v>
      </c>
      <c r="E395" s="60">
        <v>6</v>
      </c>
      <c r="F395" s="85">
        <v>46224</v>
      </c>
      <c r="G395" s="35">
        <v>390</v>
      </c>
      <c r="H395" s="85">
        <f>IF(COUNTIFS(Pesagens!$B$3:$B$5001,$B395)=0,"",_xlfn.MAXIFS(Pesagens!$A$3:$A$5001,Pesagens!$B$3:$B$5001,$B395,Pesagens!$E$3:$E$5001,"&lt;&gt;"))</f>
        <v>46224</v>
      </c>
      <c r="I395" s="35">
        <f>IF($H395="","",IFERROR(AVERAGEIFS(Pesagens!$E$3:$E$5001,Pesagens!$B$3:$B$5001,$B395,Pesagens!$A$3:$A$5001,$H395),""))</f>
        <v>390</v>
      </c>
      <c r="J395" s="60">
        <f>IF(F395="","",Parâmetros!$C$4-F395)</f>
        <v>14</v>
      </c>
      <c r="K395" s="35">
        <f t="shared" si="12"/>
        <v>0</v>
      </c>
      <c r="L395" s="102" t="str">
        <f t="shared" si="13"/>
        <v/>
      </c>
      <c r="M395" s="103">
        <f>IF(I395="","",I395*Parâmetros!$C$8/15)</f>
        <v>13.780000000000001</v>
      </c>
      <c r="N395" s="103">
        <f>IF(K395="","",K395*Parâmetros!$C$8/15)</f>
        <v>0</v>
      </c>
      <c r="O395" s="26">
        <f>IF(M395="","",M395*Parâmetros!$C$5)</f>
        <v>4409.6000000000004</v>
      </c>
      <c r="P395" s="60" t="str">
        <f>IF(L395="","",IF(L395&gt;=Parâmetros!$C$10,"Sim","Não"))</f>
        <v/>
      </c>
    </row>
    <row r="396" spans="1:16" ht="15" customHeight="1" x14ac:dyDescent="0.3">
      <c r="A396" s="64">
        <v>394</v>
      </c>
      <c r="B396" s="64" t="s">
        <v>577</v>
      </c>
      <c r="C396" s="104" t="s">
        <v>183</v>
      </c>
      <c r="D396" s="104" t="s">
        <v>184</v>
      </c>
      <c r="E396" s="64">
        <v>6</v>
      </c>
      <c r="F396" s="86">
        <v>46224</v>
      </c>
      <c r="G396" s="40">
        <v>385</v>
      </c>
      <c r="H396" s="86">
        <f>IF(COUNTIFS(Pesagens!$B$3:$B$5001,$B396)=0,"",_xlfn.MAXIFS(Pesagens!$A$3:$A$5001,Pesagens!$B$3:$B$5001,$B396,Pesagens!$E$3:$E$5001,"&lt;&gt;"))</f>
        <v>46224</v>
      </c>
      <c r="I396" s="40">
        <f>IF($H396="","",IFERROR(AVERAGEIFS(Pesagens!$E$3:$E$5001,Pesagens!$B$3:$B$5001,$B396,Pesagens!$A$3:$A$5001,$H396),""))</f>
        <v>385</v>
      </c>
      <c r="J396" s="64">
        <f>IF(F396="","",Parâmetros!$C$4-F396)</f>
        <v>14</v>
      </c>
      <c r="K396" s="40">
        <f t="shared" si="12"/>
        <v>0</v>
      </c>
      <c r="L396" s="105" t="str">
        <f t="shared" si="13"/>
        <v/>
      </c>
      <c r="M396" s="106">
        <f>IF(I396="","",I396*Parâmetros!$C$8/15)</f>
        <v>13.603333333333333</v>
      </c>
      <c r="N396" s="106">
        <f>IF(K396="","",K396*Parâmetros!$C$8/15)</f>
        <v>0</v>
      </c>
      <c r="O396" s="28">
        <f>IF(M396="","",M396*Parâmetros!$C$5)</f>
        <v>4353.0666666666666</v>
      </c>
      <c r="P396" s="64" t="str">
        <f>IF(L396="","",IF(L396&gt;=Parâmetros!$C$10,"Sim","Não"))</f>
        <v/>
      </c>
    </row>
    <row r="397" spans="1:16" ht="15" customHeight="1" x14ac:dyDescent="0.3">
      <c r="A397" s="60">
        <v>395</v>
      </c>
      <c r="B397" s="60" t="s">
        <v>578</v>
      </c>
      <c r="C397" s="101" t="s">
        <v>183</v>
      </c>
      <c r="D397" s="101" t="s">
        <v>184</v>
      </c>
      <c r="E397" s="60">
        <v>6</v>
      </c>
      <c r="F397" s="85">
        <v>46224</v>
      </c>
      <c r="G397" s="35">
        <v>382</v>
      </c>
      <c r="H397" s="85">
        <f>IF(COUNTIFS(Pesagens!$B$3:$B$5001,$B397)=0,"",_xlfn.MAXIFS(Pesagens!$A$3:$A$5001,Pesagens!$B$3:$B$5001,$B397,Pesagens!$E$3:$E$5001,"&lt;&gt;"))</f>
        <v>46224</v>
      </c>
      <c r="I397" s="35">
        <f>IF($H397="","",IFERROR(AVERAGEIFS(Pesagens!$E$3:$E$5001,Pesagens!$B$3:$B$5001,$B397,Pesagens!$A$3:$A$5001,$H397),""))</f>
        <v>382</v>
      </c>
      <c r="J397" s="60">
        <f>IF(F397="","",Parâmetros!$C$4-F397)</f>
        <v>14</v>
      </c>
      <c r="K397" s="35">
        <f t="shared" si="12"/>
        <v>0</v>
      </c>
      <c r="L397" s="102" t="str">
        <f t="shared" si="13"/>
        <v/>
      </c>
      <c r="M397" s="103">
        <f>IF(I397="","",I397*Parâmetros!$C$8/15)</f>
        <v>13.497333333333334</v>
      </c>
      <c r="N397" s="103">
        <f>IF(K397="","",K397*Parâmetros!$C$8/15)</f>
        <v>0</v>
      </c>
      <c r="O397" s="26">
        <f>IF(M397="","",M397*Parâmetros!$C$5)</f>
        <v>4319.1466666666665</v>
      </c>
      <c r="P397" s="60" t="str">
        <f>IF(L397="","",IF(L397&gt;=Parâmetros!$C$10,"Sim","Não"))</f>
        <v/>
      </c>
    </row>
    <row r="398" spans="1:16" ht="15" customHeight="1" x14ac:dyDescent="0.3">
      <c r="A398" s="64">
        <v>396</v>
      </c>
      <c r="B398" s="64" t="s">
        <v>579</v>
      </c>
      <c r="C398" s="104" t="s">
        <v>183</v>
      </c>
      <c r="D398" s="104" t="s">
        <v>184</v>
      </c>
      <c r="E398" s="64">
        <v>6</v>
      </c>
      <c r="F398" s="86">
        <v>46224</v>
      </c>
      <c r="G398" s="40">
        <v>391</v>
      </c>
      <c r="H398" s="86">
        <f>IF(COUNTIFS(Pesagens!$B$3:$B$5001,$B398)=0,"",_xlfn.MAXIFS(Pesagens!$A$3:$A$5001,Pesagens!$B$3:$B$5001,$B398,Pesagens!$E$3:$E$5001,"&lt;&gt;"))</f>
        <v>46224</v>
      </c>
      <c r="I398" s="40">
        <f>IF($H398="","",IFERROR(AVERAGEIFS(Pesagens!$E$3:$E$5001,Pesagens!$B$3:$B$5001,$B398,Pesagens!$A$3:$A$5001,$H398),""))</f>
        <v>391</v>
      </c>
      <c r="J398" s="64">
        <f>IF(F398="","",Parâmetros!$C$4-F398)</f>
        <v>14</v>
      </c>
      <c r="K398" s="40">
        <f t="shared" si="12"/>
        <v>0</v>
      </c>
      <c r="L398" s="105" t="str">
        <f t="shared" si="13"/>
        <v/>
      </c>
      <c r="M398" s="106">
        <f>IF(I398="","",I398*Parâmetros!$C$8/15)</f>
        <v>13.815333333333335</v>
      </c>
      <c r="N398" s="106">
        <f>IF(K398="","",K398*Parâmetros!$C$8/15)</f>
        <v>0</v>
      </c>
      <c r="O398" s="28">
        <f>IF(M398="","",M398*Parâmetros!$C$5)</f>
        <v>4420.9066666666677</v>
      </c>
      <c r="P398" s="64" t="str">
        <f>IF(L398="","",IF(L398&gt;=Parâmetros!$C$10,"Sim","Não"))</f>
        <v/>
      </c>
    </row>
    <row r="399" spans="1:16" ht="15" customHeight="1" x14ac:dyDescent="0.3">
      <c r="A399" s="60">
        <v>397</v>
      </c>
      <c r="B399" s="60" t="s">
        <v>580</v>
      </c>
      <c r="C399" s="101" t="s">
        <v>183</v>
      </c>
      <c r="D399" s="101" t="s">
        <v>184</v>
      </c>
      <c r="E399" s="60">
        <v>6</v>
      </c>
      <c r="F399" s="85">
        <v>46224</v>
      </c>
      <c r="G399" s="35">
        <v>388</v>
      </c>
      <c r="H399" s="85">
        <f>IF(COUNTIFS(Pesagens!$B$3:$B$5001,$B399)=0,"",_xlfn.MAXIFS(Pesagens!$A$3:$A$5001,Pesagens!$B$3:$B$5001,$B399,Pesagens!$E$3:$E$5001,"&lt;&gt;"))</f>
        <v>46224</v>
      </c>
      <c r="I399" s="35">
        <f>IF($H399="","",IFERROR(AVERAGEIFS(Pesagens!$E$3:$E$5001,Pesagens!$B$3:$B$5001,$B399,Pesagens!$A$3:$A$5001,$H399),""))</f>
        <v>388</v>
      </c>
      <c r="J399" s="60">
        <f>IF(F399="","",Parâmetros!$C$4-F399)</f>
        <v>14</v>
      </c>
      <c r="K399" s="35">
        <f t="shared" si="12"/>
        <v>0</v>
      </c>
      <c r="L399" s="102" t="str">
        <f t="shared" si="13"/>
        <v/>
      </c>
      <c r="M399" s="103">
        <f>IF(I399="","",I399*Parâmetros!$C$8/15)</f>
        <v>13.709333333333335</v>
      </c>
      <c r="N399" s="103">
        <f>IF(K399="","",K399*Parâmetros!$C$8/15)</f>
        <v>0</v>
      </c>
      <c r="O399" s="26">
        <f>IF(M399="","",M399*Parâmetros!$C$5)</f>
        <v>4386.9866666666676</v>
      </c>
      <c r="P399" s="60" t="str">
        <f>IF(L399="","",IF(L399&gt;=Parâmetros!$C$10,"Sim","Não"))</f>
        <v/>
      </c>
    </row>
    <row r="400" spans="1:16" ht="15" customHeight="1" x14ac:dyDescent="0.3">
      <c r="A400" s="64">
        <v>398</v>
      </c>
      <c r="B400" s="64" t="s">
        <v>581</v>
      </c>
      <c r="C400" s="104" t="s">
        <v>183</v>
      </c>
      <c r="D400" s="104" t="s">
        <v>184</v>
      </c>
      <c r="E400" s="64">
        <v>6</v>
      </c>
      <c r="F400" s="86">
        <v>46224</v>
      </c>
      <c r="G400" s="40">
        <v>390</v>
      </c>
      <c r="H400" s="86">
        <f>IF(COUNTIFS(Pesagens!$B$3:$B$5001,$B400)=0,"",_xlfn.MAXIFS(Pesagens!$A$3:$A$5001,Pesagens!$B$3:$B$5001,$B400,Pesagens!$E$3:$E$5001,"&lt;&gt;"))</f>
        <v>46224</v>
      </c>
      <c r="I400" s="40">
        <f>IF($H400="","",IFERROR(AVERAGEIFS(Pesagens!$E$3:$E$5001,Pesagens!$B$3:$B$5001,$B400,Pesagens!$A$3:$A$5001,$H400),""))</f>
        <v>390</v>
      </c>
      <c r="J400" s="64">
        <f>IF(F400="","",Parâmetros!$C$4-F400)</f>
        <v>14</v>
      </c>
      <c r="K400" s="40">
        <f t="shared" si="12"/>
        <v>0</v>
      </c>
      <c r="L400" s="105" t="str">
        <f t="shared" si="13"/>
        <v/>
      </c>
      <c r="M400" s="106">
        <f>IF(I400="","",I400*Parâmetros!$C$8/15)</f>
        <v>13.780000000000001</v>
      </c>
      <c r="N400" s="106">
        <f>IF(K400="","",K400*Parâmetros!$C$8/15)</f>
        <v>0</v>
      </c>
      <c r="O400" s="28">
        <f>IF(M400="","",M400*Parâmetros!$C$5)</f>
        <v>4409.6000000000004</v>
      </c>
      <c r="P400" s="64" t="str">
        <f>IF(L400="","",IF(L400&gt;=Parâmetros!$C$10,"Sim","Não"))</f>
        <v/>
      </c>
    </row>
    <row r="401" spans="1:16" ht="15" customHeight="1" x14ac:dyDescent="0.3">
      <c r="A401" s="60">
        <v>399</v>
      </c>
      <c r="B401" s="60" t="s">
        <v>582</v>
      </c>
      <c r="C401" s="101" t="s">
        <v>183</v>
      </c>
      <c r="D401" s="101" t="s">
        <v>184</v>
      </c>
      <c r="E401" s="60">
        <v>6</v>
      </c>
      <c r="F401" s="85">
        <v>46224</v>
      </c>
      <c r="G401" s="35">
        <v>378</v>
      </c>
      <c r="H401" s="85">
        <f>IF(COUNTIFS(Pesagens!$B$3:$B$5001,$B401)=0,"",_xlfn.MAXIFS(Pesagens!$A$3:$A$5001,Pesagens!$B$3:$B$5001,$B401,Pesagens!$E$3:$E$5001,"&lt;&gt;"))</f>
        <v>46224</v>
      </c>
      <c r="I401" s="35">
        <f>IF($H401="","",IFERROR(AVERAGEIFS(Pesagens!$E$3:$E$5001,Pesagens!$B$3:$B$5001,$B401,Pesagens!$A$3:$A$5001,$H401),""))</f>
        <v>378</v>
      </c>
      <c r="J401" s="60">
        <f>IF(F401="","",Parâmetros!$C$4-F401)</f>
        <v>14</v>
      </c>
      <c r="K401" s="35">
        <f t="shared" si="12"/>
        <v>0</v>
      </c>
      <c r="L401" s="102" t="str">
        <f t="shared" si="13"/>
        <v/>
      </c>
      <c r="M401" s="103">
        <f>IF(I401="","",I401*Parâmetros!$C$8/15)</f>
        <v>13.356</v>
      </c>
      <c r="N401" s="103">
        <f>IF(K401="","",K401*Parâmetros!$C$8/15)</f>
        <v>0</v>
      </c>
      <c r="O401" s="26">
        <f>IF(M401="","",M401*Parâmetros!$C$5)</f>
        <v>4273.92</v>
      </c>
      <c r="P401" s="60" t="str">
        <f>IF(L401="","",IF(L401&gt;=Parâmetros!$C$10,"Sim","Não"))</f>
        <v/>
      </c>
    </row>
    <row r="402" spans="1:16" ht="15" customHeight="1" x14ac:dyDescent="0.3">
      <c r="A402" s="64">
        <v>400</v>
      </c>
      <c r="B402" s="64" t="s">
        <v>583</v>
      </c>
      <c r="C402" s="104" t="s">
        <v>183</v>
      </c>
      <c r="D402" s="104" t="s">
        <v>184</v>
      </c>
      <c r="E402" s="64">
        <v>6</v>
      </c>
      <c r="F402" s="86">
        <v>46224</v>
      </c>
      <c r="G402" s="40">
        <v>390</v>
      </c>
      <c r="H402" s="86">
        <f>IF(COUNTIFS(Pesagens!$B$3:$B$5001,$B402)=0,"",_xlfn.MAXIFS(Pesagens!$A$3:$A$5001,Pesagens!$B$3:$B$5001,$B402,Pesagens!$E$3:$E$5001,"&lt;&gt;"))</f>
        <v>46224</v>
      </c>
      <c r="I402" s="40">
        <f>IF($H402="","",IFERROR(AVERAGEIFS(Pesagens!$E$3:$E$5001,Pesagens!$B$3:$B$5001,$B402,Pesagens!$A$3:$A$5001,$H402),""))</f>
        <v>390</v>
      </c>
      <c r="J402" s="64">
        <f>IF(F402="","",Parâmetros!$C$4-F402)</f>
        <v>14</v>
      </c>
      <c r="K402" s="40">
        <f t="shared" si="12"/>
        <v>0</v>
      </c>
      <c r="L402" s="105" t="str">
        <f t="shared" si="13"/>
        <v/>
      </c>
      <c r="M402" s="106">
        <f>IF(I402="","",I402*Parâmetros!$C$8/15)</f>
        <v>13.780000000000001</v>
      </c>
      <c r="N402" s="106">
        <f>IF(K402="","",K402*Parâmetros!$C$8/15)</f>
        <v>0</v>
      </c>
      <c r="O402" s="28">
        <f>IF(M402="","",M402*Parâmetros!$C$5)</f>
        <v>4409.6000000000004</v>
      </c>
      <c r="P402" s="64" t="str">
        <f>IF(L402="","",IF(L402&gt;=Parâmetros!$C$10,"Sim","Não"))</f>
        <v/>
      </c>
    </row>
    <row r="403" spans="1:16" ht="15" customHeight="1" x14ac:dyDescent="0.3">
      <c r="A403" s="60">
        <v>401</v>
      </c>
      <c r="B403" s="60" t="s">
        <v>584</v>
      </c>
      <c r="C403" s="101" t="s">
        <v>183</v>
      </c>
      <c r="D403" s="101" t="s">
        <v>184</v>
      </c>
      <c r="E403" s="60">
        <v>6</v>
      </c>
      <c r="F403" s="85">
        <v>46224</v>
      </c>
      <c r="G403" s="35">
        <v>384</v>
      </c>
      <c r="H403" s="85">
        <f>IF(COUNTIFS(Pesagens!$B$3:$B$5001,$B403)=0,"",_xlfn.MAXIFS(Pesagens!$A$3:$A$5001,Pesagens!$B$3:$B$5001,$B403,Pesagens!$E$3:$E$5001,"&lt;&gt;"))</f>
        <v>46224</v>
      </c>
      <c r="I403" s="35">
        <f>IF($H403="","",IFERROR(AVERAGEIFS(Pesagens!$E$3:$E$5001,Pesagens!$B$3:$B$5001,$B403,Pesagens!$A$3:$A$5001,$H403),""))</f>
        <v>384</v>
      </c>
      <c r="J403" s="60">
        <f>IF(F403="","",Parâmetros!$C$4-F403)</f>
        <v>14</v>
      </c>
      <c r="K403" s="35">
        <f t="shared" si="12"/>
        <v>0</v>
      </c>
      <c r="L403" s="102" t="str">
        <f t="shared" si="13"/>
        <v/>
      </c>
      <c r="M403" s="103">
        <f>IF(I403="","",I403*Parâmetros!$C$8/15)</f>
        <v>13.568000000000001</v>
      </c>
      <c r="N403" s="103">
        <f>IF(K403="","",K403*Parâmetros!$C$8/15)</f>
        <v>0</v>
      </c>
      <c r="O403" s="26">
        <f>IF(M403="","",M403*Parâmetros!$C$5)</f>
        <v>4341.76</v>
      </c>
      <c r="P403" s="60" t="str">
        <f>IF(L403="","",IF(L403&gt;=Parâmetros!$C$10,"Sim","Não"))</f>
        <v/>
      </c>
    </row>
    <row r="404" spans="1:16" ht="15" customHeight="1" x14ac:dyDescent="0.3">
      <c r="A404" s="64">
        <v>402</v>
      </c>
      <c r="B404" s="64" t="s">
        <v>585</v>
      </c>
      <c r="C404" s="104" t="s">
        <v>183</v>
      </c>
      <c r="D404" s="104" t="s">
        <v>184</v>
      </c>
      <c r="E404" s="64">
        <v>6</v>
      </c>
      <c r="F404" s="86">
        <v>46224</v>
      </c>
      <c r="G404" s="40">
        <v>390</v>
      </c>
      <c r="H404" s="86">
        <f>IF(COUNTIFS(Pesagens!$B$3:$B$5001,$B404)=0,"",_xlfn.MAXIFS(Pesagens!$A$3:$A$5001,Pesagens!$B$3:$B$5001,$B404,Pesagens!$E$3:$E$5001,"&lt;&gt;"))</f>
        <v>46224</v>
      </c>
      <c r="I404" s="40">
        <f>IF($H404="","",IFERROR(AVERAGEIFS(Pesagens!$E$3:$E$5001,Pesagens!$B$3:$B$5001,$B404,Pesagens!$A$3:$A$5001,$H404),""))</f>
        <v>390</v>
      </c>
      <c r="J404" s="64">
        <f>IF(F404="","",Parâmetros!$C$4-F404)</f>
        <v>14</v>
      </c>
      <c r="K404" s="40">
        <f t="shared" si="12"/>
        <v>0</v>
      </c>
      <c r="L404" s="105" t="str">
        <f t="shared" si="13"/>
        <v/>
      </c>
      <c r="M404" s="106">
        <f>IF(I404="","",I404*Parâmetros!$C$8/15)</f>
        <v>13.780000000000001</v>
      </c>
      <c r="N404" s="106">
        <f>IF(K404="","",K404*Parâmetros!$C$8/15)</f>
        <v>0</v>
      </c>
      <c r="O404" s="28">
        <f>IF(M404="","",M404*Parâmetros!$C$5)</f>
        <v>4409.6000000000004</v>
      </c>
      <c r="P404" s="64" t="str">
        <f>IF(L404="","",IF(L404&gt;=Parâmetros!$C$10,"Sim","Não"))</f>
        <v/>
      </c>
    </row>
    <row r="405" spans="1:16" ht="15" customHeight="1" x14ac:dyDescent="0.3">
      <c r="A405" s="60">
        <v>403</v>
      </c>
      <c r="B405" s="60" t="s">
        <v>586</v>
      </c>
      <c r="C405" s="101" t="s">
        <v>183</v>
      </c>
      <c r="D405" s="101" t="s">
        <v>184</v>
      </c>
      <c r="E405" s="60">
        <v>6</v>
      </c>
      <c r="F405" s="85">
        <v>46224</v>
      </c>
      <c r="G405" s="35">
        <v>393</v>
      </c>
      <c r="H405" s="85">
        <f>IF(COUNTIFS(Pesagens!$B$3:$B$5001,$B405)=0,"",_xlfn.MAXIFS(Pesagens!$A$3:$A$5001,Pesagens!$B$3:$B$5001,$B405,Pesagens!$E$3:$E$5001,"&lt;&gt;"))</f>
        <v>46224</v>
      </c>
      <c r="I405" s="35">
        <f>IF($H405="","",IFERROR(AVERAGEIFS(Pesagens!$E$3:$E$5001,Pesagens!$B$3:$B$5001,$B405,Pesagens!$A$3:$A$5001,$H405),""))</f>
        <v>393</v>
      </c>
      <c r="J405" s="60">
        <f>IF(F405="","",Parâmetros!$C$4-F405)</f>
        <v>14</v>
      </c>
      <c r="K405" s="35">
        <f t="shared" si="12"/>
        <v>0</v>
      </c>
      <c r="L405" s="102" t="str">
        <f t="shared" si="13"/>
        <v/>
      </c>
      <c r="M405" s="103">
        <f>IF(I405="","",I405*Parâmetros!$C$8/15)</f>
        <v>13.886000000000001</v>
      </c>
      <c r="N405" s="103">
        <f>IF(K405="","",K405*Parâmetros!$C$8/15)</f>
        <v>0</v>
      </c>
      <c r="O405" s="26">
        <f>IF(M405="","",M405*Parâmetros!$C$5)</f>
        <v>4443.5200000000004</v>
      </c>
      <c r="P405" s="60" t="str">
        <f>IF(L405="","",IF(L405&gt;=Parâmetros!$C$10,"Sim","Não"))</f>
        <v/>
      </c>
    </row>
    <row r="406" spans="1:16" ht="15" customHeight="1" x14ac:dyDescent="0.3">
      <c r="A406" s="64">
        <v>404</v>
      </c>
      <c r="B406" s="64" t="s">
        <v>587</v>
      </c>
      <c r="C406" s="104" t="s">
        <v>183</v>
      </c>
      <c r="D406" s="104" t="s">
        <v>184</v>
      </c>
      <c r="E406" s="64">
        <v>6</v>
      </c>
      <c r="F406" s="86">
        <v>46224</v>
      </c>
      <c r="G406" s="40">
        <v>394</v>
      </c>
      <c r="H406" s="86">
        <f>IF(COUNTIFS(Pesagens!$B$3:$B$5001,$B406)=0,"",_xlfn.MAXIFS(Pesagens!$A$3:$A$5001,Pesagens!$B$3:$B$5001,$B406,Pesagens!$E$3:$E$5001,"&lt;&gt;"))</f>
        <v>46224</v>
      </c>
      <c r="I406" s="40">
        <f>IF($H406="","",IFERROR(AVERAGEIFS(Pesagens!$E$3:$E$5001,Pesagens!$B$3:$B$5001,$B406,Pesagens!$A$3:$A$5001,$H406),""))</f>
        <v>394</v>
      </c>
      <c r="J406" s="64">
        <f>IF(F406="","",Parâmetros!$C$4-F406)</f>
        <v>14</v>
      </c>
      <c r="K406" s="40">
        <f t="shared" si="12"/>
        <v>0</v>
      </c>
      <c r="L406" s="105" t="str">
        <f t="shared" si="13"/>
        <v/>
      </c>
      <c r="M406" s="106">
        <f>IF(I406="","",I406*Parâmetros!$C$8/15)</f>
        <v>13.921333333333335</v>
      </c>
      <c r="N406" s="106">
        <f>IF(K406="","",K406*Parâmetros!$C$8/15)</f>
        <v>0</v>
      </c>
      <c r="O406" s="28">
        <f>IF(M406="","",M406*Parâmetros!$C$5)</f>
        <v>4454.8266666666668</v>
      </c>
      <c r="P406" s="64" t="str">
        <f>IF(L406="","",IF(L406&gt;=Parâmetros!$C$10,"Sim","Não"))</f>
        <v/>
      </c>
    </row>
    <row r="407" spans="1:16" ht="15" customHeight="1" x14ac:dyDescent="0.3">
      <c r="A407" s="60">
        <v>405</v>
      </c>
      <c r="B407" s="60" t="s">
        <v>588</v>
      </c>
      <c r="C407" s="101" t="s">
        <v>183</v>
      </c>
      <c r="D407" s="101" t="s">
        <v>184</v>
      </c>
      <c r="E407" s="60">
        <v>6</v>
      </c>
      <c r="F407" s="85">
        <v>46224</v>
      </c>
      <c r="G407" s="35">
        <v>391</v>
      </c>
      <c r="H407" s="85">
        <f>IF(COUNTIFS(Pesagens!$B$3:$B$5001,$B407)=0,"",_xlfn.MAXIFS(Pesagens!$A$3:$A$5001,Pesagens!$B$3:$B$5001,$B407,Pesagens!$E$3:$E$5001,"&lt;&gt;"))</f>
        <v>46224</v>
      </c>
      <c r="I407" s="35">
        <f>IF($H407="","",IFERROR(AVERAGEIFS(Pesagens!$E$3:$E$5001,Pesagens!$B$3:$B$5001,$B407,Pesagens!$A$3:$A$5001,$H407),""))</f>
        <v>391</v>
      </c>
      <c r="J407" s="60">
        <f>IF(F407="","",Parâmetros!$C$4-F407)</f>
        <v>14</v>
      </c>
      <c r="K407" s="35">
        <f t="shared" si="12"/>
        <v>0</v>
      </c>
      <c r="L407" s="102" t="str">
        <f t="shared" si="13"/>
        <v/>
      </c>
      <c r="M407" s="103">
        <f>IF(I407="","",I407*Parâmetros!$C$8/15)</f>
        <v>13.815333333333335</v>
      </c>
      <c r="N407" s="103">
        <f>IF(K407="","",K407*Parâmetros!$C$8/15)</f>
        <v>0</v>
      </c>
      <c r="O407" s="26">
        <f>IF(M407="","",M407*Parâmetros!$C$5)</f>
        <v>4420.9066666666677</v>
      </c>
      <c r="P407" s="60" t="str">
        <f>IF(L407="","",IF(L407&gt;=Parâmetros!$C$10,"Sim","Não"))</f>
        <v/>
      </c>
    </row>
    <row r="408" spans="1:16" ht="15" customHeight="1" x14ac:dyDescent="0.3">
      <c r="A408" s="64">
        <v>406</v>
      </c>
      <c r="B408" s="64" t="s">
        <v>589</v>
      </c>
      <c r="C408" s="104" t="s">
        <v>183</v>
      </c>
      <c r="D408" s="104" t="s">
        <v>184</v>
      </c>
      <c r="E408" s="64">
        <v>6</v>
      </c>
      <c r="F408" s="86">
        <v>46224</v>
      </c>
      <c r="G408" s="40">
        <v>393</v>
      </c>
      <c r="H408" s="86">
        <f>IF(COUNTIFS(Pesagens!$B$3:$B$5001,$B408)=0,"",_xlfn.MAXIFS(Pesagens!$A$3:$A$5001,Pesagens!$B$3:$B$5001,$B408,Pesagens!$E$3:$E$5001,"&lt;&gt;"))</f>
        <v>46224</v>
      </c>
      <c r="I408" s="40">
        <f>IF($H408="","",IFERROR(AVERAGEIFS(Pesagens!$E$3:$E$5001,Pesagens!$B$3:$B$5001,$B408,Pesagens!$A$3:$A$5001,$H408),""))</f>
        <v>393</v>
      </c>
      <c r="J408" s="64">
        <f>IF(F408="","",Parâmetros!$C$4-F408)</f>
        <v>14</v>
      </c>
      <c r="K408" s="40">
        <f t="shared" si="12"/>
        <v>0</v>
      </c>
      <c r="L408" s="105" t="str">
        <f t="shared" si="13"/>
        <v/>
      </c>
      <c r="M408" s="106">
        <f>IF(I408="","",I408*Parâmetros!$C$8/15)</f>
        <v>13.886000000000001</v>
      </c>
      <c r="N408" s="106">
        <f>IF(K408="","",K408*Parâmetros!$C$8/15)</f>
        <v>0</v>
      </c>
      <c r="O408" s="28">
        <f>IF(M408="","",M408*Parâmetros!$C$5)</f>
        <v>4443.5200000000004</v>
      </c>
      <c r="P408" s="64" t="str">
        <f>IF(L408="","",IF(L408&gt;=Parâmetros!$C$10,"Sim","Não"))</f>
        <v/>
      </c>
    </row>
    <row r="409" spans="1:16" ht="15" customHeight="1" x14ac:dyDescent="0.3">
      <c r="A409" s="60">
        <v>407</v>
      </c>
      <c r="B409" s="60" t="s">
        <v>590</v>
      </c>
      <c r="C409" s="101" t="s">
        <v>183</v>
      </c>
      <c r="D409" s="101" t="s">
        <v>184</v>
      </c>
      <c r="E409" s="60">
        <v>6</v>
      </c>
      <c r="F409" s="85">
        <v>46224</v>
      </c>
      <c r="G409" s="35">
        <v>379</v>
      </c>
      <c r="H409" s="85">
        <f>IF(COUNTIFS(Pesagens!$B$3:$B$5001,$B409)=0,"",_xlfn.MAXIFS(Pesagens!$A$3:$A$5001,Pesagens!$B$3:$B$5001,$B409,Pesagens!$E$3:$E$5001,"&lt;&gt;"))</f>
        <v>46224</v>
      </c>
      <c r="I409" s="35">
        <f>IF($H409="","",IFERROR(AVERAGEIFS(Pesagens!$E$3:$E$5001,Pesagens!$B$3:$B$5001,$B409,Pesagens!$A$3:$A$5001,$H409),""))</f>
        <v>379</v>
      </c>
      <c r="J409" s="60">
        <f>IF(F409="","",Parâmetros!$C$4-F409)</f>
        <v>14</v>
      </c>
      <c r="K409" s="35">
        <f t="shared" si="12"/>
        <v>0</v>
      </c>
      <c r="L409" s="102" t="str">
        <f t="shared" si="13"/>
        <v/>
      </c>
      <c r="M409" s="103">
        <f>IF(I409="","",I409*Parâmetros!$C$8/15)</f>
        <v>13.391333333333334</v>
      </c>
      <c r="N409" s="103">
        <f>IF(K409="","",K409*Parâmetros!$C$8/15)</f>
        <v>0</v>
      </c>
      <c r="O409" s="26">
        <f>IF(M409="","",M409*Parâmetros!$C$5)</f>
        <v>4285.2266666666665</v>
      </c>
      <c r="P409" s="60" t="str">
        <f>IF(L409="","",IF(L409&gt;=Parâmetros!$C$10,"Sim","Não"))</f>
        <v/>
      </c>
    </row>
    <row r="410" spans="1:16" ht="15" customHeight="1" x14ac:dyDescent="0.3">
      <c r="A410" s="64">
        <v>408</v>
      </c>
      <c r="B410" s="64" t="s">
        <v>591</v>
      </c>
      <c r="C410" s="104" t="s">
        <v>183</v>
      </c>
      <c r="D410" s="104" t="s">
        <v>184</v>
      </c>
      <c r="E410" s="64">
        <v>6</v>
      </c>
      <c r="F410" s="86">
        <v>46224</v>
      </c>
      <c r="G410" s="40">
        <v>383</v>
      </c>
      <c r="H410" s="86">
        <f>IF(COUNTIFS(Pesagens!$B$3:$B$5001,$B410)=0,"",_xlfn.MAXIFS(Pesagens!$A$3:$A$5001,Pesagens!$B$3:$B$5001,$B410,Pesagens!$E$3:$E$5001,"&lt;&gt;"))</f>
        <v>46224</v>
      </c>
      <c r="I410" s="40">
        <f>IF($H410="","",IFERROR(AVERAGEIFS(Pesagens!$E$3:$E$5001,Pesagens!$B$3:$B$5001,$B410,Pesagens!$A$3:$A$5001,$H410),""))</f>
        <v>383</v>
      </c>
      <c r="J410" s="64">
        <f>IF(F410="","",Parâmetros!$C$4-F410)</f>
        <v>14</v>
      </c>
      <c r="K410" s="40">
        <f t="shared" si="12"/>
        <v>0</v>
      </c>
      <c r="L410" s="105" t="str">
        <f t="shared" si="13"/>
        <v/>
      </c>
      <c r="M410" s="106">
        <f>IF(I410="","",I410*Parâmetros!$C$8/15)</f>
        <v>13.532666666666668</v>
      </c>
      <c r="N410" s="106">
        <f>IF(K410="","",K410*Parâmetros!$C$8/15)</f>
        <v>0</v>
      </c>
      <c r="O410" s="28">
        <f>IF(M410="","",M410*Parâmetros!$C$5)</f>
        <v>4330.4533333333338</v>
      </c>
      <c r="P410" s="64" t="str">
        <f>IF(L410="","",IF(L410&gt;=Parâmetros!$C$10,"Sim","Não"))</f>
        <v/>
      </c>
    </row>
    <row r="411" spans="1:16" ht="15" customHeight="1" x14ac:dyDescent="0.3">
      <c r="A411" s="60">
        <v>409</v>
      </c>
      <c r="B411" s="60" t="s">
        <v>592</v>
      </c>
      <c r="C411" s="101" t="s">
        <v>183</v>
      </c>
      <c r="D411" s="101" t="s">
        <v>184</v>
      </c>
      <c r="E411" s="60">
        <v>6</v>
      </c>
      <c r="F411" s="85">
        <v>46224</v>
      </c>
      <c r="G411" s="35">
        <v>387</v>
      </c>
      <c r="H411" s="85">
        <f>IF(COUNTIFS(Pesagens!$B$3:$B$5001,$B411)=0,"",_xlfn.MAXIFS(Pesagens!$A$3:$A$5001,Pesagens!$B$3:$B$5001,$B411,Pesagens!$E$3:$E$5001,"&lt;&gt;"))</f>
        <v>46224</v>
      </c>
      <c r="I411" s="35">
        <f>IF($H411="","",IFERROR(AVERAGEIFS(Pesagens!$E$3:$E$5001,Pesagens!$B$3:$B$5001,$B411,Pesagens!$A$3:$A$5001,$H411),""))</f>
        <v>387</v>
      </c>
      <c r="J411" s="60">
        <f>IF(F411="","",Parâmetros!$C$4-F411)</f>
        <v>14</v>
      </c>
      <c r="K411" s="35">
        <f t="shared" si="12"/>
        <v>0</v>
      </c>
      <c r="L411" s="102" t="str">
        <f t="shared" si="13"/>
        <v/>
      </c>
      <c r="M411" s="103">
        <f>IF(I411="","",I411*Parâmetros!$C$8/15)</f>
        <v>13.674000000000001</v>
      </c>
      <c r="N411" s="103">
        <f>IF(K411="","",K411*Parâmetros!$C$8/15)</f>
        <v>0</v>
      </c>
      <c r="O411" s="26">
        <f>IF(M411="","",M411*Parâmetros!$C$5)</f>
        <v>4375.68</v>
      </c>
      <c r="P411" s="60" t="str">
        <f>IF(L411="","",IF(L411&gt;=Parâmetros!$C$10,"Sim","Não"))</f>
        <v/>
      </c>
    </row>
    <row r="412" spans="1:16" ht="15" customHeight="1" x14ac:dyDescent="0.3">
      <c r="A412" s="64">
        <v>410</v>
      </c>
      <c r="B412" s="64" t="s">
        <v>593</v>
      </c>
      <c r="C412" s="104" t="s">
        <v>183</v>
      </c>
      <c r="D412" s="104" t="s">
        <v>184</v>
      </c>
      <c r="E412" s="64">
        <v>6</v>
      </c>
      <c r="F412" s="86">
        <v>46224</v>
      </c>
      <c r="G412" s="40">
        <v>378</v>
      </c>
      <c r="H412" s="86">
        <f>IF(COUNTIFS(Pesagens!$B$3:$B$5001,$B412)=0,"",_xlfn.MAXIFS(Pesagens!$A$3:$A$5001,Pesagens!$B$3:$B$5001,$B412,Pesagens!$E$3:$E$5001,"&lt;&gt;"))</f>
        <v>46224</v>
      </c>
      <c r="I412" s="40">
        <f>IF($H412="","",IFERROR(AVERAGEIFS(Pesagens!$E$3:$E$5001,Pesagens!$B$3:$B$5001,$B412,Pesagens!$A$3:$A$5001,$H412),""))</f>
        <v>378</v>
      </c>
      <c r="J412" s="64">
        <f>IF(F412="","",Parâmetros!$C$4-F412)</f>
        <v>14</v>
      </c>
      <c r="K412" s="40">
        <f t="shared" si="12"/>
        <v>0</v>
      </c>
      <c r="L412" s="105" t="str">
        <f t="shared" si="13"/>
        <v/>
      </c>
      <c r="M412" s="106">
        <f>IF(I412="","",I412*Parâmetros!$C$8/15)</f>
        <v>13.356</v>
      </c>
      <c r="N412" s="106">
        <f>IF(K412="","",K412*Parâmetros!$C$8/15)</f>
        <v>0</v>
      </c>
      <c r="O412" s="28">
        <f>IF(M412="","",M412*Parâmetros!$C$5)</f>
        <v>4273.92</v>
      </c>
      <c r="P412" s="64" t="str">
        <f>IF(L412="","",IF(L412&gt;=Parâmetros!$C$10,"Sim","Não"))</f>
        <v/>
      </c>
    </row>
    <row r="413" spans="1:16" ht="15" customHeight="1" x14ac:dyDescent="0.3">
      <c r="A413" s="60">
        <v>411</v>
      </c>
      <c r="B413" s="60" t="s">
        <v>594</v>
      </c>
      <c r="C413" s="101" t="s">
        <v>183</v>
      </c>
      <c r="D413" s="101" t="s">
        <v>184</v>
      </c>
      <c r="E413" s="60">
        <v>6</v>
      </c>
      <c r="F413" s="85">
        <v>46224</v>
      </c>
      <c r="G413" s="35">
        <v>383</v>
      </c>
      <c r="H413" s="85">
        <f>IF(COUNTIFS(Pesagens!$B$3:$B$5001,$B413)=0,"",_xlfn.MAXIFS(Pesagens!$A$3:$A$5001,Pesagens!$B$3:$B$5001,$B413,Pesagens!$E$3:$E$5001,"&lt;&gt;"))</f>
        <v>46224</v>
      </c>
      <c r="I413" s="35">
        <f>IF($H413="","",IFERROR(AVERAGEIFS(Pesagens!$E$3:$E$5001,Pesagens!$B$3:$B$5001,$B413,Pesagens!$A$3:$A$5001,$H413),""))</f>
        <v>383</v>
      </c>
      <c r="J413" s="60">
        <f>IF(F413="","",Parâmetros!$C$4-F413)</f>
        <v>14</v>
      </c>
      <c r="K413" s="35">
        <f t="shared" si="12"/>
        <v>0</v>
      </c>
      <c r="L413" s="102" t="str">
        <f t="shared" si="13"/>
        <v/>
      </c>
      <c r="M413" s="103">
        <f>IF(I413="","",I413*Parâmetros!$C$8/15)</f>
        <v>13.532666666666668</v>
      </c>
      <c r="N413" s="103">
        <f>IF(K413="","",K413*Parâmetros!$C$8/15)</f>
        <v>0</v>
      </c>
      <c r="O413" s="26">
        <f>IF(M413="","",M413*Parâmetros!$C$5)</f>
        <v>4330.4533333333338</v>
      </c>
      <c r="P413" s="60" t="str">
        <f>IF(L413="","",IF(L413&gt;=Parâmetros!$C$10,"Sim","Não"))</f>
        <v/>
      </c>
    </row>
    <row r="414" spans="1:16" ht="15" customHeight="1" x14ac:dyDescent="0.3">
      <c r="A414" s="64">
        <v>412</v>
      </c>
      <c r="B414" s="64" t="s">
        <v>595</v>
      </c>
      <c r="C414" s="104" t="s">
        <v>183</v>
      </c>
      <c r="D414" s="104" t="s">
        <v>184</v>
      </c>
      <c r="E414" s="64">
        <v>6</v>
      </c>
      <c r="F414" s="86">
        <v>46224</v>
      </c>
      <c r="G414" s="40">
        <v>392</v>
      </c>
      <c r="H414" s="86">
        <f>IF(COUNTIFS(Pesagens!$B$3:$B$5001,$B414)=0,"",_xlfn.MAXIFS(Pesagens!$A$3:$A$5001,Pesagens!$B$3:$B$5001,$B414,Pesagens!$E$3:$E$5001,"&lt;&gt;"))</f>
        <v>46224</v>
      </c>
      <c r="I414" s="40">
        <f>IF($H414="","",IFERROR(AVERAGEIFS(Pesagens!$E$3:$E$5001,Pesagens!$B$3:$B$5001,$B414,Pesagens!$A$3:$A$5001,$H414),""))</f>
        <v>392</v>
      </c>
      <c r="J414" s="64">
        <f>IF(F414="","",Parâmetros!$C$4-F414)</f>
        <v>14</v>
      </c>
      <c r="K414" s="40">
        <f t="shared" si="12"/>
        <v>0</v>
      </c>
      <c r="L414" s="105" t="str">
        <f t="shared" si="13"/>
        <v/>
      </c>
      <c r="M414" s="106">
        <f>IF(I414="","",I414*Parâmetros!$C$8/15)</f>
        <v>13.850666666666667</v>
      </c>
      <c r="N414" s="106">
        <f>IF(K414="","",K414*Parâmetros!$C$8/15)</f>
        <v>0</v>
      </c>
      <c r="O414" s="28">
        <f>IF(M414="","",M414*Parâmetros!$C$5)</f>
        <v>4432.2133333333331</v>
      </c>
      <c r="P414" s="64" t="str">
        <f>IF(L414="","",IF(L414&gt;=Parâmetros!$C$10,"Sim","Não"))</f>
        <v/>
      </c>
    </row>
    <row r="415" spans="1:16" ht="15" customHeight="1" x14ac:dyDescent="0.3">
      <c r="A415" s="60">
        <v>413</v>
      </c>
      <c r="B415" s="60" t="s">
        <v>596</v>
      </c>
      <c r="C415" s="101" t="s">
        <v>183</v>
      </c>
      <c r="D415" s="101" t="s">
        <v>184</v>
      </c>
      <c r="E415" s="60">
        <v>6</v>
      </c>
      <c r="F415" s="85">
        <v>46224</v>
      </c>
      <c r="G415" s="35">
        <v>378</v>
      </c>
      <c r="H415" s="85">
        <f>IF(COUNTIFS(Pesagens!$B$3:$B$5001,$B415)=0,"",_xlfn.MAXIFS(Pesagens!$A$3:$A$5001,Pesagens!$B$3:$B$5001,$B415,Pesagens!$E$3:$E$5001,"&lt;&gt;"))</f>
        <v>46224</v>
      </c>
      <c r="I415" s="35">
        <f>IF($H415="","",IFERROR(AVERAGEIFS(Pesagens!$E$3:$E$5001,Pesagens!$B$3:$B$5001,$B415,Pesagens!$A$3:$A$5001,$H415),""))</f>
        <v>378</v>
      </c>
      <c r="J415" s="60">
        <f>IF(F415="","",Parâmetros!$C$4-F415)</f>
        <v>14</v>
      </c>
      <c r="K415" s="35">
        <f t="shared" si="12"/>
        <v>0</v>
      </c>
      <c r="L415" s="102" t="str">
        <f t="shared" si="13"/>
        <v/>
      </c>
      <c r="M415" s="103">
        <f>IF(I415="","",I415*Parâmetros!$C$8/15)</f>
        <v>13.356</v>
      </c>
      <c r="N415" s="103">
        <f>IF(K415="","",K415*Parâmetros!$C$8/15)</f>
        <v>0</v>
      </c>
      <c r="O415" s="26">
        <f>IF(M415="","",M415*Parâmetros!$C$5)</f>
        <v>4273.92</v>
      </c>
      <c r="P415" s="60" t="str">
        <f>IF(L415="","",IF(L415&gt;=Parâmetros!$C$10,"Sim","Não"))</f>
        <v/>
      </c>
    </row>
    <row r="416" spans="1:16" ht="15" customHeight="1" x14ac:dyDescent="0.3">
      <c r="A416" s="64">
        <v>414</v>
      </c>
      <c r="B416" s="64" t="s">
        <v>597</v>
      </c>
      <c r="C416" s="104" t="s">
        <v>183</v>
      </c>
      <c r="D416" s="104" t="s">
        <v>184</v>
      </c>
      <c r="E416" s="64">
        <v>6</v>
      </c>
      <c r="F416" s="86">
        <v>46224</v>
      </c>
      <c r="G416" s="40">
        <v>392</v>
      </c>
      <c r="H416" s="86">
        <f>IF(COUNTIFS(Pesagens!$B$3:$B$5001,$B416)=0,"",_xlfn.MAXIFS(Pesagens!$A$3:$A$5001,Pesagens!$B$3:$B$5001,$B416,Pesagens!$E$3:$E$5001,"&lt;&gt;"))</f>
        <v>46224</v>
      </c>
      <c r="I416" s="40">
        <f>IF($H416="","",IFERROR(AVERAGEIFS(Pesagens!$E$3:$E$5001,Pesagens!$B$3:$B$5001,$B416,Pesagens!$A$3:$A$5001,$H416),""))</f>
        <v>392</v>
      </c>
      <c r="J416" s="64">
        <f>IF(F416="","",Parâmetros!$C$4-F416)</f>
        <v>14</v>
      </c>
      <c r="K416" s="40">
        <f t="shared" si="12"/>
        <v>0</v>
      </c>
      <c r="L416" s="105" t="str">
        <f t="shared" si="13"/>
        <v/>
      </c>
      <c r="M416" s="106">
        <f>IF(I416="","",I416*Parâmetros!$C$8/15)</f>
        <v>13.850666666666667</v>
      </c>
      <c r="N416" s="106">
        <f>IF(K416="","",K416*Parâmetros!$C$8/15)</f>
        <v>0</v>
      </c>
      <c r="O416" s="28">
        <f>IF(M416="","",M416*Parâmetros!$C$5)</f>
        <v>4432.2133333333331</v>
      </c>
      <c r="P416" s="64" t="str">
        <f>IF(L416="","",IF(L416&gt;=Parâmetros!$C$10,"Sim","Não"))</f>
        <v/>
      </c>
    </row>
    <row r="417" spans="1:16" ht="15" customHeight="1" x14ac:dyDescent="0.3">
      <c r="A417" s="60">
        <v>415</v>
      </c>
      <c r="B417" s="60" t="s">
        <v>598</v>
      </c>
      <c r="C417" s="101" t="s">
        <v>183</v>
      </c>
      <c r="D417" s="101" t="s">
        <v>184</v>
      </c>
      <c r="E417" s="60">
        <v>6</v>
      </c>
      <c r="F417" s="85">
        <v>46224</v>
      </c>
      <c r="G417" s="35">
        <v>387</v>
      </c>
      <c r="H417" s="85">
        <f>IF(COUNTIFS(Pesagens!$B$3:$B$5001,$B417)=0,"",_xlfn.MAXIFS(Pesagens!$A$3:$A$5001,Pesagens!$B$3:$B$5001,$B417,Pesagens!$E$3:$E$5001,"&lt;&gt;"))</f>
        <v>46224</v>
      </c>
      <c r="I417" s="35">
        <f>IF($H417="","",IFERROR(AVERAGEIFS(Pesagens!$E$3:$E$5001,Pesagens!$B$3:$B$5001,$B417,Pesagens!$A$3:$A$5001,$H417),""))</f>
        <v>387</v>
      </c>
      <c r="J417" s="60">
        <f>IF(F417="","",Parâmetros!$C$4-F417)</f>
        <v>14</v>
      </c>
      <c r="K417" s="35">
        <f t="shared" si="12"/>
        <v>0</v>
      </c>
      <c r="L417" s="102" t="str">
        <f t="shared" si="13"/>
        <v/>
      </c>
      <c r="M417" s="103">
        <f>IF(I417="","",I417*Parâmetros!$C$8/15)</f>
        <v>13.674000000000001</v>
      </c>
      <c r="N417" s="103">
        <f>IF(K417="","",K417*Parâmetros!$C$8/15)</f>
        <v>0</v>
      </c>
      <c r="O417" s="26">
        <f>IF(M417="","",M417*Parâmetros!$C$5)</f>
        <v>4375.68</v>
      </c>
      <c r="P417" s="60" t="str">
        <f>IF(L417="","",IF(L417&gt;=Parâmetros!$C$10,"Sim","Não"))</f>
        <v/>
      </c>
    </row>
    <row r="418" spans="1:16" ht="15" customHeight="1" x14ac:dyDescent="0.3">
      <c r="A418" s="64">
        <v>416</v>
      </c>
      <c r="B418" s="64" t="s">
        <v>599</v>
      </c>
      <c r="C418" s="104" t="s">
        <v>183</v>
      </c>
      <c r="D418" s="104" t="s">
        <v>184</v>
      </c>
      <c r="E418" s="64">
        <v>6</v>
      </c>
      <c r="F418" s="86">
        <v>46224</v>
      </c>
      <c r="G418" s="40">
        <v>389</v>
      </c>
      <c r="H418" s="86">
        <f>IF(COUNTIFS(Pesagens!$B$3:$B$5001,$B418)=0,"",_xlfn.MAXIFS(Pesagens!$A$3:$A$5001,Pesagens!$B$3:$B$5001,$B418,Pesagens!$E$3:$E$5001,"&lt;&gt;"))</f>
        <v>46224</v>
      </c>
      <c r="I418" s="40">
        <f>IF($H418="","",IFERROR(AVERAGEIFS(Pesagens!$E$3:$E$5001,Pesagens!$B$3:$B$5001,$B418,Pesagens!$A$3:$A$5001,$H418),""))</f>
        <v>389</v>
      </c>
      <c r="J418" s="64">
        <f>IF(F418="","",Parâmetros!$C$4-F418)</f>
        <v>14</v>
      </c>
      <c r="K418" s="40">
        <f t="shared" si="12"/>
        <v>0</v>
      </c>
      <c r="L418" s="105" t="str">
        <f t="shared" si="13"/>
        <v/>
      </c>
      <c r="M418" s="106">
        <f>IF(I418="","",I418*Parâmetros!$C$8/15)</f>
        <v>13.744666666666667</v>
      </c>
      <c r="N418" s="106">
        <f>IF(K418="","",K418*Parâmetros!$C$8/15)</f>
        <v>0</v>
      </c>
      <c r="O418" s="28">
        <f>IF(M418="","",M418*Parâmetros!$C$5)</f>
        <v>4398.2933333333331</v>
      </c>
      <c r="P418" s="64" t="str">
        <f>IF(L418="","",IF(L418&gt;=Parâmetros!$C$10,"Sim","Não"))</f>
        <v/>
      </c>
    </row>
    <row r="419" spans="1:16" ht="15" customHeight="1" x14ac:dyDescent="0.3">
      <c r="A419" s="60">
        <v>417</v>
      </c>
      <c r="B419" s="60" t="s">
        <v>600</v>
      </c>
      <c r="C419" s="101" t="s">
        <v>183</v>
      </c>
      <c r="D419" s="101" t="s">
        <v>184</v>
      </c>
      <c r="E419" s="60">
        <v>6</v>
      </c>
      <c r="F419" s="85">
        <v>46224</v>
      </c>
      <c r="G419" s="35">
        <v>389</v>
      </c>
      <c r="H419" s="85">
        <f>IF(COUNTIFS(Pesagens!$B$3:$B$5001,$B419)=0,"",_xlfn.MAXIFS(Pesagens!$A$3:$A$5001,Pesagens!$B$3:$B$5001,$B419,Pesagens!$E$3:$E$5001,"&lt;&gt;"))</f>
        <v>46224</v>
      </c>
      <c r="I419" s="35">
        <f>IF($H419="","",IFERROR(AVERAGEIFS(Pesagens!$E$3:$E$5001,Pesagens!$B$3:$B$5001,$B419,Pesagens!$A$3:$A$5001,$H419),""))</f>
        <v>389</v>
      </c>
      <c r="J419" s="60">
        <f>IF(F419="","",Parâmetros!$C$4-F419)</f>
        <v>14</v>
      </c>
      <c r="K419" s="35">
        <f t="shared" si="12"/>
        <v>0</v>
      </c>
      <c r="L419" s="102" t="str">
        <f t="shared" si="13"/>
        <v/>
      </c>
      <c r="M419" s="103">
        <f>IF(I419="","",I419*Parâmetros!$C$8/15)</f>
        <v>13.744666666666667</v>
      </c>
      <c r="N419" s="103">
        <f>IF(K419="","",K419*Parâmetros!$C$8/15)</f>
        <v>0</v>
      </c>
      <c r="O419" s="26">
        <f>IF(M419="","",M419*Parâmetros!$C$5)</f>
        <v>4398.2933333333331</v>
      </c>
      <c r="P419" s="60" t="str">
        <f>IF(L419="","",IF(L419&gt;=Parâmetros!$C$10,"Sim","Não"))</f>
        <v/>
      </c>
    </row>
    <row r="420" spans="1:16" ht="15" customHeight="1" x14ac:dyDescent="0.3">
      <c r="A420" s="64">
        <v>418</v>
      </c>
      <c r="B420" s="64" t="s">
        <v>601</v>
      </c>
      <c r="C420" s="104" t="s">
        <v>183</v>
      </c>
      <c r="D420" s="104" t="s">
        <v>184</v>
      </c>
      <c r="E420" s="64">
        <v>6</v>
      </c>
      <c r="F420" s="86">
        <v>46224</v>
      </c>
      <c r="G420" s="40">
        <v>392</v>
      </c>
      <c r="H420" s="86">
        <f>IF(COUNTIFS(Pesagens!$B$3:$B$5001,$B420)=0,"",_xlfn.MAXIFS(Pesagens!$A$3:$A$5001,Pesagens!$B$3:$B$5001,$B420,Pesagens!$E$3:$E$5001,"&lt;&gt;"))</f>
        <v>46224</v>
      </c>
      <c r="I420" s="40">
        <f>IF($H420="","",IFERROR(AVERAGEIFS(Pesagens!$E$3:$E$5001,Pesagens!$B$3:$B$5001,$B420,Pesagens!$A$3:$A$5001,$H420),""))</f>
        <v>392</v>
      </c>
      <c r="J420" s="64">
        <f>IF(F420="","",Parâmetros!$C$4-F420)</f>
        <v>14</v>
      </c>
      <c r="K420" s="40">
        <f t="shared" si="12"/>
        <v>0</v>
      </c>
      <c r="L420" s="105" t="str">
        <f t="shared" si="13"/>
        <v/>
      </c>
      <c r="M420" s="106">
        <f>IF(I420="","",I420*Parâmetros!$C$8/15)</f>
        <v>13.850666666666667</v>
      </c>
      <c r="N420" s="106">
        <f>IF(K420="","",K420*Parâmetros!$C$8/15)</f>
        <v>0</v>
      </c>
      <c r="O420" s="28">
        <f>IF(M420="","",M420*Parâmetros!$C$5)</f>
        <v>4432.2133333333331</v>
      </c>
      <c r="P420" s="64" t="str">
        <f>IF(L420="","",IF(L420&gt;=Parâmetros!$C$10,"Sim","Não"))</f>
        <v/>
      </c>
    </row>
    <row r="421" spans="1:16" ht="15" customHeight="1" x14ac:dyDescent="0.3">
      <c r="A421" s="60">
        <v>419</v>
      </c>
      <c r="B421" s="60" t="s">
        <v>602</v>
      </c>
      <c r="C421" s="101" t="s">
        <v>183</v>
      </c>
      <c r="D421" s="101" t="s">
        <v>184</v>
      </c>
      <c r="E421" s="60">
        <v>6</v>
      </c>
      <c r="F421" s="85">
        <v>46224</v>
      </c>
      <c r="G421" s="35">
        <v>371</v>
      </c>
      <c r="H421" s="85">
        <f>IF(COUNTIFS(Pesagens!$B$3:$B$5001,$B421)=0,"",_xlfn.MAXIFS(Pesagens!$A$3:$A$5001,Pesagens!$B$3:$B$5001,$B421,Pesagens!$E$3:$E$5001,"&lt;&gt;"))</f>
        <v>46224</v>
      </c>
      <c r="I421" s="35">
        <f>IF($H421="","",IFERROR(AVERAGEIFS(Pesagens!$E$3:$E$5001,Pesagens!$B$3:$B$5001,$B421,Pesagens!$A$3:$A$5001,$H421),""))</f>
        <v>371</v>
      </c>
      <c r="J421" s="60">
        <f>IF(F421="","",Parâmetros!$C$4-F421)</f>
        <v>14</v>
      </c>
      <c r="K421" s="35">
        <f t="shared" si="12"/>
        <v>0</v>
      </c>
      <c r="L421" s="102" t="str">
        <f t="shared" si="13"/>
        <v/>
      </c>
      <c r="M421" s="103">
        <f>IF(I421="","",I421*Parâmetros!$C$8/15)</f>
        <v>13.108666666666668</v>
      </c>
      <c r="N421" s="103">
        <f>IF(K421="","",K421*Parâmetros!$C$8/15)</f>
        <v>0</v>
      </c>
      <c r="O421" s="26">
        <f>IF(M421="","",M421*Parâmetros!$C$5)</f>
        <v>4194.7733333333335</v>
      </c>
      <c r="P421" s="60" t="str">
        <f>IF(L421="","",IF(L421&gt;=Parâmetros!$C$10,"Sim","Não"))</f>
        <v/>
      </c>
    </row>
    <row r="422" spans="1:16" ht="15" customHeight="1" x14ac:dyDescent="0.3">
      <c r="A422" s="64">
        <v>420</v>
      </c>
      <c r="B422" s="64" t="s">
        <v>603</v>
      </c>
      <c r="C422" s="104" t="s">
        <v>183</v>
      </c>
      <c r="D422" s="104" t="s">
        <v>184</v>
      </c>
      <c r="E422" s="64">
        <v>6</v>
      </c>
      <c r="F422" s="86">
        <v>46224</v>
      </c>
      <c r="G422" s="40">
        <v>393</v>
      </c>
      <c r="H422" s="86">
        <f>IF(COUNTIFS(Pesagens!$B$3:$B$5001,$B422)=0,"",_xlfn.MAXIFS(Pesagens!$A$3:$A$5001,Pesagens!$B$3:$B$5001,$B422,Pesagens!$E$3:$E$5001,"&lt;&gt;"))</f>
        <v>46224</v>
      </c>
      <c r="I422" s="40">
        <f>IF($H422="","",IFERROR(AVERAGEIFS(Pesagens!$E$3:$E$5001,Pesagens!$B$3:$B$5001,$B422,Pesagens!$A$3:$A$5001,$H422),""))</f>
        <v>393</v>
      </c>
      <c r="J422" s="64">
        <f>IF(F422="","",Parâmetros!$C$4-F422)</f>
        <v>14</v>
      </c>
      <c r="K422" s="40">
        <f t="shared" si="12"/>
        <v>0</v>
      </c>
      <c r="L422" s="105" t="str">
        <f t="shared" si="13"/>
        <v/>
      </c>
      <c r="M422" s="106">
        <f>IF(I422="","",I422*Parâmetros!$C$8/15)</f>
        <v>13.886000000000001</v>
      </c>
      <c r="N422" s="106">
        <f>IF(K422="","",K422*Parâmetros!$C$8/15)</f>
        <v>0</v>
      </c>
      <c r="O422" s="28">
        <f>IF(M422="","",M422*Parâmetros!$C$5)</f>
        <v>4443.5200000000004</v>
      </c>
      <c r="P422" s="64" t="str">
        <f>IF(L422="","",IF(L422&gt;=Parâmetros!$C$10,"Sim","Não"))</f>
        <v/>
      </c>
    </row>
    <row r="423" spans="1:16" ht="15" customHeight="1" x14ac:dyDescent="0.3">
      <c r="A423" s="60">
        <v>421</v>
      </c>
      <c r="B423" s="60" t="s">
        <v>604</v>
      </c>
      <c r="C423" s="101" t="s">
        <v>183</v>
      </c>
      <c r="D423" s="101" t="s">
        <v>184</v>
      </c>
      <c r="E423" s="60">
        <v>6</v>
      </c>
      <c r="F423" s="85">
        <v>46224</v>
      </c>
      <c r="G423" s="35">
        <v>373</v>
      </c>
      <c r="H423" s="85">
        <f>IF(COUNTIFS(Pesagens!$B$3:$B$5001,$B423)=0,"",_xlfn.MAXIFS(Pesagens!$A$3:$A$5001,Pesagens!$B$3:$B$5001,$B423,Pesagens!$E$3:$E$5001,"&lt;&gt;"))</f>
        <v>46224</v>
      </c>
      <c r="I423" s="35">
        <f>IF($H423="","",IFERROR(AVERAGEIFS(Pesagens!$E$3:$E$5001,Pesagens!$B$3:$B$5001,$B423,Pesagens!$A$3:$A$5001,$H423),""))</f>
        <v>373</v>
      </c>
      <c r="J423" s="60">
        <f>IF(F423="","",Parâmetros!$C$4-F423)</f>
        <v>14</v>
      </c>
      <c r="K423" s="35">
        <f t="shared" si="12"/>
        <v>0</v>
      </c>
      <c r="L423" s="102" t="str">
        <f t="shared" si="13"/>
        <v/>
      </c>
      <c r="M423" s="103">
        <f>IF(I423="","",I423*Parâmetros!$C$8/15)</f>
        <v>13.179333333333334</v>
      </c>
      <c r="N423" s="103">
        <f>IF(K423="","",K423*Parâmetros!$C$8/15)</f>
        <v>0</v>
      </c>
      <c r="O423" s="26">
        <f>IF(M423="","",M423*Parâmetros!$C$5)</f>
        <v>4217.3866666666672</v>
      </c>
      <c r="P423" s="60" t="str">
        <f>IF(L423="","",IF(L423&gt;=Parâmetros!$C$10,"Sim","Não"))</f>
        <v/>
      </c>
    </row>
    <row r="424" spans="1:16" ht="15" customHeight="1" x14ac:dyDescent="0.3">
      <c r="A424" s="64">
        <v>422</v>
      </c>
      <c r="B424" s="64" t="s">
        <v>605</v>
      </c>
      <c r="C424" s="104" t="s">
        <v>183</v>
      </c>
      <c r="D424" s="104" t="s">
        <v>184</v>
      </c>
      <c r="E424" s="64">
        <v>6</v>
      </c>
      <c r="F424" s="86">
        <v>46224</v>
      </c>
      <c r="G424" s="40">
        <v>390</v>
      </c>
      <c r="H424" s="86">
        <f>IF(COUNTIFS(Pesagens!$B$3:$B$5001,$B424)=0,"",_xlfn.MAXIFS(Pesagens!$A$3:$A$5001,Pesagens!$B$3:$B$5001,$B424,Pesagens!$E$3:$E$5001,"&lt;&gt;"))</f>
        <v>46224</v>
      </c>
      <c r="I424" s="40">
        <f>IF($H424="","",IFERROR(AVERAGEIFS(Pesagens!$E$3:$E$5001,Pesagens!$B$3:$B$5001,$B424,Pesagens!$A$3:$A$5001,$H424),""))</f>
        <v>390</v>
      </c>
      <c r="J424" s="64">
        <f>IF(F424="","",Parâmetros!$C$4-F424)</f>
        <v>14</v>
      </c>
      <c r="K424" s="40">
        <f t="shared" si="12"/>
        <v>0</v>
      </c>
      <c r="L424" s="105" t="str">
        <f t="shared" si="13"/>
        <v/>
      </c>
      <c r="M424" s="106">
        <f>IF(I424="","",I424*Parâmetros!$C$8/15)</f>
        <v>13.780000000000001</v>
      </c>
      <c r="N424" s="106">
        <f>IF(K424="","",K424*Parâmetros!$C$8/15)</f>
        <v>0</v>
      </c>
      <c r="O424" s="28">
        <f>IF(M424="","",M424*Parâmetros!$C$5)</f>
        <v>4409.6000000000004</v>
      </c>
      <c r="P424" s="64" t="str">
        <f>IF(L424="","",IF(L424&gt;=Parâmetros!$C$10,"Sim","Não"))</f>
        <v/>
      </c>
    </row>
    <row r="425" spans="1:16" ht="15" customHeight="1" x14ac:dyDescent="0.3">
      <c r="A425" s="60">
        <v>423</v>
      </c>
      <c r="B425" s="60" t="s">
        <v>606</v>
      </c>
      <c r="C425" s="101" t="s">
        <v>183</v>
      </c>
      <c r="D425" s="101" t="s">
        <v>184</v>
      </c>
      <c r="E425" s="60">
        <v>6</v>
      </c>
      <c r="F425" s="85">
        <v>46224</v>
      </c>
      <c r="G425" s="35">
        <v>389</v>
      </c>
      <c r="H425" s="85">
        <f>IF(COUNTIFS(Pesagens!$B$3:$B$5001,$B425)=0,"",_xlfn.MAXIFS(Pesagens!$A$3:$A$5001,Pesagens!$B$3:$B$5001,$B425,Pesagens!$E$3:$E$5001,"&lt;&gt;"))</f>
        <v>46224</v>
      </c>
      <c r="I425" s="35">
        <f>IF($H425="","",IFERROR(AVERAGEIFS(Pesagens!$E$3:$E$5001,Pesagens!$B$3:$B$5001,$B425,Pesagens!$A$3:$A$5001,$H425),""))</f>
        <v>389</v>
      </c>
      <c r="J425" s="60">
        <f>IF(F425="","",Parâmetros!$C$4-F425)</f>
        <v>14</v>
      </c>
      <c r="K425" s="35">
        <f t="shared" si="12"/>
        <v>0</v>
      </c>
      <c r="L425" s="102" t="str">
        <f t="shared" si="13"/>
        <v/>
      </c>
      <c r="M425" s="103">
        <f>IF(I425="","",I425*Parâmetros!$C$8/15)</f>
        <v>13.744666666666667</v>
      </c>
      <c r="N425" s="103">
        <f>IF(K425="","",K425*Parâmetros!$C$8/15)</f>
        <v>0</v>
      </c>
      <c r="O425" s="26">
        <f>IF(M425="","",M425*Parâmetros!$C$5)</f>
        <v>4398.2933333333331</v>
      </c>
      <c r="P425" s="60" t="str">
        <f>IF(L425="","",IF(L425&gt;=Parâmetros!$C$10,"Sim","Não"))</f>
        <v/>
      </c>
    </row>
    <row r="426" spans="1:16" ht="15" customHeight="1" x14ac:dyDescent="0.3">
      <c r="A426" s="64">
        <v>424</v>
      </c>
      <c r="B426" s="64" t="s">
        <v>607</v>
      </c>
      <c r="C426" s="104" t="s">
        <v>183</v>
      </c>
      <c r="D426" s="104" t="s">
        <v>184</v>
      </c>
      <c r="E426" s="64">
        <v>6</v>
      </c>
      <c r="F426" s="86">
        <v>46224</v>
      </c>
      <c r="G426" s="40">
        <v>378</v>
      </c>
      <c r="H426" s="86">
        <f>IF(COUNTIFS(Pesagens!$B$3:$B$5001,$B426)=0,"",_xlfn.MAXIFS(Pesagens!$A$3:$A$5001,Pesagens!$B$3:$B$5001,$B426,Pesagens!$E$3:$E$5001,"&lt;&gt;"))</f>
        <v>46224</v>
      </c>
      <c r="I426" s="40">
        <f>IF($H426="","",IFERROR(AVERAGEIFS(Pesagens!$E$3:$E$5001,Pesagens!$B$3:$B$5001,$B426,Pesagens!$A$3:$A$5001,$H426),""))</f>
        <v>378</v>
      </c>
      <c r="J426" s="64">
        <f>IF(F426="","",Parâmetros!$C$4-F426)</f>
        <v>14</v>
      </c>
      <c r="K426" s="40">
        <f t="shared" si="12"/>
        <v>0</v>
      </c>
      <c r="L426" s="105" t="str">
        <f t="shared" si="13"/>
        <v/>
      </c>
      <c r="M426" s="106">
        <f>IF(I426="","",I426*Parâmetros!$C$8/15)</f>
        <v>13.356</v>
      </c>
      <c r="N426" s="106">
        <f>IF(K426="","",K426*Parâmetros!$C$8/15)</f>
        <v>0</v>
      </c>
      <c r="O426" s="28">
        <f>IF(M426="","",M426*Parâmetros!$C$5)</f>
        <v>4273.92</v>
      </c>
      <c r="P426" s="64" t="str">
        <f>IF(L426="","",IF(L426&gt;=Parâmetros!$C$10,"Sim","Não"))</f>
        <v/>
      </c>
    </row>
    <row r="427" spans="1:16" ht="15" customHeight="1" x14ac:dyDescent="0.3">
      <c r="A427" s="60">
        <v>425</v>
      </c>
      <c r="B427" s="60" t="s">
        <v>608</v>
      </c>
      <c r="C427" s="101" t="s">
        <v>183</v>
      </c>
      <c r="D427" s="101" t="s">
        <v>184</v>
      </c>
      <c r="E427" s="60">
        <v>6</v>
      </c>
      <c r="F427" s="85">
        <v>46224</v>
      </c>
      <c r="G427" s="35">
        <v>393</v>
      </c>
      <c r="H427" s="85">
        <f>IF(COUNTIFS(Pesagens!$B$3:$B$5001,$B427)=0,"",_xlfn.MAXIFS(Pesagens!$A$3:$A$5001,Pesagens!$B$3:$B$5001,$B427,Pesagens!$E$3:$E$5001,"&lt;&gt;"))</f>
        <v>46224</v>
      </c>
      <c r="I427" s="35">
        <f>IF($H427="","",IFERROR(AVERAGEIFS(Pesagens!$E$3:$E$5001,Pesagens!$B$3:$B$5001,$B427,Pesagens!$A$3:$A$5001,$H427),""))</f>
        <v>393</v>
      </c>
      <c r="J427" s="60">
        <f>IF(F427="","",Parâmetros!$C$4-F427)</f>
        <v>14</v>
      </c>
      <c r="K427" s="35">
        <f t="shared" si="12"/>
        <v>0</v>
      </c>
      <c r="L427" s="102" t="str">
        <f t="shared" si="13"/>
        <v/>
      </c>
      <c r="M427" s="103">
        <f>IF(I427="","",I427*Parâmetros!$C$8/15)</f>
        <v>13.886000000000001</v>
      </c>
      <c r="N427" s="103">
        <f>IF(K427="","",K427*Parâmetros!$C$8/15)</f>
        <v>0</v>
      </c>
      <c r="O427" s="26">
        <f>IF(M427="","",M427*Parâmetros!$C$5)</f>
        <v>4443.5200000000004</v>
      </c>
      <c r="P427" s="60" t="str">
        <f>IF(L427="","",IF(L427&gt;=Parâmetros!$C$10,"Sim","Não"))</f>
        <v/>
      </c>
    </row>
    <row r="428" spans="1:16" ht="15" customHeight="1" x14ac:dyDescent="0.3">
      <c r="A428" s="64">
        <v>426</v>
      </c>
      <c r="B428" s="64" t="s">
        <v>609</v>
      </c>
      <c r="C428" s="104" t="s">
        <v>183</v>
      </c>
      <c r="D428" s="104" t="s">
        <v>184</v>
      </c>
      <c r="E428" s="64">
        <v>6</v>
      </c>
      <c r="F428" s="86">
        <v>46224</v>
      </c>
      <c r="G428" s="40">
        <v>392</v>
      </c>
      <c r="H428" s="86">
        <f>IF(COUNTIFS(Pesagens!$B$3:$B$5001,$B428)=0,"",_xlfn.MAXIFS(Pesagens!$A$3:$A$5001,Pesagens!$B$3:$B$5001,$B428,Pesagens!$E$3:$E$5001,"&lt;&gt;"))</f>
        <v>46224</v>
      </c>
      <c r="I428" s="40">
        <f>IF($H428="","",IFERROR(AVERAGEIFS(Pesagens!$E$3:$E$5001,Pesagens!$B$3:$B$5001,$B428,Pesagens!$A$3:$A$5001,$H428),""))</f>
        <v>392</v>
      </c>
      <c r="J428" s="64">
        <f>IF(F428="","",Parâmetros!$C$4-F428)</f>
        <v>14</v>
      </c>
      <c r="K428" s="40">
        <f t="shared" si="12"/>
        <v>0</v>
      </c>
      <c r="L428" s="105" t="str">
        <f t="shared" si="13"/>
        <v/>
      </c>
      <c r="M428" s="106">
        <f>IF(I428="","",I428*Parâmetros!$C$8/15)</f>
        <v>13.850666666666667</v>
      </c>
      <c r="N428" s="106">
        <f>IF(K428="","",K428*Parâmetros!$C$8/15)</f>
        <v>0</v>
      </c>
      <c r="O428" s="28">
        <f>IF(M428="","",M428*Parâmetros!$C$5)</f>
        <v>4432.2133333333331</v>
      </c>
      <c r="P428" s="64" t="str">
        <f>IF(L428="","",IF(L428&gt;=Parâmetros!$C$10,"Sim","Não"))</f>
        <v/>
      </c>
    </row>
    <row r="429" spans="1:16" ht="15" customHeight="1" x14ac:dyDescent="0.3">
      <c r="A429" s="60">
        <v>427</v>
      </c>
      <c r="B429" s="60" t="s">
        <v>610</v>
      </c>
      <c r="C429" s="101" t="s">
        <v>183</v>
      </c>
      <c r="D429" s="101" t="s">
        <v>184</v>
      </c>
      <c r="E429" s="60">
        <v>6</v>
      </c>
      <c r="F429" s="85">
        <v>46224</v>
      </c>
      <c r="G429" s="35">
        <v>386</v>
      </c>
      <c r="H429" s="85">
        <f>IF(COUNTIFS(Pesagens!$B$3:$B$5001,$B429)=0,"",_xlfn.MAXIFS(Pesagens!$A$3:$A$5001,Pesagens!$B$3:$B$5001,$B429,Pesagens!$E$3:$E$5001,"&lt;&gt;"))</f>
        <v>46224</v>
      </c>
      <c r="I429" s="35">
        <f>IF($H429="","",IFERROR(AVERAGEIFS(Pesagens!$E$3:$E$5001,Pesagens!$B$3:$B$5001,$B429,Pesagens!$A$3:$A$5001,$H429),""))</f>
        <v>386</v>
      </c>
      <c r="J429" s="60">
        <f>IF(F429="","",Parâmetros!$C$4-F429)</f>
        <v>14</v>
      </c>
      <c r="K429" s="35">
        <f t="shared" si="12"/>
        <v>0</v>
      </c>
      <c r="L429" s="102" t="str">
        <f t="shared" si="13"/>
        <v/>
      </c>
      <c r="M429" s="103">
        <f>IF(I429="","",I429*Parâmetros!$C$8/15)</f>
        <v>13.638666666666667</v>
      </c>
      <c r="N429" s="103">
        <f>IF(K429="","",K429*Parâmetros!$C$8/15)</f>
        <v>0</v>
      </c>
      <c r="O429" s="26">
        <f>IF(M429="","",M429*Parâmetros!$C$5)</f>
        <v>4364.3733333333339</v>
      </c>
      <c r="P429" s="60" t="str">
        <f>IF(L429="","",IF(L429&gt;=Parâmetros!$C$10,"Sim","Não"))</f>
        <v/>
      </c>
    </row>
    <row r="430" spans="1:16" ht="15" customHeight="1" x14ac:dyDescent="0.3">
      <c r="A430" s="64">
        <v>428</v>
      </c>
      <c r="B430" s="64" t="s">
        <v>611</v>
      </c>
      <c r="C430" s="104" t="s">
        <v>183</v>
      </c>
      <c r="D430" s="104" t="s">
        <v>184</v>
      </c>
      <c r="E430" s="64">
        <v>6</v>
      </c>
      <c r="F430" s="86">
        <v>46224</v>
      </c>
      <c r="G430" s="40">
        <v>381</v>
      </c>
      <c r="H430" s="86">
        <f>IF(COUNTIFS(Pesagens!$B$3:$B$5001,$B430)=0,"",_xlfn.MAXIFS(Pesagens!$A$3:$A$5001,Pesagens!$B$3:$B$5001,$B430,Pesagens!$E$3:$E$5001,"&lt;&gt;"))</f>
        <v>46224</v>
      </c>
      <c r="I430" s="40">
        <f>IF($H430="","",IFERROR(AVERAGEIFS(Pesagens!$E$3:$E$5001,Pesagens!$B$3:$B$5001,$B430,Pesagens!$A$3:$A$5001,$H430),""))</f>
        <v>381</v>
      </c>
      <c r="J430" s="64">
        <f>IF(F430="","",Parâmetros!$C$4-F430)</f>
        <v>14</v>
      </c>
      <c r="K430" s="40">
        <f t="shared" si="12"/>
        <v>0</v>
      </c>
      <c r="L430" s="105" t="str">
        <f t="shared" si="13"/>
        <v/>
      </c>
      <c r="M430" s="106">
        <f>IF(I430="","",I430*Parâmetros!$C$8/15)</f>
        <v>13.462</v>
      </c>
      <c r="N430" s="106">
        <f>IF(K430="","",K430*Parâmetros!$C$8/15)</f>
        <v>0</v>
      </c>
      <c r="O430" s="28">
        <f>IF(M430="","",M430*Parâmetros!$C$5)</f>
        <v>4307.84</v>
      </c>
      <c r="P430" s="64" t="str">
        <f>IF(L430="","",IF(L430&gt;=Parâmetros!$C$10,"Sim","Não"))</f>
        <v/>
      </c>
    </row>
    <row r="431" spans="1:16" ht="15" customHeight="1" x14ac:dyDescent="0.3">
      <c r="A431" s="60">
        <v>429</v>
      </c>
      <c r="B431" s="60" t="s">
        <v>612</v>
      </c>
      <c r="C431" s="101" t="s">
        <v>183</v>
      </c>
      <c r="D431" s="101" t="s">
        <v>184</v>
      </c>
      <c r="E431" s="60">
        <v>6</v>
      </c>
      <c r="F431" s="85">
        <v>46224</v>
      </c>
      <c r="G431" s="35">
        <v>371</v>
      </c>
      <c r="H431" s="85">
        <f>IF(COUNTIFS(Pesagens!$B$3:$B$5001,$B431)=0,"",_xlfn.MAXIFS(Pesagens!$A$3:$A$5001,Pesagens!$B$3:$B$5001,$B431,Pesagens!$E$3:$E$5001,"&lt;&gt;"))</f>
        <v>46224</v>
      </c>
      <c r="I431" s="35">
        <f>IF($H431="","",IFERROR(AVERAGEIFS(Pesagens!$E$3:$E$5001,Pesagens!$B$3:$B$5001,$B431,Pesagens!$A$3:$A$5001,$H431),""))</f>
        <v>371</v>
      </c>
      <c r="J431" s="60">
        <f>IF(F431="","",Parâmetros!$C$4-F431)</f>
        <v>14</v>
      </c>
      <c r="K431" s="35">
        <f t="shared" si="12"/>
        <v>0</v>
      </c>
      <c r="L431" s="102" t="str">
        <f t="shared" si="13"/>
        <v/>
      </c>
      <c r="M431" s="103">
        <f>IF(I431="","",I431*Parâmetros!$C$8/15)</f>
        <v>13.108666666666668</v>
      </c>
      <c r="N431" s="103">
        <f>IF(K431="","",K431*Parâmetros!$C$8/15)</f>
        <v>0</v>
      </c>
      <c r="O431" s="26">
        <f>IF(M431="","",M431*Parâmetros!$C$5)</f>
        <v>4194.7733333333335</v>
      </c>
      <c r="P431" s="60" t="str">
        <f>IF(L431="","",IF(L431&gt;=Parâmetros!$C$10,"Sim","Não"))</f>
        <v/>
      </c>
    </row>
    <row r="432" spans="1:16" ht="15" customHeight="1" x14ac:dyDescent="0.3">
      <c r="A432" s="64">
        <v>430</v>
      </c>
      <c r="B432" s="64" t="s">
        <v>613</v>
      </c>
      <c r="C432" s="104" t="s">
        <v>183</v>
      </c>
      <c r="D432" s="104" t="s">
        <v>184</v>
      </c>
      <c r="E432" s="64">
        <v>6</v>
      </c>
      <c r="F432" s="86">
        <v>46224</v>
      </c>
      <c r="G432" s="40">
        <v>388</v>
      </c>
      <c r="H432" s="86">
        <f>IF(COUNTIFS(Pesagens!$B$3:$B$5001,$B432)=0,"",_xlfn.MAXIFS(Pesagens!$A$3:$A$5001,Pesagens!$B$3:$B$5001,$B432,Pesagens!$E$3:$E$5001,"&lt;&gt;"))</f>
        <v>46224</v>
      </c>
      <c r="I432" s="40">
        <f>IF($H432="","",IFERROR(AVERAGEIFS(Pesagens!$E$3:$E$5001,Pesagens!$B$3:$B$5001,$B432,Pesagens!$A$3:$A$5001,$H432),""))</f>
        <v>388</v>
      </c>
      <c r="J432" s="64">
        <f>IF(F432="","",Parâmetros!$C$4-F432)</f>
        <v>14</v>
      </c>
      <c r="K432" s="40">
        <f t="shared" si="12"/>
        <v>0</v>
      </c>
      <c r="L432" s="105" t="str">
        <f t="shared" si="13"/>
        <v/>
      </c>
      <c r="M432" s="106">
        <f>IF(I432="","",I432*Parâmetros!$C$8/15)</f>
        <v>13.709333333333335</v>
      </c>
      <c r="N432" s="106">
        <f>IF(K432="","",K432*Parâmetros!$C$8/15)</f>
        <v>0</v>
      </c>
      <c r="O432" s="28">
        <f>IF(M432="","",M432*Parâmetros!$C$5)</f>
        <v>4386.9866666666676</v>
      </c>
      <c r="P432" s="64" t="str">
        <f>IF(L432="","",IF(L432&gt;=Parâmetros!$C$10,"Sim","Não"))</f>
        <v/>
      </c>
    </row>
    <row r="433" spans="1:16" ht="15" customHeight="1" x14ac:dyDescent="0.3">
      <c r="A433" s="60">
        <v>431</v>
      </c>
      <c r="B433" s="60" t="s">
        <v>614</v>
      </c>
      <c r="C433" s="101" t="s">
        <v>183</v>
      </c>
      <c r="D433" s="101" t="s">
        <v>184</v>
      </c>
      <c r="E433" s="60">
        <v>6</v>
      </c>
      <c r="F433" s="85">
        <v>46224</v>
      </c>
      <c r="G433" s="35">
        <v>378</v>
      </c>
      <c r="H433" s="85">
        <f>IF(COUNTIFS(Pesagens!$B$3:$B$5001,$B433)=0,"",_xlfn.MAXIFS(Pesagens!$A$3:$A$5001,Pesagens!$B$3:$B$5001,$B433,Pesagens!$E$3:$E$5001,"&lt;&gt;"))</f>
        <v>46224</v>
      </c>
      <c r="I433" s="35">
        <f>IF($H433="","",IFERROR(AVERAGEIFS(Pesagens!$E$3:$E$5001,Pesagens!$B$3:$B$5001,$B433,Pesagens!$A$3:$A$5001,$H433),""))</f>
        <v>378</v>
      </c>
      <c r="J433" s="60">
        <f>IF(F433="","",Parâmetros!$C$4-F433)</f>
        <v>14</v>
      </c>
      <c r="K433" s="35">
        <f t="shared" si="12"/>
        <v>0</v>
      </c>
      <c r="L433" s="102" t="str">
        <f t="shared" si="13"/>
        <v/>
      </c>
      <c r="M433" s="103">
        <f>IF(I433="","",I433*Parâmetros!$C$8/15)</f>
        <v>13.356</v>
      </c>
      <c r="N433" s="103">
        <f>IF(K433="","",K433*Parâmetros!$C$8/15)</f>
        <v>0</v>
      </c>
      <c r="O433" s="26">
        <f>IF(M433="","",M433*Parâmetros!$C$5)</f>
        <v>4273.92</v>
      </c>
      <c r="P433" s="60" t="str">
        <f>IF(L433="","",IF(L433&gt;=Parâmetros!$C$10,"Sim","Não"))</f>
        <v/>
      </c>
    </row>
    <row r="434" spans="1:16" ht="15" customHeight="1" x14ac:dyDescent="0.3">
      <c r="A434" s="64">
        <v>432</v>
      </c>
      <c r="B434" s="64" t="s">
        <v>615</v>
      </c>
      <c r="C434" s="104" t="s">
        <v>183</v>
      </c>
      <c r="D434" s="104" t="s">
        <v>184</v>
      </c>
      <c r="E434" s="64">
        <v>6</v>
      </c>
      <c r="F434" s="86">
        <v>46224</v>
      </c>
      <c r="G434" s="40">
        <v>390</v>
      </c>
      <c r="H434" s="86">
        <f>IF(COUNTIFS(Pesagens!$B$3:$B$5001,$B434)=0,"",_xlfn.MAXIFS(Pesagens!$A$3:$A$5001,Pesagens!$B$3:$B$5001,$B434,Pesagens!$E$3:$E$5001,"&lt;&gt;"))</f>
        <v>46224</v>
      </c>
      <c r="I434" s="40">
        <f>IF($H434="","",IFERROR(AVERAGEIFS(Pesagens!$E$3:$E$5001,Pesagens!$B$3:$B$5001,$B434,Pesagens!$A$3:$A$5001,$H434),""))</f>
        <v>390</v>
      </c>
      <c r="J434" s="64">
        <f>IF(F434="","",Parâmetros!$C$4-F434)</f>
        <v>14</v>
      </c>
      <c r="K434" s="40">
        <f t="shared" si="12"/>
        <v>0</v>
      </c>
      <c r="L434" s="105" t="str">
        <f t="shared" si="13"/>
        <v/>
      </c>
      <c r="M434" s="106">
        <f>IF(I434="","",I434*Parâmetros!$C$8/15)</f>
        <v>13.780000000000001</v>
      </c>
      <c r="N434" s="106">
        <f>IF(K434="","",K434*Parâmetros!$C$8/15)</f>
        <v>0</v>
      </c>
      <c r="O434" s="28">
        <f>IF(M434="","",M434*Parâmetros!$C$5)</f>
        <v>4409.6000000000004</v>
      </c>
      <c r="P434" s="64" t="str">
        <f>IF(L434="","",IF(L434&gt;=Parâmetros!$C$10,"Sim","Não"))</f>
        <v/>
      </c>
    </row>
    <row r="435" spans="1:16" ht="15" customHeight="1" x14ac:dyDescent="0.3">
      <c r="A435" s="60">
        <v>433</v>
      </c>
      <c r="B435" s="60" t="s">
        <v>616</v>
      </c>
      <c r="C435" s="101" t="s">
        <v>183</v>
      </c>
      <c r="D435" s="101" t="s">
        <v>184</v>
      </c>
      <c r="E435" s="60">
        <v>6</v>
      </c>
      <c r="F435" s="85">
        <v>46224</v>
      </c>
      <c r="G435" s="35">
        <v>390</v>
      </c>
      <c r="H435" s="85">
        <f>IF(COUNTIFS(Pesagens!$B$3:$B$5001,$B435)=0,"",_xlfn.MAXIFS(Pesagens!$A$3:$A$5001,Pesagens!$B$3:$B$5001,$B435,Pesagens!$E$3:$E$5001,"&lt;&gt;"))</f>
        <v>46224</v>
      </c>
      <c r="I435" s="35">
        <f>IF($H435="","",IFERROR(AVERAGEIFS(Pesagens!$E$3:$E$5001,Pesagens!$B$3:$B$5001,$B435,Pesagens!$A$3:$A$5001,$H435),""))</f>
        <v>390</v>
      </c>
      <c r="J435" s="60">
        <f>IF(F435="","",Parâmetros!$C$4-F435)</f>
        <v>14</v>
      </c>
      <c r="K435" s="35">
        <f t="shared" si="12"/>
        <v>0</v>
      </c>
      <c r="L435" s="102" t="str">
        <f t="shared" si="13"/>
        <v/>
      </c>
      <c r="M435" s="103">
        <f>IF(I435="","",I435*Parâmetros!$C$8/15)</f>
        <v>13.780000000000001</v>
      </c>
      <c r="N435" s="103">
        <f>IF(K435="","",K435*Parâmetros!$C$8/15)</f>
        <v>0</v>
      </c>
      <c r="O435" s="26">
        <f>IF(M435="","",M435*Parâmetros!$C$5)</f>
        <v>4409.6000000000004</v>
      </c>
      <c r="P435" s="60" t="str">
        <f>IF(L435="","",IF(L435&gt;=Parâmetros!$C$10,"Sim","Não"))</f>
        <v/>
      </c>
    </row>
    <row r="436" spans="1:16" ht="15" customHeight="1" x14ac:dyDescent="0.3">
      <c r="A436" s="64">
        <v>434</v>
      </c>
      <c r="B436" s="64" t="s">
        <v>617</v>
      </c>
      <c r="C436" s="104" t="s">
        <v>183</v>
      </c>
      <c r="D436" s="104" t="s">
        <v>184</v>
      </c>
      <c r="E436" s="64">
        <v>6</v>
      </c>
      <c r="F436" s="86">
        <v>46224</v>
      </c>
      <c r="G436" s="40">
        <v>392</v>
      </c>
      <c r="H436" s="86">
        <f>IF(COUNTIFS(Pesagens!$B$3:$B$5001,$B436)=0,"",_xlfn.MAXIFS(Pesagens!$A$3:$A$5001,Pesagens!$B$3:$B$5001,$B436,Pesagens!$E$3:$E$5001,"&lt;&gt;"))</f>
        <v>46224</v>
      </c>
      <c r="I436" s="40">
        <f>IF($H436="","",IFERROR(AVERAGEIFS(Pesagens!$E$3:$E$5001,Pesagens!$B$3:$B$5001,$B436,Pesagens!$A$3:$A$5001,$H436),""))</f>
        <v>392</v>
      </c>
      <c r="J436" s="64">
        <f>IF(F436="","",Parâmetros!$C$4-F436)</f>
        <v>14</v>
      </c>
      <c r="K436" s="40">
        <f t="shared" si="12"/>
        <v>0</v>
      </c>
      <c r="L436" s="105" t="str">
        <f t="shared" si="13"/>
        <v/>
      </c>
      <c r="M436" s="106">
        <f>IF(I436="","",I436*Parâmetros!$C$8/15)</f>
        <v>13.850666666666667</v>
      </c>
      <c r="N436" s="106">
        <f>IF(K436="","",K436*Parâmetros!$C$8/15)</f>
        <v>0</v>
      </c>
      <c r="O436" s="28">
        <f>IF(M436="","",M436*Parâmetros!$C$5)</f>
        <v>4432.2133333333331</v>
      </c>
      <c r="P436" s="64" t="str">
        <f>IF(L436="","",IF(L436&gt;=Parâmetros!$C$10,"Sim","Não"))</f>
        <v/>
      </c>
    </row>
    <row r="437" spans="1:16" ht="15" customHeight="1" x14ac:dyDescent="0.3">
      <c r="A437" s="60">
        <v>435</v>
      </c>
      <c r="B437" s="60" t="s">
        <v>618</v>
      </c>
      <c r="C437" s="101" t="s">
        <v>183</v>
      </c>
      <c r="D437" s="101" t="s">
        <v>184</v>
      </c>
      <c r="E437" s="60">
        <v>6</v>
      </c>
      <c r="F437" s="85">
        <v>46224</v>
      </c>
      <c r="G437" s="35">
        <v>383</v>
      </c>
      <c r="H437" s="85">
        <f>IF(COUNTIFS(Pesagens!$B$3:$B$5001,$B437)=0,"",_xlfn.MAXIFS(Pesagens!$A$3:$A$5001,Pesagens!$B$3:$B$5001,$B437,Pesagens!$E$3:$E$5001,"&lt;&gt;"))</f>
        <v>46224</v>
      </c>
      <c r="I437" s="35">
        <f>IF($H437="","",IFERROR(AVERAGEIFS(Pesagens!$E$3:$E$5001,Pesagens!$B$3:$B$5001,$B437,Pesagens!$A$3:$A$5001,$H437),""))</f>
        <v>383</v>
      </c>
      <c r="J437" s="60">
        <f>IF(F437="","",Parâmetros!$C$4-F437)</f>
        <v>14</v>
      </c>
      <c r="K437" s="35">
        <f t="shared" si="12"/>
        <v>0</v>
      </c>
      <c r="L437" s="102" t="str">
        <f t="shared" si="13"/>
        <v/>
      </c>
      <c r="M437" s="103">
        <f>IF(I437="","",I437*Parâmetros!$C$8/15)</f>
        <v>13.532666666666668</v>
      </c>
      <c r="N437" s="103">
        <f>IF(K437="","",K437*Parâmetros!$C$8/15)</f>
        <v>0</v>
      </c>
      <c r="O437" s="26">
        <f>IF(M437="","",M437*Parâmetros!$C$5)</f>
        <v>4330.4533333333338</v>
      </c>
      <c r="P437" s="60" t="str">
        <f>IF(L437="","",IF(L437&gt;=Parâmetros!$C$10,"Sim","Não"))</f>
        <v/>
      </c>
    </row>
    <row r="438" spans="1:16" ht="15" customHeight="1" x14ac:dyDescent="0.3">
      <c r="A438" s="64">
        <v>436</v>
      </c>
      <c r="B438" s="64" t="s">
        <v>619</v>
      </c>
      <c r="C438" s="104" t="s">
        <v>183</v>
      </c>
      <c r="D438" s="104" t="s">
        <v>184</v>
      </c>
      <c r="E438" s="64">
        <v>6</v>
      </c>
      <c r="F438" s="86">
        <v>46224</v>
      </c>
      <c r="G438" s="40">
        <v>387</v>
      </c>
      <c r="H438" s="86">
        <f>IF(COUNTIFS(Pesagens!$B$3:$B$5001,$B438)=0,"",_xlfn.MAXIFS(Pesagens!$A$3:$A$5001,Pesagens!$B$3:$B$5001,$B438,Pesagens!$E$3:$E$5001,"&lt;&gt;"))</f>
        <v>46224</v>
      </c>
      <c r="I438" s="40">
        <f>IF($H438="","",IFERROR(AVERAGEIFS(Pesagens!$E$3:$E$5001,Pesagens!$B$3:$B$5001,$B438,Pesagens!$A$3:$A$5001,$H438),""))</f>
        <v>387</v>
      </c>
      <c r="J438" s="64">
        <f>IF(F438="","",Parâmetros!$C$4-F438)</f>
        <v>14</v>
      </c>
      <c r="K438" s="40">
        <f t="shared" si="12"/>
        <v>0</v>
      </c>
      <c r="L438" s="105" t="str">
        <f t="shared" si="13"/>
        <v/>
      </c>
      <c r="M438" s="106">
        <f>IF(I438="","",I438*Parâmetros!$C$8/15)</f>
        <v>13.674000000000001</v>
      </c>
      <c r="N438" s="106">
        <f>IF(K438="","",K438*Parâmetros!$C$8/15)</f>
        <v>0</v>
      </c>
      <c r="O438" s="28">
        <f>IF(M438="","",M438*Parâmetros!$C$5)</f>
        <v>4375.68</v>
      </c>
      <c r="P438" s="64" t="str">
        <f>IF(L438="","",IF(L438&gt;=Parâmetros!$C$10,"Sim","Não"))</f>
        <v/>
      </c>
    </row>
    <row r="439" spans="1:16" ht="15" customHeight="1" x14ac:dyDescent="0.3">
      <c r="A439" s="60">
        <v>437</v>
      </c>
      <c r="B439" s="60" t="s">
        <v>620</v>
      </c>
      <c r="C439" s="101" t="s">
        <v>183</v>
      </c>
      <c r="D439" s="101" t="s">
        <v>184</v>
      </c>
      <c r="E439" s="60">
        <v>6</v>
      </c>
      <c r="F439" s="85">
        <v>46224</v>
      </c>
      <c r="G439" s="35">
        <v>396</v>
      </c>
      <c r="H439" s="85">
        <f>IF(COUNTIFS(Pesagens!$B$3:$B$5001,$B439)=0,"",_xlfn.MAXIFS(Pesagens!$A$3:$A$5001,Pesagens!$B$3:$B$5001,$B439,Pesagens!$E$3:$E$5001,"&lt;&gt;"))</f>
        <v>46224</v>
      </c>
      <c r="I439" s="35">
        <f>IF($H439="","",IFERROR(AVERAGEIFS(Pesagens!$E$3:$E$5001,Pesagens!$B$3:$B$5001,$B439,Pesagens!$A$3:$A$5001,$H439),""))</f>
        <v>396</v>
      </c>
      <c r="J439" s="60">
        <f>IF(F439="","",Parâmetros!$C$4-F439)</f>
        <v>14</v>
      </c>
      <c r="K439" s="35">
        <f t="shared" si="12"/>
        <v>0</v>
      </c>
      <c r="L439" s="102" t="str">
        <f t="shared" si="13"/>
        <v/>
      </c>
      <c r="M439" s="103">
        <f>IF(I439="","",I439*Parâmetros!$C$8/15)</f>
        <v>13.992000000000001</v>
      </c>
      <c r="N439" s="103">
        <f>IF(K439="","",K439*Parâmetros!$C$8/15)</f>
        <v>0</v>
      </c>
      <c r="O439" s="26">
        <f>IF(M439="","",M439*Parâmetros!$C$5)</f>
        <v>4477.4400000000005</v>
      </c>
      <c r="P439" s="60" t="str">
        <f>IF(L439="","",IF(L439&gt;=Parâmetros!$C$10,"Sim","Não"))</f>
        <v/>
      </c>
    </row>
    <row r="440" spans="1:16" ht="15" customHeight="1" x14ac:dyDescent="0.3">
      <c r="A440" s="64">
        <v>438</v>
      </c>
      <c r="B440" s="64" t="s">
        <v>621</v>
      </c>
      <c r="C440" s="104" t="s">
        <v>183</v>
      </c>
      <c r="D440" s="104" t="s">
        <v>184</v>
      </c>
      <c r="E440" s="64">
        <v>6</v>
      </c>
      <c r="F440" s="86">
        <v>46224</v>
      </c>
      <c r="G440" s="40">
        <v>389</v>
      </c>
      <c r="H440" s="86">
        <f>IF(COUNTIFS(Pesagens!$B$3:$B$5001,$B440)=0,"",_xlfn.MAXIFS(Pesagens!$A$3:$A$5001,Pesagens!$B$3:$B$5001,$B440,Pesagens!$E$3:$E$5001,"&lt;&gt;"))</f>
        <v>46224</v>
      </c>
      <c r="I440" s="40">
        <f>IF($H440="","",IFERROR(AVERAGEIFS(Pesagens!$E$3:$E$5001,Pesagens!$B$3:$B$5001,$B440,Pesagens!$A$3:$A$5001,$H440),""))</f>
        <v>389</v>
      </c>
      <c r="J440" s="64">
        <f>IF(F440="","",Parâmetros!$C$4-F440)</f>
        <v>14</v>
      </c>
      <c r="K440" s="40">
        <f t="shared" si="12"/>
        <v>0</v>
      </c>
      <c r="L440" s="105" t="str">
        <f t="shared" si="13"/>
        <v/>
      </c>
      <c r="M440" s="106">
        <f>IF(I440="","",I440*Parâmetros!$C$8/15)</f>
        <v>13.744666666666667</v>
      </c>
      <c r="N440" s="106">
        <f>IF(K440="","",K440*Parâmetros!$C$8/15)</f>
        <v>0</v>
      </c>
      <c r="O440" s="28">
        <f>IF(M440="","",M440*Parâmetros!$C$5)</f>
        <v>4398.2933333333331</v>
      </c>
      <c r="P440" s="64" t="str">
        <f>IF(L440="","",IF(L440&gt;=Parâmetros!$C$10,"Sim","Não"))</f>
        <v/>
      </c>
    </row>
    <row r="441" spans="1:16" ht="15" customHeight="1" x14ac:dyDescent="0.3">
      <c r="A441" s="60">
        <v>439</v>
      </c>
      <c r="B441" s="60" t="s">
        <v>622</v>
      </c>
      <c r="C441" s="101" t="s">
        <v>183</v>
      </c>
      <c r="D441" s="101" t="s">
        <v>184</v>
      </c>
      <c r="E441" s="60">
        <v>6</v>
      </c>
      <c r="F441" s="85">
        <v>46224</v>
      </c>
      <c r="G441" s="35">
        <v>386</v>
      </c>
      <c r="H441" s="85">
        <f>IF(COUNTIFS(Pesagens!$B$3:$B$5001,$B441)=0,"",_xlfn.MAXIFS(Pesagens!$A$3:$A$5001,Pesagens!$B$3:$B$5001,$B441,Pesagens!$E$3:$E$5001,"&lt;&gt;"))</f>
        <v>46224</v>
      </c>
      <c r="I441" s="35">
        <f>IF($H441="","",IFERROR(AVERAGEIFS(Pesagens!$E$3:$E$5001,Pesagens!$B$3:$B$5001,$B441,Pesagens!$A$3:$A$5001,$H441),""))</f>
        <v>386</v>
      </c>
      <c r="J441" s="60">
        <f>IF(F441="","",Parâmetros!$C$4-F441)</f>
        <v>14</v>
      </c>
      <c r="K441" s="35">
        <f t="shared" si="12"/>
        <v>0</v>
      </c>
      <c r="L441" s="102" t="str">
        <f t="shared" si="13"/>
        <v/>
      </c>
      <c r="M441" s="103">
        <f>IF(I441="","",I441*Parâmetros!$C$8/15)</f>
        <v>13.638666666666667</v>
      </c>
      <c r="N441" s="103">
        <f>IF(K441="","",K441*Parâmetros!$C$8/15)</f>
        <v>0</v>
      </c>
      <c r="O441" s="26">
        <f>IF(M441="","",M441*Parâmetros!$C$5)</f>
        <v>4364.3733333333339</v>
      </c>
      <c r="P441" s="60" t="str">
        <f>IF(L441="","",IF(L441&gt;=Parâmetros!$C$10,"Sim","Não"))</f>
        <v/>
      </c>
    </row>
    <row r="442" spans="1:16" ht="15" customHeight="1" x14ac:dyDescent="0.3">
      <c r="A442" s="64">
        <v>440</v>
      </c>
      <c r="B442" s="64" t="s">
        <v>623</v>
      </c>
      <c r="C442" s="104" t="s">
        <v>183</v>
      </c>
      <c r="D442" s="104" t="s">
        <v>184</v>
      </c>
      <c r="E442" s="64">
        <v>6</v>
      </c>
      <c r="F442" s="86">
        <v>46224</v>
      </c>
      <c r="G442" s="40">
        <v>386</v>
      </c>
      <c r="H442" s="86">
        <f>IF(COUNTIFS(Pesagens!$B$3:$B$5001,$B442)=0,"",_xlfn.MAXIFS(Pesagens!$A$3:$A$5001,Pesagens!$B$3:$B$5001,$B442,Pesagens!$E$3:$E$5001,"&lt;&gt;"))</f>
        <v>46224</v>
      </c>
      <c r="I442" s="40">
        <f>IF($H442="","",IFERROR(AVERAGEIFS(Pesagens!$E$3:$E$5001,Pesagens!$B$3:$B$5001,$B442,Pesagens!$A$3:$A$5001,$H442),""))</f>
        <v>386</v>
      </c>
      <c r="J442" s="64">
        <f>IF(F442="","",Parâmetros!$C$4-F442)</f>
        <v>14</v>
      </c>
      <c r="K442" s="40">
        <f t="shared" si="12"/>
        <v>0</v>
      </c>
      <c r="L442" s="105" t="str">
        <f t="shared" si="13"/>
        <v/>
      </c>
      <c r="M442" s="106">
        <f>IF(I442="","",I442*Parâmetros!$C$8/15)</f>
        <v>13.638666666666667</v>
      </c>
      <c r="N442" s="106">
        <f>IF(K442="","",K442*Parâmetros!$C$8/15)</f>
        <v>0</v>
      </c>
      <c r="O442" s="28">
        <f>IF(M442="","",M442*Parâmetros!$C$5)</f>
        <v>4364.3733333333339</v>
      </c>
      <c r="P442" s="64" t="str">
        <f>IF(L442="","",IF(L442&gt;=Parâmetros!$C$10,"Sim","Não"))</f>
        <v/>
      </c>
    </row>
    <row r="443" spans="1:16" ht="15" customHeight="1" x14ac:dyDescent="0.3">
      <c r="A443" s="60">
        <v>441</v>
      </c>
      <c r="B443" s="60" t="s">
        <v>624</v>
      </c>
      <c r="C443" s="101" t="s">
        <v>183</v>
      </c>
      <c r="D443" s="101" t="s">
        <v>184</v>
      </c>
      <c r="E443" s="60">
        <v>6</v>
      </c>
      <c r="F443" s="85">
        <v>46224</v>
      </c>
      <c r="G443" s="35">
        <v>388</v>
      </c>
      <c r="H443" s="85">
        <f>IF(COUNTIFS(Pesagens!$B$3:$B$5001,$B443)=0,"",_xlfn.MAXIFS(Pesagens!$A$3:$A$5001,Pesagens!$B$3:$B$5001,$B443,Pesagens!$E$3:$E$5001,"&lt;&gt;"))</f>
        <v>46224</v>
      </c>
      <c r="I443" s="35">
        <f>IF($H443="","",IFERROR(AVERAGEIFS(Pesagens!$E$3:$E$5001,Pesagens!$B$3:$B$5001,$B443,Pesagens!$A$3:$A$5001,$H443),""))</f>
        <v>388</v>
      </c>
      <c r="J443" s="60">
        <f>IF(F443="","",Parâmetros!$C$4-F443)</f>
        <v>14</v>
      </c>
      <c r="K443" s="35">
        <f t="shared" si="12"/>
        <v>0</v>
      </c>
      <c r="L443" s="102" t="str">
        <f t="shared" si="13"/>
        <v/>
      </c>
      <c r="M443" s="103">
        <f>IF(I443="","",I443*Parâmetros!$C$8/15)</f>
        <v>13.709333333333335</v>
      </c>
      <c r="N443" s="103">
        <f>IF(K443="","",K443*Parâmetros!$C$8/15)</f>
        <v>0</v>
      </c>
      <c r="O443" s="26">
        <f>IF(M443="","",M443*Parâmetros!$C$5)</f>
        <v>4386.9866666666676</v>
      </c>
      <c r="P443" s="60" t="str">
        <f>IF(L443="","",IF(L443&gt;=Parâmetros!$C$10,"Sim","Não"))</f>
        <v/>
      </c>
    </row>
    <row r="444" spans="1:16" ht="15" customHeight="1" x14ac:dyDescent="0.3">
      <c r="A444" s="64">
        <v>442</v>
      </c>
      <c r="B444" s="64" t="s">
        <v>625</v>
      </c>
      <c r="C444" s="104" t="s">
        <v>183</v>
      </c>
      <c r="D444" s="104" t="s">
        <v>184</v>
      </c>
      <c r="E444" s="64">
        <v>6</v>
      </c>
      <c r="F444" s="86">
        <v>46224</v>
      </c>
      <c r="G444" s="40">
        <v>378</v>
      </c>
      <c r="H444" s="86">
        <f>IF(COUNTIFS(Pesagens!$B$3:$B$5001,$B444)=0,"",_xlfn.MAXIFS(Pesagens!$A$3:$A$5001,Pesagens!$B$3:$B$5001,$B444,Pesagens!$E$3:$E$5001,"&lt;&gt;"))</f>
        <v>46224</v>
      </c>
      <c r="I444" s="40">
        <f>IF($H444="","",IFERROR(AVERAGEIFS(Pesagens!$E$3:$E$5001,Pesagens!$B$3:$B$5001,$B444,Pesagens!$A$3:$A$5001,$H444),""))</f>
        <v>378</v>
      </c>
      <c r="J444" s="64">
        <f>IF(F444="","",Parâmetros!$C$4-F444)</f>
        <v>14</v>
      </c>
      <c r="K444" s="40">
        <f t="shared" si="12"/>
        <v>0</v>
      </c>
      <c r="L444" s="105" t="str">
        <f t="shared" si="13"/>
        <v/>
      </c>
      <c r="M444" s="106">
        <f>IF(I444="","",I444*Parâmetros!$C$8/15)</f>
        <v>13.356</v>
      </c>
      <c r="N444" s="106">
        <f>IF(K444="","",K444*Parâmetros!$C$8/15)</f>
        <v>0</v>
      </c>
      <c r="O444" s="28">
        <f>IF(M444="","",M444*Parâmetros!$C$5)</f>
        <v>4273.92</v>
      </c>
      <c r="P444" s="64" t="str">
        <f>IF(L444="","",IF(L444&gt;=Parâmetros!$C$10,"Sim","Não"))</f>
        <v/>
      </c>
    </row>
    <row r="445" spans="1:16" ht="15" customHeight="1" x14ac:dyDescent="0.3">
      <c r="A445" s="60">
        <v>443</v>
      </c>
      <c r="B445" s="60" t="s">
        <v>626</v>
      </c>
      <c r="C445" s="101" t="s">
        <v>183</v>
      </c>
      <c r="D445" s="101" t="s">
        <v>184</v>
      </c>
      <c r="E445" s="60">
        <v>6</v>
      </c>
      <c r="F445" s="85">
        <v>46225</v>
      </c>
      <c r="G445" s="35">
        <v>388</v>
      </c>
      <c r="H445" s="85">
        <f>IF(COUNTIFS(Pesagens!$B$3:$B$5001,$B445)=0,"",_xlfn.MAXIFS(Pesagens!$A$3:$A$5001,Pesagens!$B$3:$B$5001,$B445,Pesagens!$E$3:$E$5001,"&lt;&gt;"))</f>
        <v>46225</v>
      </c>
      <c r="I445" s="35">
        <f>IF($H445="","",IFERROR(AVERAGEIFS(Pesagens!$E$3:$E$5001,Pesagens!$B$3:$B$5001,$B445,Pesagens!$A$3:$A$5001,$H445),""))</f>
        <v>388</v>
      </c>
      <c r="J445" s="60">
        <f>IF(F445="","",Parâmetros!$C$4-F445)</f>
        <v>13</v>
      </c>
      <c r="K445" s="35">
        <f t="shared" si="12"/>
        <v>0</v>
      </c>
      <c r="L445" s="102" t="str">
        <f t="shared" si="13"/>
        <v/>
      </c>
      <c r="M445" s="103">
        <f>IF(I445="","",I445*Parâmetros!$C$8/15)</f>
        <v>13.709333333333335</v>
      </c>
      <c r="N445" s="103">
        <f>IF(K445="","",K445*Parâmetros!$C$8/15)</f>
        <v>0</v>
      </c>
      <c r="O445" s="26">
        <f>IF(M445="","",M445*Parâmetros!$C$5)</f>
        <v>4386.9866666666676</v>
      </c>
      <c r="P445" s="60" t="str">
        <f>IF(L445="","",IF(L445&gt;=Parâmetros!$C$10,"Sim","Não"))</f>
        <v/>
      </c>
    </row>
    <row r="446" spans="1:16" ht="15" customHeight="1" x14ac:dyDescent="0.3">
      <c r="A446" s="64">
        <v>444</v>
      </c>
      <c r="B446" s="64" t="s">
        <v>627</v>
      </c>
      <c r="C446" s="104" t="s">
        <v>183</v>
      </c>
      <c r="D446" s="104" t="s">
        <v>184</v>
      </c>
      <c r="E446" s="64">
        <v>6</v>
      </c>
      <c r="F446" s="86">
        <v>46225</v>
      </c>
      <c r="G446" s="40">
        <v>383</v>
      </c>
      <c r="H446" s="86">
        <f>IF(COUNTIFS(Pesagens!$B$3:$B$5001,$B446)=0,"",_xlfn.MAXIFS(Pesagens!$A$3:$A$5001,Pesagens!$B$3:$B$5001,$B446,Pesagens!$E$3:$E$5001,"&lt;&gt;"))</f>
        <v>46225</v>
      </c>
      <c r="I446" s="40">
        <f>IF($H446="","",IFERROR(AVERAGEIFS(Pesagens!$E$3:$E$5001,Pesagens!$B$3:$B$5001,$B446,Pesagens!$A$3:$A$5001,$H446),""))</f>
        <v>383</v>
      </c>
      <c r="J446" s="64">
        <f>IF(F446="","",Parâmetros!$C$4-F446)</f>
        <v>13</v>
      </c>
      <c r="K446" s="40">
        <f t="shared" si="12"/>
        <v>0</v>
      </c>
      <c r="L446" s="105" t="str">
        <f t="shared" si="13"/>
        <v/>
      </c>
      <c r="M446" s="106">
        <f>IF(I446="","",I446*Parâmetros!$C$8/15)</f>
        <v>13.532666666666668</v>
      </c>
      <c r="N446" s="106">
        <f>IF(K446="","",K446*Parâmetros!$C$8/15)</f>
        <v>0</v>
      </c>
      <c r="O446" s="28">
        <f>IF(M446="","",M446*Parâmetros!$C$5)</f>
        <v>4330.4533333333338</v>
      </c>
      <c r="P446" s="64" t="str">
        <f>IF(L446="","",IF(L446&gt;=Parâmetros!$C$10,"Sim","Não"))</f>
        <v/>
      </c>
    </row>
    <row r="447" spans="1:16" ht="15" customHeight="1" x14ac:dyDescent="0.3">
      <c r="A447" s="60">
        <v>445</v>
      </c>
      <c r="B447" s="60" t="s">
        <v>628</v>
      </c>
      <c r="C447" s="101" t="s">
        <v>183</v>
      </c>
      <c r="D447" s="101" t="s">
        <v>184</v>
      </c>
      <c r="E447" s="60">
        <v>6</v>
      </c>
      <c r="F447" s="85">
        <v>46225</v>
      </c>
      <c r="G447" s="35">
        <v>383</v>
      </c>
      <c r="H447" s="85">
        <f>IF(COUNTIFS(Pesagens!$B$3:$B$5001,$B447)=0,"",_xlfn.MAXIFS(Pesagens!$A$3:$A$5001,Pesagens!$B$3:$B$5001,$B447,Pesagens!$E$3:$E$5001,"&lt;&gt;"))</f>
        <v>46225</v>
      </c>
      <c r="I447" s="35">
        <f>IF($H447="","",IFERROR(AVERAGEIFS(Pesagens!$E$3:$E$5001,Pesagens!$B$3:$B$5001,$B447,Pesagens!$A$3:$A$5001,$H447),""))</f>
        <v>383</v>
      </c>
      <c r="J447" s="60">
        <f>IF(F447="","",Parâmetros!$C$4-F447)</f>
        <v>13</v>
      </c>
      <c r="K447" s="35">
        <f t="shared" si="12"/>
        <v>0</v>
      </c>
      <c r="L447" s="102" t="str">
        <f t="shared" si="13"/>
        <v/>
      </c>
      <c r="M447" s="103">
        <f>IF(I447="","",I447*Parâmetros!$C$8/15)</f>
        <v>13.532666666666668</v>
      </c>
      <c r="N447" s="103">
        <f>IF(K447="","",K447*Parâmetros!$C$8/15)</f>
        <v>0</v>
      </c>
      <c r="O447" s="26">
        <f>IF(M447="","",M447*Parâmetros!$C$5)</f>
        <v>4330.4533333333338</v>
      </c>
      <c r="P447" s="60" t="str">
        <f>IF(L447="","",IF(L447&gt;=Parâmetros!$C$10,"Sim","Não"))</f>
        <v/>
      </c>
    </row>
    <row r="448" spans="1:16" ht="15" customHeight="1" x14ac:dyDescent="0.3">
      <c r="A448" s="64">
        <v>446</v>
      </c>
      <c r="B448" s="64" t="s">
        <v>629</v>
      </c>
      <c r="C448" s="104" t="s">
        <v>183</v>
      </c>
      <c r="D448" s="104" t="s">
        <v>184</v>
      </c>
      <c r="E448" s="64">
        <v>6</v>
      </c>
      <c r="F448" s="86">
        <v>46225</v>
      </c>
      <c r="G448" s="40">
        <v>390</v>
      </c>
      <c r="H448" s="86">
        <f>IF(COUNTIFS(Pesagens!$B$3:$B$5001,$B448)=0,"",_xlfn.MAXIFS(Pesagens!$A$3:$A$5001,Pesagens!$B$3:$B$5001,$B448,Pesagens!$E$3:$E$5001,"&lt;&gt;"))</f>
        <v>46225</v>
      </c>
      <c r="I448" s="40">
        <f>IF($H448="","",IFERROR(AVERAGEIFS(Pesagens!$E$3:$E$5001,Pesagens!$B$3:$B$5001,$B448,Pesagens!$A$3:$A$5001,$H448),""))</f>
        <v>390</v>
      </c>
      <c r="J448" s="64">
        <f>IF(F448="","",Parâmetros!$C$4-F448)</f>
        <v>13</v>
      </c>
      <c r="K448" s="40">
        <f t="shared" si="12"/>
        <v>0</v>
      </c>
      <c r="L448" s="105" t="str">
        <f t="shared" si="13"/>
        <v/>
      </c>
      <c r="M448" s="106">
        <f>IF(I448="","",I448*Parâmetros!$C$8/15)</f>
        <v>13.780000000000001</v>
      </c>
      <c r="N448" s="106">
        <f>IF(K448="","",K448*Parâmetros!$C$8/15)</f>
        <v>0</v>
      </c>
      <c r="O448" s="28">
        <f>IF(M448="","",M448*Parâmetros!$C$5)</f>
        <v>4409.6000000000004</v>
      </c>
      <c r="P448" s="64" t="str">
        <f>IF(L448="","",IF(L448&gt;=Parâmetros!$C$10,"Sim","Não"))</f>
        <v/>
      </c>
    </row>
    <row r="449" spans="1:16" ht="15" customHeight="1" x14ac:dyDescent="0.3">
      <c r="A449" s="60">
        <v>447</v>
      </c>
      <c r="B449" s="60" t="s">
        <v>630</v>
      </c>
      <c r="C449" s="101" t="s">
        <v>183</v>
      </c>
      <c r="D449" s="101" t="s">
        <v>184</v>
      </c>
      <c r="E449" s="60">
        <v>7</v>
      </c>
      <c r="F449" s="85">
        <v>46224</v>
      </c>
      <c r="G449" s="35">
        <v>412</v>
      </c>
      <c r="H449" s="85">
        <f>IF(COUNTIFS(Pesagens!$B$3:$B$5001,$B449)=0,"",_xlfn.MAXIFS(Pesagens!$A$3:$A$5001,Pesagens!$B$3:$B$5001,$B449,Pesagens!$E$3:$E$5001,"&lt;&gt;"))</f>
        <v>46224</v>
      </c>
      <c r="I449" s="35">
        <f>IF($H449="","",IFERROR(AVERAGEIFS(Pesagens!$E$3:$E$5001,Pesagens!$B$3:$B$5001,$B449,Pesagens!$A$3:$A$5001,$H449),""))</f>
        <v>412</v>
      </c>
      <c r="J449" s="60">
        <f>IF(F449="","",Parâmetros!$C$4-F449)</f>
        <v>14</v>
      </c>
      <c r="K449" s="35">
        <f t="shared" si="12"/>
        <v>0</v>
      </c>
      <c r="L449" s="102" t="str">
        <f t="shared" si="13"/>
        <v/>
      </c>
      <c r="M449" s="103">
        <f>IF(I449="","",I449*Parâmetros!$C$8/15)</f>
        <v>14.557333333333334</v>
      </c>
      <c r="N449" s="103">
        <f>IF(K449="","",K449*Parâmetros!$C$8/15)</f>
        <v>0</v>
      </c>
      <c r="O449" s="26">
        <f>IF(M449="","",M449*Parâmetros!$C$5)</f>
        <v>4658.3466666666673</v>
      </c>
      <c r="P449" s="60" t="str">
        <f>IF(L449="","",IF(L449&gt;=Parâmetros!$C$10,"Sim","Não"))</f>
        <v/>
      </c>
    </row>
    <row r="450" spans="1:16" ht="15" customHeight="1" x14ac:dyDescent="0.3">
      <c r="A450" s="64">
        <v>448</v>
      </c>
      <c r="B450" s="64" t="s">
        <v>631</v>
      </c>
      <c r="C450" s="104" t="s">
        <v>183</v>
      </c>
      <c r="D450" s="104" t="s">
        <v>184</v>
      </c>
      <c r="E450" s="64">
        <v>7</v>
      </c>
      <c r="F450" s="86">
        <v>46224</v>
      </c>
      <c r="G450" s="40">
        <v>403</v>
      </c>
      <c r="H450" s="86">
        <f>IF(COUNTIFS(Pesagens!$B$3:$B$5001,$B450)=0,"",_xlfn.MAXIFS(Pesagens!$A$3:$A$5001,Pesagens!$B$3:$B$5001,$B450,Pesagens!$E$3:$E$5001,"&lt;&gt;"))</f>
        <v>46224</v>
      </c>
      <c r="I450" s="40">
        <f>IF($H450="","",IFERROR(AVERAGEIFS(Pesagens!$E$3:$E$5001,Pesagens!$B$3:$B$5001,$B450,Pesagens!$A$3:$A$5001,$H450),""))</f>
        <v>403</v>
      </c>
      <c r="J450" s="64">
        <f>IF(F450="","",Parâmetros!$C$4-F450)</f>
        <v>14</v>
      </c>
      <c r="K450" s="40">
        <f t="shared" si="12"/>
        <v>0</v>
      </c>
      <c r="L450" s="105" t="str">
        <f t="shared" si="13"/>
        <v/>
      </c>
      <c r="M450" s="106">
        <f>IF(I450="","",I450*Parâmetros!$C$8/15)</f>
        <v>14.239333333333333</v>
      </c>
      <c r="N450" s="106">
        <f>IF(K450="","",K450*Parâmetros!$C$8/15)</f>
        <v>0</v>
      </c>
      <c r="O450" s="28">
        <f>IF(M450="","",M450*Parâmetros!$C$5)</f>
        <v>4556.5866666666661</v>
      </c>
      <c r="P450" s="64" t="str">
        <f>IF(L450="","",IF(L450&gt;=Parâmetros!$C$10,"Sim","Não"))</f>
        <v/>
      </c>
    </row>
    <row r="451" spans="1:16" ht="15" customHeight="1" x14ac:dyDescent="0.3">
      <c r="A451" s="60">
        <v>449</v>
      </c>
      <c r="B451" s="60" t="s">
        <v>632</v>
      </c>
      <c r="C451" s="101" t="s">
        <v>183</v>
      </c>
      <c r="D451" s="101" t="s">
        <v>184</v>
      </c>
      <c r="E451" s="60">
        <v>7</v>
      </c>
      <c r="F451" s="85">
        <v>46224</v>
      </c>
      <c r="G451" s="35">
        <v>403</v>
      </c>
      <c r="H451" s="85">
        <f>IF(COUNTIFS(Pesagens!$B$3:$B$5001,$B451)=0,"",_xlfn.MAXIFS(Pesagens!$A$3:$A$5001,Pesagens!$B$3:$B$5001,$B451,Pesagens!$E$3:$E$5001,"&lt;&gt;"))</f>
        <v>46224</v>
      </c>
      <c r="I451" s="35">
        <f>IF($H451="","",IFERROR(AVERAGEIFS(Pesagens!$E$3:$E$5001,Pesagens!$B$3:$B$5001,$B451,Pesagens!$A$3:$A$5001,$H451),""))</f>
        <v>403</v>
      </c>
      <c r="J451" s="60">
        <f>IF(F451="","",Parâmetros!$C$4-F451)</f>
        <v>14</v>
      </c>
      <c r="K451" s="35">
        <f t="shared" ref="K451:K514" si="14">IF(OR(I451="",G451=""),"",I451-G451)</f>
        <v>0</v>
      </c>
      <c r="L451" s="102" t="str">
        <f t="shared" ref="L451:L514" si="15">IF(OR(I451="",G451="",H451&lt;=F451),"",(I451-G451)/(H451-F451))</f>
        <v/>
      </c>
      <c r="M451" s="103">
        <f>IF(I451="","",I451*Parâmetros!$C$8/15)</f>
        <v>14.239333333333333</v>
      </c>
      <c r="N451" s="103">
        <f>IF(K451="","",K451*Parâmetros!$C$8/15)</f>
        <v>0</v>
      </c>
      <c r="O451" s="26">
        <f>IF(M451="","",M451*Parâmetros!$C$5)</f>
        <v>4556.5866666666661</v>
      </c>
      <c r="P451" s="60" t="str">
        <f>IF(L451="","",IF(L451&gt;=Parâmetros!$C$10,"Sim","Não"))</f>
        <v/>
      </c>
    </row>
    <row r="452" spans="1:16" ht="15" customHeight="1" x14ac:dyDescent="0.3">
      <c r="A452" s="64">
        <v>450</v>
      </c>
      <c r="B452" s="64" t="s">
        <v>633</v>
      </c>
      <c r="C452" s="104" t="s">
        <v>183</v>
      </c>
      <c r="D452" s="104" t="s">
        <v>184</v>
      </c>
      <c r="E452" s="64">
        <v>7</v>
      </c>
      <c r="F452" s="86">
        <v>46224</v>
      </c>
      <c r="G452" s="40">
        <v>401</v>
      </c>
      <c r="H452" s="86">
        <f>IF(COUNTIFS(Pesagens!$B$3:$B$5001,$B452)=0,"",_xlfn.MAXIFS(Pesagens!$A$3:$A$5001,Pesagens!$B$3:$B$5001,$B452,Pesagens!$E$3:$E$5001,"&lt;&gt;"))</f>
        <v>46224</v>
      </c>
      <c r="I452" s="40">
        <f>IF($H452="","",IFERROR(AVERAGEIFS(Pesagens!$E$3:$E$5001,Pesagens!$B$3:$B$5001,$B452,Pesagens!$A$3:$A$5001,$H452),""))</f>
        <v>401</v>
      </c>
      <c r="J452" s="64">
        <f>IF(F452="","",Parâmetros!$C$4-F452)</f>
        <v>14</v>
      </c>
      <c r="K452" s="40">
        <f t="shared" si="14"/>
        <v>0</v>
      </c>
      <c r="L452" s="105" t="str">
        <f t="shared" si="15"/>
        <v/>
      </c>
      <c r="M452" s="106">
        <f>IF(I452="","",I452*Parâmetros!$C$8/15)</f>
        <v>14.168666666666667</v>
      </c>
      <c r="N452" s="106">
        <f>IF(K452="","",K452*Parâmetros!$C$8/15)</f>
        <v>0</v>
      </c>
      <c r="O452" s="28">
        <f>IF(M452="","",M452*Parâmetros!$C$5)</f>
        <v>4533.9733333333334</v>
      </c>
      <c r="P452" s="64" t="str">
        <f>IF(L452="","",IF(L452&gt;=Parâmetros!$C$10,"Sim","Não"))</f>
        <v/>
      </c>
    </row>
    <row r="453" spans="1:16" ht="15" customHeight="1" x14ac:dyDescent="0.3">
      <c r="A453" s="60">
        <v>451</v>
      </c>
      <c r="B453" s="60" t="s">
        <v>634</v>
      </c>
      <c r="C453" s="101" t="s">
        <v>183</v>
      </c>
      <c r="D453" s="101" t="s">
        <v>184</v>
      </c>
      <c r="E453" s="60">
        <v>7</v>
      </c>
      <c r="F453" s="85">
        <v>46224</v>
      </c>
      <c r="G453" s="35">
        <v>402</v>
      </c>
      <c r="H453" s="85">
        <f>IF(COUNTIFS(Pesagens!$B$3:$B$5001,$B453)=0,"",_xlfn.MAXIFS(Pesagens!$A$3:$A$5001,Pesagens!$B$3:$B$5001,$B453,Pesagens!$E$3:$E$5001,"&lt;&gt;"))</f>
        <v>46224</v>
      </c>
      <c r="I453" s="35">
        <f>IF($H453="","",IFERROR(AVERAGEIFS(Pesagens!$E$3:$E$5001,Pesagens!$B$3:$B$5001,$B453,Pesagens!$A$3:$A$5001,$H453),""))</f>
        <v>402</v>
      </c>
      <c r="J453" s="60">
        <f>IF(F453="","",Parâmetros!$C$4-F453)</f>
        <v>14</v>
      </c>
      <c r="K453" s="35">
        <f t="shared" si="14"/>
        <v>0</v>
      </c>
      <c r="L453" s="102" t="str">
        <f t="shared" si="15"/>
        <v/>
      </c>
      <c r="M453" s="103">
        <f>IF(I453="","",I453*Parâmetros!$C$8/15)</f>
        <v>14.204000000000001</v>
      </c>
      <c r="N453" s="103">
        <f>IF(K453="","",K453*Parâmetros!$C$8/15)</f>
        <v>0</v>
      </c>
      <c r="O453" s="26">
        <f>IF(M453="","",M453*Parâmetros!$C$5)</f>
        <v>4545.2800000000007</v>
      </c>
      <c r="P453" s="60" t="str">
        <f>IF(L453="","",IF(L453&gt;=Parâmetros!$C$10,"Sim","Não"))</f>
        <v/>
      </c>
    </row>
    <row r="454" spans="1:16" ht="15" customHeight="1" x14ac:dyDescent="0.3">
      <c r="A454" s="64">
        <v>452</v>
      </c>
      <c r="B454" s="64" t="s">
        <v>635</v>
      </c>
      <c r="C454" s="104" t="s">
        <v>183</v>
      </c>
      <c r="D454" s="104" t="s">
        <v>184</v>
      </c>
      <c r="E454" s="64">
        <v>7</v>
      </c>
      <c r="F454" s="86">
        <v>46224</v>
      </c>
      <c r="G454" s="40">
        <v>404</v>
      </c>
      <c r="H454" s="86">
        <f>IF(COUNTIFS(Pesagens!$B$3:$B$5001,$B454)=0,"",_xlfn.MAXIFS(Pesagens!$A$3:$A$5001,Pesagens!$B$3:$B$5001,$B454,Pesagens!$E$3:$E$5001,"&lt;&gt;"))</f>
        <v>46224</v>
      </c>
      <c r="I454" s="40">
        <f>IF($H454="","",IFERROR(AVERAGEIFS(Pesagens!$E$3:$E$5001,Pesagens!$B$3:$B$5001,$B454,Pesagens!$A$3:$A$5001,$H454),""))</f>
        <v>404</v>
      </c>
      <c r="J454" s="64">
        <f>IF(F454="","",Parâmetros!$C$4-F454)</f>
        <v>14</v>
      </c>
      <c r="K454" s="40">
        <f t="shared" si="14"/>
        <v>0</v>
      </c>
      <c r="L454" s="105" t="str">
        <f t="shared" si="15"/>
        <v/>
      </c>
      <c r="M454" s="106">
        <f>IF(I454="","",I454*Parâmetros!$C$8/15)</f>
        <v>14.274666666666667</v>
      </c>
      <c r="N454" s="106">
        <f>IF(K454="","",K454*Parâmetros!$C$8/15)</f>
        <v>0</v>
      </c>
      <c r="O454" s="28">
        <f>IF(M454="","",M454*Parâmetros!$C$5)</f>
        <v>4567.8933333333334</v>
      </c>
      <c r="P454" s="64" t="str">
        <f>IF(L454="","",IF(L454&gt;=Parâmetros!$C$10,"Sim","Não"))</f>
        <v/>
      </c>
    </row>
    <row r="455" spans="1:16" ht="15" customHeight="1" x14ac:dyDescent="0.3">
      <c r="A455" s="60">
        <v>453</v>
      </c>
      <c r="B455" s="60" t="s">
        <v>636</v>
      </c>
      <c r="C455" s="101" t="s">
        <v>183</v>
      </c>
      <c r="D455" s="101" t="s">
        <v>184</v>
      </c>
      <c r="E455" s="60">
        <v>7</v>
      </c>
      <c r="F455" s="85">
        <v>46224</v>
      </c>
      <c r="G455" s="35">
        <v>405</v>
      </c>
      <c r="H455" s="85">
        <f>IF(COUNTIFS(Pesagens!$B$3:$B$5001,$B455)=0,"",_xlfn.MAXIFS(Pesagens!$A$3:$A$5001,Pesagens!$B$3:$B$5001,$B455,Pesagens!$E$3:$E$5001,"&lt;&gt;"))</f>
        <v>46224</v>
      </c>
      <c r="I455" s="35">
        <f>IF($H455="","",IFERROR(AVERAGEIFS(Pesagens!$E$3:$E$5001,Pesagens!$B$3:$B$5001,$B455,Pesagens!$A$3:$A$5001,$H455),""))</f>
        <v>405</v>
      </c>
      <c r="J455" s="60">
        <f>IF(F455="","",Parâmetros!$C$4-F455)</f>
        <v>14</v>
      </c>
      <c r="K455" s="35">
        <f t="shared" si="14"/>
        <v>0</v>
      </c>
      <c r="L455" s="102" t="str">
        <f t="shared" si="15"/>
        <v/>
      </c>
      <c r="M455" s="103">
        <f>IF(I455="","",I455*Parâmetros!$C$8/15)</f>
        <v>14.31</v>
      </c>
      <c r="N455" s="103">
        <f>IF(K455="","",K455*Parâmetros!$C$8/15)</f>
        <v>0</v>
      </c>
      <c r="O455" s="26">
        <f>IF(M455="","",M455*Parâmetros!$C$5)</f>
        <v>4579.2</v>
      </c>
      <c r="P455" s="60" t="str">
        <f>IF(L455="","",IF(L455&gt;=Parâmetros!$C$10,"Sim","Não"))</f>
        <v/>
      </c>
    </row>
    <row r="456" spans="1:16" ht="15" customHeight="1" x14ac:dyDescent="0.3">
      <c r="A456" s="64">
        <v>454</v>
      </c>
      <c r="B456" s="64" t="s">
        <v>637</v>
      </c>
      <c r="C456" s="104" t="s">
        <v>183</v>
      </c>
      <c r="D456" s="104" t="s">
        <v>184</v>
      </c>
      <c r="E456" s="64">
        <v>7</v>
      </c>
      <c r="F456" s="86">
        <v>46224</v>
      </c>
      <c r="G456" s="40">
        <v>422</v>
      </c>
      <c r="H456" s="86">
        <f>IF(COUNTIFS(Pesagens!$B$3:$B$5001,$B456)=0,"",_xlfn.MAXIFS(Pesagens!$A$3:$A$5001,Pesagens!$B$3:$B$5001,$B456,Pesagens!$E$3:$E$5001,"&lt;&gt;"))</f>
        <v>46224</v>
      </c>
      <c r="I456" s="40">
        <f>IF($H456="","",IFERROR(AVERAGEIFS(Pesagens!$E$3:$E$5001,Pesagens!$B$3:$B$5001,$B456,Pesagens!$A$3:$A$5001,$H456),""))</f>
        <v>422</v>
      </c>
      <c r="J456" s="64">
        <f>IF(F456="","",Parâmetros!$C$4-F456)</f>
        <v>14</v>
      </c>
      <c r="K456" s="40">
        <f t="shared" si="14"/>
        <v>0</v>
      </c>
      <c r="L456" s="105" t="str">
        <f t="shared" si="15"/>
        <v/>
      </c>
      <c r="M456" s="106">
        <f>IF(I456="","",I456*Parâmetros!$C$8/15)</f>
        <v>14.910666666666668</v>
      </c>
      <c r="N456" s="106">
        <f>IF(K456="","",K456*Parâmetros!$C$8/15)</f>
        <v>0</v>
      </c>
      <c r="O456" s="28">
        <f>IF(M456="","",M456*Parâmetros!$C$5)</f>
        <v>4771.4133333333339</v>
      </c>
      <c r="P456" s="64" t="str">
        <f>IF(L456="","",IF(L456&gt;=Parâmetros!$C$10,"Sim","Não"))</f>
        <v/>
      </c>
    </row>
    <row r="457" spans="1:16" ht="15" customHeight="1" x14ac:dyDescent="0.3">
      <c r="A457" s="60">
        <v>455</v>
      </c>
      <c r="B457" s="60" t="s">
        <v>638</v>
      </c>
      <c r="C457" s="101" t="s">
        <v>183</v>
      </c>
      <c r="D457" s="101" t="s">
        <v>184</v>
      </c>
      <c r="E457" s="60">
        <v>7</v>
      </c>
      <c r="F457" s="85">
        <v>46224</v>
      </c>
      <c r="G457" s="35">
        <v>402</v>
      </c>
      <c r="H457" s="85">
        <f>IF(COUNTIFS(Pesagens!$B$3:$B$5001,$B457)=0,"",_xlfn.MAXIFS(Pesagens!$A$3:$A$5001,Pesagens!$B$3:$B$5001,$B457,Pesagens!$E$3:$E$5001,"&lt;&gt;"))</f>
        <v>46224</v>
      </c>
      <c r="I457" s="35">
        <f>IF($H457="","",IFERROR(AVERAGEIFS(Pesagens!$E$3:$E$5001,Pesagens!$B$3:$B$5001,$B457,Pesagens!$A$3:$A$5001,$H457),""))</f>
        <v>402</v>
      </c>
      <c r="J457" s="60">
        <f>IF(F457="","",Parâmetros!$C$4-F457)</f>
        <v>14</v>
      </c>
      <c r="K457" s="35">
        <f t="shared" si="14"/>
        <v>0</v>
      </c>
      <c r="L457" s="102" t="str">
        <f t="shared" si="15"/>
        <v/>
      </c>
      <c r="M457" s="103">
        <f>IF(I457="","",I457*Parâmetros!$C$8/15)</f>
        <v>14.204000000000001</v>
      </c>
      <c r="N457" s="103">
        <f>IF(K457="","",K457*Parâmetros!$C$8/15)</f>
        <v>0</v>
      </c>
      <c r="O457" s="26">
        <f>IF(M457="","",M457*Parâmetros!$C$5)</f>
        <v>4545.2800000000007</v>
      </c>
      <c r="P457" s="60" t="str">
        <f>IF(L457="","",IF(L457&gt;=Parâmetros!$C$10,"Sim","Não"))</f>
        <v/>
      </c>
    </row>
    <row r="458" spans="1:16" ht="15" customHeight="1" x14ac:dyDescent="0.3">
      <c r="A458" s="64">
        <v>456</v>
      </c>
      <c r="B458" s="64" t="s">
        <v>639</v>
      </c>
      <c r="C458" s="104" t="s">
        <v>183</v>
      </c>
      <c r="D458" s="104" t="s">
        <v>184</v>
      </c>
      <c r="E458" s="64">
        <v>7</v>
      </c>
      <c r="F458" s="86">
        <v>46224</v>
      </c>
      <c r="G458" s="40">
        <v>401</v>
      </c>
      <c r="H458" s="86">
        <f>IF(COUNTIFS(Pesagens!$B$3:$B$5001,$B458)=0,"",_xlfn.MAXIFS(Pesagens!$A$3:$A$5001,Pesagens!$B$3:$B$5001,$B458,Pesagens!$E$3:$E$5001,"&lt;&gt;"))</f>
        <v>46224</v>
      </c>
      <c r="I458" s="40">
        <f>IF($H458="","",IFERROR(AVERAGEIFS(Pesagens!$E$3:$E$5001,Pesagens!$B$3:$B$5001,$B458,Pesagens!$A$3:$A$5001,$H458),""))</f>
        <v>401</v>
      </c>
      <c r="J458" s="64">
        <f>IF(F458="","",Parâmetros!$C$4-F458)</f>
        <v>14</v>
      </c>
      <c r="K458" s="40">
        <f t="shared" si="14"/>
        <v>0</v>
      </c>
      <c r="L458" s="105" t="str">
        <f t="shared" si="15"/>
        <v/>
      </c>
      <c r="M458" s="106">
        <f>IF(I458="","",I458*Parâmetros!$C$8/15)</f>
        <v>14.168666666666667</v>
      </c>
      <c r="N458" s="106">
        <f>IF(K458="","",K458*Parâmetros!$C$8/15)</f>
        <v>0</v>
      </c>
      <c r="O458" s="28">
        <f>IF(M458="","",M458*Parâmetros!$C$5)</f>
        <v>4533.9733333333334</v>
      </c>
      <c r="P458" s="64" t="str">
        <f>IF(L458="","",IF(L458&gt;=Parâmetros!$C$10,"Sim","Não"))</f>
        <v/>
      </c>
    </row>
    <row r="459" spans="1:16" ht="15" customHeight="1" x14ac:dyDescent="0.3">
      <c r="A459" s="60">
        <v>457</v>
      </c>
      <c r="B459" s="60" t="s">
        <v>640</v>
      </c>
      <c r="C459" s="101" t="s">
        <v>183</v>
      </c>
      <c r="D459" s="101" t="s">
        <v>184</v>
      </c>
      <c r="E459" s="60">
        <v>7</v>
      </c>
      <c r="F459" s="85">
        <v>46224</v>
      </c>
      <c r="G459" s="35">
        <v>398</v>
      </c>
      <c r="H459" s="85">
        <f>IF(COUNTIFS(Pesagens!$B$3:$B$5001,$B459)=0,"",_xlfn.MAXIFS(Pesagens!$A$3:$A$5001,Pesagens!$B$3:$B$5001,$B459,Pesagens!$E$3:$E$5001,"&lt;&gt;"))</f>
        <v>46224</v>
      </c>
      <c r="I459" s="35">
        <f>IF($H459="","",IFERROR(AVERAGEIFS(Pesagens!$E$3:$E$5001,Pesagens!$B$3:$B$5001,$B459,Pesagens!$A$3:$A$5001,$H459),""))</f>
        <v>398</v>
      </c>
      <c r="J459" s="60">
        <f>IF(F459="","",Parâmetros!$C$4-F459)</f>
        <v>14</v>
      </c>
      <c r="K459" s="35">
        <f t="shared" si="14"/>
        <v>0</v>
      </c>
      <c r="L459" s="102" t="str">
        <f t="shared" si="15"/>
        <v/>
      </c>
      <c r="M459" s="103">
        <f>IF(I459="","",I459*Parâmetros!$C$8/15)</f>
        <v>14.062666666666667</v>
      </c>
      <c r="N459" s="103">
        <f>IF(K459="","",K459*Parâmetros!$C$8/15)</f>
        <v>0</v>
      </c>
      <c r="O459" s="26">
        <f>IF(M459="","",M459*Parâmetros!$C$5)</f>
        <v>4500.0533333333333</v>
      </c>
      <c r="P459" s="60" t="str">
        <f>IF(L459="","",IF(L459&gt;=Parâmetros!$C$10,"Sim","Não"))</f>
        <v/>
      </c>
    </row>
    <row r="460" spans="1:16" ht="15" customHeight="1" x14ac:dyDescent="0.3">
      <c r="A460" s="64">
        <v>458</v>
      </c>
      <c r="B460" s="64" t="s">
        <v>641</v>
      </c>
      <c r="C460" s="104" t="s">
        <v>183</v>
      </c>
      <c r="D460" s="104" t="s">
        <v>184</v>
      </c>
      <c r="E460" s="64">
        <v>7</v>
      </c>
      <c r="F460" s="86">
        <v>46224</v>
      </c>
      <c r="G460" s="40">
        <v>409</v>
      </c>
      <c r="H460" s="86">
        <f>IF(COUNTIFS(Pesagens!$B$3:$B$5001,$B460)=0,"",_xlfn.MAXIFS(Pesagens!$A$3:$A$5001,Pesagens!$B$3:$B$5001,$B460,Pesagens!$E$3:$E$5001,"&lt;&gt;"))</f>
        <v>46224</v>
      </c>
      <c r="I460" s="40">
        <f>IF($H460="","",IFERROR(AVERAGEIFS(Pesagens!$E$3:$E$5001,Pesagens!$B$3:$B$5001,$B460,Pesagens!$A$3:$A$5001,$H460),""))</f>
        <v>409</v>
      </c>
      <c r="J460" s="64">
        <f>IF(F460="","",Parâmetros!$C$4-F460)</f>
        <v>14</v>
      </c>
      <c r="K460" s="40">
        <f t="shared" si="14"/>
        <v>0</v>
      </c>
      <c r="L460" s="105" t="str">
        <f t="shared" si="15"/>
        <v/>
      </c>
      <c r="M460" s="106">
        <f>IF(I460="","",I460*Parâmetros!$C$8/15)</f>
        <v>14.451333333333334</v>
      </c>
      <c r="N460" s="106">
        <f>IF(K460="","",K460*Parâmetros!$C$8/15)</f>
        <v>0</v>
      </c>
      <c r="O460" s="28">
        <f>IF(M460="","",M460*Parâmetros!$C$5)</f>
        <v>4624.4266666666672</v>
      </c>
      <c r="P460" s="64" t="str">
        <f>IF(L460="","",IF(L460&gt;=Parâmetros!$C$10,"Sim","Não"))</f>
        <v/>
      </c>
    </row>
    <row r="461" spans="1:16" ht="15" customHeight="1" x14ac:dyDescent="0.3">
      <c r="A461" s="60">
        <v>459</v>
      </c>
      <c r="B461" s="60" t="s">
        <v>642</v>
      </c>
      <c r="C461" s="101" t="s">
        <v>183</v>
      </c>
      <c r="D461" s="101" t="s">
        <v>184</v>
      </c>
      <c r="E461" s="60">
        <v>7</v>
      </c>
      <c r="F461" s="85">
        <v>46224</v>
      </c>
      <c r="G461" s="35">
        <v>402</v>
      </c>
      <c r="H461" s="85">
        <f>IF(COUNTIFS(Pesagens!$B$3:$B$5001,$B461)=0,"",_xlfn.MAXIFS(Pesagens!$A$3:$A$5001,Pesagens!$B$3:$B$5001,$B461,Pesagens!$E$3:$E$5001,"&lt;&gt;"))</f>
        <v>46224</v>
      </c>
      <c r="I461" s="35">
        <f>IF($H461="","",IFERROR(AVERAGEIFS(Pesagens!$E$3:$E$5001,Pesagens!$B$3:$B$5001,$B461,Pesagens!$A$3:$A$5001,$H461),""))</f>
        <v>402</v>
      </c>
      <c r="J461" s="60">
        <f>IF(F461="","",Parâmetros!$C$4-F461)</f>
        <v>14</v>
      </c>
      <c r="K461" s="35">
        <f t="shared" si="14"/>
        <v>0</v>
      </c>
      <c r="L461" s="102" t="str">
        <f t="shared" si="15"/>
        <v/>
      </c>
      <c r="M461" s="103">
        <f>IF(I461="","",I461*Parâmetros!$C$8/15)</f>
        <v>14.204000000000001</v>
      </c>
      <c r="N461" s="103">
        <f>IF(K461="","",K461*Parâmetros!$C$8/15)</f>
        <v>0</v>
      </c>
      <c r="O461" s="26">
        <f>IF(M461="","",M461*Parâmetros!$C$5)</f>
        <v>4545.2800000000007</v>
      </c>
      <c r="P461" s="60" t="str">
        <f>IF(L461="","",IF(L461&gt;=Parâmetros!$C$10,"Sim","Não"))</f>
        <v/>
      </c>
    </row>
    <row r="462" spans="1:16" ht="15" customHeight="1" x14ac:dyDescent="0.3">
      <c r="A462" s="64">
        <v>460</v>
      </c>
      <c r="B462" s="64" t="s">
        <v>643</v>
      </c>
      <c r="C462" s="104" t="s">
        <v>183</v>
      </c>
      <c r="D462" s="104" t="s">
        <v>184</v>
      </c>
      <c r="E462" s="64">
        <v>7</v>
      </c>
      <c r="F462" s="86">
        <v>46224</v>
      </c>
      <c r="G462" s="40">
        <v>413</v>
      </c>
      <c r="H462" s="86">
        <f>IF(COUNTIFS(Pesagens!$B$3:$B$5001,$B462)=0,"",_xlfn.MAXIFS(Pesagens!$A$3:$A$5001,Pesagens!$B$3:$B$5001,$B462,Pesagens!$E$3:$E$5001,"&lt;&gt;"))</f>
        <v>46224</v>
      </c>
      <c r="I462" s="40">
        <f>IF($H462="","",IFERROR(AVERAGEIFS(Pesagens!$E$3:$E$5001,Pesagens!$B$3:$B$5001,$B462,Pesagens!$A$3:$A$5001,$H462),""))</f>
        <v>413</v>
      </c>
      <c r="J462" s="64">
        <f>IF(F462="","",Parâmetros!$C$4-F462)</f>
        <v>14</v>
      </c>
      <c r="K462" s="40">
        <f t="shared" si="14"/>
        <v>0</v>
      </c>
      <c r="L462" s="105" t="str">
        <f t="shared" si="15"/>
        <v/>
      </c>
      <c r="M462" s="106">
        <f>IF(I462="","",I462*Parâmetros!$C$8/15)</f>
        <v>14.592666666666668</v>
      </c>
      <c r="N462" s="106">
        <f>IF(K462="","",K462*Parâmetros!$C$8/15)</f>
        <v>0</v>
      </c>
      <c r="O462" s="28">
        <f>IF(M462="","",M462*Parâmetros!$C$5)</f>
        <v>4669.6533333333336</v>
      </c>
      <c r="P462" s="64" t="str">
        <f>IF(L462="","",IF(L462&gt;=Parâmetros!$C$10,"Sim","Não"))</f>
        <v/>
      </c>
    </row>
    <row r="463" spans="1:16" ht="15" customHeight="1" x14ac:dyDescent="0.3">
      <c r="A463" s="60">
        <v>461</v>
      </c>
      <c r="B463" s="60" t="s">
        <v>644</v>
      </c>
      <c r="C463" s="101" t="s">
        <v>183</v>
      </c>
      <c r="D463" s="101" t="s">
        <v>184</v>
      </c>
      <c r="E463" s="60">
        <v>7</v>
      </c>
      <c r="F463" s="85">
        <v>46224</v>
      </c>
      <c r="G463" s="35">
        <v>428</v>
      </c>
      <c r="H463" s="85">
        <f>IF(COUNTIFS(Pesagens!$B$3:$B$5001,$B463)=0,"",_xlfn.MAXIFS(Pesagens!$A$3:$A$5001,Pesagens!$B$3:$B$5001,$B463,Pesagens!$E$3:$E$5001,"&lt;&gt;"))</f>
        <v>46224</v>
      </c>
      <c r="I463" s="35">
        <f>IF($H463="","",IFERROR(AVERAGEIFS(Pesagens!$E$3:$E$5001,Pesagens!$B$3:$B$5001,$B463,Pesagens!$A$3:$A$5001,$H463),""))</f>
        <v>428</v>
      </c>
      <c r="J463" s="60">
        <f>IF(F463="","",Parâmetros!$C$4-F463)</f>
        <v>14</v>
      </c>
      <c r="K463" s="35">
        <f t="shared" si="14"/>
        <v>0</v>
      </c>
      <c r="L463" s="102" t="str">
        <f t="shared" si="15"/>
        <v/>
      </c>
      <c r="M463" s="103">
        <f>IF(I463="","",I463*Parâmetros!$C$8/15)</f>
        <v>15.122666666666667</v>
      </c>
      <c r="N463" s="103">
        <f>IF(K463="","",K463*Parâmetros!$C$8/15)</f>
        <v>0</v>
      </c>
      <c r="O463" s="26">
        <f>IF(M463="","",M463*Parâmetros!$C$5)</f>
        <v>4839.253333333334</v>
      </c>
      <c r="P463" s="60" t="str">
        <f>IF(L463="","",IF(L463&gt;=Parâmetros!$C$10,"Sim","Não"))</f>
        <v/>
      </c>
    </row>
    <row r="464" spans="1:16" ht="15" customHeight="1" x14ac:dyDescent="0.3">
      <c r="A464" s="64">
        <v>462</v>
      </c>
      <c r="B464" s="64" t="s">
        <v>645</v>
      </c>
      <c r="C464" s="104" t="s">
        <v>183</v>
      </c>
      <c r="D464" s="104" t="s">
        <v>184</v>
      </c>
      <c r="E464" s="64">
        <v>7</v>
      </c>
      <c r="F464" s="86">
        <v>46224</v>
      </c>
      <c r="G464" s="40">
        <v>411</v>
      </c>
      <c r="H464" s="86">
        <f>IF(COUNTIFS(Pesagens!$B$3:$B$5001,$B464)=0,"",_xlfn.MAXIFS(Pesagens!$A$3:$A$5001,Pesagens!$B$3:$B$5001,$B464,Pesagens!$E$3:$E$5001,"&lt;&gt;"))</f>
        <v>46224</v>
      </c>
      <c r="I464" s="40">
        <f>IF($H464="","",IFERROR(AVERAGEIFS(Pesagens!$E$3:$E$5001,Pesagens!$B$3:$B$5001,$B464,Pesagens!$A$3:$A$5001,$H464),""))</f>
        <v>411</v>
      </c>
      <c r="J464" s="64">
        <f>IF(F464="","",Parâmetros!$C$4-F464)</f>
        <v>14</v>
      </c>
      <c r="K464" s="40">
        <f t="shared" si="14"/>
        <v>0</v>
      </c>
      <c r="L464" s="105" t="str">
        <f t="shared" si="15"/>
        <v/>
      </c>
      <c r="M464" s="106">
        <f>IF(I464="","",I464*Parâmetros!$C$8/15)</f>
        <v>14.522</v>
      </c>
      <c r="N464" s="106">
        <f>IF(K464="","",K464*Parâmetros!$C$8/15)</f>
        <v>0</v>
      </c>
      <c r="O464" s="28">
        <f>IF(M464="","",M464*Parâmetros!$C$5)</f>
        <v>4647.04</v>
      </c>
      <c r="P464" s="64" t="str">
        <f>IF(L464="","",IF(L464&gt;=Parâmetros!$C$10,"Sim","Não"))</f>
        <v/>
      </c>
    </row>
    <row r="465" spans="1:16" ht="15" customHeight="1" x14ac:dyDescent="0.3">
      <c r="A465" s="60">
        <v>463</v>
      </c>
      <c r="B465" s="60" t="s">
        <v>646</v>
      </c>
      <c r="C465" s="101" t="s">
        <v>183</v>
      </c>
      <c r="D465" s="101" t="s">
        <v>184</v>
      </c>
      <c r="E465" s="60">
        <v>7</v>
      </c>
      <c r="F465" s="85">
        <v>46224</v>
      </c>
      <c r="G465" s="35">
        <v>409</v>
      </c>
      <c r="H465" s="85">
        <f>IF(COUNTIFS(Pesagens!$B$3:$B$5001,$B465)=0,"",_xlfn.MAXIFS(Pesagens!$A$3:$A$5001,Pesagens!$B$3:$B$5001,$B465,Pesagens!$E$3:$E$5001,"&lt;&gt;"))</f>
        <v>46224</v>
      </c>
      <c r="I465" s="35">
        <f>IF($H465="","",IFERROR(AVERAGEIFS(Pesagens!$E$3:$E$5001,Pesagens!$B$3:$B$5001,$B465,Pesagens!$A$3:$A$5001,$H465),""))</f>
        <v>409</v>
      </c>
      <c r="J465" s="60">
        <f>IF(F465="","",Parâmetros!$C$4-F465)</f>
        <v>14</v>
      </c>
      <c r="K465" s="35">
        <f t="shared" si="14"/>
        <v>0</v>
      </c>
      <c r="L465" s="102" t="str">
        <f t="shared" si="15"/>
        <v/>
      </c>
      <c r="M465" s="103">
        <f>IF(I465="","",I465*Parâmetros!$C$8/15)</f>
        <v>14.451333333333334</v>
      </c>
      <c r="N465" s="103">
        <f>IF(K465="","",K465*Parâmetros!$C$8/15)</f>
        <v>0</v>
      </c>
      <c r="O465" s="26">
        <f>IF(M465="","",M465*Parâmetros!$C$5)</f>
        <v>4624.4266666666672</v>
      </c>
      <c r="P465" s="60" t="str">
        <f>IF(L465="","",IF(L465&gt;=Parâmetros!$C$10,"Sim","Não"))</f>
        <v/>
      </c>
    </row>
    <row r="466" spans="1:16" ht="15" customHeight="1" x14ac:dyDescent="0.3">
      <c r="A466" s="64">
        <v>464</v>
      </c>
      <c r="B466" s="64" t="s">
        <v>647</v>
      </c>
      <c r="C466" s="104" t="s">
        <v>183</v>
      </c>
      <c r="D466" s="104" t="s">
        <v>184</v>
      </c>
      <c r="E466" s="64">
        <v>7</v>
      </c>
      <c r="F466" s="86">
        <v>46224</v>
      </c>
      <c r="G466" s="40">
        <v>420</v>
      </c>
      <c r="H466" s="86">
        <f>IF(COUNTIFS(Pesagens!$B$3:$B$5001,$B466)=0,"",_xlfn.MAXIFS(Pesagens!$A$3:$A$5001,Pesagens!$B$3:$B$5001,$B466,Pesagens!$E$3:$E$5001,"&lt;&gt;"))</f>
        <v>46224</v>
      </c>
      <c r="I466" s="40">
        <f>IF($H466="","",IFERROR(AVERAGEIFS(Pesagens!$E$3:$E$5001,Pesagens!$B$3:$B$5001,$B466,Pesagens!$A$3:$A$5001,$H466),""))</f>
        <v>420</v>
      </c>
      <c r="J466" s="64">
        <f>IF(F466="","",Parâmetros!$C$4-F466)</f>
        <v>14</v>
      </c>
      <c r="K466" s="40">
        <f t="shared" si="14"/>
        <v>0</v>
      </c>
      <c r="L466" s="105" t="str">
        <f t="shared" si="15"/>
        <v/>
      </c>
      <c r="M466" s="106">
        <f>IF(I466="","",I466*Parâmetros!$C$8/15)</f>
        <v>14.840000000000002</v>
      </c>
      <c r="N466" s="106">
        <f>IF(K466="","",K466*Parâmetros!$C$8/15)</f>
        <v>0</v>
      </c>
      <c r="O466" s="28">
        <f>IF(M466="","",M466*Parâmetros!$C$5)</f>
        <v>4748.8</v>
      </c>
      <c r="P466" s="64" t="str">
        <f>IF(L466="","",IF(L466&gt;=Parâmetros!$C$10,"Sim","Não"))</f>
        <v/>
      </c>
    </row>
    <row r="467" spans="1:16" ht="15" customHeight="1" x14ac:dyDescent="0.3">
      <c r="A467" s="60">
        <v>465</v>
      </c>
      <c r="B467" s="60" t="s">
        <v>648</v>
      </c>
      <c r="C467" s="101" t="s">
        <v>183</v>
      </c>
      <c r="D467" s="101" t="s">
        <v>184</v>
      </c>
      <c r="E467" s="60">
        <v>7</v>
      </c>
      <c r="F467" s="85">
        <v>46224</v>
      </c>
      <c r="G467" s="35">
        <v>400</v>
      </c>
      <c r="H467" s="85">
        <f>IF(COUNTIFS(Pesagens!$B$3:$B$5001,$B467)=0,"",_xlfn.MAXIFS(Pesagens!$A$3:$A$5001,Pesagens!$B$3:$B$5001,$B467,Pesagens!$E$3:$E$5001,"&lt;&gt;"))</f>
        <v>46224</v>
      </c>
      <c r="I467" s="35">
        <f>IF($H467="","",IFERROR(AVERAGEIFS(Pesagens!$E$3:$E$5001,Pesagens!$B$3:$B$5001,$B467,Pesagens!$A$3:$A$5001,$H467),""))</f>
        <v>400</v>
      </c>
      <c r="J467" s="60">
        <f>IF(F467="","",Parâmetros!$C$4-F467)</f>
        <v>14</v>
      </c>
      <c r="K467" s="35">
        <f t="shared" si="14"/>
        <v>0</v>
      </c>
      <c r="L467" s="102" t="str">
        <f t="shared" si="15"/>
        <v/>
      </c>
      <c r="M467" s="103">
        <f>IF(I467="","",I467*Parâmetros!$C$8/15)</f>
        <v>14.133333333333333</v>
      </c>
      <c r="N467" s="103">
        <f>IF(K467="","",K467*Parâmetros!$C$8/15)</f>
        <v>0</v>
      </c>
      <c r="O467" s="26">
        <f>IF(M467="","",M467*Parâmetros!$C$5)</f>
        <v>4522.6666666666661</v>
      </c>
      <c r="P467" s="60" t="str">
        <f>IF(L467="","",IF(L467&gt;=Parâmetros!$C$10,"Sim","Não"))</f>
        <v/>
      </c>
    </row>
    <row r="468" spans="1:16" ht="15" customHeight="1" x14ac:dyDescent="0.3">
      <c r="A468" s="64">
        <v>466</v>
      </c>
      <c r="B468" s="64" t="s">
        <v>649</v>
      </c>
      <c r="C468" s="104" t="s">
        <v>183</v>
      </c>
      <c r="D468" s="104" t="s">
        <v>184</v>
      </c>
      <c r="E468" s="64">
        <v>7</v>
      </c>
      <c r="F468" s="86">
        <v>46224</v>
      </c>
      <c r="G468" s="40">
        <v>400</v>
      </c>
      <c r="H468" s="86">
        <f>IF(COUNTIFS(Pesagens!$B$3:$B$5001,$B468)=0,"",_xlfn.MAXIFS(Pesagens!$A$3:$A$5001,Pesagens!$B$3:$B$5001,$B468,Pesagens!$E$3:$E$5001,"&lt;&gt;"))</f>
        <v>46224</v>
      </c>
      <c r="I468" s="40">
        <f>IF($H468="","",IFERROR(AVERAGEIFS(Pesagens!$E$3:$E$5001,Pesagens!$B$3:$B$5001,$B468,Pesagens!$A$3:$A$5001,$H468),""))</f>
        <v>400</v>
      </c>
      <c r="J468" s="64">
        <f>IF(F468="","",Parâmetros!$C$4-F468)</f>
        <v>14</v>
      </c>
      <c r="K468" s="40">
        <f t="shared" si="14"/>
        <v>0</v>
      </c>
      <c r="L468" s="105" t="str">
        <f t="shared" si="15"/>
        <v/>
      </c>
      <c r="M468" s="106">
        <f>IF(I468="","",I468*Parâmetros!$C$8/15)</f>
        <v>14.133333333333333</v>
      </c>
      <c r="N468" s="106">
        <f>IF(K468="","",K468*Parâmetros!$C$8/15)</f>
        <v>0</v>
      </c>
      <c r="O468" s="28">
        <f>IF(M468="","",M468*Parâmetros!$C$5)</f>
        <v>4522.6666666666661</v>
      </c>
      <c r="P468" s="64" t="str">
        <f>IF(L468="","",IF(L468&gt;=Parâmetros!$C$10,"Sim","Não"))</f>
        <v/>
      </c>
    </row>
    <row r="469" spans="1:16" ht="15" customHeight="1" x14ac:dyDescent="0.3">
      <c r="A469" s="60">
        <v>467</v>
      </c>
      <c r="B469" s="60" t="s">
        <v>650</v>
      </c>
      <c r="C469" s="101" t="s">
        <v>183</v>
      </c>
      <c r="D469" s="101" t="s">
        <v>184</v>
      </c>
      <c r="E469" s="60">
        <v>7</v>
      </c>
      <c r="F469" s="85">
        <v>46224</v>
      </c>
      <c r="G469" s="35">
        <v>400</v>
      </c>
      <c r="H469" s="85">
        <f>IF(COUNTIFS(Pesagens!$B$3:$B$5001,$B469)=0,"",_xlfn.MAXIFS(Pesagens!$A$3:$A$5001,Pesagens!$B$3:$B$5001,$B469,Pesagens!$E$3:$E$5001,"&lt;&gt;"))</f>
        <v>46224</v>
      </c>
      <c r="I469" s="35">
        <f>IF($H469="","",IFERROR(AVERAGEIFS(Pesagens!$E$3:$E$5001,Pesagens!$B$3:$B$5001,$B469,Pesagens!$A$3:$A$5001,$H469),""))</f>
        <v>400</v>
      </c>
      <c r="J469" s="60">
        <f>IF(F469="","",Parâmetros!$C$4-F469)</f>
        <v>14</v>
      </c>
      <c r="K469" s="35">
        <f t="shared" si="14"/>
        <v>0</v>
      </c>
      <c r="L469" s="102" t="str">
        <f t="shared" si="15"/>
        <v/>
      </c>
      <c r="M469" s="103">
        <f>IF(I469="","",I469*Parâmetros!$C$8/15)</f>
        <v>14.133333333333333</v>
      </c>
      <c r="N469" s="103">
        <f>IF(K469="","",K469*Parâmetros!$C$8/15)</f>
        <v>0</v>
      </c>
      <c r="O469" s="26">
        <f>IF(M469="","",M469*Parâmetros!$C$5)</f>
        <v>4522.6666666666661</v>
      </c>
      <c r="P469" s="60" t="str">
        <f>IF(L469="","",IF(L469&gt;=Parâmetros!$C$10,"Sim","Não"))</f>
        <v/>
      </c>
    </row>
    <row r="470" spans="1:16" ht="15" customHeight="1" x14ac:dyDescent="0.3">
      <c r="A470" s="64">
        <v>468</v>
      </c>
      <c r="B470" s="64" t="s">
        <v>651</v>
      </c>
      <c r="C470" s="104" t="s">
        <v>183</v>
      </c>
      <c r="D470" s="104" t="s">
        <v>184</v>
      </c>
      <c r="E470" s="64">
        <v>7</v>
      </c>
      <c r="F470" s="86">
        <v>46225</v>
      </c>
      <c r="G470" s="40">
        <v>400</v>
      </c>
      <c r="H470" s="86">
        <f>IF(COUNTIFS(Pesagens!$B$3:$B$5001,$B470)=0,"",_xlfn.MAXIFS(Pesagens!$A$3:$A$5001,Pesagens!$B$3:$B$5001,$B470,Pesagens!$E$3:$E$5001,"&lt;&gt;"))</f>
        <v>46225</v>
      </c>
      <c r="I470" s="40">
        <f>IF($H470="","",IFERROR(AVERAGEIFS(Pesagens!$E$3:$E$5001,Pesagens!$B$3:$B$5001,$B470,Pesagens!$A$3:$A$5001,$H470),""))</f>
        <v>400</v>
      </c>
      <c r="J470" s="64">
        <f>IF(F470="","",Parâmetros!$C$4-F470)</f>
        <v>13</v>
      </c>
      <c r="K470" s="40">
        <f t="shared" si="14"/>
        <v>0</v>
      </c>
      <c r="L470" s="105" t="str">
        <f t="shared" si="15"/>
        <v/>
      </c>
      <c r="M470" s="106">
        <f>IF(I470="","",I470*Parâmetros!$C$8/15)</f>
        <v>14.133333333333333</v>
      </c>
      <c r="N470" s="106">
        <f>IF(K470="","",K470*Parâmetros!$C$8/15)</f>
        <v>0</v>
      </c>
      <c r="O470" s="28">
        <f>IF(M470="","",M470*Parâmetros!$C$5)</f>
        <v>4522.6666666666661</v>
      </c>
      <c r="P470" s="64" t="str">
        <f>IF(L470="","",IF(L470&gt;=Parâmetros!$C$10,"Sim","Não"))</f>
        <v/>
      </c>
    </row>
    <row r="471" spans="1:16" ht="15" customHeight="1" x14ac:dyDescent="0.3">
      <c r="A471" s="60">
        <v>469</v>
      </c>
      <c r="B471" s="60" t="s">
        <v>652</v>
      </c>
      <c r="C471" s="101" t="s">
        <v>183</v>
      </c>
      <c r="D471" s="101" t="s">
        <v>184</v>
      </c>
      <c r="E471" s="60">
        <v>7</v>
      </c>
      <c r="F471" s="85">
        <v>46225</v>
      </c>
      <c r="G471" s="35">
        <v>404</v>
      </c>
      <c r="H471" s="85">
        <f>IF(COUNTIFS(Pesagens!$B$3:$B$5001,$B471)=0,"",_xlfn.MAXIFS(Pesagens!$A$3:$A$5001,Pesagens!$B$3:$B$5001,$B471,Pesagens!$E$3:$E$5001,"&lt;&gt;"))</f>
        <v>46225</v>
      </c>
      <c r="I471" s="35">
        <f>IF($H471="","",IFERROR(AVERAGEIFS(Pesagens!$E$3:$E$5001,Pesagens!$B$3:$B$5001,$B471,Pesagens!$A$3:$A$5001,$H471),""))</f>
        <v>404</v>
      </c>
      <c r="J471" s="60">
        <f>IF(F471="","",Parâmetros!$C$4-F471)</f>
        <v>13</v>
      </c>
      <c r="K471" s="35">
        <f t="shared" si="14"/>
        <v>0</v>
      </c>
      <c r="L471" s="102" t="str">
        <f t="shared" si="15"/>
        <v/>
      </c>
      <c r="M471" s="103">
        <f>IF(I471="","",I471*Parâmetros!$C$8/15)</f>
        <v>14.274666666666667</v>
      </c>
      <c r="N471" s="103">
        <f>IF(K471="","",K471*Parâmetros!$C$8/15)</f>
        <v>0</v>
      </c>
      <c r="O471" s="26">
        <f>IF(M471="","",M471*Parâmetros!$C$5)</f>
        <v>4567.8933333333334</v>
      </c>
      <c r="P471" s="60" t="str">
        <f>IF(L471="","",IF(L471&gt;=Parâmetros!$C$10,"Sim","Não"))</f>
        <v/>
      </c>
    </row>
    <row r="472" spans="1:16" ht="15" customHeight="1" x14ac:dyDescent="0.3">
      <c r="A472" s="64">
        <v>470</v>
      </c>
      <c r="B472" s="64" t="s">
        <v>653</v>
      </c>
      <c r="C472" s="104" t="s">
        <v>183</v>
      </c>
      <c r="D472" s="104" t="s">
        <v>184</v>
      </c>
      <c r="E472" s="64">
        <v>7</v>
      </c>
      <c r="F472" s="86">
        <v>46225</v>
      </c>
      <c r="G472" s="40">
        <v>404</v>
      </c>
      <c r="H472" s="86">
        <f>IF(COUNTIFS(Pesagens!$B$3:$B$5001,$B472)=0,"",_xlfn.MAXIFS(Pesagens!$A$3:$A$5001,Pesagens!$B$3:$B$5001,$B472,Pesagens!$E$3:$E$5001,"&lt;&gt;"))</f>
        <v>46225</v>
      </c>
      <c r="I472" s="40">
        <f>IF($H472="","",IFERROR(AVERAGEIFS(Pesagens!$E$3:$E$5001,Pesagens!$B$3:$B$5001,$B472,Pesagens!$A$3:$A$5001,$H472),""))</f>
        <v>404</v>
      </c>
      <c r="J472" s="64">
        <f>IF(F472="","",Parâmetros!$C$4-F472)</f>
        <v>13</v>
      </c>
      <c r="K472" s="40">
        <f t="shared" si="14"/>
        <v>0</v>
      </c>
      <c r="L472" s="105" t="str">
        <f t="shared" si="15"/>
        <v/>
      </c>
      <c r="M472" s="106">
        <f>IF(I472="","",I472*Parâmetros!$C$8/15)</f>
        <v>14.274666666666667</v>
      </c>
      <c r="N472" s="106">
        <f>IF(K472="","",K472*Parâmetros!$C$8/15)</f>
        <v>0</v>
      </c>
      <c r="O472" s="28">
        <f>IF(M472="","",M472*Parâmetros!$C$5)</f>
        <v>4567.8933333333334</v>
      </c>
      <c r="P472" s="64" t="str">
        <f>IF(L472="","",IF(L472&gt;=Parâmetros!$C$10,"Sim","Não"))</f>
        <v/>
      </c>
    </row>
    <row r="473" spans="1:16" ht="15" customHeight="1" x14ac:dyDescent="0.3">
      <c r="A473" s="60">
        <v>471</v>
      </c>
      <c r="B473" s="60" t="s">
        <v>654</v>
      </c>
      <c r="C473" s="101" t="s">
        <v>183</v>
      </c>
      <c r="D473" s="101" t="s">
        <v>184</v>
      </c>
      <c r="E473" s="60">
        <v>7</v>
      </c>
      <c r="F473" s="85">
        <v>46225</v>
      </c>
      <c r="G473" s="35">
        <v>436</v>
      </c>
      <c r="H473" s="85">
        <f>IF(COUNTIFS(Pesagens!$B$3:$B$5001,$B473)=0,"",_xlfn.MAXIFS(Pesagens!$A$3:$A$5001,Pesagens!$B$3:$B$5001,$B473,Pesagens!$E$3:$E$5001,"&lt;&gt;"))</f>
        <v>46225</v>
      </c>
      <c r="I473" s="35">
        <f>IF($H473="","",IFERROR(AVERAGEIFS(Pesagens!$E$3:$E$5001,Pesagens!$B$3:$B$5001,$B473,Pesagens!$A$3:$A$5001,$H473),""))</f>
        <v>436</v>
      </c>
      <c r="J473" s="60">
        <f>IF(F473="","",Parâmetros!$C$4-F473)</f>
        <v>13</v>
      </c>
      <c r="K473" s="35">
        <f t="shared" si="14"/>
        <v>0</v>
      </c>
      <c r="L473" s="102" t="str">
        <f t="shared" si="15"/>
        <v/>
      </c>
      <c r="M473" s="103">
        <f>IF(I473="","",I473*Parâmetros!$C$8/15)</f>
        <v>15.405333333333335</v>
      </c>
      <c r="N473" s="103">
        <f>IF(K473="","",K473*Parâmetros!$C$8/15)</f>
        <v>0</v>
      </c>
      <c r="O473" s="26">
        <f>IF(M473="","",M473*Parâmetros!$C$5)</f>
        <v>4929.7066666666669</v>
      </c>
      <c r="P473" s="60" t="str">
        <f>IF(L473="","",IF(L473&gt;=Parâmetros!$C$10,"Sim","Não"))</f>
        <v/>
      </c>
    </row>
    <row r="474" spans="1:16" ht="15" customHeight="1" x14ac:dyDescent="0.3">
      <c r="A474" s="64">
        <v>472</v>
      </c>
      <c r="B474" s="64" t="s">
        <v>655</v>
      </c>
      <c r="C474" s="104" t="s">
        <v>183</v>
      </c>
      <c r="D474" s="104" t="s">
        <v>184</v>
      </c>
      <c r="E474" s="64">
        <v>7</v>
      </c>
      <c r="F474" s="86">
        <v>46225</v>
      </c>
      <c r="G474" s="40">
        <v>412</v>
      </c>
      <c r="H474" s="86">
        <f>IF(COUNTIFS(Pesagens!$B$3:$B$5001,$B474)=0,"",_xlfn.MAXIFS(Pesagens!$A$3:$A$5001,Pesagens!$B$3:$B$5001,$B474,Pesagens!$E$3:$E$5001,"&lt;&gt;"))</f>
        <v>46225</v>
      </c>
      <c r="I474" s="40">
        <f>IF($H474="","",IFERROR(AVERAGEIFS(Pesagens!$E$3:$E$5001,Pesagens!$B$3:$B$5001,$B474,Pesagens!$A$3:$A$5001,$H474),""))</f>
        <v>412</v>
      </c>
      <c r="J474" s="64">
        <f>IF(F474="","",Parâmetros!$C$4-F474)</f>
        <v>13</v>
      </c>
      <c r="K474" s="40">
        <f t="shared" si="14"/>
        <v>0</v>
      </c>
      <c r="L474" s="105" t="str">
        <f t="shared" si="15"/>
        <v/>
      </c>
      <c r="M474" s="106">
        <f>IF(I474="","",I474*Parâmetros!$C$8/15)</f>
        <v>14.557333333333334</v>
      </c>
      <c r="N474" s="106">
        <f>IF(K474="","",K474*Parâmetros!$C$8/15)</f>
        <v>0</v>
      </c>
      <c r="O474" s="28">
        <f>IF(M474="","",M474*Parâmetros!$C$5)</f>
        <v>4658.3466666666673</v>
      </c>
      <c r="P474" s="64" t="str">
        <f>IF(L474="","",IF(L474&gt;=Parâmetros!$C$10,"Sim","Não"))</f>
        <v/>
      </c>
    </row>
    <row r="475" spans="1:16" ht="15" customHeight="1" x14ac:dyDescent="0.3">
      <c r="A475" s="60">
        <v>473</v>
      </c>
      <c r="B475" s="60" t="s">
        <v>656</v>
      </c>
      <c r="C475" s="101" t="s">
        <v>183</v>
      </c>
      <c r="D475" s="101" t="s">
        <v>184</v>
      </c>
      <c r="E475" s="60">
        <v>7</v>
      </c>
      <c r="F475" s="85">
        <v>46225</v>
      </c>
      <c r="G475" s="35">
        <v>403</v>
      </c>
      <c r="H475" s="85">
        <f>IF(COUNTIFS(Pesagens!$B$3:$B$5001,$B475)=0,"",_xlfn.MAXIFS(Pesagens!$A$3:$A$5001,Pesagens!$B$3:$B$5001,$B475,Pesagens!$E$3:$E$5001,"&lt;&gt;"))</f>
        <v>46225</v>
      </c>
      <c r="I475" s="35">
        <f>IF($H475="","",IFERROR(AVERAGEIFS(Pesagens!$E$3:$E$5001,Pesagens!$B$3:$B$5001,$B475,Pesagens!$A$3:$A$5001,$H475),""))</f>
        <v>403</v>
      </c>
      <c r="J475" s="60">
        <f>IF(F475="","",Parâmetros!$C$4-F475)</f>
        <v>13</v>
      </c>
      <c r="K475" s="35">
        <f t="shared" si="14"/>
        <v>0</v>
      </c>
      <c r="L475" s="102" t="str">
        <f t="shared" si="15"/>
        <v/>
      </c>
      <c r="M475" s="103">
        <f>IF(I475="","",I475*Parâmetros!$C$8/15)</f>
        <v>14.239333333333333</v>
      </c>
      <c r="N475" s="103">
        <f>IF(K475="","",K475*Parâmetros!$C$8/15)</f>
        <v>0</v>
      </c>
      <c r="O475" s="26">
        <f>IF(M475="","",M475*Parâmetros!$C$5)</f>
        <v>4556.5866666666661</v>
      </c>
      <c r="P475" s="60" t="str">
        <f>IF(L475="","",IF(L475&gt;=Parâmetros!$C$10,"Sim","Não"))</f>
        <v/>
      </c>
    </row>
    <row r="476" spans="1:16" ht="15" customHeight="1" x14ac:dyDescent="0.3">
      <c r="A476" s="64">
        <v>474</v>
      </c>
      <c r="B476" s="64" t="s">
        <v>657</v>
      </c>
      <c r="C476" s="104" t="s">
        <v>183</v>
      </c>
      <c r="D476" s="104" t="s">
        <v>184</v>
      </c>
      <c r="E476" s="64">
        <v>7</v>
      </c>
      <c r="F476" s="86">
        <v>46225</v>
      </c>
      <c r="G476" s="40">
        <v>428</v>
      </c>
      <c r="H476" s="86">
        <f>IF(COUNTIFS(Pesagens!$B$3:$B$5001,$B476)=0,"",_xlfn.MAXIFS(Pesagens!$A$3:$A$5001,Pesagens!$B$3:$B$5001,$B476,Pesagens!$E$3:$E$5001,"&lt;&gt;"))</f>
        <v>46225</v>
      </c>
      <c r="I476" s="40">
        <f>IF($H476="","",IFERROR(AVERAGEIFS(Pesagens!$E$3:$E$5001,Pesagens!$B$3:$B$5001,$B476,Pesagens!$A$3:$A$5001,$H476),""))</f>
        <v>428</v>
      </c>
      <c r="J476" s="64">
        <f>IF(F476="","",Parâmetros!$C$4-F476)</f>
        <v>13</v>
      </c>
      <c r="K476" s="40">
        <f t="shared" si="14"/>
        <v>0</v>
      </c>
      <c r="L476" s="105" t="str">
        <f t="shared" si="15"/>
        <v/>
      </c>
      <c r="M476" s="106">
        <f>IF(I476="","",I476*Parâmetros!$C$8/15)</f>
        <v>15.122666666666667</v>
      </c>
      <c r="N476" s="106">
        <f>IF(K476="","",K476*Parâmetros!$C$8/15)</f>
        <v>0</v>
      </c>
      <c r="O476" s="28">
        <f>IF(M476="","",M476*Parâmetros!$C$5)</f>
        <v>4839.253333333334</v>
      </c>
      <c r="P476" s="64" t="str">
        <f>IF(L476="","",IF(L476&gt;=Parâmetros!$C$10,"Sim","Não"))</f>
        <v/>
      </c>
    </row>
    <row r="477" spans="1:16" ht="15" customHeight="1" x14ac:dyDescent="0.3">
      <c r="A477" s="60">
        <v>475</v>
      </c>
      <c r="B477" s="60" t="s">
        <v>658</v>
      </c>
      <c r="C477" s="101" t="s">
        <v>183</v>
      </c>
      <c r="D477" s="101" t="s">
        <v>184</v>
      </c>
      <c r="E477" s="60">
        <v>7</v>
      </c>
      <c r="F477" s="85">
        <v>46225</v>
      </c>
      <c r="G477" s="35">
        <v>413</v>
      </c>
      <c r="H477" s="85">
        <f>IF(COUNTIFS(Pesagens!$B$3:$B$5001,$B477)=0,"",_xlfn.MAXIFS(Pesagens!$A$3:$A$5001,Pesagens!$B$3:$B$5001,$B477,Pesagens!$E$3:$E$5001,"&lt;&gt;"))</f>
        <v>46225</v>
      </c>
      <c r="I477" s="35">
        <f>IF($H477="","",IFERROR(AVERAGEIFS(Pesagens!$E$3:$E$5001,Pesagens!$B$3:$B$5001,$B477,Pesagens!$A$3:$A$5001,$H477),""))</f>
        <v>413</v>
      </c>
      <c r="J477" s="60">
        <f>IF(F477="","",Parâmetros!$C$4-F477)</f>
        <v>13</v>
      </c>
      <c r="K477" s="35">
        <f t="shared" si="14"/>
        <v>0</v>
      </c>
      <c r="L477" s="102" t="str">
        <f t="shared" si="15"/>
        <v/>
      </c>
      <c r="M477" s="103">
        <f>IF(I477="","",I477*Parâmetros!$C$8/15)</f>
        <v>14.592666666666668</v>
      </c>
      <c r="N477" s="103">
        <f>IF(K477="","",K477*Parâmetros!$C$8/15)</f>
        <v>0</v>
      </c>
      <c r="O477" s="26">
        <f>IF(M477="","",M477*Parâmetros!$C$5)</f>
        <v>4669.6533333333336</v>
      </c>
      <c r="P477" s="60" t="str">
        <f>IF(L477="","",IF(L477&gt;=Parâmetros!$C$10,"Sim","Não"))</f>
        <v/>
      </c>
    </row>
    <row r="478" spans="1:16" ht="15" customHeight="1" x14ac:dyDescent="0.3">
      <c r="A478" s="64">
        <v>476</v>
      </c>
      <c r="B478" s="64" t="s">
        <v>659</v>
      </c>
      <c r="C478" s="104" t="s">
        <v>183</v>
      </c>
      <c r="D478" s="104" t="s">
        <v>184</v>
      </c>
      <c r="E478" s="64">
        <v>7</v>
      </c>
      <c r="F478" s="86">
        <v>46225</v>
      </c>
      <c r="G478" s="40">
        <v>401</v>
      </c>
      <c r="H478" s="86">
        <f>IF(COUNTIFS(Pesagens!$B$3:$B$5001,$B478)=0,"",_xlfn.MAXIFS(Pesagens!$A$3:$A$5001,Pesagens!$B$3:$B$5001,$B478,Pesagens!$E$3:$E$5001,"&lt;&gt;"))</f>
        <v>46225</v>
      </c>
      <c r="I478" s="40">
        <f>IF($H478="","",IFERROR(AVERAGEIFS(Pesagens!$E$3:$E$5001,Pesagens!$B$3:$B$5001,$B478,Pesagens!$A$3:$A$5001,$H478),""))</f>
        <v>401</v>
      </c>
      <c r="J478" s="64">
        <f>IF(F478="","",Parâmetros!$C$4-F478)</f>
        <v>13</v>
      </c>
      <c r="K478" s="40">
        <f t="shared" si="14"/>
        <v>0</v>
      </c>
      <c r="L478" s="105" t="str">
        <f t="shared" si="15"/>
        <v/>
      </c>
      <c r="M478" s="106">
        <f>IF(I478="","",I478*Parâmetros!$C$8/15)</f>
        <v>14.168666666666667</v>
      </c>
      <c r="N478" s="106">
        <f>IF(K478="","",K478*Parâmetros!$C$8/15)</f>
        <v>0</v>
      </c>
      <c r="O478" s="28">
        <f>IF(M478="","",M478*Parâmetros!$C$5)</f>
        <v>4533.9733333333334</v>
      </c>
      <c r="P478" s="64" t="str">
        <f>IF(L478="","",IF(L478&gt;=Parâmetros!$C$10,"Sim","Não"))</f>
        <v/>
      </c>
    </row>
    <row r="479" spans="1:16" ht="15" customHeight="1" x14ac:dyDescent="0.3">
      <c r="A479" s="60">
        <v>477</v>
      </c>
      <c r="B479" s="60" t="s">
        <v>660</v>
      </c>
      <c r="C479" s="101" t="s">
        <v>183</v>
      </c>
      <c r="D479" s="101" t="s">
        <v>184</v>
      </c>
      <c r="E479" s="60">
        <v>7</v>
      </c>
      <c r="F479" s="85">
        <v>46225</v>
      </c>
      <c r="G479" s="35">
        <v>430</v>
      </c>
      <c r="H479" s="85">
        <f>IF(COUNTIFS(Pesagens!$B$3:$B$5001,$B479)=0,"",_xlfn.MAXIFS(Pesagens!$A$3:$A$5001,Pesagens!$B$3:$B$5001,$B479,Pesagens!$E$3:$E$5001,"&lt;&gt;"))</f>
        <v>46225</v>
      </c>
      <c r="I479" s="35">
        <f>IF($H479="","",IFERROR(AVERAGEIFS(Pesagens!$E$3:$E$5001,Pesagens!$B$3:$B$5001,$B479,Pesagens!$A$3:$A$5001,$H479),""))</f>
        <v>430</v>
      </c>
      <c r="J479" s="60">
        <f>IF(F479="","",Parâmetros!$C$4-F479)</f>
        <v>13</v>
      </c>
      <c r="K479" s="35">
        <f t="shared" si="14"/>
        <v>0</v>
      </c>
      <c r="L479" s="102" t="str">
        <f t="shared" si="15"/>
        <v/>
      </c>
      <c r="M479" s="103">
        <f>IF(I479="","",I479*Parâmetros!$C$8/15)</f>
        <v>15.193333333333333</v>
      </c>
      <c r="N479" s="103">
        <f>IF(K479="","",K479*Parâmetros!$C$8/15)</f>
        <v>0</v>
      </c>
      <c r="O479" s="26">
        <f>IF(M479="","",M479*Parâmetros!$C$5)</f>
        <v>4861.8666666666668</v>
      </c>
      <c r="P479" s="60" t="str">
        <f>IF(L479="","",IF(L479&gt;=Parâmetros!$C$10,"Sim","Não"))</f>
        <v/>
      </c>
    </row>
    <row r="480" spans="1:16" ht="15" customHeight="1" x14ac:dyDescent="0.3">
      <c r="A480" s="64">
        <v>478</v>
      </c>
      <c r="B480" s="64" t="s">
        <v>661</v>
      </c>
      <c r="C480" s="104" t="s">
        <v>183</v>
      </c>
      <c r="D480" s="104" t="s">
        <v>184</v>
      </c>
      <c r="E480" s="64">
        <v>7</v>
      </c>
      <c r="F480" s="86">
        <v>46225</v>
      </c>
      <c r="G480" s="40">
        <v>411</v>
      </c>
      <c r="H480" s="86">
        <f>IF(COUNTIFS(Pesagens!$B$3:$B$5001,$B480)=0,"",_xlfn.MAXIFS(Pesagens!$A$3:$A$5001,Pesagens!$B$3:$B$5001,$B480,Pesagens!$E$3:$E$5001,"&lt;&gt;"))</f>
        <v>46225</v>
      </c>
      <c r="I480" s="40">
        <f>IF($H480="","",IFERROR(AVERAGEIFS(Pesagens!$E$3:$E$5001,Pesagens!$B$3:$B$5001,$B480,Pesagens!$A$3:$A$5001,$H480),""))</f>
        <v>411</v>
      </c>
      <c r="J480" s="64">
        <f>IF(F480="","",Parâmetros!$C$4-F480)</f>
        <v>13</v>
      </c>
      <c r="K480" s="40">
        <f t="shared" si="14"/>
        <v>0</v>
      </c>
      <c r="L480" s="105" t="str">
        <f t="shared" si="15"/>
        <v/>
      </c>
      <c r="M480" s="106">
        <f>IF(I480="","",I480*Parâmetros!$C$8/15)</f>
        <v>14.522</v>
      </c>
      <c r="N480" s="106">
        <f>IF(K480="","",K480*Parâmetros!$C$8/15)</f>
        <v>0</v>
      </c>
      <c r="O480" s="28">
        <f>IF(M480="","",M480*Parâmetros!$C$5)</f>
        <v>4647.04</v>
      </c>
      <c r="P480" s="64" t="str">
        <f>IF(L480="","",IF(L480&gt;=Parâmetros!$C$10,"Sim","Não"))</f>
        <v/>
      </c>
    </row>
    <row r="481" spans="1:16" ht="15" customHeight="1" x14ac:dyDescent="0.3">
      <c r="A481" s="60">
        <v>479</v>
      </c>
      <c r="B481" s="60" t="s">
        <v>662</v>
      </c>
      <c r="C481" s="101" t="s">
        <v>183</v>
      </c>
      <c r="D481" s="101" t="s">
        <v>184</v>
      </c>
      <c r="E481" s="60">
        <v>7</v>
      </c>
      <c r="F481" s="85">
        <v>46225</v>
      </c>
      <c r="G481" s="35">
        <v>407</v>
      </c>
      <c r="H481" s="85">
        <f>IF(COUNTIFS(Pesagens!$B$3:$B$5001,$B481)=0,"",_xlfn.MAXIFS(Pesagens!$A$3:$A$5001,Pesagens!$B$3:$B$5001,$B481,Pesagens!$E$3:$E$5001,"&lt;&gt;"))</f>
        <v>46225</v>
      </c>
      <c r="I481" s="35">
        <f>IF($H481="","",IFERROR(AVERAGEIFS(Pesagens!$E$3:$E$5001,Pesagens!$B$3:$B$5001,$B481,Pesagens!$A$3:$A$5001,$H481),""))</f>
        <v>407</v>
      </c>
      <c r="J481" s="60">
        <f>IF(F481="","",Parâmetros!$C$4-F481)</f>
        <v>13</v>
      </c>
      <c r="K481" s="35">
        <f t="shared" si="14"/>
        <v>0</v>
      </c>
      <c r="L481" s="102" t="str">
        <f t="shared" si="15"/>
        <v/>
      </c>
      <c r="M481" s="103">
        <f>IF(I481="","",I481*Parâmetros!$C$8/15)</f>
        <v>14.380666666666666</v>
      </c>
      <c r="N481" s="103">
        <f>IF(K481="","",K481*Parâmetros!$C$8/15)</f>
        <v>0</v>
      </c>
      <c r="O481" s="26">
        <f>IF(M481="","",M481*Parâmetros!$C$5)</f>
        <v>4601.8133333333335</v>
      </c>
      <c r="P481" s="60" t="str">
        <f>IF(L481="","",IF(L481&gt;=Parâmetros!$C$10,"Sim","Não"))</f>
        <v/>
      </c>
    </row>
    <row r="482" spans="1:16" ht="15" customHeight="1" x14ac:dyDescent="0.3">
      <c r="A482" s="64">
        <v>480</v>
      </c>
      <c r="B482" s="64" t="s">
        <v>663</v>
      </c>
      <c r="C482" s="104" t="s">
        <v>183</v>
      </c>
      <c r="D482" s="104" t="s">
        <v>184</v>
      </c>
      <c r="E482" s="64">
        <v>7</v>
      </c>
      <c r="F482" s="86">
        <v>46225</v>
      </c>
      <c r="G482" s="40">
        <v>408</v>
      </c>
      <c r="H482" s="86">
        <f>IF(COUNTIFS(Pesagens!$B$3:$B$5001,$B482)=0,"",_xlfn.MAXIFS(Pesagens!$A$3:$A$5001,Pesagens!$B$3:$B$5001,$B482,Pesagens!$E$3:$E$5001,"&lt;&gt;"))</f>
        <v>46225</v>
      </c>
      <c r="I482" s="40">
        <f>IF($H482="","",IFERROR(AVERAGEIFS(Pesagens!$E$3:$E$5001,Pesagens!$B$3:$B$5001,$B482,Pesagens!$A$3:$A$5001,$H482),""))</f>
        <v>408</v>
      </c>
      <c r="J482" s="64">
        <f>IF(F482="","",Parâmetros!$C$4-F482)</f>
        <v>13</v>
      </c>
      <c r="K482" s="40">
        <f t="shared" si="14"/>
        <v>0</v>
      </c>
      <c r="L482" s="105" t="str">
        <f t="shared" si="15"/>
        <v/>
      </c>
      <c r="M482" s="106">
        <f>IF(I482="","",I482*Parâmetros!$C$8/15)</f>
        <v>14.416</v>
      </c>
      <c r="N482" s="106">
        <f>IF(K482="","",K482*Parâmetros!$C$8/15)</f>
        <v>0</v>
      </c>
      <c r="O482" s="28">
        <f>IF(M482="","",M482*Parâmetros!$C$5)</f>
        <v>4613.12</v>
      </c>
      <c r="P482" s="64" t="str">
        <f>IF(L482="","",IF(L482&gt;=Parâmetros!$C$10,"Sim","Não"))</f>
        <v/>
      </c>
    </row>
    <row r="483" spans="1:16" ht="15" customHeight="1" x14ac:dyDescent="0.3">
      <c r="A483" s="60">
        <v>481</v>
      </c>
      <c r="B483" s="60" t="s">
        <v>664</v>
      </c>
      <c r="C483" s="101" t="s">
        <v>183</v>
      </c>
      <c r="D483" s="101" t="s">
        <v>184</v>
      </c>
      <c r="E483" s="60">
        <v>7</v>
      </c>
      <c r="F483" s="85">
        <v>46225</v>
      </c>
      <c r="G483" s="35">
        <v>405</v>
      </c>
      <c r="H483" s="85">
        <f>IF(COUNTIFS(Pesagens!$B$3:$B$5001,$B483)=0,"",_xlfn.MAXIFS(Pesagens!$A$3:$A$5001,Pesagens!$B$3:$B$5001,$B483,Pesagens!$E$3:$E$5001,"&lt;&gt;"))</f>
        <v>46225</v>
      </c>
      <c r="I483" s="35">
        <f>IF($H483="","",IFERROR(AVERAGEIFS(Pesagens!$E$3:$E$5001,Pesagens!$B$3:$B$5001,$B483,Pesagens!$A$3:$A$5001,$H483),""))</f>
        <v>405</v>
      </c>
      <c r="J483" s="60">
        <f>IF(F483="","",Parâmetros!$C$4-F483)</f>
        <v>13</v>
      </c>
      <c r="K483" s="35">
        <f t="shared" si="14"/>
        <v>0</v>
      </c>
      <c r="L483" s="102" t="str">
        <f t="shared" si="15"/>
        <v/>
      </c>
      <c r="M483" s="103">
        <f>IF(I483="","",I483*Parâmetros!$C$8/15)</f>
        <v>14.31</v>
      </c>
      <c r="N483" s="103">
        <f>IF(K483="","",K483*Parâmetros!$C$8/15)</f>
        <v>0</v>
      </c>
      <c r="O483" s="26">
        <f>IF(M483="","",M483*Parâmetros!$C$5)</f>
        <v>4579.2</v>
      </c>
      <c r="P483" s="60" t="str">
        <f>IF(L483="","",IF(L483&gt;=Parâmetros!$C$10,"Sim","Não"))</f>
        <v/>
      </c>
    </row>
    <row r="484" spans="1:16" ht="15" customHeight="1" x14ac:dyDescent="0.3">
      <c r="A484" s="64">
        <v>482</v>
      </c>
      <c r="B484" s="64" t="s">
        <v>665</v>
      </c>
      <c r="C484" s="104" t="s">
        <v>183</v>
      </c>
      <c r="D484" s="104" t="s">
        <v>184</v>
      </c>
      <c r="E484" s="64">
        <v>7</v>
      </c>
      <c r="F484" s="86">
        <v>46225</v>
      </c>
      <c r="G484" s="40">
        <v>415</v>
      </c>
      <c r="H484" s="86">
        <f>IF(COUNTIFS(Pesagens!$B$3:$B$5001,$B484)=0,"",_xlfn.MAXIFS(Pesagens!$A$3:$A$5001,Pesagens!$B$3:$B$5001,$B484,Pesagens!$E$3:$E$5001,"&lt;&gt;"))</f>
        <v>46225</v>
      </c>
      <c r="I484" s="40">
        <f>IF($H484="","",IFERROR(AVERAGEIFS(Pesagens!$E$3:$E$5001,Pesagens!$B$3:$B$5001,$B484,Pesagens!$A$3:$A$5001,$H484),""))</f>
        <v>415</v>
      </c>
      <c r="J484" s="64">
        <f>IF(F484="","",Parâmetros!$C$4-F484)</f>
        <v>13</v>
      </c>
      <c r="K484" s="40">
        <f t="shared" si="14"/>
        <v>0</v>
      </c>
      <c r="L484" s="105" t="str">
        <f t="shared" si="15"/>
        <v/>
      </c>
      <c r="M484" s="106">
        <f>IF(I484="","",I484*Parâmetros!$C$8/15)</f>
        <v>14.663333333333334</v>
      </c>
      <c r="N484" s="106">
        <f>IF(K484="","",K484*Parâmetros!$C$8/15)</f>
        <v>0</v>
      </c>
      <c r="O484" s="28">
        <f>IF(M484="","",M484*Parâmetros!$C$5)</f>
        <v>4692.2666666666664</v>
      </c>
      <c r="P484" s="64" t="str">
        <f>IF(L484="","",IF(L484&gt;=Parâmetros!$C$10,"Sim","Não"))</f>
        <v/>
      </c>
    </row>
    <row r="485" spans="1:16" ht="15" customHeight="1" x14ac:dyDescent="0.3">
      <c r="A485" s="60">
        <v>483</v>
      </c>
      <c r="B485" s="60" t="s">
        <v>666</v>
      </c>
      <c r="C485" s="101" t="s">
        <v>183</v>
      </c>
      <c r="D485" s="101" t="s">
        <v>184</v>
      </c>
      <c r="E485" s="60">
        <v>7</v>
      </c>
      <c r="F485" s="85">
        <v>46225</v>
      </c>
      <c r="G485" s="35">
        <v>404</v>
      </c>
      <c r="H485" s="85">
        <f>IF(COUNTIFS(Pesagens!$B$3:$B$5001,$B485)=0,"",_xlfn.MAXIFS(Pesagens!$A$3:$A$5001,Pesagens!$B$3:$B$5001,$B485,Pesagens!$E$3:$E$5001,"&lt;&gt;"))</f>
        <v>46225</v>
      </c>
      <c r="I485" s="35">
        <f>IF($H485="","",IFERROR(AVERAGEIFS(Pesagens!$E$3:$E$5001,Pesagens!$B$3:$B$5001,$B485,Pesagens!$A$3:$A$5001,$H485),""))</f>
        <v>404</v>
      </c>
      <c r="J485" s="60">
        <f>IF(F485="","",Parâmetros!$C$4-F485)</f>
        <v>13</v>
      </c>
      <c r="K485" s="35">
        <f t="shared" si="14"/>
        <v>0</v>
      </c>
      <c r="L485" s="102" t="str">
        <f t="shared" si="15"/>
        <v/>
      </c>
      <c r="M485" s="103">
        <f>IF(I485="","",I485*Parâmetros!$C$8/15)</f>
        <v>14.274666666666667</v>
      </c>
      <c r="N485" s="103">
        <f>IF(K485="","",K485*Parâmetros!$C$8/15)</f>
        <v>0</v>
      </c>
      <c r="O485" s="26">
        <f>IF(M485="","",M485*Parâmetros!$C$5)</f>
        <v>4567.8933333333334</v>
      </c>
      <c r="P485" s="60" t="str">
        <f>IF(L485="","",IF(L485&gt;=Parâmetros!$C$10,"Sim","Não"))</f>
        <v/>
      </c>
    </row>
    <row r="486" spans="1:16" ht="15" customHeight="1" x14ac:dyDescent="0.3">
      <c r="A486" s="64">
        <v>484</v>
      </c>
      <c r="B486" s="64" t="s">
        <v>667</v>
      </c>
      <c r="C486" s="104" t="s">
        <v>183</v>
      </c>
      <c r="D486" s="104" t="s">
        <v>184</v>
      </c>
      <c r="E486" s="64">
        <v>7</v>
      </c>
      <c r="F486" s="86">
        <v>46225</v>
      </c>
      <c r="G486" s="40">
        <v>413</v>
      </c>
      <c r="H486" s="86">
        <f>IF(COUNTIFS(Pesagens!$B$3:$B$5001,$B486)=0,"",_xlfn.MAXIFS(Pesagens!$A$3:$A$5001,Pesagens!$B$3:$B$5001,$B486,Pesagens!$E$3:$E$5001,"&lt;&gt;"))</f>
        <v>46225</v>
      </c>
      <c r="I486" s="40">
        <f>IF($H486="","",IFERROR(AVERAGEIFS(Pesagens!$E$3:$E$5001,Pesagens!$B$3:$B$5001,$B486,Pesagens!$A$3:$A$5001,$H486),""))</f>
        <v>413</v>
      </c>
      <c r="J486" s="64">
        <f>IF(F486="","",Parâmetros!$C$4-F486)</f>
        <v>13</v>
      </c>
      <c r="K486" s="40">
        <f t="shared" si="14"/>
        <v>0</v>
      </c>
      <c r="L486" s="105" t="str">
        <f t="shared" si="15"/>
        <v/>
      </c>
      <c r="M486" s="106">
        <f>IF(I486="","",I486*Parâmetros!$C$8/15)</f>
        <v>14.592666666666668</v>
      </c>
      <c r="N486" s="106">
        <f>IF(K486="","",K486*Parâmetros!$C$8/15)</f>
        <v>0</v>
      </c>
      <c r="O486" s="28">
        <f>IF(M486="","",M486*Parâmetros!$C$5)</f>
        <v>4669.6533333333336</v>
      </c>
      <c r="P486" s="64" t="str">
        <f>IF(L486="","",IF(L486&gt;=Parâmetros!$C$10,"Sim","Não"))</f>
        <v/>
      </c>
    </row>
    <row r="487" spans="1:16" ht="15" customHeight="1" x14ac:dyDescent="0.3">
      <c r="A487" s="60">
        <v>485</v>
      </c>
      <c r="B487" s="60" t="s">
        <v>668</v>
      </c>
      <c r="C487" s="101" t="s">
        <v>183</v>
      </c>
      <c r="D487" s="101" t="s">
        <v>184</v>
      </c>
      <c r="E487" s="60">
        <v>7</v>
      </c>
      <c r="F487" s="85">
        <v>46225</v>
      </c>
      <c r="G487" s="35">
        <v>426</v>
      </c>
      <c r="H487" s="85">
        <f>IF(COUNTIFS(Pesagens!$B$3:$B$5001,$B487)=0,"",_xlfn.MAXIFS(Pesagens!$A$3:$A$5001,Pesagens!$B$3:$B$5001,$B487,Pesagens!$E$3:$E$5001,"&lt;&gt;"))</f>
        <v>46225</v>
      </c>
      <c r="I487" s="35">
        <f>IF($H487="","",IFERROR(AVERAGEIFS(Pesagens!$E$3:$E$5001,Pesagens!$B$3:$B$5001,$B487,Pesagens!$A$3:$A$5001,$H487),""))</f>
        <v>426</v>
      </c>
      <c r="J487" s="60">
        <f>IF(F487="","",Parâmetros!$C$4-F487)</f>
        <v>13</v>
      </c>
      <c r="K487" s="35">
        <f t="shared" si="14"/>
        <v>0</v>
      </c>
      <c r="L487" s="102" t="str">
        <f t="shared" si="15"/>
        <v/>
      </c>
      <c r="M487" s="103">
        <f>IF(I487="","",I487*Parâmetros!$C$8/15)</f>
        <v>15.052</v>
      </c>
      <c r="N487" s="103">
        <f>IF(K487="","",K487*Parâmetros!$C$8/15)</f>
        <v>0</v>
      </c>
      <c r="O487" s="26">
        <f>IF(M487="","",M487*Parâmetros!$C$5)</f>
        <v>4816.6399999999994</v>
      </c>
      <c r="P487" s="60" t="str">
        <f>IF(L487="","",IF(L487&gt;=Parâmetros!$C$10,"Sim","Não"))</f>
        <v/>
      </c>
    </row>
    <row r="488" spans="1:16" ht="15" customHeight="1" x14ac:dyDescent="0.3">
      <c r="A488" s="64">
        <v>486</v>
      </c>
      <c r="B488" s="64" t="s">
        <v>669</v>
      </c>
      <c r="C488" s="104" t="s">
        <v>183</v>
      </c>
      <c r="D488" s="104" t="s">
        <v>184</v>
      </c>
      <c r="E488" s="64">
        <v>7</v>
      </c>
      <c r="F488" s="86">
        <v>46225</v>
      </c>
      <c r="G488" s="40">
        <v>430</v>
      </c>
      <c r="H488" s="86">
        <f>IF(COUNTIFS(Pesagens!$B$3:$B$5001,$B488)=0,"",_xlfn.MAXIFS(Pesagens!$A$3:$A$5001,Pesagens!$B$3:$B$5001,$B488,Pesagens!$E$3:$E$5001,"&lt;&gt;"))</f>
        <v>46225</v>
      </c>
      <c r="I488" s="40">
        <f>IF($H488="","",IFERROR(AVERAGEIFS(Pesagens!$E$3:$E$5001,Pesagens!$B$3:$B$5001,$B488,Pesagens!$A$3:$A$5001,$H488),""))</f>
        <v>430</v>
      </c>
      <c r="J488" s="64">
        <f>IF(F488="","",Parâmetros!$C$4-F488)</f>
        <v>13</v>
      </c>
      <c r="K488" s="40">
        <f t="shared" si="14"/>
        <v>0</v>
      </c>
      <c r="L488" s="105" t="str">
        <f t="shared" si="15"/>
        <v/>
      </c>
      <c r="M488" s="106">
        <f>IF(I488="","",I488*Parâmetros!$C$8/15)</f>
        <v>15.193333333333333</v>
      </c>
      <c r="N488" s="106">
        <f>IF(K488="","",K488*Parâmetros!$C$8/15)</f>
        <v>0</v>
      </c>
      <c r="O488" s="28">
        <f>IF(M488="","",M488*Parâmetros!$C$5)</f>
        <v>4861.8666666666668</v>
      </c>
      <c r="P488" s="64" t="str">
        <f>IF(L488="","",IF(L488&gt;=Parâmetros!$C$10,"Sim","Não"))</f>
        <v/>
      </c>
    </row>
    <row r="489" spans="1:16" ht="15" customHeight="1" x14ac:dyDescent="0.3">
      <c r="A489" s="60">
        <v>487</v>
      </c>
      <c r="B489" s="60" t="s">
        <v>670</v>
      </c>
      <c r="C489" s="101" t="s">
        <v>183</v>
      </c>
      <c r="D489" s="101" t="s">
        <v>184</v>
      </c>
      <c r="E489" s="60">
        <v>7</v>
      </c>
      <c r="F489" s="85">
        <v>46225</v>
      </c>
      <c r="G489" s="35">
        <v>432</v>
      </c>
      <c r="H489" s="85">
        <f>IF(COUNTIFS(Pesagens!$B$3:$B$5001,$B489)=0,"",_xlfn.MAXIFS(Pesagens!$A$3:$A$5001,Pesagens!$B$3:$B$5001,$B489,Pesagens!$E$3:$E$5001,"&lt;&gt;"))</f>
        <v>46225</v>
      </c>
      <c r="I489" s="35">
        <f>IF($H489="","",IFERROR(AVERAGEIFS(Pesagens!$E$3:$E$5001,Pesagens!$B$3:$B$5001,$B489,Pesagens!$A$3:$A$5001,$H489),""))</f>
        <v>432</v>
      </c>
      <c r="J489" s="60">
        <f>IF(F489="","",Parâmetros!$C$4-F489)</f>
        <v>13</v>
      </c>
      <c r="K489" s="35">
        <f t="shared" si="14"/>
        <v>0</v>
      </c>
      <c r="L489" s="102" t="str">
        <f t="shared" si="15"/>
        <v/>
      </c>
      <c r="M489" s="103">
        <f>IF(I489="","",I489*Parâmetros!$C$8/15)</f>
        <v>15.264000000000001</v>
      </c>
      <c r="N489" s="103">
        <f>IF(K489="","",K489*Parâmetros!$C$8/15)</f>
        <v>0</v>
      </c>
      <c r="O489" s="26">
        <f>IF(M489="","",M489*Parâmetros!$C$5)</f>
        <v>4884.4800000000005</v>
      </c>
      <c r="P489" s="60" t="str">
        <f>IF(L489="","",IF(L489&gt;=Parâmetros!$C$10,"Sim","Não"))</f>
        <v/>
      </c>
    </row>
    <row r="490" spans="1:16" ht="15" customHeight="1" x14ac:dyDescent="0.3">
      <c r="A490" s="64">
        <v>488</v>
      </c>
      <c r="B490" s="64" t="s">
        <v>671</v>
      </c>
      <c r="C490" s="104" t="s">
        <v>183</v>
      </c>
      <c r="D490" s="104" t="s">
        <v>184</v>
      </c>
      <c r="E490" s="64">
        <v>7</v>
      </c>
      <c r="F490" s="86">
        <v>46225</v>
      </c>
      <c r="G490" s="40">
        <v>415</v>
      </c>
      <c r="H490" s="86">
        <f>IF(COUNTIFS(Pesagens!$B$3:$B$5001,$B490)=0,"",_xlfn.MAXIFS(Pesagens!$A$3:$A$5001,Pesagens!$B$3:$B$5001,$B490,Pesagens!$E$3:$E$5001,"&lt;&gt;"))</f>
        <v>46225</v>
      </c>
      <c r="I490" s="40">
        <f>IF($H490="","",IFERROR(AVERAGEIFS(Pesagens!$E$3:$E$5001,Pesagens!$B$3:$B$5001,$B490,Pesagens!$A$3:$A$5001,$H490),""))</f>
        <v>415</v>
      </c>
      <c r="J490" s="64">
        <f>IF(F490="","",Parâmetros!$C$4-F490)</f>
        <v>13</v>
      </c>
      <c r="K490" s="40">
        <f t="shared" si="14"/>
        <v>0</v>
      </c>
      <c r="L490" s="105" t="str">
        <f t="shared" si="15"/>
        <v/>
      </c>
      <c r="M490" s="106">
        <f>IF(I490="","",I490*Parâmetros!$C$8/15)</f>
        <v>14.663333333333334</v>
      </c>
      <c r="N490" s="106">
        <f>IF(K490="","",K490*Parâmetros!$C$8/15)</f>
        <v>0</v>
      </c>
      <c r="O490" s="28">
        <f>IF(M490="","",M490*Parâmetros!$C$5)</f>
        <v>4692.2666666666664</v>
      </c>
      <c r="P490" s="64" t="str">
        <f>IF(L490="","",IF(L490&gt;=Parâmetros!$C$10,"Sim","Não"))</f>
        <v/>
      </c>
    </row>
    <row r="491" spans="1:16" ht="15" customHeight="1" x14ac:dyDescent="0.3">
      <c r="A491" s="60">
        <v>489</v>
      </c>
      <c r="B491" s="60" t="s">
        <v>672</v>
      </c>
      <c r="C491" s="101" t="s">
        <v>183</v>
      </c>
      <c r="D491" s="101" t="s">
        <v>184</v>
      </c>
      <c r="E491" s="60">
        <v>7</v>
      </c>
      <c r="F491" s="85">
        <v>46225</v>
      </c>
      <c r="G491" s="35">
        <v>412</v>
      </c>
      <c r="H491" s="85">
        <f>IF(COUNTIFS(Pesagens!$B$3:$B$5001,$B491)=0,"",_xlfn.MAXIFS(Pesagens!$A$3:$A$5001,Pesagens!$B$3:$B$5001,$B491,Pesagens!$E$3:$E$5001,"&lt;&gt;"))</f>
        <v>46225</v>
      </c>
      <c r="I491" s="35">
        <f>IF($H491="","",IFERROR(AVERAGEIFS(Pesagens!$E$3:$E$5001,Pesagens!$B$3:$B$5001,$B491,Pesagens!$A$3:$A$5001,$H491),""))</f>
        <v>412</v>
      </c>
      <c r="J491" s="60">
        <f>IF(F491="","",Parâmetros!$C$4-F491)</f>
        <v>13</v>
      </c>
      <c r="K491" s="35">
        <f t="shared" si="14"/>
        <v>0</v>
      </c>
      <c r="L491" s="102" t="str">
        <f t="shared" si="15"/>
        <v/>
      </c>
      <c r="M491" s="103">
        <f>IF(I491="","",I491*Parâmetros!$C$8/15)</f>
        <v>14.557333333333334</v>
      </c>
      <c r="N491" s="103">
        <f>IF(K491="","",K491*Parâmetros!$C$8/15)</f>
        <v>0</v>
      </c>
      <c r="O491" s="26">
        <f>IF(M491="","",M491*Parâmetros!$C$5)</f>
        <v>4658.3466666666673</v>
      </c>
      <c r="P491" s="60" t="str">
        <f>IF(L491="","",IF(L491&gt;=Parâmetros!$C$10,"Sim","Não"))</f>
        <v/>
      </c>
    </row>
    <row r="492" spans="1:16" ht="15" customHeight="1" x14ac:dyDescent="0.3">
      <c r="A492" s="64">
        <v>490</v>
      </c>
      <c r="B492" s="64" t="s">
        <v>673</v>
      </c>
      <c r="C492" s="104" t="s">
        <v>183</v>
      </c>
      <c r="D492" s="104" t="s">
        <v>184</v>
      </c>
      <c r="E492" s="64">
        <v>7</v>
      </c>
      <c r="F492" s="86">
        <v>46225</v>
      </c>
      <c r="G492" s="40">
        <v>418</v>
      </c>
      <c r="H492" s="86">
        <f>IF(COUNTIFS(Pesagens!$B$3:$B$5001,$B492)=0,"",_xlfn.MAXIFS(Pesagens!$A$3:$A$5001,Pesagens!$B$3:$B$5001,$B492,Pesagens!$E$3:$E$5001,"&lt;&gt;"))</f>
        <v>46225</v>
      </c>
      <c r="I492" s="40">
        <f>IF($H492="","",IFERROR(AVERAGEIFS(Pesagens!$E$3:$E$5001,Pesagens!$B$3:$B$5001,$B492,Pesagens!$A$3:$A$5001,$H492),""))</f>
        <v>418</v>
      </c>
      <c r="J492" s="64">
        <f>IF(F492="","",Parâmetros!$C$4-F492)</f>
        <v>13</v>
      </c>
      <c r="K492" s="40">
        <f t="shared" si="14"/>
        <v>0</v>
      </c>
      <c r="L492" s="105" t="str">
        <f t="shared" si="15"/>
        <v/>
      </c>
      <c r="M492" s="106">
        <f>IF(I492="","",I492*Parâmetros!$C$8/15)</f>
        <v>14.769333333333334</v>
      </c>
      <c r="N492" s="106">
        <f>IF(K492="","",K492*Parâmetros!$C$8/15)</f>
        <v>0</v>
      </c>
      <c r="O492" s="28">
        <f>IF(M492="","",M492*Parâmetros!$C$5)</f>
        <v>4726.1866666666665</v>
      </c>
      <c r="P492" s="64" t="str">
        <f>IF(L492="","",IF(L492&gt;=Parâmetros!$C$10,"Sim","Não"))</f>
        <v/>
      </c>
    </row>
    <row r="493" spans="1:16" ht="15" customHeight="1" x14ac:dyDescent="0.3">
      <c r="A493" s="60">
        <v>491</v>
      </c>
      <c r="B493" s="60" t="s">
        <v>674</v>
      </c>
      <c r="C493" s="101" t="s">
        <v>183</v>
      </c>
      <c r="D493" s="101" t="s">
        <v>184</v>
      </c>
      <c r="E493" s="60">
        <v>7</v>
      </c>
      <c r="F493" s="85">
        <v>46225</v>
      </c>
      <c r="G493" s="35">
        <v>420</v>
      </c>
      <c r="H493" s="85">
        <f>IF(COUNTIFS(Pesagens!$B$3:$B$5001,$B493)=0,"",_xlfn.MAXIFS(Pesagens!$A$3:$A$5001,Pesagens!$B$3:$B$5001,$B493,Pesagens!$E$3:$E$5001,"&lt;&gt;"))</f>
        <v>46225</v>
      </c>
      <c r="I493" s="35">
        <f>IF($H493="","",IFERROR(AVERAGEIFS(Pesagens!$E$3:$E$5001,Pesagens!$B$3:$B$5001,$B493,Pesagens!$A$3:$A$5001,$H493),""))</f>
        <v>420</v>
      </c>
      <c r="J493" s="60">
        <f>IF(F493="","",Parâmetros!$C$4-F493)</f>
        <v>13</v>
      </c>
      <c r="K493" s="35">
        <f t="shared" si="14"/>
        <v>0</v>
      </c>
      <c r="L493" s="102" t="str">
        <f t="shared" si="15"/>
        <v/>
      </c>
      <c r="M493" s="103">
        <f>IF(I493="","",I493*Parâmetros!$C$8/15)</f>
        <v>14.840000000000002</v>
      </c>
      <c r="N493" s="103">
        <f>IF(K493="","",K493*Parâmetros!$C$8/15)</f>
        <v>0</v>
      </c>
      <c r="O493" s="26">
        <f>IF(M493="","",M493*Parâmetros!$C$5)</f>
        <v>4748.8</v>
      </c>
      <c r="P493" s="60" t="str">
        <f>IF(L493="","",IF(L493&gt;=Parâmetros!$C$10,"Sim","Não"))</f>
        <v/>
      </c>
    </row>
    <row r="494" spans="1:16" ht="15" customHeight="1" x14ac:dyDescent="0.3">
      <c r="A494" s="64">
        <v>492</v>
      </c>
      <c r="B494" s="64" t="s">
        <v>675</v>
      </c>
      <c r="C494" s="104" t="s">
        <v>183</v>
      </c>
      <c r="D494" s="104" t="s">
        <v>184</v>
      </c>
      <c r="E494" s="64">
        <v>7</v>
      </c>
      <c r="F494" s="86">
        <v>46225</v>
      </c>
      <c r="G494" s="40">
        <v>418</v>
      </c>
      <c r="H494" s="86">
        <f>IF(COUNTIFS(Pesagens!$B$3:$B$5001,$B494)=0,"",_xlfn.MAXIFS(Pesagens!$A$3:$A$5001,Pesagens!$B$3:$B$5001,$B494,Pesagens!$E$3:$E$5001,"&lt;&gt;"))</f>
        <v>46225</v>
      </c>
      <c r="I494" s="40">
        <f>IF($H494="","",IFERROR(AVERAGEIFS(Pesagens!$E$3:$E$5001,Pesagens!$B$3:$B$5001,$B494,Pesagens!$A$3:$A$5001,$H494),""))</f>
        <v>418</v>
      </c>
      <c r="J494" s="64">
        <f>IF(F494="","",Parâmetros!$C$4-F494)</f>
        <v>13</v>
      </c>
      <c r="K494" s="40">
        <f t="shared" si="14"/>
        <v>0</v>
      </c>
      <c r="L494" s="105" t="str">
        <f t="shared" si="15"/>
        <v/>
      </c>
      <c r="M494" s="106">
        <f>IF(I494="","",I494*Parâmetros!$C$8/15)</f>
        <v>14.769333333333334</v>
      </c>
      <c r="N494" s="106">
        <f>IF(K494="","",K494*Parâmetros!$C$8/15)</f>
        <v>0</v>
      </c>
      <c r="O494" s="28">
        <f>IF(M494="","",M494*Parâmetros!$C$5)</f>
        <v>4726.1866666666665</v>
      </c>
      <c r="P494" s="64" t="str">
        <f>IF(L494="","",IF(L494&gt;=Parâmetros!$C$10,"Sim","Não"))</f>
        <v/>
      </c>
    </row>
    <row r="495" spans="1:16" ht="15" customHeight="1" x14ac:dyDescent="0.3">
      <c r="A495" s="60">
        <v>493</v>
      </c>
      <c r="B495" s="60" t="s">
        <v>676</v>
      </c>
      <c r="C495" s="101" t="s">
        <v>183</v>
      </c>
      <c r="D495" s="101" t="s">
        <v>184</v>
      </c>
      <c r="E495" s="60">
        <v>7</v>
      </c>
      <c r="F495" s="85">
        <v>46225</v>
      </c>
      <c r="G495" s="35">
        <v>416</v>
      </c>
      <c r="H495" s="85">
        <f>IF(COUNTIFS(Pesagens!$B$3:$B$5001,$B495)=0,"",_xlfn.MAXIFS(Pesagens!$A$3:$A$5001,Pesagens!$B$3:$B$5001,$B495,Pesagens!$E$3:$E$5001,"&lt;&gt;"))</f>
        <v>46225</v>
      </c>
      <c r="I495" s="35">
        <f>IF($H495="","",IFERROR(AVERAGEIFS(Pesagens!$E$3:$E$5001,Pesagens!$B$3:$B$5001,$B495,Pesagens!$A$3:$A$5001,$H495),""))</f>
        <v>416</v>
      </c>
      <c r="J495" s="60">
        <f>IF(F495="","",Parâmetros!$C$4-F495)</f>
        <v>13</v>
      </c>
      <c r="K495" s="35">
        <f t="shared" si="14"/>
        <v>0</v>
      </c>
      <c r="L495" s="102" t="str">
        <f t="shared" si="15"/>
        <v/>
      </c>
      <c r="M495" s="103">
        <f>IF(I495="","",I495*Parâmetros!$C$8/15)</f>
        <v>14.698666666666668</v>
      </c>
      <c r="N495" s="103">
        <f>IF(K495="","",K495*Parâmetros!$C$8/15)</f>
        <v>0</v>
      </c>
      <c r="O495" s="26">
        <f>IF(M495="","",M495*Parâmetros!$C$5)</f>
        <v>4703.5733333333337</v>
      </c>
      <c r="P495" s="60" t="str">
        <f>IF(L495="","",IF(L495&gt;=Parâmetros!$C$10,"Sim","Não"))</f>
        <v/>
      </c>
    </row>
    <row r="496" spans="1:16" ht="15" customHeight="1" x14ac:dyDescent="0.3">
      <c r="A496" s="64">
        <v>494</v>
      </c>
      <c r="B496" s="64" t="s">
        <v>677</v>
      </c>
      <c r="C496" s="104" t="s">
        <v>183</v>
      </c>
      <c r="D496" s="104" t="s">
        <v>184</v>
      </c>
      <c r="E496" s="64">
        <v>7</v>
      </c>
      <c r="F496" s="86">
        <v>46225</v>
      </c>
      <c r="G496" s="40">
        <v>419</v>
      </c>
      <c r="H496" s="86">
        <f>IF(COUNTIFS(Pesagens!$B$3:$B$5001,$B496)=0,"",_xlfn.MAXIFS(Pesagens!$A$3:$A$5001,Pesagens!$B$3:$B$5001,$B496,Pesagens!$E$3:$E$5001,"&lt;&gt;"))</f>
        <v>46225</v>
      </c>
      <c r="I496" s="40">
        <f>IF($H496="","",IFERROR(AVERAGEIFS(Pesagens!$E$3:$E$5001,Pesagens!$B$3:$B$5001,$B496,Pesagens!$A$3:$A$5001,$H496),""))</f>
        <v>419</v>
      </c>
      <c r="J496" s="64">
        <f>IF(F496="","",Parâmetros!$C$4-F496)</f>
        <v>13</v>
      </c>
      <c r="K496" s="40">
        <f t="shared" si="14"/>
        <v>0</v>
      </c>
      <c r="L496" s="105" t="str">
        <f t="shared" si="15"/>
        <v/>
      </c>
      <c r="M496" s="106">
        <f>IF(I496="","",I496*Parâmetros!$C$8/15)</f>
        <v>14.804666666666668</v>
      </c>
      <c r="N496" s="106">
        <f>IF(K496="","",K496*Parâmetros!$C$8/15)</f>
        <v>0</v>
      </c>
      <c r="O496" s="28">
        <f>IF(M496="","",M496*Parâmetros!$C$5)</f>
        <v>4737.4933333333338</v>
      </c>
      <c r="P496" s="64" t="str">
        <f>IF(L496="","",IF(L496&gt;=Parâmetros!$C$10,"Sim","Não"))</f>
        <v/>
      </c>
    </row>
    <row r="497" spans="1:16" ht="15" customHeight="1" x14ac:dyDescent="0.3">
      <c r="A497" s="60">
        <v>495</v>
      </c>
      <c r="B497" s="60" t="s">
        <v>678</v>
      </c>
      <c r="C497" s="101" t="s">
        <v>183</v>
      </c>
      <c r="D497" s="101" t="s">
        <v>184</v>
      </c>
      <c r="E497" s="60">
        <v>7</v>
      </c>
      <c r="F497" s="85">
        <v>46225</v>
      </c>
      <c r="G497" s="35">
        <v>424</v>
      </c>
      <c r="H497" s="85">
        <f>IF(COUNTIFS(Pesagens!$B$3:$B$5001,$B497)=0,"",_xlfn.MAXIFS(Pesagens!$A$3:$A$5001,Pesagens!$B$3:$B$5001,$B497,Pesagens!$E$3:$E$5001,"&lt;&gt;"))</f>
        <v>46225</v>
      </c>
      <c r="I497" s="35">
        <f>IF($H497="","",IFERROR(AVERAGEIFS(Pesagens!$E$3:$E$5001,Pesagens!$B$3:$B$5001,$B497,Pesagens!$A$3:$A$5001,$H497),""))</f>
        <v>424</v>
      </c>
      <c r="J497" s="60">
        <f>IF(F497="","",Parâmetros!$C$4-F497)</f>
        <v>13</v>
      </c>
      <c r="K497" s="35">
        <f t="shared" si="14"/>
        <v>0</v>
      </c>
      <c r="L497" s="102" t="str">
        <f t="shared" si="15"/>
        <v/>
      </c>
      <c r="M497" s="103">
        <f>IF(I497="","",I497*Parâmetros!$C$8/15)</f>
        <v>14.981333333333334</v>
      </c>
      <c r="N497" s="103">
        <f>IF(K497="","",K497*Parâmetros!$C$8/15)</f>
        <v>0</v>
      </c>
      <c r="O497" s="26">
        <f>IF(M497="","",M497*Parâmetros!$C$5)</f>
        <v>4794.0266666666666</v>
      </c>
      <c r="P497" s="60" t="str">
        <f>IF(L497="","",IF(L497&gt;=Parâmetros!$C$10,"Sim","Não"))</f>
        <v/>
      </c>
    </row>
    <row r="498" spans="1:16" ht="15" customHeight="1" x14ac:dyDescent="0.3">
      <c r="A498" s="64">
        <v>496</v>
      </c>
      <c r="B498" s="64" t="s">
        <v>679</v>
      </c>
      <c r="C498" s="104" t="s">
        <v>183</v>
      </c>
      <c r="D498" s="104" t="s">
        <v>184</v>
      </c>
      <c r="E498" s="64">
        <v>7</v>
      </c>
      <c r="F498" s="86">
        <v>46225</v>
      </c>
      <c r="G498" s="40">
        <v>433</v>
      </c>
      <c r="H498" s="86">
        <f>IF(COUNTIFS(Pesagens!$B$3:$B$5001,$B498)=0,"",_xlfn.MAXIFS(Pesagens!$A$3:$A$5001,Pesagens!$B$3:$B$5001,$B498,Pesagens!$E$3:$E$5001,"&lt;&gt;"))</f>
        <v>46225</v>
      </c>
      <c r="I498" s="40">
        <f>IF($H498="","",IFERROR(AVERAGEIFS(Pesagens!$E$3:$E$5001,Pesagens!$B$3:$B$5001,$B498,Pesagens!$A$3:$A$5001,$H498),""))</f>
        <v>433</v>
      </c>
      <c r="J498" s="64">
        <f>IF(F498="","",Parâmetros!$C$4-F498)</f>
        <v>13</v>
      </c>
      <c r="K498" s="40">
        <f t="shared" si="14"/>
        <v>0</v>
      </c>
      <c r="L498" s="105" t="str">
        <f t="shared" si="15"/>
        <v/>
      </c>
      <c r="M498" s="106">
        <f>IF(I498="","",I498*Parâmetros!$C$8/15)</f>
        <v>15.299333333333333</v>
      </c>
      <c r="N498" s="106">
        <f>IF(K498="","",K498*Parâmetros!$C$8/15)</f>
        <v>0</v>
      </c>
      <c r="O498" s="28">
        <f>IF(M498="","",M498*Parâmetros!$C$5)</f>
        <v>4895.7866666666669</v>
      </c>
      <c r="P498" s="64" t="str">
        <f>IF(L498="","",IF(L498&gt;=Parâmetros!$C$10,"Sim","Não"))</f>
        <v/>
      </c>
    </row>
    <row r="499" spans="1:16" ht="15" customHeight="1" x14ac:dyDescent="0.3">
      <c r="A499" s="60">
        <v>497</v>
      </c>
      <c r="B499" s="60" t="s">
        <v>680</v>
      </c>
      <c r="C499" s="101" t="s">
        <v>183</v>
      </c>
      <c r="D499" s="101" t="s">
        <v>184</v>
      </c>
      <c r="E499" s="60">
        <v>7</v>
      </c>
      <c r="F499" s="85">
        <v>46225</v>
      </c>
      <c r="G499" s="35">
        <v>416</v>
      </c>
      <c r="H499" s="85">
        <f>IF(COUNTIFS(Pesagens!$B$3:$B$5001,$B499)=0,"",_xlfn.MAXIFS(Pesagens!$A$3:$A$5001,Pesagens!$B$3:$B$5001,$B499,Pesagens!$E$3:$E$5001,"&lt;&gt;"))</f>
        <v>46225</v>
      </c>
      <c r="I499" s="35">
        <f>IF($H499="","",IFERROR(AVERAGEIFS(Pesagens!$E$3:$E$5001,Pesagens!$B$3:$B$5001,$B499,Pesagens!$A$3:$A$5001,$H499),""))</f>
        <v>416</v>
      </c>
      <c r="J499" s="60">
        <f>IF(F499="","",Parâmetros!$C$4-F499)</f>
        <v>13</v>
      </c>
      <c r="K499" s="35">
        <f t="shared" si="14"/>
        <v>0</v>
      </c>
      <c r="L499" s="102" t="str">
        <f t="shared" si="15"/>
        <v/>
      </c>
      <c r="M499" s="103">
        <f>IF(I499="","",I499*Parâmetros!$C$8/15)</f>
        <v>14.698666666666668</v>
      </c>
      <c r="N499" s="103">
        <f>IF(K499="","",K499*Parâmetros!$C$8/15)</f>
        <v>0</v>
      </c>
      <c r="O499" s="26">
        <f>IF(M499="","",M499*Parâmetros!$C$5)</f>
        <v>4703.5733333333337</v>
      </c>
      <c r="P499" s="60" t="str">
        <f>IF(L499="","",IF(L499&gt;=Parâmetros!$C$10,"Sim","Não"))</f>
        <v/>
      </c>
    </row>
    <row r="500" spans="1:16" ht="15" customHeight="1" x14ac:dyDescent="0.3">
      <c r="A500" s="64">
        <v>498</v>
      </c>
      <c r="B500" s="64" t="s">
        <v>681</v>
      </c>
      <c r="C500" s="104" t="s">
        <v>183</v>
      </c>
      <c r="D500" s="104" t="s">
        <v>184</v>
      </c>
      <c r="E500" s="64">
        <v>7</v>
      </c>
      <c r="F500" s="86">
        <v>46225</v>
      </c>
      <c r="G500" s="40">
        <v>413</v>
      </c>
      <c r="H500" s="86">
        <f>IF(COUNTIFS(Pesagens!$B$3:$B$5001,$B500)=0,"",_xlfn.MAXIFS(Pesagens!$A$3:$A$5001,Pesagens!$B$3:$B$5001,$B500,Pesagens!$E$3:$E$5001,"&lt;&gt;"))</f>
        <v>46225</v>
      </c>
      <c r="I500" s="40">
        <f>IF($H500="","",IFERROR(AVERAGEIFS(Pesagens!$E$3:$E$5001,Pesagens!$B$3:$B$5001,$B500,Pesagens!$A$3:$A$5001,$H500),""))</f>
        <v>413</v>
      </c>
      <c r="J500" s="64">
        <f>IF(F500="","",Parâmetros!$C$4-F500)</f>
        <v>13</v>
      </c>
      <c r="K500" s="40">
        <f t="shared" si="14"/>
        <v>0</v>
      </c>
      <c r="L500" s="105" t="str">
        <f t="shared" si="15"/>
        <v/>
      </c>
      <c r="M500" s="106">
        <f>IF(I500="","",I500*Parâmetros!$C$8/15)</f>
        <v>14.592666666666668</v>
      </c>
      <c r="N500" s="106">
        <f>IF(K500="","",K500*Parâmetros!$C$8/15)</f>
        <v>0</v>
      </c>
      <c r="O500" s="28">
        <f>IF(M500="","",M500*Parâmetros!$C$5)</f>
        <v>4669.6533333333336</v>
      </c>
      <c r="P500" s="64" t="str">
        <f>IF(L500="","",IF(L500&gt;=Parâmetros!$C$10,"Sim","Não"))</f>
        <v/>
      </c>
    </row>
    <row r="501" spans="1:16" ht="15" customHeight="1" x14ac:dyDescent="0.3">
      <c r="A501" s="60">
        <v>499</v>
      </c>
      <c r="B501" s="60" t="s">
        <v>682</v>
      </c>
      <c r="C501" s="101" t="s">
        <v>183</v>
      </c>
      <c r="D501" s="101" t="s">
        <v>184</v>
      </c>
      <c r="E501" s="60">
        <v>7</v>
      </c>
      <c r="F501" s="85">
        <v>46225</v>
      </c>
      <c r="G501" s="35">
        <v>427</v>
      </c>
      <c r="H501" s="85">
        <f>IF(COUNTIFS(Pesagens!$B$3:$B$5001,$B501)=0,"",_xlfn.MAXIFS(Pesagens!$A$3:$A$5001,Pesagens!$B$3:$B$5001,$B501,Pesagens!$E$3:$E$5001,"&lt;&gt;"))</f>
        <v>46225</v>
      </c>
      <c r="I501" s="35">
        <f>IF($H501="","",IFERROR(AVERAGEIFS(Pesagens!$E$3:$E$5001,Pesagens!$B$3:$B$5001,$B501,Pesagens!$A$3:$A$5001,$H501),""))</f>
        <v>427</v>
      </c>
      <c r="J501" s="60">
        <f>IF(F501="","",Parâmetros!$C$4-F501)</f>
        <v>13</v>
      </c>
      <c r="K501" s="35">
        <f t="shared" si="14"/>
        <v>0</v>
      </c>
      <c r="L501" s="102" t="str">
        <f t="shared" si="15"/>
        <v/>
      </c>
      <c r="M501" s="103">
        <f>IF(I501="","",I501*Parâmetros!$C$8/15)</f>
        <v>15.087333333333333</v>
      </c>
      <c r="N501" s="103">
        <f>IF(K501="","",K501*Parâmetros!$C$8/15)</f>
        <v>0</v>
      </c>
      <c r="O501" s="26">
        <f>IF(M501="","",M501*Parâmetros!$C$5)</f>
        <v>4827.9466666666667</v>
      </c>
      <c r="P501" s="60" t="str">
        <f>IF(L501="","",IF(L501&gt;=Parâmetros!$C$10,"Sim","Não"))</f>
        <v/>
      </c>
    </row>
    <row r="502" spans="1:16" ht="15" customHeight="1" x14ac:dyDescent="0.3">
      <c r="A502" s="64">
        <v>500</v>
      </c>
      <c r="B502" s="64" t="s">
        <v>683</v>
      </c>
      <c r="C502" s="104" t="s">
        <v>183</v>
      </c>
      <c r="D502" s="104" t="s">
        <v>184</v>
      </c>
      <c r="E502" s="64">
        <v>7</v>
      </c>
      <c r="F502" s="86">
        <v>46225</v>
      </c>
      <c r="G502" s="40">
        <v>407</v>
      </c>
      <c r="H502" s="86">
        <f>IF(COUNTIFS(Pesagens!$B$3:$B$5001,$B502)=0,"",_xlfn.MAXIFS(Pesagens!$A$3:$A$5001,Pesagens!$B$3:$B$5001,$B502,Pesagens!$E$3:$E$5001,"&lt;&gt;"))</f>
        <v>46225</v>
      </c>
      <c r="I502" s="40">
        <f>IF($H502="","",IFERROR(AVERAGEIFS(Pesagens!$E$3:$E$5001,Pesagens!$B$3:$B$5001,$B502,Pesagens!$A$3:$A$5001,$H502),""))</f>
        <v>407</v>
      </c>
      <c r="J502" s="64">
        <f>IF(F502="","",Parâmetros!$C$4-F502)</f>
        <v>13</v>
      </c>
      <c r="K502" s="40">
        <f t="shared" si="14"/>
        <v>0</v>
      </c>
      <c r="L502" s="105" t="str">
        <f t="shared" si="15"/>
        <v/>
      </c>
      <c r="M502" s="106">
        <f>IF(I502="","",I502*Parâmetros!$C$8/15)</f>
        <v>14.380666666666666</v>
      </c>
      <c r="N502" s="106">
        <f>IF(K502="","",K502*Parâmetros!$C$8/15)</f>
        <v>0</v>
      </c>
      <c r="O502" s="28">
        <f>IF(M502="","",M502*Parâmetros!$C$5)</f>
        <v>4601.8133333333335</v>
      </c>
      <c r="P502" s="64" t="str">
        <f>IF(L502="","",IF(L502&gt;=Parâmetros!$C$10,"Sim","Não"))</f>
        <v/>
      </c>
    </row>
    <row r="503" spans="1:16" ht="15" customHeight="1" x14ac:dyDescent="0.3">
      <c r="A503" s="60">
        <v>501</v>
      </c>
      <c r="B503" s="60" t="s">
        <v>684</v>
      </c>
      <c r="C503" s="101" t="s">
        <v>183</v>
      </c>
      <c r="D503" s="101" t="s">
        <v>184</v>
      </c>
      <c r="E503" s="60">
        <v>7</v>
      </c>
      <c r="F503" s="85">
        <v>46225</v>
      </c>
      <c r="G503" s="35">
        <v>408</v>
      </c>
      <c r="H503" s="85">
        <f>IF(COUNTIFS(Pesagens!$B$3:$B$5001,$B503)=0,"",_xlfn.MAXIFS(Pesagens!$A$3:$A$5001,Pesagens!$B$3:$B$5001,$B503,Pesagens!$E$3:$E$5001,"&lt;&gt;"))</f>
        <v>46225</v>
      </c>
      <c r="I503" s="35">
        <f>IF($H503="","",IFERROR(AVERAGEIFS(Pesagens!$E$3:$E$5001,Pesagens!$B$3:$B$5001,$B503,Pesagens!$A$3:$A$5001,$H503),""))</f>
        <v>408</v>
      </c>
      <c r="J503" s="60">
        <f>IF(F503="","",Parâmetros!$C$4-F503)</f>
        <v>13</v>
      </c>
      <c r="K503" s="35">
        <f t="shared" si="14"/>
        <v>0</v>
      </c>
      <c r="L503" s="102" t="str">
        <f t="shared" si="15"/>
        <v/>
      </c>
      <c r="M503" s="103">
        <f>IF(I503="","",I503*Parâmetros!$C$8/15)</f>
        <v>14.416</v>
      </c>
      <c r="N503" s="103">
        <f>IF(K503="","",K503*Parâmetros!$C$8/15)</f>
        <v>0</v>
      </c>
      <c r="O503" s="26">
        <f>IF(M503="","",M503*Parâmetros!$C$5)</f>
        <v>4613.12</v>
      </c>
      <c r="P503" s="60" t="str">
        <f>IF(L503="","",IF(L503&gt;=Parâmetros!$C$10,"Sim","Não"))</f>
        <v/>
      </c>
    </row>
    <row r="504" spans="1:16" ht="15" customHeight="1" x14ac:dyDescent="0.3">
      <c r="A504" s="64">
        <v>502</v>
      </c>
      <c r="B504" s="64" t="s">
        <v>685</v>
      </c>
      <c r="C504" s="104" t="s">
        <v>183</v>
      </c>
      <c r="D504" s="104" t="s">
        <v>184</v>
      </c>
      <c r="E504" s="64">
        <v>7</v>
      </c>
      <c r="F504" s="86">
        <v>46225</v>
      </c>
      <c r="G504" s="40">
        <v>424</v>
      </c>
      <c r="H504" s="86">
        <f>IF(COUNTIFS(Pesagens!$B$3:$B$5001,$B504)=0,"",_xlfn.MAXIFS(Pesagens!$A$3:$A$5001,Pesagens!$B$3:$B$5001,$B504,Pesagens!$E$3:$E$5001,"&lt;&gt;"))</f>
        <v>46225</v>
      </c>
      <c r="I504" s="40">
        <f>IF($H504="","",IFERROR(AVERAGEIFS(Pesagens!$E$3:$E$5001,Pesagens!$B$3:$B$5001,$B504,Pesagens!$A$3:$A$5001,$H504),""))</f>
        <v>424</v>
      </c>
      <c r="J504" s="64">
        <f>IF(F504="","",Parâmetros!$C$4-F504)</f>
        <v>13</v>
      </c>
      <c r="K504" s="40">
        <f t="shared" si="14"/>
        <v>0</v>
      </c>
      <c r="L504" s="105" t="str">
        <f t="shared" si="15"/>
        <v/>
      </c>
      <c r="M504" s="106">
        <f>IF(I504="","",I504*Parâmetros!$C$8/15)</f>
        <v>14.981333333333334</v>
      </c>
      <c r="N504" s="106">
        <f>IF(K504="","",K504*Parâmetros!$C$8/15)</f>
        <v>0</v>
      </c>
      <c r="O504" s="28">
        <f>IF(M504="","",M504*Parâmetros!$C$5)</f>
        <v>4794.0266666666666</v>
      </c>
      <c r="P504" s="64" t="str">
        <f>IF(L504="","",IF(L504&gt;=Parâmetros!$C$10,"Sim","Não"))</f>
        <v/>
      </c>
    </row>
    <row r="505" spans="1:16" ht="15" customHeight="1" x14ac:dyDescent="0.3">
      <c r="A505" s="60">
        <v>503</v>
      </c>
      <c r="B505" s="60" t="s">
        <v>686</v>
      </c>
      <c r="C505" s="101" t="s">
        <v>183</v>
      </c>
      <c r="D505" s="101" t="s">
        <v>184</v>
      </c>
      <c r="E505" s="60">
        <v>7</v>
      </c>
      <c r="F505" s="85">
        <v>46225</v>
      </c>
      <c r="G505" s="35">
        <v>408</v>
      </c>
      <c r="H505" s="85">
        <f>IF(COUNTIFS(Pesagens!$B$3:$B$5001,$B505)=0,"",_xlfn.MAXIFS(Pesagens!$A$3:$A$5001,Pesagens!$B$3:$B$5001,$B505,Pesagens!$E$3:$E$5001,"&lt;&gt;"))</f>
        <v>46225</v>
      </c>
      <c r="I505" s="35">
        <f>IF($H505="","",IFERROR(AVERAGEIFS(Pesagens!$E$3:$E$5001,Pesagens!$B$3:$B$5001,$B505,Pesagens!$A$3:$A$5001,$H505),""))</f>
        <v>408</v>
      </c>
      <c r="J505" s="60">
        <f>IF(F505="","",Parâmetros!$C$4-F505)</f>
        <v>13</v>
      </c>
      <c r="K505" s="35">
        <f t="shared" si="14"/>
        <v>0</v>
      </c>
      <c r="L505" s="102" t="str">
        <f t="shared" si="15"/>
        <v/>
      </c>
      <c r="M505" s="103">
        <f>IF(I505="","",I505*Parâmetros!$C$8/15)</f>
        <v>14.416</v>
      </c>
      <c r="N505" s="103">
        <f>IF(K505="","",K505*Parâmetros!$C$8/15)</f>
        <v>0</v>
      </c>
      <c r="O505" s="26">
        <f>IF(M505="","",M505*Parâmetros!$C$5)</f>
        <v>4613.12</v>
      </c>
      <c r="P505" s="60" t="str">
        <f>IF(L505="","",IF(L505&gt;=Parâmetros!$C$10,"Sim","Não"))</f>
        <v/>
      </c>
    </row>
    <row r="506" spans="1:16" ht="15" customHeight="1" x14ac:dyDescent="0.3">
      <c r="A506" s="64">
        <v>504</v>
      </c>
      <c r="B506" s="64" t="s">
        <v>687</v>
      </c>
      <c r="C506" s="104" t="s">
        <v>183</v>
      </c>
      <c r="D506" s="104" t="s">
        <v>184</v>
      </c>
      <c r="E506" s="64">
        <v>7</v>
      </c>
      <c r="F506" s="86">
        <v>46225</v>
      </c>
      <c r="G506" s="40">
        <v>420</v>
      </c>
      <c r="H506" s="86">
        <f>IF(COUNTIFS(Pesagens!$B$3:$B$5001,$B506)=0,"",_xlfn.MAXIFS(Pesagens!$A$3:$A$5001,Pesagens!$B$3:$B$5001,$B506,Pesagens!$E$3:$E$5001,"&lt;&gt;"))</f>
        <v>46225</v>
      </c>
      <c r="I506" s="40">
        <f>IF($H506="","",IFERROR(AVERAGEIFS(Pesagens!$E$3:$E$5001,Pesagens!$B$3:$B$5001,$B506,Pesagens!$A$3:$A$5001,$H506),""))</f>
        <v>420</v>
      </c>
      <c r="J506" s="64">
        <f>IF(F506="","",Parâmetros!$C$4-F506)</f>
        <v>13</v>
      </c>
      <c r="K506" s="40">
        <f t="shared" si="14"/>
        <v>0</v>
      </c>
      <c r="L506" s="105" t="str">
        <f t="shared" si="15"/>
        <v/>
      </c>
      <c r="M506" s="106">
        <f>IF(I506="","",I506*Parâmetros!$C$8/15)</f>
        <v>14.840000000000002</v>
      </c>
      <c r="N506" s="106">
        <f>IF(K506="","",K506*Parâmetros!$C$8/15)</f>
        <v>0</v>
      </c>
      <c r="O506" s="28">
        <f>IF(M506="","",M506*Parâmetros!$C$5)</f>
        <v>4748.8</v>
      </c>
      <c r="P506" s="64" t="str">
        <f>IF(L506="","",IF(L506&gt;=Parâmetros!$C$10,"Sim","Não"))</f>
        <v/>
      </c>
    </row>
    <row r="507" spans="1:16" ht="15" customHeight="1" x14ac:dyDescent="0.3">
      <c r="A507" s="60">
        <v>505</v>
      </c>
      <c r="B507" s="60" t="s">
        <v>688</v>
      </c>
      <c r="C507" s="101" t="s">
        <v>183</v>
      </c>
      <c r="D507" s="101" t="s">
        <v>184</v>
      </c>
      <c r="E507" s="60">
        <v>7</v>
      </c>
      <c r="F507" s="85">
        <v>46225</v>
      </c>
      <c r="G507" s="35">
        <v>412</v>
      </c>
      <c r="H507" s="85">
        <f>IF(COUNTIFS(Pesagens!$B$3:$B$5001,$B507)=0,"",_xlfn.MAXIFS(Pesagens!$A$3:$A$5001,Pesagens!$B$3:$B$5001,$B507,Pesagens!$E$3:$E$5001,"&lt;&gt;"))</f>
        <v>46225</v>
      </c>
      <c r="I507" s="35">
        <f>IF($H507="","",IFERROR(AVERAGEIFS(Pesagens!$E$3:$E$5001,Pesagens!$B$3:$B$5001,$B507,Pesagens!$A$3:$A$5001,$H507),""))</f>
        <v>412</v>
      </c>
      <c r="J507" s="60">
        <f>IF(F507="","",Parâmetros!$C$4-F507)</f>
        <v>13</v>
      </c>
      <c r="K507" s="35">
        <f t="shared" si="14"/>
        <v>0</v>
      </c>
      <c r="L507" s="102" t="str">
        <f t="shared" si="15"/>
        <v/>
      </c>
      <c r="M507" s="103">
        <f>IF(I507="","",I507*Parâmetros!$C$8/15)</f>
        <v>14.557333333333334</v>
      </c>
      <c r="N507" s="103">
        <f>IF(K507="","",K507*Parâmetros!$C$8/15)</f>
        <v>0</v>
      </c>
      <c r="O507" s="26">
        <f>IF(M507="","",M507*Parâmetros!$C$5)</f>
        <v>4658.3466666666673</v>
      </c>
      <c r="P507" s="60" t="str">
        <f>IF(L507="","",IF(L507&gt;=Parâmetros!$C$10,"Sim","Não"))</f>
        <v/>
      </c>
    </row>
    <row r="508" spans="1:16" ht="15" customHeight="1" x14ac:dyDescent="0.3">
      <c r="A508" s="64">
        <v>506</v>
      </c>
      <c r="B508" s="64" t="s">
        <v>689</v>
      </c>
      <c r="C508" s="104" t="s">
        <v>183</v>
      </c>
      <c r="D508" s="104" t="s">
        <v>184</v>
      </c>
      <c r="E508" s="64">
        <v>7</v>
      </c>
      <c r="F508" s="86">
        <v>46225</v>
      </c>
      <c r="G508" s="40">
        <v>412</v>
      </c>
      <c r="H508" s="86">
        <f>IF(COUNTIFS(Pesagens!$B$3:$B$5001,$B508)=0,"",_xlfn.MAXIFS(Pesagens!$A$3:$A$5001,Pesagens!$B$3:$B$5001,$B508,Pesagens!$E$3:$E$5001,"&lt;&gt;"))</f>
        <v>46225</v>
      </c>
      <c r="I508" s="40">
        <f>IF($H508="","",IFERROR(AVERAGEIFS(Pesagens!$E$3:$E$5001,Pesagens!$B$3:$B$5001,$B508,Pesagens!$A$3:$A$5001,$H508),""))</f>
        <v>412</v>
      </c>
      <c r="J508" s="64">
        <f>IF(F508="","",Parâmetros!$C$4-F508)</f>
        <v>13</v>
      </c>
      <c r="K508" s="40">
        <f t="shared" si="14"/>
        <v>0</v>
      </c>
      <c r="L508" s="105" t="str">
        <f t="shared" si="15"/>
        <v/>
      </c>
      <c r="M508" s="106">
        <f>IF(I508="","",I508*Parâmetros!$C$8/15)</f>
        <v>14.557333333333334</v>
      </c>
      <c r="N508" s="106">
        <f>IF(K508="","",K508*Parâmetros!$C$8/15)</f>
        <v>0</v>
      </c>
      <c r="O508" s="28">
        <f>IF(M508="","",M508*Parâmetros!$C$5)</f>
        <v>4658.3466666666673</v>
      </c>
      <c r="P508" s="64" t="str">
        <f>IF(L508="","",IF(L508&gt;=Parâmetros!$C$10,"Sim","Não"))</f>
        <v/>
      </c>
    </row>
    <row r="509" spans="1:16" ht="15" customHeight="1" x14ac:dyDescent="0.3">
      <c r="A509" s="60">
        <v>507</v>
      </c>
      <c r="B509" s="60" t="s">
        <v>690</v>
      </c>
      <c r="C509" s="101" t="s">
        <v>183</v>
      </c>
      <c r="D509" s="101" t="s">
        <v>184</v>
      </c>
      <c r="E509" s="60">
        <v>7</v>
      </c>
      <c r="F509" s="85">
        <v>46225</v>
      </c>
      <c r="G509" s="35">
        <v>413</v>
      </c>
      <c r="H509" s="85">
        <f>IF(COUNTIFS(Pesagens!$B$3:$B$5001,$B509)=0,"",_xlfn.MAXIFS(Pesagens!$A$3:$A$5001,Pesagens!$B$3:$B$5001,$B509,Pesagens!$E$3:$E$5001,"&lt;&gt;"))</f>
        <v>46225</v>
      </c>
      <c r="I509" s="35">
        <f>IF($H509="","",IFERROR(AVERAGEIFS(Pesagens!$E$3:$E$5001,Pesagens!$B$3:$B$5001,$B509,Pesagens!$A$3:$A$5001,$H509),""))</f>
        <v>413</v>
      </c>
      <c r="J509" s="60">
        <f>IF(F509="","",Parâmetros!$C$4-F509)</f>
        <v>13</v>
      </c>
      <c r="K509" s="35">
        <f t="shared" si="14"/>
        <v>0</v>
      </c>
      <c r="L509" s="102" t="str">
        <f t="shared" si="15"/>
        <v/>
      </c>
      <c r="M509" s="103">
        <f>IF(I509="","",I509*Parâmetros!$C$8/15)</f>
        <v>14.592666666666668</v>
      </c>
      <c r="N509" s="103">
        <f>IF(K509="","",K509*Parâmetros!$C$8/15)</f>
        <v>0</v>
      </c>
      <c r="O509" s="26">
        <f>IF(M509="","",M509*Parâmetros!$C$5)</f>
        <v>4669.6533333333336</v>
      </c>
      <c r="P509" s="60" t="str">
        <f>IF(L509="","",IF(L509&gt;=Parâmetros!$C$10,"Sim","Não"))</f>
        <v/>
      </c>
    </row>
    <row r="510" spans="1:16" ht="15" customHeight="1" x14ac:dyDescent="0.3">
      <c r="A510" s="64">
        <v>508</v>
      </c>
      <c r="B510" s="64" t="s">
        <v>691</v>
      </c>
      <c r="C510" s="104" t="s">
        <v>183</v>
      </c>
      <c r="D510" s="104" t="s">
        <v>184</v>
      </c>
      <c r="E510" s="64">
        <v>7</v>
      </c>
      <c r="F510" s="86">
        <v>46225</v>
      </c>
      <c r="G510" s="40">
        <v>409</v>
      </c>
      <c r="H510" s="86">
        <f>IF(COUNTIFS(Pesagens!$B$3:$B$5001,$B510)=0,"",_xlfn.MAXIFS(Pesagens!$A$3:$A$5001,Pesagens!$B$3:$B$5001,$B510,Pesagens!$E$3:$E$5001,"&lt;&gt;"))</f>
        <v>46225</v>
      </c>
      <c r="I510" s="40">
        <f>IF($H510="","",IFERROR(AVERAGEIFS(Pesagens!$E$3:$E$5001,Pesagens!$B$3:$B$5001,$B510,Pesagens!$A$3:$A$5001,$H510),""))</f>
        <v>409</v>
      </c>
      <c r="J510" s="64">
        <f>IF(F510="","",Parâmetros!$C$4-F510)</f>
        <v>13</v>
      </c>
      <c r="K510" s="40">
        <f t="shared" si="14"/>
        <v>0</v>
      </c>
      <c r="L510" s="105" t="str">
        <f t="shared" si="15"/>
        <v/>
      </c>
      <c r="M510" s="106">
        <f>IF(I510="","",I510*Parâmetros!$C$8/15)</f>
        <v>14.451333333333334</v>
      </c>
      <c r="N510" s="106">
        <f>IF(K510="","",K510*Parâmetros!$C$8/15)</f>
        <v>0</v>
      </c>
      <c r="O510" s="28">
        <f>IF(M510="","",M510*Parâmetros!$C$5)</f>
        <v>4624.4266666666672</v>
      </c>
      <c r="P510" s="64" t="str">
        <f>IF(L510="","",IF(L510&gt;=Parâmetros!$C$10,"Sim","Não"))</f>
        <v/>
      </c>
    </row>
    <row r="511" spans="1:16" ht="15" customHeight="1" x14ac:dyDescent="0.3">
      <c r="A511" s="60">
        <v>509</v>
      </c>
      <c r="B511" s="60" t="s">
        <v>692</v>
      </c>
      <c r="C511" s="101" t="s">
        <v>183</v>
      </c>
      <c r="D511" s="101" t="s">
        <v>184</v>
      </c>
      <c r="E511" s="60">
        <v>7</v>
      </c>
      <c r="F511" s="85">
        <v>46225</v>
      </c>
      <c r="G511" s="35">
        <v>428</v>
      </c>
      <c r="H511" s="85">
        <f>IF(COUNTIFS(Pesagens!$B$3:$B$5001,$B511)=0,"",_xlfn.MAXIFS(Pesagens!$A$3:$A$5001,Pesagens!$B$3:$B$5001,$B511,Pesagens!$E$3:$E$5001,"&lt;&gt;"))</f>
        <v>46225</v>
      </c>
      <c r="I511" s="35">
        <f>IF($H511="","",IFERROR(AVERAGEIFS(Pesagens!$E$3:$E$5001,Pesagens!$B$3:$B$5001,$B511,Pesagens!$A$3:$A$5001,$H511),""))</f>
        <v>428</v>
      </c>
      <c r="J511" s="60">
        <f>IF(F511="","",Parâmetros!$C$4-F511)</f>
        <v>13</v>
      </c>
      <c r="K511" s="35">
        <f t="shared" si="14"/>
        <v>0</v>
      </c>
      <c r="L511" s="102" t="str">
        <f t="shared" si="15"/>
        <v/>
      </c>
      <c r="M511" s="103">
        <f>IF(I511="","",I511*Parâmetros!$C$8/15)</f>
        <v>15.122666666666667</v>
      </c>
      <c r="N511" s="103">
        <f>IF(K511="","",K511*Parâmetros!$C$8/15)</f>
        <v>0</v>
      </c>
      <c r="O511" s="26">
        <f>IF(M511="","",M511*Parâmetros!$C$5)</f>
        <v>4839.253333333334</v>
      </c>
      <c r="P511" s="60" t="str">
        <f>IF(L511="","",IF(L511&gt;=Parâmetros!$C$10,"Sim","Não"))</f>
        <v/>
      </c>
    </row>
    <row r="512" spans="1:16" ht="15" customHeight="1" x14ac:dyDescent="0.3">
      <c r="A512" s="64">
        <v>510</v>
      </c>
      <c r="B512" s="64" t="s">
        <v>693</v>
      </c>
      <c r="C512" s="104" t="s">
        <v>183</v>
      </c>
      <c r="D512" s="104" t="s">
        <v>184</v>
      </c>
      <c r="E512" s="64">
        <v>7</v>
      </c>
      <c r="F512" s="86">
        <v>46225</v>
      </c>
      <c r="G512" s="40">
        <v>416</v>
      </c>
      <c r="H512" s="86">
        <f>IF(COUNTIFS(Pesagens!$B$3:$B$5001,$B512)=0,"",_xlfn.MAXIFS(Pesagens!$A$3:$A$5001,Pesagens!$B$3:$B$5001,$B512,Pesagens!$E$3:$E$5001,"&lt;&gt;"))</f>
        <v>46225</v>
      </c>
      <c r="I512" s="40">
        <f>IF($H512="","",IFERROR(AVERAGEIFS(Pesagens!$E$3:$E$5001,Pesagens!$B$3:$B$5001,$B512,Pesagens!$A$3:$A$5001,$H512),""))</f>
        <v>416</v>
      </c>
      <c r="J512" s="64">
        <f>IF(F512="","",Parâmetros!$C$4-F512)</f>
        <v>13</v>
      </c>
      <c r="K512" s="40">
        <f t="shared" si="14"/>
        <v>0</v>
      </c>
      <c r="L512" s="105" t="str">
        <f t="shared" si="15"/>
        <v/>
      </c>
      <c r="M512" s="106">
        <f>IF(I512="","",I512*Parâmetros!$C$8/15)</f>
        <v>14.698666666666668</v>
      </c>
      <c r="N512" s="106">
        <f>IF(K512="","",K512*Parâmetros!$C$8/15)</f>
        <v>0</v>
      </c>
      <c r="O512" s="28">
        <f>IF(M512="","",M512*Parâmetros!$C$5)</f>
        <v>4703.5733333333337</v>
      </c>
      <c r="P512" s="64" t="str">
        <f>IF(L512="","",IF(L512&gt;=Parâmetros!$C$10,"Sim","Não"))</f>
        <v/>
      </c>
    </row>
    <row r="513" spans="1:16" ht="15" customHeight="1" x14ac:dyDescent="0.3">
      <c r="A513" s="60">
        <v>511</v>
      </c>
      <c r="B513" s="60" t="s">
        <v>694</v>
      </c>
      <c r="C513" s="101" t="s">
        <v>183</v>
      </c>
      <c r="D513" s="101" t="s">
        <v>184</v>
      </c>
      <c r="E513" s="60">
        <v>7</v>
      </c>
      <c r="F513" s="85">
        <v>46225</v>
      </c>
      <c r="G513" s="35">
        <v>422</v>
      </c>
      <c r="H513" s="85">
        <f>IF(COUNTIFS(Pesagens!$B$3:$B$5001,$B513)=0,"",_xlfn.MAXIFS(Pesagens!$A$3:$A$5001,Pesagens!$B$3:$B$5001,$B513,Pesagens!$E$3:$E$5001,"&lt;&gt;"))</f>
        <v>46225</v>
      </c>
      <c r="I513" s="35">
        <f>IF($H513="","",IFERROR(AVERAGEIFS(Pesagens!$E$3:$E$5001,Pesagens!$B$3:$B$5001,$B513,Pesagens!$A$3:$A$5001,$H513),""))</f>
        <v>422</v>
      </c>
      <c r="J513" s="60">
        <f>IF(F513="","",Parâmetros!$C$4-F513)</f>
        <v>13</v>
      </c>
      <c r="K513" s="35">
        <f t="shared" si="14"/>
        <v>0</v>
      </c>
      <c r="L513" s="102" t="str">
        <f t="shared" si="15"/>
        <v/>
      </c>
      <c r="M513" s="103">
        <f>IF(I513="","",I513*Parâmetros!$C$8/15)</f>
        <v>14.910666666666668</v>
      </c>
      <c r="N513" s="103">
        <f>IF(K513="","",K513*Parâmetros!$C$8/15)</f>
        <v>0</v>
      </c>
      <c r="O513" s="26">
        <f>IF(M513="","",M513*Parâmetros!$C$5)</f>
        <v>4771.4133333333339</v>
      </c>
      <c r="P513" s="60" t="str">
        <f>IF(L513="","",IF(L513&gt;=Parâmetros!$C$10,"Sim","Não"))</f>
        <v/>
      </c>
    </row>
    <row r="514" spans="1:16" ht="15" customHeight="1" x14ac:dyDescent="0.3">
      <c r="A514" s="64">
        <v>512</v>
      </c>
      <c r="B514" s="64" t="s">
        <v>695</v>
      </c>
      <c r="C514" s="104" t="s">
        <v>183</v>
      </c>
      <c r="D514" s="104" t="s">
        <v>184</v>
      </c>
      <c r="E514" s="64">
        <v>7</v>
      </c>
      <c r="F514" s="86">
        <v>46225</v>
      </c>
      <c r="G514" s="40">
        <v>423</v>
      </c>
      <c r="H514" s="86">
        <f>IF(COUNTIFS(Pesagens!$B$3:$B$5001,$B514)=0,"",_xlfn.MAXIFS(Pesagens!$A$3:$A$5001,Pesagens!$B$3:$B$5001,$B514,Pesagens!$E$3:$E$5001,"&lt;&gt;"))</f>
        <v>46225</v>
      </c>
      <c r="I514" s="40">
        <f>IF($H514="","",IFERROR(AVERAGEIFS(Pesagens!$E$3:$E$5001,Pesagens!$B$3:$B$5001,$B514,Pesagens!$A$3:$A$5001,$H514),""))</f>
        <v>423</v>
      </c>
      <c r="J514" s="64">
        <f>IF(F514="","",Parâmetros!$C$4-F514)</f>
        <v>13</v>
      </c>
      <c r="K514" s="40">
        <f t="shared" si="14"/>
        <v>0</v>
      </c>
      <c r="L514" s="105" t="str">
        <f t="shared" si="15"/>
        <v/>
      </c>
      <c r="M514" s="106">
        <f>IF(I514="","",I514*Parâmetros!$C$8/15)</f>
        <v>14.946</v>
      </c>
      <c r="N514" s="106">
        <f>IF(K514="","",K514*Parâmetros!$C$8/15)</f>
        <v>0</v>
      </c>
      <c r="O514" s="28">
        <f>IF(M514="","",M514*Parâmetros!$C$5)</f>
        <v>4782.72</v>
      </c>
      <c r="P514" s="64" t="str">
        <f>IF(L514="","",IF(L514&gt;=Parâmetros!$C$10,"Sim","Não"))</f>
        <v/>
      </c>
    </row>
    <row r="515" spans="1:16" ht="15" customHeight="1" x14ac:dyDescent="0.3">
      <c r="A515" s="60">
        <v>513</v>
      </c>
      <c r="B515" s="60" t="s">
        <v>696</v>
      </c>
      <c r="C515" s="101" t="s">
        <v>183</v>
      </c>
      <c r="D515" s="101" t="s">
        <v>184</v>
      </c>
      <c r="E515" s="60">
        <v>7</v>
      </c>
      <c r="F515" s="85">
        <v>46225</v>
      </c>
      <c r="G515" s="35">
        <v>432</v>
      </c>
      <c r="H515" s="85">
        <f>IF(COUNTIFS(Pesagens!$B$3:$B$5001,$B515)=0,"",_xlfn.MAXIFS(Pesagens!$A$3:$A$5001,Pesagens!$B$3:$B$5001,$B515,Pesagens!$E$3:$E$5001,"&lt;&gt;"))</f>
        <v>46225</v>
      </c>
      <c r="I515" s="35">
        <f>IF($H515="","",IFERROR(AVERAGEIFS(Pesagens!$E$3:$E$5001,Pesagens!$B$3:$B$5001,$B515,Pesagens!$A$3:$A$5001,$H515),""))</f>
        <v>432</v>
      </c>
      <c r="J515" s="60">
        <f>IF(F515="","",Parâmetros!$C$4-F515)</f>
        <v>13</v>
      </c>
      <c r="K515" s="35">
        <f t="shared" ref="K515:K578" si="16">IF(OR(I515="",G515=""),"",I515-G515)</f>
        <v>0</v>
      </c>
      <c r="L515" s="102" t="str">
        <f t="shared" ref="L515:L578" si="17">IF(OR(I515="",G515="",H515&lt;=F515),"",(I515-G515)/(H515-F515))</f>
        <v/>
      </c>
      <c r="M515" s="103">
        <f>IF(I515="","",I515*Parâmetros!$C$8/15)</f>
        <v>15.264000000000001</v>
      </c>
      <c r="N515" s="103">
        <f>IF(K515="","",K515*Parâmetros!$C$8/15)</f>
        <v>0</v>
      </c>
      <c r="O515" s="26">
        <f>IF(M515="","",M515*Parâmetros!$C$5)</f>
        <v>4884.4800000000005</v>
      </c>
      <c r="P515" s="60" t="str">
        <f>IF(L515="","",IF(L515&gt;=Parâmetros!$C$10,"Sim","Não"))</f>
        <v/>
      </c>
    </row>
    <row r="516" spans="1:16" ht="15" customHeight="1" x14ac:dyDescent="0.3">
      <c r="A516" s="64">
        <v>514</v>
      </c>
      <c r="B516" s="64" t="s">
        <v>697</v>
      </c>
      <c r="C516" s="104" t="s">
        <v>183</v>
      </c>
      <c r="D516" s="104" t="s">
        <v>184</v>
      </c>
      <c r="E516" s="64">
        <v>7</v>
      </c>
      <c r="F516" s="86">
        <v>46225</v>
      </c>
      <c r="G516" s="40">
        <v>414</v>
      </c>
      <c r="H516" s="86">
        <f>IF(COUNTIFS(Pesagens!$B$3:$B$5001,$B516)=0,"",_xlfn.MAXIFS(Pesagens!$A$3:$A$5001,Pesagens!$B$3:$B$5001,$B516,Pesagens!$E$3:$E$5001,"&lt;&gt;"))</f>
        <v>46225</v>
      </c>
      <c r="I516" s="40">
        <f>IF($H516="","",IFERROR(AVERAGEIFS(Pesagens!$E$3:$E$5001,Pesagens!$B$3:$B$5001,$B516,Pesagens!$A$3:$A$5001,$H516),""))</f>
        <v>414</v>
      </c>
      <c r="J516" s="64">
        <f>IF(F516="","",Parâmetros!$C$4-F516)</f>
        <v>13</v>
      </c>
      <c r="K516" s="40">
        <f t="shared" si="16"/>
        <v>0</v>
      </c>
      <c r="L516" s="105" t="str">
        <f t="shared" si="17"/>
        <v/>
      </c>
      <c r="M516" s="106">
        <f>IF(I516="","",I516*Parâmetros!$C$8/15)</f>
        <v>14.628000000000002</v>
      </c>
      <c r="N516" s="106">
        <f>IF(K516="","",K516*Parâmetros!$C$8/15)</f>
        <v>0</v>
      </c>
      <c r="O516" s="28">
        <f>IF(M516="","",M516*Parâmetros!$C$5)</f>
        <v>4680.9600000000009</v>
      </c>
      <c r="P516" s="64" t="str">
        <f>IF(L516="","",IF(L516&gt;=Parâmetros!$C$10,"Sim","Não"))</f>
        <v/>
      </c>
    </row>
    <row r="517" spans="1:16" ht="15" customHeight="1" x14ac:dyDescent="0.3">
      <c r="A517" s="60">
        <v>515</v>
      </c>
      <c r="B517" s="60" t="s">
        <v>698</v>
      </c>
      <c r="C517" s="101" t="s">
        <v>183</v>
      </c>
      <c r="D517" s="101" t="s">
        <v>184</v>
      </c>
      <c r="E517" s="60">
        <v>7</v>
      </c>
      <c r="F517" s="85">
        <v>46225</v>
      </c>
      <c r="G517" s="35">
        <v>414</v>
      </c>
      <c r="H517" s="85">
        <f>IF(COUNTIFS(Pesagens!$B$3:$B$5001,$B517)=0,"",_xlfn.MAXIFS(Pesagens!$A$3:$A$5001,Pesagens!$B$3:$B$5001,$B517,Pesagens!$E$3:$E$5001,"&lt;&gt;"))</f>
        <v>46225</v>
      </c>
      <c r="I517" s="35">
        <f>IF($H517="","",IFERROR(AVERAGEIFS(Pesagens!$E$3:$E$5001,Pesagens!$B$3:$B$5001,$B517,Pesagens!$A$3:$A$5001,$H517),""))</f>
        <v>414</v>
      </c>
      <c r="J517" s="60">
        <f>IF(F517="","",Parâmetros!$C$4-F517)</f>
        <v>13</v>
      </c>
      <c r="K517" s="35">
        <f t="shared" si="16"/>
        <v>0</v>
      </c>
      <c r="L517" s="102" t="str">
        <f t="shared" si="17"/>
        <v/>
      </c>
      <c r="M517" s="103">
        <f>IF(I517="","",I517*Parâmetros!$C$8/15)</f>
        <v>14.628000000000002</v>
      </c>
      <c r="N517" s="103">
        <f>IF(K517="","",K517*Parâmetros!$C$8/15)</f>
        <v>0</v>
      </c>
      <c r="O517" s="26">
        <f>IF(M517="","",M517*Parâmetros!$C$5)</f>
        <v>4680.9600000000009</v>
      </c>
      <c r="P517" s="60" t="str">
        <f>IF(L517="","",IF(L517&gt;=Parâmetros!$C$10,"Sim","Não"))</f>
        <v/>
      </c>
    </row>
    <row r="518" spans="1:16" ht="15" customHeight="1" x14ac:dyDescent="0.3">
      <c r="A518" s="64">
        <v>516</v>
      </c>
      <c r="B518" s="64" t="s">
        <v>699</v>
      </c>
      <c r="C518" s="104" t="s">
        <v>183</v>
      </c>
      <c r="D518" s="104" t="s">
        <v>184</v>
      </c>
      <c r="E518" s="64">
        <v>7</v>
      </c>
      <c r="F518" s="86">
        <v>46225</v>
      </c>
      <c r="G518" s="40">
        <v>413</v>
      </c>
      <c r="H518" s="86">
        <f>IF(COUNTIFS(Pesagens!$B$3:$B$5001,$B518)=0,"",_xlfn.MAXIFS(Pesagens!$A$3:$A$5001,Pesagens!$B$3:$B$5001,$B518,Pesagens!$E$3:$E$5001,"&lt;&gt;"))</f>
        <v>46225</v>
      </c>
      <c r="I518" s="40">
        <f>IF($H518="","",IFERROR(AVERAGEIFS(Pesagens!$E$3:$E$5001,Pesagens!$B$3:$B$5001,$B518,Pesagens!$A$3:$A$5001,$H518),""))</f>
        <v>413</v>
      </c>
      <c r="J518" s="64">
        <f>IF(F518="","",Parâmetros!$C$4-F518)</f>
        <v>13</v>
      </c>
      <c r="K518" s="40">
        <f t="shared" si="16"/>
        <v>0</v>
      </c>
      <c r="L518" s="105" t="str">
        <f t="shared" si="17"/>
        <v/>
      </c>
      <c r="M518" s="106">
        <f>IF(I518="","",I518*Parâmetros!$C$8/15)</f>
        <v>14.592666666666668</v>
      </c>
      <c r="N518" s="106">
        <f>IF(K518="","",K518*Parâmetros!$C$8/15)</f>
        <v>0</v>
      </c>
      <c r="O518" s="28">
        <f>IF(M518="","",M518*Parâmetros!$C$5)</f>
        <v>4669.6533333333336</v>
      </c>
      <c r="P518" s="64" t="str">
        <f>IF(L518="","",IF(L518&gt;=Parâmetros!$C$10,"Sim","Não"))</f>
        <v/>
      </c>
    </row>
    <row r="519" spans="1:16" ht="15" customHeight="1" x14ac:dyDescent="0.3">
      <c r="A519" s="60">
        <v>517</v>
      </c>
      <c r="B519" s="60" t="s">
        <v>700</v>
      </c>
      <c r="C519" s="101" t="s">
        <v>183</v>
      </c>
      <c r="D519" s="101" t="s">
        <v>184</v>
      </c>
      <c r="E519" s="60">
        <v>7</v>
      </c>
      <c r="F519" s="85">
        <v>46225</v>
      </c>
      <c r="G519" s="35">
        <v>425</v>
      </c>
      <c r="H519" s="85">
        <f>IF(COUNTIFS(Pesagens!$B$3:$B$5001,$B519)=0,"",_xlfn.MAXIFS(Pesagens!$A$3:$A$5001,Pesagens!$B$3:$B$5001,$B519,Pesagens!$E$3:$E$5001,"&lt;&gt;"))</f>
        <v>46225</v>
      </c>
      <c r="I519" s="35">
        <f>IF($H519="","",IFERROR(AVERAGEIFS(Pesagens!$E$3:$E$5001,Pesagens!$B$3:$B$5001,$B519,Pesagens!$A$3:$A$5001,$H519),""))</f>
        <v>425</v>
      </c>
      <c r="J519" s="60">
        <f>IF(F519="","",Parâmetros!$C$4-F519)</f>
        <v>13</v>
      </c>
      <c r="K519" s="35">
        <f t="shared" si="16"/>
        <v>0</v>
      </c>
      <c r="L519" s="102" t="str">
        <f t="shared" si="17"/>
        <v/>
      </c>
      <c r="M519" s="103">
        <f>IF(I519="","",I519*Parâmetros!$C$8/15)</f>
        <v>15.016666666666667</v>
      </c>
      <c r="N519" s="103">
        <f>IF(K519="","",K519*Parâmetros!$C$8/15)</f>
        <v>0</v>
      </c>
      <c r="O519" s="26">
        <f>IF(M519="","",M519*Parâmetros!$C$5)</f>
        <v>4805.3333333333339</v>
      </c>
      <c r="P519" s="60" t="str">
        <f>IF(L519="","",IF(L519&gt;=Parâmetros!$C$10,"Sim","Não"))</f>
        <v/>
      </c>
    </row>
    <row r="520" spans="1:16" ht="15" customHeight="1" x14ac:dyDescent="0.3">
      <c r="A520" s="64">
        <v>518</v>
      </c>
      <c r="B520" s="64" t="s">
        <v>701</v>
      </c>
      <c r="C520" s="104" t="s">
        <v>183</v>
      </c>
      <c r="D520" s="104" t="s">
        <v>184</v>
      </c>
      <c r="E520" s="64">
        <v>7</v>
      </c>
      <c r="F520" s="86">
        <v>46225</v>
      </c>
      <c r="G520" s="40">
        <v>420</v>
      </c>
      <c r="H520" s="86">
        <f>IF(COUNTIFS(Pesagens!$B$3:$B$5001,$B520)=0,"",_xlfn.MAXIFS(Pesagens!$A$3:$A$5001,Pesagens!$B$3:$B$5001,$B520,Pesagens!$E$3:$E$5001,"&lt;&gt;"))</f>
        <v>46225</v>
      </c>
      <c r="I520" s="40">
        <f>IF($H520="","",IFERROR(AVERAGEIFS(Pesagens!$E$3:$E$5001,Pesagens!$B$3:$B$5001,$B520,Pesagens!$A$3:$A$5001,$H520),""))</f>
        <v>420</v>
      </c>
      <c r="J520" s="64">
        <f>IF(F520="","",Parâmetros!$C$4-F520)</f>
        <v>13</v>
      </c>
      <c r="K520" s="40">
        <f t="shared" si="16"/>
        <v>0</v>
      </c>
      <c r="L520" s="105" t="str">
        <f t="shared" si="17"/>
        <v/>
      </c>
      <c r="M520" s="106">
        <f>IF(I520="","",I520*Parâmetros!$C$8/15)</f>
        <v>14.840000000000002</v>
      </c>
      <c r="N520" s="106">
        <f>IF(K520="","",K520*Parâmetros!$C$8/15)</f>
        <v>0</v>
      </c>
      <c r="O520" s="28">
        <f>IF(M520="","",M520*Parâmetros!$C$5)</f>
        <v>4748.8</v>
      </c>
      <c r="P520" s="64" t="str">
        <f>IF(L520="","",IF(L520&gt;=Parâmetros!$C$10,"Sim","Não"))</f>
        <v/>
      </c>
    </row>
    <row r="521" spans="1:16" ht="15" customHeight="1" x14ac:dyDescent="0.3">
      <c r="A521" s="60">
        <v>519</v>
      </c>
      <c r="B521" s="60" t="s">
        <v>702</v>
      </c>
      <c r="C521" s="101" t="s">
        <v>183</v>
      </c>
      <c r="D521" s="101" t="s">
        <v>184</v>
      </c>
      <c r="E521" s="60">
        <v>7</v>
      </c>
      <c r="F521" s="85">
        <v>46225</v>
      </c>
      <c r="G521" s="35">
        <v>426</v>
      </c>
      <c r="H521" s="85">
        <f>IF(COUNTIFS(Pesagens!$B$3:$B$5001,$B521)=0,"",_xlfn.MAXIFS(Pesagens!$A$3:$A$5001,Pesagens!$B$3:$B$5001,$B521,Pesagens!$E$3:$E$5001,"&lt;&gt;"))</f>
        <v>46225</v>
      </c>
      <c r="I521" s="35">
        <f>IF($H521="","",IFERROR(AVERAGEIFS(Pesagens!$E$3:$E$5001,Pesagens!$B$3:$B$5001,$B521,Pesagens!$A$3:$A$5001,$H521),""))</f>
        <v>426</v>
      </c>
      <c r="J521" s="60">
        <f>IF(F521="","",Parâmetros!$C$4-F521)</f>
        <v>13</v>
      </c>
      <c r="K521" s="35">
        <f t="shared" si="16"/>
        <v>0</v>
      </c>
      <c r="L521" s="102" t="str">
        <f t="shared" si="17"/>
        <v/>
      </c>
      <c r="M521" s="103">
        <f>IF(I521="","",I521*Parâmetros!$C$8/15)</f>
        <v>15.052</v>
      </c>
      <c r="N521" s="103">
        <f>IF(K521="","",K521*Parâmetros!$C$8/15)</f>
        <v>0</v>
      </c>
      <c r="O521" s="26">
        <f>IF(M521="","",M521*Parâmetros!$C$5)</f>
        <v>4816.6399999999994</v>
      </c>
      <c r="P521" s="60" t="str">
        <f>IF(L521="","",IF(L521&gt;=Parâmetros!$C$10,"Sim","Não"))</f>
        <v/>
      </c>
    </row>
    <row r="522" spans="1:16" ht="15" customHeight="1" x14ac:dyDescent="0.3">
      <c r="A522" s="64">
        <v>520</v>
      </c>
      <c r="B522" s="64" t="s">
        <v>703</v>
      </c>
      <c r="C522" s="104" t="s">
        <v>183</v>
      </c>
      <c r="D522" s="104" t="s">
        <v>184</v>
      </c>
      <c r="E522" s="64">
        <v>7</v>
      </c>
      <c r="F522" s="86">
        <v>46225</v>
      </c>
      <c r="G522" s="40">
        <v>421</v>
      </c>
      <c r="H522" s="86">
        <f>IF(COUNTIFS(Pesagens!$B$3:$B$5001,$B522)=0,"",_xlfn.MAXIFS(Pesagens!$A$3:$A$5001,Pesagens!$B$3:$B$5001,$B522,Pesagens!$E$3:$E$5001,"&lt;&gt;"))</f>
        <v>46225</v>
      </c>
      <c r="I522" s="40">
        <f>IF($H522="","",IFERROR(AVERAGEIFS(Pesagens!$E$3:$E$5001,Pesagens!$B$3:$B$5001,$B522,Pesagens!$A$3:$A$5001,$H522),""))</f>
        <v>421</v>
      </c>
      <c r="J522" s="64">
        <f>IF(F522="","",Parâmetros!$C$4-F522)</f>
        <v>13</v>
      </c>
      <c r="K522" s="40">
        <f t="shared" si="16"/>
        <v>0</v>
      </c>
      <c r="L522" s="105" t="str">
        <f t="shared" si="17"/>
        <v/>
      </c>
      <c r="M522" s="106">
        <f>IF(I522="","",I522*Parâmetros!$C$8/15)</f>
        <v>14.875333333333336</v>
      </c>
      <c r="N522" s="106">
        <f>IF(K522="","",K522*Parâmetros!$C$8/15)</f>
        <v>0</v>
      </c>
      <c r="O522" s="28">
        <f>IF(M522="","",M522*Parâmetros!$C$5)</f>
        <v>4760.1066666666675</v>
      </c>
      <c r="P522" s="64" t="str">
        <f>IF(L522="","",IF(L522&gt;=Parâmetros!$C$10,"Sim","Não"))</f>
        <v/>
      </c>
    </row>
    <row r="523" spans="1:16" ht="15" customHeight="1" x14ac:dyDescent="0.3">
      <c r="A523" s="60">
        <v>521</v>
      </c>
      <c r="B523" s="60" t="s">
        <v>704</v>
      </c>
      <c r="C523" s="101" t="s">
        <v>183</v>
      </c>
      <c r="D523" s="101" t="s">
        <v>184</v>
      </c>
      <c r="E523" s="60">
        <v>7</v>
      </c>
      <c r="F523" s="85">
        <v>46225</v>
      </c>
      <c r="G523" s="35">
        <v>427</v>
      </c>
      <c r="H523" s="85">
        <f>IF(COUNTIFS(Pesagens!$B$3:$B$5001,$B523)=0,"",_xlfn.MAXIFS(Pesagens!$A$3:$A$5001,Pesagens!$B$3:$B$5001,$B523,Pesagens!$E$3:$E$5001,"&lt;&gt;"))</f>
        <v>46225</v>
      </c>
      <c r="I523" s="35">
        <f>IF($H523="","",IFERROR(AVERAGEIFS(Pesagens!$E$3:$E$5001,Pesagens!$B$3:$B$5001,$B523,Pesagens!$A$3:$A$5001,$H523),""))</f>
        <v>427</v>
      </c>
      <c r="J523" s="60">
        <f>IF(F523="","",Parâmetros!$C$4-F523)</f>
        <v>13</v>
      </c>
      <c r="K523" s="35">
        <f t="shared" si="16"/>
        <v>0</v>
      </c>
      <c r="L523" s="102" t="str">
        <f t="shared" si="17"/>
        <v/>
      </c>
      <c r="M523" s="103">
        <f>IF(I523="","",I523*Parâmetros!$C$8/15)</f>
        <v>15.087333333333333</v>
      </c>
      <c r="N523" s="103">
        <f>IF(K523="","",K523*Parâmetros!$C$8/15)</f>
        <v>0</v>
      </c>
      <c r="O523" s="26">
        <f>IF(M523="","",M523*Parâmetros!$C$5)</f>
        <v>4827.9466666666667</v>
      </c>
      <c r="P523" s="60" t="str">
        <f>IF(L523="","",IF(L523&gt;=Parâmetros!$C$10,"Sim","Não"))</f>
        <v/>
      </c>
    </row>
    <row r="524" spans="1:16" ht="15" customHeight="1" x14ac:dyDescent="0.3">
      <c r="A524" s="64">
        <v>522</v>
      </c>
      <c r="B524" s="64" t="s">
        <v>705</v>
      </c>
      <c r="C524" s="104" t="s">
        <v>183</v>
      </c>
      <c r="D524" s="104" t="s">
        <v>184</v>
      </c>
      <c r="E524" s="64">
        <v>7</v>
      </c>
      <c r="F524" s="86">
        <v>46225</v>
      </c>
      <c r="G524" s="40">
        <v>432</v>
      </c>
      <c r="H524" s="86">
        <f>IF(COUNTIFS(Pesagens!$B$3:$B$5001,$B524)=0,"",_xlfn.MAXIFS(Pesagens!$A$3:$A$5001,Pesagens!$B$3:$B$5001,$B524,Pesagens!$E$3:$E$5001,"&lt;&gt;"))</f>
        <v>46225</v>
      </c>
      <c r="I524" s="40">
        <f>IF($H524="","",IFERROR(AVERAGEIFS(Pesagens!$E$3:$E$5001,Pesagens!$B$3:$B$5001,$B524,Pesagens!$A$3:$A$5001,$H524),""))</f>
        <v>432</v>
      </c>
      <c r="J524" s="64">
        <f>IF(F524="","",Parâmetros!$C$4-F524)</f>
        <v>13</v>
      </c>
      <c r="K524" s="40">
        <f t="shared" si="16"/>
        <v>0</v>
      </c>
      <c r="L524" s="105" t="str">
        <f t="shared" si="17"/>
        <v/>
      </c>
      <c r="M524" s="106">
        <f>IF(I524="","",I524*Parâmetros!$C$8/15)</f>
        <v>15.264000000000001</v>
      </c>
      <c r="N524" s="106">
        <f>IF(K524="","",K524*Parâmetros!$C$8/15)</f>
        <v>0</v>
      </c>
      <c r="O524" s="28">
        <f>IF(M524="","",M524*Parâmetros!$C$5)</f>
        <v>4884.4800000000005</v>
      </c>
      <c r="P524" s="64" t="str">
        <f>IF(L524="","",IF(L524&gt;=Parâmetros!$C$10,"Sim","Não"))</f>
        <v/>
      </c>
    </row>
    <row r="525" spans="1:16" ht="15" customHeight="1" x14ac:dyDescent="0.3">
      <c r="A525" s="60">
        <v>523</v>
      </c>
      <c r="B525" s="60" t="s">
        <v>706</v>
      </c>
      <c r="C525" s="101" t="s">
        <v>183</v>
      </c>
      <c r="D525" s="101" t="s">
        <v>184</v>
      </c>
      <c r="E525" s="60">
        <v>7</v>
      </c>
      <c r="F525" s="85">
        <v>46225</v>
      </c>
      <c r="G525" s="35">
        <v>411</v>
      </c>
      <c r="H525" s="85">
        <f>IF(COUNTIFS(Pesagens!$B$3:$B$5001,$B525)=0,"",_xlfn.MAXIFS(Pesagens!$A$3:$A$5001,Pesagens!$B$3:$B$5001,$B525,Pesagens!$E$3:$E$5001,"&lt;&gt;"))</f>
        <v>46225</v>
      </c>
      <c r="I525" s="35">
        <f>IF($H525="","",IFERROR(AVERAGEIFS(Pesagens!$E$3:$E$5001,Pesagens!$B$3:$B$5001,$B525,Pesagens!$A$3:$A$5001,$H525),""))</f>
        <v>411</v>
      </c>
      <c r="J525" s="60">
        <f>IF(F525="","",Parâmetros!$C$4-F525)</f>
        <v>13</v>
      </c>
      <c r="K525" s="35">
        <f t="shared" si="16"/>
        <v>0</v>
      </c>
      <c r="L525" s="102" t="str">
        <f t="shared" si="17"/>
        <v/>
      </c>
      <c r="M525" s="103">
        <f>IF(I525="","",I525*Parâmetros!$C$8/15)</f>
        <v>14.522</v>
      </c>
      <c r="N525" s="103">
        <f>IF(K525="","",K525*Parâmetros!$C$8/15)</f>
        <v>0</v>
      </c>
      <c r="O525" s="26">
        <f>IF(M525="","",M525*Parâmetros!$C$5)</f>
        <v>4647.04</v>
      </c>
      <c r="P525" s="60" t="str">
        <f>IF(L525="","",IF(L525&gt;=Parâmetros!$C$10,"Sim","Não"))</f>
        <v/>
      </c>
    </row>
    <row r="526" spans="1:16" ht="15" customHeight="1" x14ac:dyDescent="0.3">
      <c r="A526" s="64">
        <v>524</v>
      </c>
      <c r="B526" s="64" t="s">
        <v>707</v>
      </c>
      <c r="C526" s="104" t="s">
        <v>183</v>
      </c>
      <c r="D526" s="104" t="s">
        <v>184</v>
      </c>
      <c r="E526" s="64">
        <v>7</v>
      </c>
      <c r="F526" s="86">
        <v>46225</v>
      </c>
      <c r="G526" s="40">
        <v>423</v>
      </c>
      <c r="H526" s="86">
        <f>IF(COUNTIFS(Pesagens!$B$3:$B$5001,$B526)=0,"",_xlfn.MAXIFS(Pesagens!$A$3:$A$5001,Pesagens!$B$3:$B$5001,$B526,Pesagens!$E$3:$E$5001,"&lt;&gt;"))</f>
        <v>46225</v>
      </c>
      <c r="I526" s="40">
        <f>IF($H526="","",IFERROR(AVERAGEIFS(Pesagens!$E$3:$E$5001,Pesagens!$B$3:$B$5001,$B526,Pesagens!$A$3:$A$5001,$H526),""))</f>
        <v>423</v>
      </c>
      <c r="J526" s="64">
        <f>IF(F526="","",Parâmetros!$C$4-F526)</f>
        <v>13</v>
      </c>
      <c r="K526" s="40">
        <f t="shared" si="16"/>
        <v>0</v>
      </c>
      <c r="L526" s="105" t="str">
        <f t="shared" si="17"/>
        <v/>
      </c>
      <c r="M526" s="106">
        <f>IF(I526="","",I526*Parâmetros!$C$8/15)</f>
        <v>14.946</v>
      </c>
      <c r="N526" s="106">
        <f>IF(K526="","",K526*Parâmetros!$C$8/15)</f>
        <v>0</v>
      </c>
      <c r="O526" s="28">
        <f>IF(M526="","",M526*Parâmetros!$C$5)</f>
        <v>4782.72</v>
      </c>
      <c r="P526" s="64" t="str">
        <f>IF(L526="","",IF(L526&gt;=Parâmetros!$C$10,"Sim","Não"))</f>
        <v/>
      </c>
    </row>
    <row r="527" spans="1:16" ht="15" customHeight="1" x14ac:dyDescent="0.3">
      <c r="A527" s="60">
        <v>525</v>
      </c>
      <c r="B527" s="60" t="s">
        <v>708</v>
      </c>
      <c r="C527" s="101" t="s">
        <v>183</v>
      </c>
      <c r="D527" s="101" t="s">
        <v>184</v>
      </c>
      <c r="E527" s="60">
        <v>7</v>
      </c>
      <c r="F527" s="85">
        <v>46225</v>
      </c>
      <c r="G527" s="35">
        <v>417</v>
      </c>
      <c r="H527" s="85">
        <f>IF(COUNTIFS(Pesagens!$B$3:$B$5001,$B527)=0,"",_xlfn.MAXIFS(Pesagens!$A$3:$A$5001,Pesagens!$B$3:$B$5001,$B527,Pesagens!$E$3:$E$5001,"&lt;&gt;"))</f>
        <v>46225</v>
      </c>
      <c r="I527" s="35">
        <f>IF($H527="","",IFERROR(AVERAGEIFS(Pesagens!$E$3:$E$5001,Pesagens!$B$3:$B$5001,$B527,Pesagens!$A$3:$A$5001,$H527),""))</f>
        <v>417</v>
      </c>
      <c r="J527" s="60">
        <f>IF(F527="","",Parâmetros!$C$4-F527)</f>
        <v>13</v>
      </c>
      <c r="K527" s="35">
        <f t="shared" si="16"/>
        <v>0</v>
      </c>
      <c r="L527" s="102" t="str">
        <f t="shared" si="17"/>
        <v/>
      </c>
      <c r="M527" s="103">
        <f>IF(I527="","",I527*Parâmetros!$C$8/15)</f>
        <v>14.734000000000002</v>
      </c>
      <c r="N527" s="103">
        <f>IF(K527="","",K527*Parâmetros!$C$8/15)</f>
        <v>0</v>
      </c>
      <c r="O527" s="26">
        <f>IF(M527="","",M527*Parâmetros!$C$5)</f>
        <v>4714.880000000001</v>
      </c>
      <c r="P527" s="60" t="str">
        <f>IF(L527="","",IF(L527&gt;=Parâmetros!$C$10,"Sim","Não"))</f>
        <v/>
      </c>
    </row>
    <row r="528" spans="1:16" ht="15" customHeight="1" x14ac:dyDescent="0.3">
      <c r="A528" s="64">
        <v>526</v>
      </c>
      <c r="B528" s="64" t="s">
        <v>709</v>
      </c>
      <c r="C528" s="104" t="s">
        <v>183</v>
      </c>
      <c r="D528" s="104" t="s">
        <v>184</v>
      </c>
      <c r="E528" s="64">
        <v>7</v>
      </c>
      <c r="F528" s="86">
        <v>46225</v>
      </c>
      <c r="G528" s="40">
        <v>422</v>
      </c>
      <c r="H528" s="86">
        <f>IF(COUNTIFS(Pesagens!$B$3:$B$5001,$B528)=0,"",_xlfn.MAXIFS(Pesagens!$A$3:$A$5001,Pesagens!$B$3:$B$5001,$B528,Pesagens!$E$3:$E$5001,"&lt;&gt;"))</f>
        <v>46225</v>
      </c>
      <c r="I528" s="40">
        <f>IF($H528="","",IFERROR(AVERAGEIFS(Pesagens!$E$3:$E$5001,Pesagens!$B$3:$B$5001,$B528,Pesagens!$A$3:$A$5001,$H528),""))</f>
        <v>422</v>
      </c>
      <c r="J528" s="64">
        <f>IF(F528="","",Parâmetros!$C$4-F528)</f>
        <v>13</v>
      </c>
      <c r="K528" s="40">
        <f t="shared" si="16"/>
        <v>0</v>
      </c>
      <c r="L528" s="105" t="str">
        <f t="shared" si="17"/>
        <v/>
      </c>
      <c r="M528" s="106">
        <f>IF(I528="","",I528*Parâmetros!$C$8/15)</f>
        <v>14.910666666666668</v>
      </c>
      <c r="N528" s="106">
        <f>IF(K528="","",K528*Parâmetros!$C$8/15)</f>
        <v>0</v>
      </c>
      <c r="O528" s="28">
        <f>IF(M528="","",M528*Parâmetros!$C$5)</f>
        <v>4771.4133333333339</v>
      </c>
      <c r="P528" s="64" t="str">
        <f>IF(L528="","",IF(L528&gt;=Parâmetros!$C$10,"Sim","Não"))</f>
        <v/>
      </c>
    </row>
    <row r="529" spans="1:16" ht="15" customHeight="1" x14ac:dyDescent="0.3">
      <c r="A529" s="60">
        <v>527</v>
      </c>
      <c r="B529" s="60" t="s">
        <v>710</v>
      </c>
      <c r="C529" s="101" t="s">
        <v>183</v>
      </c>
      <c r="D529" s="101" t="s">
        <v>184</v>
      </c>
      <c r="E529" s="60">
        <v>7</v>
      </c>
      <c r="F529" s="85">
        <v>46225</v>
      </c>
      <c r="G529" s="35">
        <v>426</v>
      </c>
      <c r="H529" s="85">
        <f>IF(COUNTIFS(Pesagens!$B$3:$B$5001,$B529)=0,"",_xlfn.MAXIFS(Pesagens!$A$3:$A$5001,Pesagens!$B$3:$B$5001,$B529,Pesagens!$E$3:$E$5001,"&lt;&gt;"))</f>
        <v>46225</v>
      </c>
      <c r="I529" s="35">
        <f>IF($H529="","",IFERROR(AVERAGEIFS(Pesagens!$E$3:$E$5001,Pesagens!$B$3:$B$5001,$B529,Pesagens!$A$3:$A$5001,$H529),""))</f>
        <v>426</v>
      </c>
      <c r="J529" s="60">
        <f>IF(F529="","",Parâmetros!$C$4-F529)</f>
        <v>13</v>
      </c>
      <c r="K529" s="35">
        <f t="shared" si="16"/>
        <v>0</v>
      </c>
      <c r="L529" s="102" t="str">
        <f t="shared" si="17"/>
        <v/>
      </c>
      <c r="M529" s="103">
        <f>IF(I529="","",I529*Parâmetros!$C$8/15)</f>
        <v>15.052</v>
      </c>
      <c r="N529" s="103">
        <f>IF(K529="","",K529*Parâmetros!$C$8/15)</f>
        <v>0</v>
      </c>
      <c r="O529" s="26">
        <f>IF(M529="","",M529*Parâmetros!$C$5)</f>
        <v>4816.6399999999994</v>
      </c>
      <c r="P529" s="60" t="str">
        <f>IF(L529="","",IF(L529&gt;=Parâmetros!$C$10,"Sim","Não"))</f>
        <v/>
      </c>
    </row>
    <row r="530" spans="1:16" ht="15" customHeight="1" x14ac:dyDescent="0.3">
      <c r="A530" s="64">
        <v>528</v>
      </c>
      <c r="B530" s="64" t="s">
        <v>711</v>
      </c>
      <c r="C530" s="104" t="s">
        <v>183</v>
      </c>
      <c r="D530" s="104" t="s">
        <v>184</v>
      </c>
      <c r="E530" s="64">
        <v>7</v>
      </c>
      <c r="F530" s="86">
        <v>46225</v>
      </c>
      <c r="G530" s="40">
        <v>420</v>
      </c>
      <c r="H530" s="86">
        <f>IF(COUNTIFS(Pesagens!$B$3:$B$5001,$B530)=0,"",_xlfn.MAXIFS(Pesagens!$A$3:$A$5001,Pesagens!$B$3:$B$5001,$B530,Pesagens!$E$3:$E$5001,"&lt;&gt;"))</f>
        <v>46225</v>
      </c>
      <c r="I530" s="40">
        <f>IF($H530="","",IFERROR(AVERAGEIFS(Pesagens!$E$3:$E$5001,Pesagens!$B$3:$B$5001,$B530,Pesagens!$A$3:$A$5001,$H530),""))</f>
        <v>420</v>
      </c>
      <c r="J530" s="64">
        <f>IF(F530="","",Parâmetros!$C$4-F530)</f>
        <v>13</v>
      </c>
      <c r="K530" s="40">
        <f t="shared" si="16"/>
        <v>0</v>
      </c>
      <c r="L530" s="105" t="str">
        <f t="shared" si="17"/>
        <v/>
      </c>
      <c r="M530" s="106">
        <f>IF(I530="","",I530*Parâmetros!$C$8/15)</f>
        <v>14.840000000000002</v>
      </c>
      <c r="N530" s="106">
        <f>IF(K530="","",K530*Parâmetros!$C$8/15)</f>
        <v>0</v>
      </c>
      <c r="O530" s="28">
        <f>IF(M530="","",M530*Parâmetros!$C$5)</f>
        <v>4748.8</v>
      </c>
      <c r="P530" s="64" t="str">
        <f>IF(L530="","",IF(L530&gt;=Parâmetros!$C$10,"Sim","Não"))</f>
        <v/>
      </c>
    </row>
    <row r="531" spans="1:16" ht="15" customHeight="1" x14ac:dyDescent="0.3">
      <c r="A531" s="60">
        <v>529</v>
      </c>
      <c r="B531" s="60" t="s">
        <v>712</v>
      </c>
      <c r="C531" s="101" t="s">
        <v>183</v>
      </c>
      <c r="D531" s="101" t="s">
        <v>184</v>
      </c>
      <c r="E531" s="60">
        <v>7</v>
      </c>
      <c r="F531" s="85">
        <v>46225</v>
      </c>
      <c r="G531" s="35">
        <v>426</v>
      </c>
      <c r="H531" s="85">
        <f>IF(COUNTIFS(Pesagens!$B$3:$B$5001,$B531)=0,"",_xlfn.MAXIFS(Pesagens!$A$3:$A$5001,Pesagens!$B$3:$B$5001,$B531,Pesagens!$E$3:$E$5001,"&lt;&gt;"))</f>
        <v>46225</v>
      </c>
      <c r="I531" s="35">
        <f>IF($H531="","",IFERROR(AVERAGEIFS(Pesagens!$E$3:$E$5001,Pesagens!$B$3:$B$5001,$B531,Pesagens!$A$3:$A$5001,$H531),""))</f>
        <v>426</v>
      </c>
      <c r="J531" s="60">
        <f>IF(F531="","",Parâmetros!$C$4-F531)</f>
        <v>13</v>
      </c>
      <c r="K531" s="35">
        <f t="shared" si="16"/>
        <v>0</v>
      </c>
      <c r="L531" s="102" t="str">
        <f t="shared" si="17"/>
        <v/>
      </c>
      <c r="M531" s="103">
        <f>IF(I531="","",I531*Parâmetros!$C$8/15)</f>
        <v>15.052</v>
      </c>
      <c r="N531" s="103">
        <f>IF(K531="","",K531*Parâmetros!$C$8/15)</f>
        <v>0</v>
      </c>
      <c r="O531" s="26">
        <f>IF(M531="","",M531*Parâmetros!$C$5)</f>
        <v>4816.6399999999994</v>
      </c>
      <c r="P531" s="60" t="str">
        <f>IF(L531="","",IF(L531&gt;=Parâmetros!$C$10,"Sim","Não"))</f>
        <v/>
      </c>
    </row>
    <row r="532" spans="1:16" ht="15" customHeight="1" x14ac:dyDescent="0.3">
      <c r="A532" s="64">
        <v>530</v>
      </c>
      <c r="B532" s="64" t="s">
        <v>713</v>
      </c>
      <c r="C532" s="104" t="s">
        <v>183</v>
      </c>
      <c r="D532" s="104" t="s">
        <v>184</v>
      </c>
      <c r="E532" s="64">
        <v>7</v>
      </c>
      <c r="F532" s="86">
        <v>46225</v>
      </c>
      <c r="G532" s="40">
        <v>434</v>
      </c>
      <c r="H532" s="86">
        <f>IF(COUNTIFS(Pesagens!$B$3:$B$5001,$B532)=0,"",_xlfn.MAXIFS(Pesagens!$A$3:$A$5001,Pesagens!$B$3:$B$5001,$B532,Pesagens!$E$3:$E$5001,"&lt;&gt;"))</f>
        <v>46225</v>
      </c>
      <c r="I532" s="40">
        <f>IF($H532="","",IFERROR(AVERAGEIFS(Pesagens!$E$3:$E$5001,Pesagens!$B$3:$B$5001,$B532,Pesagens!$A$3:$A$5001,$H532),""))</f>
        <v>434</v>
      </c>
      <c r="J532" s="64">
        <f>IF(F532="","",Parâmetros!$C$4-F532)</f>
        <v>13</v>
      </c>
      <c r="K532" s="40">
        <f t="shared" si="16"/>
        <v>0</v>
      </c>
      <c r="L532" s="105" t="str">
        <f t="shared" si="17"/>
        <v/>
      </c>
      <c r="M532" s="106">
        <f>IF(I532="","",I532*Parâmetros!$C$8/15)</f>
        <v>15.334666666666667</v>
      </c>
      <c r="N532" s="106">
        <f>IF(K532="","",K532*Parâmetros!$C$8/15)</f>
        <v>0</v>
      </c>
      <c r="O532" s="28">
        <f>IF(M532="","",M532*Parâmetros!$C$5)</f>
        <v>4907.0933333333332</v>
      </c>
      <c r="P532" s="64" t="str">
        <f>IF(L532="","",IF(L532&gt;=Parâmetros!$C$10,"Sim","Não"))</f>
        <v/>
      </c>
    </row>
    <row r="533" spans="1:16" ht="15" customHeight="1" x14ac:dyDescent="0.3">
      <c r="A533" s="60">
        <v>531</v>
      </c>
      <c r="B533" s="60" t="s">
        <v>714</v>
      </c>
      <c r="C533" s="101" t="s">
        <v>183</v>
      </c>
      <c r="D533" s="101" t="s">
        <v>184</v>
      </c>
      <c r="E533" s="60">
        <v>7</v>
      </c>
      <c r="F533" s="85">
        <v>46225</v>
      </c>
      <c r="G533" s="35">
        <v>421</v>
      </c>
      <c r="H533" s="85">
        <f>IF(COUNTIFS(Pesagens!$B$3:$B$5001,$B533)=0,"",_xlfn.MAXIFS(Pesagens!$A$3:$A$5001,Pesagens!$B$3:$B$5001,$B533,Pesagens!$E$3:$E$5001,"&lt;&gt;"))</f>
        <v>46225</v>
      </c>
      <c r="I533" s="35">
        <f>IF($H533="","",IFERROR(AVERAGEIFS(Pesagens!$E$3:$E$5001,Pesagens!$B$3:$B$5001,$B533,Pesagens!$A$3:$A$5001,$H533),""))</f>
        <v>421</v>
      </c>
      <c r="J533" s="60">
        <f>IF(F533="","",Parâmetros!$C$4-F533)</f>
        <v>13</v>
      </c>
      <c r="K533" s="35">
        <f t="shared" si="16"/>
        <v>0</v>
      </c>
      <c r="L533" s="102" t="str">
        <f t="shared" si="17"/>
        <v/>
      </c>
      <c r="M533" s="103">
        <f>IF(I533="","",I533*Parâmetros!$C$8/15)</f>
        <v>14.875333333333336</v>
      </c>
      <c r="N533" s="103">
        <f>IF(K533="","",K533*Parâmetros!$C$8/15)</f>
        <v>0</v>
      </c>
      <c r="O533" s="26">
        <f>IF(M533="","",M533*Parâmetros!$C$5)</f>
        <v>4760.1066666666675</v>
      </c>
      <c r="P533" s="60" t="str">
        <f>IF(L533="","",IF(L533&gt;=Parâmetros!$C$10,"Sim","Não"))</f>
        <v/>
      </c>
    </row>
    <row r="534" spans="1:16" ht="15" customHeight="1" x14ac:dyDescent="0.3">
      <c r="A534" s="64">
        <v>532</v>
      </c>
      <c r="B534" s="64" t="s">
        <v>715</v>
      </c>
      <c r="C534" s="104" t="s">
        <v>183</v>
      </c>
      <c r="D534" s="104" t="s">
        <v>184</v>
      </c>
      <c r="E534" s="64">
        <v>8</v>
      </c>
      <c r="F534" s="86">
        <v>46225</v>
      </c>
      <c r="G534" s="40">
        <v>391</v>
      </c>
      <c r="H534" s="86">
        <f>IF(COUNTIFS(Pesagens!$B$3:$B$5001,$B534)=0,"",_xlfn.MAXIFS(Pesagens!$A$3:$A$5001,Pesagens!$B$3:$B$5001,$B534,Pesagens!$E$3:$E$5001,"&lt;&gt;"))</f>
        <v>46225</v>
      </c>
      <c r="I534" s="40">
        <f>IF($H534="","",IFERROR(AVERAGEIFS(Pesagens!$E$3:$E$5001,Pesagens!$B$3:$B$5001,$B534,Pesagens!$A$3:$A$5001,$H534),""))</f>
        <v>391</v>
      </c>
      <c r="J534" s="64">
        <f>IF(F534="","",Parâmetros!$C$4-F534)</f>
        <v>13</v>
      </c>
      <c r="K534" s="40">
        <f t="shared" si="16"/>
        <v>0</v>
      </c>
      <c r="L534" s="105" t="str">
        <f t="shared" si="17"/>
        <v/>
      </c>
      <c r="M534" s="106">
        <f>IF(I534="","",I534*Parâmetros!$C$8/15)</f>
        <v>13.815333333333335</v>
      </c>
      <c r="N534" s="106">
        <f>IF(K534="","",K534*Parâmetros!$C$8/15)</f>
        <v>0</v>
      </c>
      <c r="O534" s="28">
        <f>IF(M534="","",M534*Parâmetros!$C$5)</f>
        <v>4420.9066666666677</v>
      </c>
      <c r="P534" s="64" t="str">
        <f>IF(L534="","",IF(L534&gt;=Parâmetros!$C$10,"Sim","Não"))</f>
        <v/>
      </c>
    </row>
    <row r="535" spans="1:16" ht="15" customHeight="1" x14ac:dyDescent="0.3">
      <c r="A535" s="60">
        <v>533</v>
      </c>
      <c r="B535" s="60" t="s">
        <v>716</v>
      </c>
      <c r="C535" s="101" t="s">
        <v>183</v>
      </c>
      <c r="D535" s="101" t="s">
        <v>184</v>
      </c>
      <c r="E535" s="60">
        <v>8</v>
      </c>
      <c r="F535" s="85">
        <v>46225</v>
      </c>
      <c r="G535" s="35">
        <v>397</v>
      </c>
      <c r="H535" s="85">
        <f>IF(COUNTIFS(Pesagens!$B$3:$B$5001,$B535)=0,"",_xlfn.MAXIFS(Pesagens!$A$3:$A$5001,Pesagens!$B$3:$B$5001,$B535,Pesagens!$E$3:$E$5001,"&lt;&gt;"))</f>
        <v>46225</v>
      </c>
      <c r="I535" s="35">
        <f>IF($H535="","",IFERROR(AVERAGEIFS(Pesagens!$E$3:$E$5001,Pesagens!$B$3:$B$5001,$B535,Pesagens!$A$3:$A$5001,$H535),""))</f>
        <v>397</v>
      </c>
      <c r="J535" s="60">
        <f>IF(F535="","",Parâmetros!$C$4-F535)</f>
        <v>13</v>
      </c>
      <c r="K535" s="35">
        <f t="shared" si="16"/>
        <v>0</v>
      </c>
      <c r="L535" s="102" t="str">
        <f t="shared" si="17"/>
        <v/>
      </c>
      <c r="M535" s="103">
        <f>IF(I535="","",I535*Parâmetros!$C$8/15)</f>
        <v>14.027333333333333</v>
      </c>
      <c r="N535" s="103">
        <f>IF(K535="","",K535*Parâmetros!$C$8/15)</f>
        <v>0</v>
      </c>
      <c r="O535" s="26">
        <f>IF(M535="","",M535*Parâmetros!$C$5)</f>
        <v>4488.7466666666669</v>
      </c>
      <c r="P535" s="60" t="str">
        <f>IF(L535="","",IF(L535&gt;=Parâmetros!$C$10,"Sim","Não"))</f>
        <v/>
      </c>
    </row>
    <row r="536" spans="1:16" ht="15" customHeight="1" x14ac:dyDescent="0.3">
      <c r="A536" s="64">
        <v>534</v>
      </c>
      <c r="B536" s="64" t="s">
        <v>717</v>
      </c>
      <c r="C536" s="104" t="s">
        <v>183</v>
      </c>
      <c r="D536" s="104" t="s">
        <v>184</v>
      </c>
      <c r="E536" s="64">
        <v>8</v>
      </c>
      <c r="F536" s="86">
        <v>46225</v>
      </c>
      <c r="G536" s="40">
        <v>388</v>
      </c>
      <c r="H536" s="86">
        <f>IF(COUNTIFS(Pesagens!$B$3:$B$5001,$B536)=0,"",_xlfn.MAXIFS(Pesagens!$A$3:$A$5001,Pesagens!$B$3:$B$5001,$B536,Pesagens!$E$3:$E$5001,"&lt;&gt;"))</f>
        <v>46225</v>
      </c>
      <c r="I536" s="40">
        <f>IF($H536="","",IFERROR(AVERAGEIFS(Pesagens!$E$3:$E$5001,Pesagens!$B$3:$B$5001,$B536,Pesagens!$A$3:$A$5001,$H536),""))</f>
        <v>388</v>
      </c>
      <c r="J536" s="64">
        <f>IF(F536="","",Parâmetros!$C$4-F536)</f>
        <v>13</v>
      </c>
      <c r="K536" s="40">
        <f t="shared" si="16"/>
        <v>0</v>
      </c>
      <c r="L536" s="105" t="str">
        <f t="shared" si="17"/>
        <v/>
      </c>
      <c r="M536" s="106">
        <f>IF(I536="","",I536*Parâmetros!$C$8/15)</f>
        <v>13.709333333333335</v>
      </c>
      <c r="N536" s="106">
        <f>IF(K536="","",K536*Parâmetros!$C$8/15)</f>
        <v>0</v>
      </c>
      <c r="O536" s="28">
        <f>IF(M536="","",M536*Parâmetros!$C$5)</f>
        <v>4386.9866666666676</v>
      </c>
      <c r="P536" s="64" t="str">
        <f>IF(L536="","",IF(L536&gt;=Parâmetros!$C$10,"Sim","Não"))</f>
        <v/>
      </c>
    </row>
    <row r="537" spans="1:16" ht="15" customHeight="1" x14ac:dyDescent="0.3">
      <c r="A537" s="60">
        <v>535</v>
      </c>
      <c r="B537" s="60" t="s">
        <v>718</v>
      </c>
      <c r="C537" s="101" t="s">
        <v>183</v>
      </c>
      <c r="D537" s="101" t="s">
        <v>184</v>
      </c>
      <c r="E537" s="60">
        <v>8</v>
      </c>
      <c r="F537" s="85">
        <v>46225</v>
      </c>
      <c r="G537" s="35">
        <v>399</v>
      </c>
      <c r="H537" s="85">
        <f>IF(COUNTIFS(Pesagens!$B$3:$B$5001,$B537)=0,"",_xlfn.MAXIFS(Pesagens!$A$3:$A$5001,Pesagens!$B$3:$B$5001,$B537,Pesagens!$E$3:$E$5001,"&lt;&gt;"))</f>
        <v>46225</v>
      </c>
      <c r="I537" s="35">
        <f>IF($H537="","",IFERROR(AVERAGEIFS(Pesagens!$E$3:$E$5001,Pesagens!$B$3:$B$5001,$B537,Pesagens!$A$3:$A$5001,$H537),""))</f>
        <v>399</v>
      </c>
      <c r="J537" s="60">
        <f>IF(F537="","",Parâmetros!$C$4-F537)</f>
        <v>13</v>
      </c>
      <c r="K537" s="35">
        <f t="shared" si="16"/>
        <v>0</v>
      </c>
      <c r="L537" s="102" t="str">
        <f t="shared" si="17"/>
        <v/>
      </c>
      <c r="M537" s="103">
        <f>IF(I537="","",I537*Parâmetros!$C$8/15)</f>
        <v>14.098000000000001</v>
      </c>
      <c r="N537" s="103">
        <f>IF(K537="","",K537*Parâmetros!$C$8/15)</f>
        <v>0</v>
      </c>
      <c r="O537" s="26">
        <f>IF(M537="","",M537*Parâmetros!$C$5)</f>
        <v>4511.3600000000006</v>
      </c>
      <c r="P537" s="60" t="str">
        <f>IF(L537="","",IF(L537&gt;=Parâmetros!$C$10,"Sim","Não"))</f>
        <v/>
      </c>
    </row>
    <row r="538" spans="1:16" ht="15" customHeight="1" x14ac:dyDescent="0.3">
      <c r="A538" s="64">
        <v>536</v>
      </c>
      <c r="B538" s="64" t="s">
        <v>719</v>
      </c>
      <c r="C538" s="104" t="s">
        <v>183</v>
      </c>
      <c r="D538" s="104" t="s">
        <v>184</v>
      </c>
      <c r="E538" s="64">
        <v>8</v>
      </c>
      <c r="F538" s="86">
        <v>46225</v>
      </c>
      <c r="G538" s="40">
        <v>395</v>
      </c>
      <c r="H538" s="86">
        <f>IF(COUNTIFS(Pesagens!$B$3:$B$5001,$B538)=0,"",_xlfn.MAXIFS(Pesagens!$A$3:$A$5001,Pesagens!$B$3:$B$5001,$B538,Pesagens!$E$3:$E$5001,"&lt;&gt;"))</f>
        <v>46225</v>
      </c>
      <c r="I538" s="40">
        <f>IF($H538="","",IFERROR(AVERAGEIFS(Pesagens!$E$3:$E$5001,Pesagens!$B$3:$B$5001,$B538,Pesagens!$A$3:$A$5001,$H538),""))</f>
        <v>395</v>
      </c>
      <c r="J538" s="64">
        <f>IF(F538="","",Parâmetros!$C$4-F538)</f>
        <v>13</v>
      </c>
      <c r="K538" s="40">
        <f t="shared" si="16"/>
        <v>0</v>
      </c>
      <c r="L538" s="105" t="str">
        <f t="shared" si="17"/>
        <v/>
      </c>
      <c r="M538" s="106">
        <f>IF(I538="","",I538*Parâmetros!$C$8/15)</f>
        <v>13.956666666666669</v>
      </c>
      <c r="N538" s="106">
        <f>IF(K538="","",K538*Parâmetros!$C$8/15)</f>
        <v>0</v>
      </c>
      <c r="O538" s="28">
        <f>IF(M538="","",M538*Parâmetros!$C$5)</f>
        <v>4466.1333333333341</v>
      </c>
      <c r="P538" s="64" t="str">
        <f>IF(L538="","",IF(L538&gt;=Parâmetros!$C$10,"Sim","Não"))</f>
        <v/>
      </c>
    </row>
    <row r="539" spans="1:16" ht="15" customHeight="1" x14ac:dyDescent="0.3">
      <c r="A539" s="60">
        <v>537</v>
      </c>
      <c r="B539" s="60" t="s">
        <v>720</v>
      </c>
      <c r="C539" s="101" t="s">
        <v>183</v>
      </c>
      <c r="D539" s="101" t="s">
        <v>184</v>
      </c>
      <c r="E539" s="60">
        <v>8</v>
      </c>
      <c r="F539" s="85">
        <v>46225</v>
      </c>
      <c r="G539" s="35">
        <v>383</v>
      </c>
      <c r="H539" s="85">
        <f>IF(COUNTIFS(Pesagens!$B$3:$B$5001,$B539)=0,"",_xlfn.MAXIFS(Pesagens!$A$3:$A$5001,Pesagens!$B$3:$B$5001,$B539,Pesagens!$E$3:$E$5001,"&lt;&gt;"))</f>
        <v>46225</v>
      </c>
      <c r="I539" s="35">
        <f>IF($H539="","",IFERROR(AVERAGEIFS(Pesagens!$E$3:$E$5001,Pesagens!$B$3:$B$5001,$B539,Pesagens!$A$3:$A$5001,$H539),""))</f>
        <v>383</v>
      </c>
      <c r="J539" s="60">
        <f>IF(F539="","",Parâmetros!$C$4-F539)</f>
        <v>13</v>
      </c>
      <c r="K539" s="35">
        <f t="shared" si="16"/>
        <v>0</v>
      </c>
      <c r="L539" s="102" t="str">
        <f t="shared" si="17"/>
        <v/>
      </c>
      <c r="M539" s="103">
        <f>IF(I539="","",I539*Parâmetros!$C$8/15)</f>
        <v>13.532666666666668</v>
      </c>
      <c r="N539" s="103">
        <f>IF(K539="","",K539*Parâmetros!$C$8/15)</f>
        <v>0</v>
      </c>
      <c r="O539" s="26">
        <f>IF(M539="","",M539*Parâmetros!$C$5)</f>
        <v>4330.4533333333338</v>
      </c>
      <c r="P539" s="60" t="str">
        <f>IF(L539="","",IF(L539&gt;=Parâmetros!$C$10,"Sim","Não"))</f>
        <v/>
      </c>
    </row>
    <row r="540" spans="1:16" ht="15" customHeight="1" x14ac:dyDescent="0.3">
      <c r="A540" s="64">
        <v>538</v>
      </c>
      <c r="B540" s="64" t="s">
        <v>721</v>
      </c>
      <c r="C540" s="104" t="s">
        <v>183</v>
      </c>
      <c r="D540" s="104" t="s">
        <v>184</v>
      </c>
      <c r="E540" s="64">
        <v>8</v>
      </c>
      <c r="F540" s="86">
        <v>46225</v>
      </c>
      <c r="G540" s="40">
        <v>388</v>
      </c>
      <c r="H540" s="86">
        <f>IF(COUNTIFS(Pesagens!$B$3:$B$5001,$B540)=0,"",_xlfn.MAXIFS(Pesagens!$A$3:$A$5001,Pesagens!$B$3:$B$5001,$B540,Pesagens!$E$3:$E$5001,"&lt;&gt;"))</f>
        <v>46225</v>
      </c>
      <c r="I540" s="40">
        <f>IF($H540="","",IFERROR(AVERAGEIFS(Pesagens!$E$3:$E$5001,Pesagens!$B$3:$B$5001,$B540,Pesagens!$A$3:$A$5001,$H540),""))</f>
        <v>388</v>
      </c>
      <c r="J540" s="64">
        <f>IF(F540="","",Parâmetros!$C$4-F540)</f>
        <v>13</v>
      </c>
      <c r="K540" s="40">
        <f t="shared" si="16"/>
        <v>0</v>
      </c>
      <c r="L540" s="105" t="str">
        <f t="shared" si="17"/>
        <v/>
      </c>
      <c r="M540" s="106">
        <f>IF(I540="","",I540*Parâmetros!$C$8/15)</f>
        <v>13.709333333333335</v>
      </c>
      <c r="N540" s="106">
        <f>IF(K540="","",K540*Parâmetros!$C$8/15)</f>
        <v>0</v>
      </c>
      <c r="O540" s="28">
        <f>IF(M540="","",M540*Parâmetros!$C$5)</f>
        <v>4386.9866666666676</v>
      </c>
      <c r="P540" s="64" t="str">
        <f>IF(L540="","",IF(L540&gt;=Parâmetros!$C$10,"Sim","Não"))</f>
        <v/>
      </c>
    </row>
    <row r="541" spans="1:16" ht="15" customHeight="1" x14ac:dyDescent="0.3">
      <c r="A541" s="60">
        <v>539</v>
      </c>
      <c r="B541" s="60" t="s">
        <v>722</v>
      </c>
      <c r="C541" s="101" t="s">
        <v>183</v>
      </c>
      <c r="D541" s="101" t="s">
        <v>184</v>
      </c>
      <c r="E541" s="60">
        <v>8</v>
      </c>
      <c r="F541" s="85">
        <v>46225</v>
      </c>
      <c r="G541" s="35">
        <v>404</v>
      </c>
      <c r="H541" s="85">
        <f>IF(COUNTIFS(Pesagens!$B$3:$B$5001,$B541)=0,"",_xlfn.MAXIFS(Pesagens!$A$3:$A$5001,Pesagens!$B$3:$B$5001,$B541,Pesagens!$E$3:$E$5001,"&lt;&gt;"))</f>
        <v>46225</v>
      </c>
      <c r="I541" s="35">
        <f>IF($H541="","",IFERROR(AVERAGEIFS(Pesagens!$E$3:$E$5001,Pesagens!$B$3:$B$5001,$B541,Pesagens!$A$3:$A$5001,$H541),""))</f>
        <v>404</v>
      </c>
      <c r="J541" s="60">
        <f>IF(F541="","",Parâmetros!$C$4-F541)</f>
        <v>13</v>
      </c>
      <c r="K541" s="35">
        <f t="shared" si="16"/>
        <v>0</v>
      </c>
      <c r="L541" s="102" t="str">
        <f t="shared" si="17"/>
        <v/>
      </c>
      <c r="M541" s="103">
        <f>IF(I541="","",I541*Parâmetros!$C$8/15)</f>
        <v>14.274666666666667</v>
      </c>
      <c r="N541" s="103">
        <f>IF(K541="","",K541*Parâmetros!$C$8/15)</f>
        <v>0</v>
      </c>
      <c r="O541" s="26">
        <f>IF(M541="","",M541*Parâmetros!$C$5)</f>
        <v>4567.8933333333334</v>
      </c>
      <c r="P541" s="60" t="str">
        <f>IF(L541="","",IF(L541&gt;=Parâmetros!$C$10,"Sim","Não"))</f>
        <v/>
      </c>
    </row>
    <row r="542" spans="1:16" ht="15" customHeight="1" x14ac:dyDescent="0.3">
      <c r="A542" s="64">
        <v>540</v>
      </c>
      <c r="B542" s="64" t="s">
        <v>723</v>
      </c>
      <c r="C542" s="104" t="s">
        <v>183</v>
      </c>
      <c r="D542" s="104" t="s">
        <v>184</v>
      </c>
      <c r="E542" s="64">
        <v>8</v>
      </c>
      <c r="F542" s="86">
        <v>46225</v>
      </c>
      <c r="G542" s="40">
        <v>398</v>
      </c>
      <c r="H542" s="86">
        <f>IF(COUNTIFS(Pesagens!$B$3:$B$5001,$B542)=0,"",_xlfn.MAXIFS(Pesagens!$A$3:$A$5001,Pesagens!$B$3:$B$5001,$B542,Pesagens!$E$3:$E$5001,"&lt;&gt;"))</f>
        <v>46225</v>
      </c>
      <c r="I542" s="40">
        <f>IF($H542="","",IFERROR(AVERAGEIFS(Pesagens!$E$3:$E$5001,Pesagens!$B$3:$B$5001,$B542,Pesagens!$A$3:$A$5001,$H542),""))</f>
        <v>398</v>
      </c>
      <c r="J542" s="64">
        <f>IF(F542="","",Parâmetros!$C$4-F542)</f>
        <v>13</v>
      </c>
      <c r="K542" s="40">
        <f t="shared" si="16"/>
        <v>0</v>
      </c>
      <c r="L542" s="105" t="str">
        <f t="shared" si="17"/>
        <v/>
      </c>
      <c r="M542" s="106">
        <f>IF(I542="","",I542*Parâmetros!$C$8/15)</f>
        <v>14.062666666666667</v>
      </c>
      <c r="N542" s="106">
        <f>IF(K542="","",K542*Parâmetros!$C$8/15)</f>
        <v>0</v>
      </c>
      <c r="O542" s="28">
        <f>IF(M542="","",M542*Parâmetros!$C$5)</f>
        <v>4500.0533333333333</v>
      </c>
      <c r="P542" s="64" t="str">
        <f>IF(L542="","",IF(L542&gt;=Parâmetros!$C$10,"Sim","Não"))</f>
        <v/>
      </c>
    </row>
    <row r="543" spans="1:16" ht="15" customHeight="1" x14ac:dyDescent="0.3">
      <c r="A543" s="60">
        <v>541</v>
      </c>
      <c r="B543" s="60" t="s">
        <v>724</v>
      </c>
      <c r="C543" s="101" t="s">
        <v>183</v>
      </c>
      <c r="D543" s="101" t="s">
        <v>184</v>
      </c>
      <c r="E543" s="60">
        <v>8</v>
      </c>
      <c r="F543" s="85">
        <v>46225</v>
      </c>
      <c r="G543" s="35">
        <v>405</v>
      </c>
      <c r="H543" s="85">
        <f>IF(COUNTIFS(Pesagens!$B$3:$B$5001,$B543)=0,"",_xlfn.MAXIFS(Pesagens!$A$3:$A$5001,Pesagens!$B$3:$B$5001,$B543,Pesagens!$E$3:$E$5001,"&lt;&gt;"))</f>
        <v>46225</v>
      </c>
      <c r="I543" s="35">
        <f>IF($H543="","",IFERROR(AVERAGEIFS(Pesagens!$E$3:$E$5001,Pesagens!$B$3:$B$5001,$B543,Pesagens!$A$3:$A$5001,$H543),""))</f>
        <v>405</v>
      </c>
      <c r="J543" s="60">
        <f>IF(F543="","",Parâmetros!$C$4-F543)</f>
        <v>13</v>
      </c>
      <c r="K543" s="35">
        <f t="shared" si="16"/>
        <v>0</v>
      </c>
      <c r="L543" s="102" t="str">
        <f t="shared" si="17"/>
        <v/>
      </c>
      <c r="M543" s="103">
        <f>IF(I543="","",I543*Parâmetros!$C$8/15)</f>
        <v>14.31</v>
      </c>
      <c r="N543" s="103">
        <f>IF(K543="","",K543*Parâmetros!$C$8/15)</f>
        <v>0</v>
      </c>
      <c r="O543" s="26">
        <f>IF(M543="","",M543*Parâmetros!$C$5)</f>
        <v>4579.2</v>
      </c>
      <c r="P543" s="60" t="str">
        <f>IF(L543="","",IF(L543&gt;=Parâmetros!$C$10,"Sim","Não"))</f>
        <v/>
      </c>
    </row>
    <row r="544" spans="1:16" ht="15" customHeight="1" x14ac:dyDescent="0.3">
      <c r="A544" s="64">
        <v>542</v>
      </c>
      <c r="B544" s="64" t="s">
        <v>725</v>
      </c>
      <c r="C544" s="104" t="s">
        <v>183</v>
      </c>
      <c r="D544" s="104" t="s">
        <v>184</v>
      </c>
      <c r="E544" s="64">
        <v>8</v>
      </c>
      <c r="F544" s="86">
        <v>46225</v>
      </c>
      <c r="G544" s="40">
        <v>382</v>
      </c>
      <c r="H544" s="86">
        <f>IF(COUNTIFS(Pesagens!$B$3:$B$5001,$B544)=0,"",_xlfn.MAXIFS(Pesagens!$A$3:$A$5001,Pesagens!$B$3:$B$5001,$B544,Pesagens!$E$3:$E$5001,"&lt;&gt;"))</f>
        <v>46225</v>
      </c>
      <c r="I544" s="40">
        <f>IF($H544="","",IFERROR(AVERAGEIFS(Pesagens!$E$3:$E$5001,Pesagens!$B$3:$B$5001,$B544,Pesagens!$A$3:$A$5001,$H544),""))</f>
        <v>382</v>
      </c>
      <c r="J544" s="64">
        <f>IF(F544="","",Parâmetros!$C$4-F544)</f>
        <v>13</v>
      </c>
      <c r="K544" s="40">
        <f t="shared" si="16"/>
        <v>0</v>
      </c>
      <c r="L544" s="105" t="str">
        <f t="shared" si="17"/>
        <v/>
      </c>
      <c r="M544" s="106">
        <f>IF(I544="","",I544*Parâmetros!$C$8/15)</f>
        <v>13.497333333333334</v>
      </c>
      <c r="N544" s="106">
        <f>IF(K544="","",K544*Parâmetros!$C$8/15)</f>
        <v>0</v>
      </c>
      <c r="O544" s="28">
        <f>IF(M544="","",M544*Parâmetros!$C$5)</f>
        <v>4319.1466666666665</v>
      </c>
      <c r="P544" s="64" t="str">
        <f>IF(L544="","",IF(L544&gt;=Parâmetros!$C$10,"Sim","Não"))</f>
        <v/>
      </c>
    </row>
    <row r="545" spans="1:16" ht="15" customHeight="1" x14ac:dyDescent="0.3">
      <c r="A545" s="60">
        <v>543</v>
      </c>
      <c r="B545" s="60" t="s">
        <v>726</v>
      </c>
      <c r="C545" s="101" t="s">
        <v>183</v>
      </c>
      <c r="D545" s="101" t="s">
        <v>184</v>
      </c>
      <c r="E545" s="60">
        <v>8</v>
      </c>
      <c r="F545" s="85">
        <v>46225</v>
      </c>
      <c r="G545" s="35">
        <v>387</v>
      </c>
      <c r="H545" s="85">
        <f>IF(COUNTIFS(Pesagens!$B$3:$B$5001,$B545)=0,"",_xlfn.MAXIFS(Pesagens!$A$3:$A$5001,Pesagens!$B$3:$B$5001,$B545,Pesagens!$E$3:$E$5001,"&lt;&gt;"))</f>
        <v>46225</v>
      </c>
      <c r="I545" s="35">
        <f>IF($H545="","",IFERROR(AVERAGEIFS(Pesagens!$E$3:$E$5001,Pesagens!$B$3:$B$5001,$B545,Pesagens!$A$3:$A$5001,$H545),""))</f>
        <v>387</v>
      </c>
      <c r="J545" s="60">
        <f>IF(F545="","",Parâmetros!$C$4-F545)</f>
        <v>13</v>
      </c>
      <c r="K545" s="35">
        <f t="shared" si="16"/>
        <v>0</v>
      </c>
      <c r="L545" s="102" t="str">
        <f t="shared" si="17"/>
        <v/>
      </c>
      <c r="M545" s="103">
        <f>IF(I545="","",I545*Parâmetros!$C$8/15)</f>
        <v>13.674000000000001</v>
      </c>
      <c r="N545" s="103">
        <f>IF(K545="","",K545*Parâmetros!$C$8/15)</f>
        <v>0</v>
      </c>
      <c r="O545" s="26">
        <f>IF(M545="","",M545*Parâmetros!$C$5)</f>
        <v>4375.68</v>
      </c>
      <c r="P545" s="60" t="str">
        <f>IF(L545="","",IF(L545&gt;=Parâmetros!$C$10,"Sim","Não"))</f>
        <v/>
      </c>
    </row>
    <row r="546" spans="1:16" ht="15" customHeight="1" x14ac:dyDescent="0.3">
      <c r="A546" s="64">
        <v>544</v>
      </c>
      <c r="B546" s="64" t="s">
        <v>727</v>
      </c>
      <c r="C546" s="104" t="s">
        <v>183</v>
      </c>
      <c r="D546" s="104" t="s">
        <v>184</v>
      </c>
      <c r="E546" s="64">
        <v>8</v>
      </c>
      <c r="F546" s="86">
        <v>46225</v>
      </c>
      <c r="G546" s="40">
        <v>387</v>
      </c>
      <c r="H546" s="86">
        <f>IF(COUNTIFS(Pesagens!$B$3:$B$5001,$B546)=0,"",_xlfn.MAXIFS(Pesagens!$A$3:$A$5001,Pesagens!$B$3:$B$5001,$B546,Pesagens!$E$3:$E$5001,"&lt;&gt;"))</f>
        <v>46225</v>
      </c>
      <c r="I546" s="40">
        <f>IF($H546="","",IFERROR(AVERAGEIFS(Pesagens!$E$3:$E$5001,Pesagens!$B$3:$B$5001,$B546,Pesagens!$A$3:$A$5001,$H546),""))</f>
        <v>387</v>
      </c>
      <c r="J546" s="64">
        <f>IF(F546="","",Parâmetros!$C$4-F546)</f>
        <v>13</v>
      </c>
      <c r="K546" s="40">
        <f t="shared" si="16"/>
        <v>0</v>
      </c>
      <c r="L546" s="105" t="str">
        <f t="shared" si="17"/>
        <v/>
      </c>
      <c r="M546" s="106">
        <f>IF(I546="","",I546*Parâmetros!$C$8/15)</f>
        <v>13.674000000000001</v>
      </c>
      <c r="N546" s="106">
        <f>IF(K546="","",K546*Parâmetros!$C$8/15)</f>
        <v>0</v>
      </c>
      <c r="O546" s="28">
        <f>IF(M546="","",M546*Parâmetros!$C$5)</f>
        <v>4375.68</v>
      </c>
      <c r="P546" s="64" t="str">
        <f>IF(L546="","",IF(L546&gt;=Parâmetros!$C$10,"Sim","Não"))</f>
        <v/>
      </c>
    </row>
    <row r="547" spans="1:16" ht="15" customHeight="1" x14ac:dyDescent="0.3">
      <c r="A547" s="60">
        <v>545</v>
      </c>
      <c r="B547" s="60" t="s">
        <v>728</v>
      </c>
      <c r="C547" s="101" t="s">
        <v>183</v>
      </c>
      <c r="D547" s="101" t="s">
        <v>184</v>
      </c>
      <c r="E547" s="60">
        <v>8</v>
      </c>
      <c r="F547" s="85">
        <v>46225</v>
      </c>
      <c r="G547" s="35">
        <v>390</v>
      </c>
      <c r="H547" s="85">
        <f>IF(COUNTIFS(Pesagens!$B$3:$B$5001,$B547)=0,"",_xlfn.MAXIFS(Pesagens!$A$3:$A$5001,Pesagens!$B$3:$B$5001,$B547,Pesagens!$E$3:$E$5001,"&lt;&gt;"))</f>
        <v>46225</v>
      </c>
      <c r="I547" s="35">
        <f>IF($H547="","",IFERROR(AVERAGEIFS(Pesagens!$E$3:$E$5001,Pesagens!$B$3:$B$5001,$B547,Pesagens!$A$3:$A$5001,$H547),""))</f>
        <v>390</v>
      </c>
      <c r="J547" s="60">
        <f>IF(F547="","",Parâmetros!$C$4-F547)</f>
        <v>13</v>
      </c>
      <c r="K547" s="35">
        <f t="shared" si="16"/>
        <v>0</v>
      </c>
      <c r="L547" s="102" t="str">
        <f t="shared" si="17"/>
        <v/>
      </c>
      <c r="M547" s="103">
        <f>IF(I547="","",I547*Parâmetros!$C$8/15)</f>
        <v>13.780000000000001</v>
      </c>
      <c r="N547" s="103">
        <f>IF(K547="","",K547*Parâmetros!$C$8/15)</f>
        <v>0</v>
      </c>
      <c r="O547" s="26">
        <f>IF(M547="","",M547*Parâmetros!$C$5)</f>
        <v>4409.6000000000004</v>
      </c>
      <c r="P547" s="60" t="str">
        <f>IF(L547="","",IF(L547&gt;=Parâmetros!$C$10,"Sim","Não"))</f>
        <v/>
      </c>
    </row>
    <row r="548" spans="1:16" ht="15" customHeight="1" x14ac:dyDescent="0.3">
      <c r="A548" s="64">
        <v>546</v>
      </c>
      <c r="B548" s="64" t="s">
        <v>729</v>
      </c>
      <c r="C548" s="104" t="s">
        <v>183</v>
      </c>
      <c r="D548" s="104" t="s">
        <v>184</v>
      </c>
      <c r="E548" s="64">
        <v>8</v>
      </c>
      <c r="F548" s="86">
        <v>46225</v>
      </c>
      <c r="G548" s="40">
        <v>403</v>
      </c>
      <c r="H548" s="86">
        <f>IF(COUNTIFS(Pesagens!$B$3:$B$5001,$B548)=0,"",_xlfn.MAXIFS(Pesagens!$A$3:$A$5001,Pesagens!$B$3:$B$5001,$B548,Pesagens!$E$3:$E$5001,"&lt;&gt;"))</f>
        <v>46225</v>
      </c>
      <c r="I548" s="40">
        <f>IF($H548="","",IFERROR(AVERAGEIFS(Pesagens!$E$3:$E$5001,Pesagens!$B$3:$B$5001,$B548,Pesagens!$A$3:$A$5001,$H548),""))</f>
        <v>403</v>
      </c>
      <c r="J548" s="64">
        <f>IF(F548="","",Parâmetros!$C$4-F548)</f>
        <v>13</v>
      </c>
      <c r="K548" s="40">
        <f t="shared" si="16"/>
        <v>0</v>
      </c>
      <c r="L548" s="105" t="str">
        <f t="shared" si="17"/>
        <v/>
      </c>
      <c r="M548" s="106">
        <f>IF(I548="","",I548*Parâmetros!$C$8/15)</f>
        <v>14.239333333333333</v>
      </c>
      <c r="N548" s="106">
        <f>IF(K548="","",K548*Parâmetros!$C$8/15)</f>
        <v>0</v>
      </c>
      <c r="O548" s="28">
        <f>IF(M548="","",M548*Parâmetros!$C$5)</f>
        <v>4556.5866666666661</v>
      </c>
      <c r="P548" s="64" t="str">
        <f>IF(L548="","",IF(L548&gt;=Parâmetros!$C$10,"Sim","Não"))</f>
        <v/>
      </c>
    </row>
    <row r="549" spans="1:16" ht="15" customHeight="1" x14ac:dyDescent="0.3">
      <c r="A549" s="60">
        <v>547</v>
      </c>
      <c r="B549" s="60" t="s">
        <v>730</v>
      </c>
      <c r="C549" s="101" t="s">
        <v>183</v>
      </c>
      <c r="D549" s="101" t="s">
        <v>184</v>
      </c>
      <c r="E549" s="60">
        <v>8</v>
      </c>
      <c r="F549" s="85">
        <v>46225</v>
      </c>
      <c r="G549" s="35">
        <v>400</v>
      </c>
      <c r="H549" s="85">
        <f>IF(COUNTIFS(Pesagens!$B$3:$B$5001,$B549)=0,"",_xlfn.MAXIFS(Pesagens!$A$3:$A$5001,Pesagens!$B$3:$B$5001,$B549,Pesagens!$E$3:$E$5001,"&lt;&gt;"))</f>
        <v>46225</v>
      </c>
      <c r="I549" s="35">
        <f>IF($H549="","",IFERROR(AVERAGEIFS(Pesagens!$E$3:$E$5001,Pesagens!$B$3:$B$5001,$B549,Pesagens!$A$3:$A$5001,$H549),""))</f>
        <v>400</v>
      </c>
      <c r="J549" s="60">
        <f>IF(F549="","",Parâmetros!$C$4-F549)</f>
        <v>13</v>
      </c>
      <c r="K549" s="35">
        <f t="shared" si="16"/>
        <v>0</v>
      </c>
      <c r="L549" s="102" t="str">
        <f t="shared" si="17"/>
        <v/>
      </c>
      <c r="M549" s="103">
        <f>IF(I549="","",I549*Parâmetros!$C$8/15)</f>
        <v>14.133333333333333</v>
      </c>
      <c r="N549" s="103">
        <f>IF(K549="","",K549*Parâmetros!$C$8/15)</f>
        <v>0</v>
      </c>
      <c r="O549" s="26">
        <f>IF(M549="","",M549*Parâmetros!$C$5)</f>
        <v>4522.6666666666661</v>
      </c>
      <c r="P549" s="60" t="str">
        <f>IF(L549="","",IF(L549&gt;=Parâmetros!$C$10,"Sim","Não"))</f>
        <v/>
      </c>
    </row>
    <row r="550" spans="1:16" ht="15" customHeight="1" x14ac:dyDescent="0.3">
      <c r="A550" s="64">
        <v>548</v>
      </c>
      <c r="B550" s="64" t="s">
        <v>731</v>
      </c>
      <c r="C550" s="104" t="s">
        <v>183</v>
      </c>
      <c r="D550" s="104" t="s">
        <v>184</v>
      </c>
      <c r="E550" s="64">
        <v>8</v>
      </c>
      <c r="F550" s="86">
        <v>46225</v>
      </c>
      <c r="G550" s="40">
        <v>394</v>
      </c>
      <c r="H550" s="86">
        <f>IF(COUNTIFS(Pesagens!$B$3:$B$5001,$B550)=0,"",_xlfn.MAXIFS(Pesagens!$A$3:$A$5001,Pesagens!$B$3:$B$5001,$B550,Pesagens!$E$3:$E$5001,"&lt;&gt;"))</f>
        <v>46225</v>
      </c>
      <c r="I550" s="40">
        <f>IF($H550="","",IFERROR(AVERAGEIFS(Pesagens!$E$3:$E$5001,Pesagens!$B$3:$B$5001,$B550,Pesagens!$A$3:$A$5001,$H550),""))</f>
        <v>394</v>
      </c>
      <c r="J550" s="64">
        <f>IF(F550="","",Parâmetros!$C$4-F550)</f>
        <v>13</v>
      </c>
      <c r="K550" s="40">
        <f t="shared" si="16"/>
        <v>0</v>
      </c>
      <c r="L550" s="105" t="str">
        <f t="shared" si="17"/>
        <v/>
      </c>
      <c r="M550" s="106">
        <f>IF(I550="","",I550*Parâmetros!$C$8/15)</f>
        <v>13.921333333333335</v>
      </c>
      <c r="N550" s="106">
        <f>IF(K550="","",K550*Parâmetros!$C$8/15)</f>
        <v>0</v>
      </c>
      <c r="O550" s="28">
        <f>IF(M550="","",M550*Parâmetros!$C$5)</f>
        <v>4454.8266666666668</v>
      </c>
      <c r="P550" s="64" t="str">
        <f>IF(L550="","",IF(L550&gt;=Parâmetros!$C$10,"Sim","Não"))</f>
        <v/>
      </c>
    </row>
    <row r="551" spans="1:16" ht="15" customHeight="1" x14ac:dyDescent="0.3">
      <c r="A551" s="60">
        <v>549</v>
      </c>
      <c r="B551" s="60" t="s">
        <v>732</v>
      </c>
      <c r="C551" s="101" t="s">
        <v>183</v>
      </c>
      <c r="D551" s="101" t="s">
        <v>184</v>
      </c>
      <c r="E551" s="60">
        <v>8</v>
      </c>
      <c r="F551" s="85">
        <v>46225</v>
      </c>
      <c r="G551" s="35">
        <v>404</v>
      </c>
      <c r="H551" s="85">
        <f>IF(COUNTIFS(Pesagens!$B$3:$B$5001,$B551)=0,"",_xlfn.MAXIFS(Pesagens!$A$3:$A$5001,Pesagens!$B$3:$B$5001,$B551,Pesagens!$E$3:$E$5001,"&lt;&gt;"))</f>
        <v>46225</v>
      </c>
      <c r="I551" s="35">
        <f>IF($H551="","",IFERROR(AVERAGEIFS(Pesagens!$E$3:$E$5001,Pesagens!$B$3:$B$5001,$B551,Pesagens!$A$3:$A$5001,$H551),""))</f>
        <v>404</v>
      </c>
      <c r="J551" s="60">
        <f>IF(F551="","",Parâmetros!$C$4-F551)</f>
        <v>13</v>
      </c>
      <c r="K551" s="35">
        <f t="shared" si="16"/>
        <v>0</v>
      </c>
      <c r="L551" s="102" t="str">
        <f t="shared" si="17"/>
        <v/>
      </c>
      <c r="M551" s="103">
        <f>IF(I551="","",I551*Parâmetros!$C$8/15)</f>
        <v>14.274666666666667</v>
      </c>
      <c r="N551" s="103">
        <f>IF(K551="","",K551*Parâmetros!$C$8/15)</f>
        <v>0</v>
      </c>
      <c r="O551" s="26">
        <f>IF(M551="","",M551*Parâmetros!$C$5)</f>
        <v>4567.8933333333334</v>
      </c>
      <c r="P551" s="60" t="str">
        <f>IF(L551="","",IF(L551&gt;=Parâmetros!$C$10,"Sim","Não"))</f>
        <v/>
      </c>
    </row>
    <row r="552" spans="1:16" ht="15" customHeight="1" x14ac:dyDescent="0.3">
      <c r="A552" s="64">
        <v>550</v>
      </c>
      <c r="B552" s="64" t="s">
        <v>733</v>
      </c>
      <c r="C552" s="104" t="s">
        <v>183</v>
      </c>
      <c r="D552" s="104" t="s">
        <v>184</v>
      </c>
      <c r="E552" s="64">
        <v>8</v>
      </c>
      <c r="F552" s="86">
        <v>46225</v>
      </c>
      <c r="G552" s="40">
        <v>385</v>
      </c>
      <c r="H552" s="86">
        <f>IF(COUNTIFS(Pesagens!$B$3:$B$5001,$B552)=0,"",_xlfn.MAXIFS(Pesagens!$A$3:$A$5001,Pesagens!$B$3:$B$5001,$B552,Pesagens!$E$3:$E$5001,"&lt;&gt;"))</f>
        <v>46225</v>
      </c>
      <c r="I552" s="40">
        <f>IF($H552="","",IFERROR(AVERAGEIFS(Pesagens!$E$3:$E$5001,Pesagens!$B$3:$B$5001,$B552,Pesagens!$A$3:$A$5001,$H552),""))</f>
        <v>385</v>
      </c>
      <c r="J552" s="64">
        <f>IF(F552="","",Parâmetros!$C$4-F552)</f>
        <v>13</v>
      </c>
      <c r="K552" s="40">
        <f t="shared" si="16"/>
        <v>0</v>
      </c>
      <c r="L552" s="105" t="str">
        <f t="shared" si="17"/>
        <v/>
      </c>
      <c r="M552" s="106">
        <f>IF(I552="","",I552*Parâmetros!$C$8/15)</f>
        <v>13.603333333333333</v>
      </c>
      <c r="N552" s="106">
        <f>IF(K552="","",K552*Parâmetros!$C$8/15)</f>
        <v>0</v>
      </c>
      <c r="O552" s="28">
        <f>IF(M552="","",M552*Parâmetros!$C$5)</f>
        <v>4353.0666666666666</v>
      </c>
      <c r="P552" s="64" t="str">
        <f>IF(L552="","",IF(L552&gt;=Parâmetros!$C$10,"Sim","Não"))</f>
        <v/>
      </c>
    </row>
    <row r="553" spans="1:16" ht="15" customHeight="1" x14ac:dyDescent="0.3">
      <c r="A553" s="60">
        <v>551</v>
      </c>
      <c r="B553" s="60" t="s">
        <v>734</v>
      </c>
      <c r="C553" s="101" t="s">
        <v>183</v>
      </c>
      <c r="D553" s="101" t="s">
        <v>184</v>
      </c>
      <c r="E553" s="60">
        <v>8</v>
      </c>
      <c r="F553" s="85">
        <v>46225</v>
      </c>
      <c r="G553" s="35">
        <v>394</v>
      </c>
      <c r="H553" s="85">
        <f>IF(COUNTIFS(Pesagens!$B$3:$B$5001,$B553)=0,"",_xlfn.MAXIFS(Pesagens!$A$3:$A$5001,Pesagens!$B$3:$B$5001,$B553,Pesagens!$E$3:$E$5001,"&lt;&gt;"))</f>
        <v>46225</v>
      </c>
      <c r="I553" s="35">
        <f>IF($H553="","",IFERROR(AVERAGEIFS(Pesagens!$E$3:$E$5001,Pesagens!$B$3:$B$5001,$B553,Pesagens!$A$3:$A$5001,$H553),""))</f>
        <v>394</v>
      </c>
      <c r="J553" s="60">
        <f>IF(F553="","",Parâmetros!$C$4-F553)</f>
        <v>13</v>
      </c>
      <c r="K553" s="35">
        <f t="shared" si="16"/>
        <v>0</v>
      </c>
      <c r="L553" s="102" t="str">
        <f t="shared" si="17"/>
        <v/>
      </c>
      <c r="M553" s="103">
        <f>IF(I553="","",I553*Parâmetros!$C$8/15)</f>
        <v>13.921333333333335</v>
      </c>
      <c r="N553" s="103">
        <f>IF(K553="","",K553*Parâmetros!$C$8/15)</f>
        <v>0</v>
      </c>
      <c r="O553" s="26">
        <f>IF(M553="","",M553*Parâmetros!$C$5)</f>
        <v>4454.8266666666668</v>
      </c>
      <c r="P553" s="60" t="str">
        <f>IF(L553="","",IF(L553&gt;=Parâmetros!$C$10,"Sim","Não"))</f>
        <v/>
      </c>
    </row>
    <row r="554" spans="1:16" ht="15" customHeight="1" x14ac:dyDescent="0.3">
      <c r="A554" s="64">
        <v>552</v>
      </c>
      <c r="B554" s="64" t="s">
        <v>735</v>
      </c>
      <c r="C554" s="104" t="s">
        <v>183</v>
      </c>
      <c r="D554" s="104" t="s">
        <v>184</v>
      </c>
      <c r="E554" s="64">
        <v>8</v>
      </c>
      <c r="F554" s="86">
        <v>46225</v>
      </c>
      <c r="G554" s="40">
        <v>385</v>
      </c>
      <c r="H554" s="86">
        <f>IF(COUNTIFS(Pesagens!$B$3:$B$5001,$B554)=0,"",_xlfn.MAXIFS(Pesagens!$A$3:$A$5001,Pesagens!$B$3:$B$5001,$B554,Pesagens!$E$3:$E$5001,"&lt;&gt;"))</f>
        <v>46225</v>
      </c>
      <c r="I554" s="40">
        <f>IF($H554="","",IFERROR(AVERAGEIFS(Pesagens!$E$3:$E$5001,Pesagens!$B$3:$B$5001,$B554,Pesagens!$A$3:$A$5001,$H554),""))</f>
        <v>385</v>
      </c>
      <c r="J554" s="64">
        <f>IF(F554="","",Parâmetros!$C$4-F554)</f>
        <v>13</v>
      </c>
      <c r="K554" s="40">
        <f t="shared" si="16"/>
        <v>0</v>
      </c>
      <c r="L554" s="105" t="str">
        <f t="shared" si="17"/>
        <v/>
      </c>
      <c r="M554" s="106">
        <f>IF(I554="","",I554*Parâmetros!$C$8/15)</f>
        <v>13.603333333333333</v>
      </c>
      <c r="N554" s="106">
        <f>IF(K554="","",K554*Parâmetros!$C$8/15)</f>
        <v>0</v>
      </c>
      <c r="O554" s="28">
        <f>IF(M554="","",M554*Parâmetros!$C$5)</f>
        <v>4353.0666666666666</v>
      </c>
      <c r="P554" s="64" t="str">
        <f>IF(L554="","",IF(L554&gt;=Parâmetros!$C$10,"Sim","Não"))</f>
        <v/>
      </c>
    </row>
    <row r="555" spans="1:16" ht="15" customHeight="1" x14ac:dyDescent="0.3">
      <c r="A555" s="60">
        <v>553</v>
      </c>
      <c r="B555" s="60" t="s">
        <v>736</v>
      </c>
      <c r="C555" s="101" t="s">
        <v>183</v>
      </c>
      <c r="D555" s="101" t="s">
        <v>184</v>
      </c>
      <c r="E555" s="60">
        <v>8</v>
      </c>
      <c r="F555" s="85">
        <v>46225</v>
      </c>
      <c r="G555" s="35">
        <v>400</v>
      </c>
      <c r="H555" s="85">
        <f>IF(COUNTIFS(Pesagens!$B$3:$B$5001,$B555)=0,"",_xlfn.MAXIFS(Pesagens!$A$3:$A$5001,Pesagens!$B$3:$B$5001,$B555,Pesagens!$E$3:$E$5001,"&lt;&gt;"))</f>
        <v>46225</v>
      </c>
      <c r="I555" s="35">
        <f>IF($H555="","",IFERROR(AVERAGEIFS(Pesagens!$E$3:$E$5001,Pesagens!$B$3:$B$5001,$B555,Pesagens!$A$3:$A$5001,$H555),""))</f>
        <v>400</v>
      </c>
      <c r="J555" s="60">
        <f>IF(F555="","",Parâmetros!$C$4-F555)</f>
        <v>13</v>
      </c>
      <c r="K555" s="35">
        <f t="shared" si="16"/>
        <v>0</v>
      </c>
      <c r="L555" s="102" t="str">
        <f t="shared" si="17"/>
        <v/>
      </c>
      <c r="M555" s="103">
        <f>IF(I555="","",I555*Parâmetros!$C$8/15)</f>
        <v>14.133333333333333</v>
      </c>
      <c r="N555" s="103">
        <f>IF(K555="","",K555*Parâmetros!$C$8/15)</f>
        <v>0</v>
      </c>
      <c r="O555" s="26">
        <f>IF(M555="","",M555*Parâmetros!$C$5)</f>
        <v>4522.6666666666661</v>
      </c>
      <c r="P555" s="60" t="str">
        <f>IF(L555="","",IF(L555&gt;=Parâmetros!$C$10,"Sim","Não"))</f>
        <v/>
      </c>
    </row>
    <row r="556" spans="1:16" ht="15" customHeight="1" x14ac:dyDescent="0.3">
      <c r="A556" s="64">
        <v>554</v>
      </c>
      <c r="B556" s="64" t="s">
        <v>737</v>
      </c>
      <c r="C556" s="104" t="s">
        <v>183</v>
      </c>
      <c r="D556" s="104" t="s">
        <v>184</v>
      </c>
      <c r="E556" s="64">
        <v>8</v>
      </c>
      <c r="F556" s="86">
        <v>46225</v>
      </c>
      <c r="G556" s="40">
        <v>405</v>
      </c>
      <c r="H556" s="86">
        <f>IF(COUNTIFS(Pesagens!$B$3:$B$5001,$B556)=0,"",_xlfn.MAXIFS(Pesagens!$A$3:$A$5001,Pesagens!$B$3:$B$5001,$B556,Pesagens!$E$3:$E$5001,"&lt;&gt;"))</f>
        <v>46225</v>
      </c>
      <c r="I556" s="40">
        <f>IF($H556="","",IFERROR(AVERAGEIFS(Pesagens!$E$3:$E$5001,Pesagens!$B$3:$B$5001,$B556,Pesagens!$A$3:$A$5001,$H556),""))</f>
        <v>405</v>
      </c>
      <c r="J556" s="64">
        <f>IF(F556="","",Parâmetros!$C$4-F556)</f>
        <v>13</v>
      </c>
      <c r="K556" s="40">
        <f t="shared" si="16"/>
        <v>0</v>
      </c>
      <c r="L556" s="105" t="str">
        <f t="shared" si="17"/>
        <v/>
      </c>
      <c r="M556" s="106">
        <f>IF(I556="","",I556*Parâmetros!$C$8/15)</f>
        <v>14.31</v>
      </c>
      <c r="N556" s="106">
        <f>IF(K556="","",K556*Parâmetros!$C$8/15)</f>
        <v>0</v>
      </c>
      <c r="O556" s="28">
        <f>IF(M556="","",M556*Parâmetros!$C$5)</f>
        <v>4579.2</v>
      </c>
      <c r="P556" s="64" t="str">
        <f>IF(L556="","",IF(L556&gt;=Parâmetros!$C$10,"Sim","Não"))</f>
        <v/>
      </c>
    </row>
    <row r="557" spans="1:16" ht="15" customHeight="1" x14ac:dyDescent="0.3">
      <c r="A557" s="60">
        <v>555</v>
      </c>
      <c r="B557" s="60" t="s">
        <v>738</v>
      </c>
      <c r="C557" s="101" t="s">
        <v>183</v>
      </c>
      <c r="D557" s="101" t="s">
        <v>184</v>
      </c>
      <c r="E557" s="60">
        <v>8</v>
      </c>
      <c r="F557" s="85">
        <v>46225</v>
      </c>
      <c r="G557" s="35">
        <v>404</v>
      </c>
      <c r="H557" s="85">
        <f>IF(COUNTIFS(Pesagens!$B$3:$B$5001,$B557)=0,"",_xlfn.MAXIFS(Pesagens!$A$3:$A$5001,Pesagens!$B$3:$B$5001,$B557,Pesagens!$E$3:$E$5001,"&lt;&gt;"))</f>
        <v>46225</v>
      </c>
      <c r="I557" s="35">
        <f>IF($H557="","",IFERROR(AVERAGEIFS(Pesagens!$E$3:$E$5001,Pesagens!$B$3:$B$5001,$B557,Pesagens!$A$3:$A$5001,$H557),""))</f>
        <v>404</v>
      </c>
      <c r="J557" s="60">
        <f>IF(F557="","",Parâmetros!$C$4-F557)</f>
        <v>13</v>
      </c>
      <c r="K557" s="35">
        <f t="shared" si="16"/>
        <v>0</v>
      </c>
      <c r="L557" s="102" t="str">
        <f t="shared" si="17"/>
        <v/>
      </c>
      <c r="M557" s="103">
        <f>IF(I557="","",I557*Parâmetros!$C$8/15)</f>
        <v>14.274666666666667</v>
      </c>
      <c r="N557" s="103">
        <f>IF(K557="","",K557*Parâmetros!$C$8/15)</f>
        <v>0</v>
      </c>
      <c r="O557" s="26">
        <f>IF(M557="","",M557*Parâmetros!$C$5)</f>
        <v>4567.8933333333334</v>
      </c>
      <c r="P557" s="60" t="str">
        <f>IF(L557="","",IF(L557&gt;=Parâmetros!$C$10,"Sim","Não"))</f>
        <v/>
      </c>
    </row>
    <row r="558" spans="1:16" ht="15" customHeight="1" x14ac:dyDescent="0.3">
      <c r="A558" s="64">
        <v>556</v>
      </c>
      <c r="B558" s="64" t="s">
        <v>739</v>
      </c>
      <c r="C558" s="104" t="s">
        <v>183</v>
      </c>
      <c r="D558" s="104" t="s">
        <v>184</v>
      </c>
      <c r="E558" s="64">
        <v>8</v>
      </c>
      <c r="F558" s="86">
        <v>46225</v>
      </c>
      <c r="G558" s="40">
        <v>394</v>
      </c>
      <c r="H558" s="86">
        <f>IF(COUNTIFS(Pesagens!$B$3:$B$5001,$B558)=0,"",_xlfn.MAXIFS(Pesagens!$A$3:$A$5001,Pesagens!$B$3:$B$5001,$B558,Pesagens!$E$3:$E$5001,"&lt;&gt;"))</f>
        <v>46225</v>
      </c>
      <c r="I558" s="40">
        <f>IF($H558="","",IFERROR(AVERAGEIFS(Pesagens!$E$3:$E$5001,Pesagens!$B$3:$B$5001,$B558,Pesagens!$A$3:$A$5001,$H558),""))</f>
        <v>394</v>
      </c>
      <c r="J558" s="64">
        <f>IF(F558="","",Parâmetros!$C$4-F558)</f>
        <v>13</v>
      </c>
      <c r="K558" s="40">
        <f t="shared" si="16"/>
        <v>0</v>
      </c>
      <c r="L558" s="105" t="str">
        <f t="shared" si="17"/>
        <v/>
      </c>
      <c r="M558" s="106">
        <f>IF(I558="","",I558*Parâmetros!$C$8/15)</f>
        <v>13.921333333333335</v>
      </c>
      <c r="N558" s="106">
        <f>IF(K558="","",K558*Parâmetros!$C$8/15)</f>
        <v>0</v>
      </c>
      <c r="O558" s="28">
        <f>IF(M558="","",M558*Parâmetros!$C$5)</f>
        <v>4454.8266666666668</v>
      </c>
      <c r="P558" s="64" t="str">
        <f>IF(L558="","",IF(L558&gt;=Parâmetros!$C$10,"Sim","Não"))</f>
        <v/>
      </c>
    </row>
    <row r="559" spans="1:16" ht="15" customHeight="1" x14ac:dyDescent="0.3">
      <c r="A559" s="60">
        <v>557</v>
      </c>
      <c r="B559" s="60" t="s">
        <v>740</v>
      </c>
      <c r="C559" s="101" t="s">
        <v>183</v>
      </c>
      <c r="D559" s="101" t="s">
        <v>184</v>
      </c>
      <c r="E559" s="60">
        <v>8</v>
      </c>
      <c r="F559" s="85">
        <v>46225</v>
      </c>
      <c r="G559" s="35">
        <v>391</v>
      </c>
      <c r="H559" s="85">
        <f>IF(COUNTIFS(Pesagens!$B$3:$B$5001,$B559)=0,"",_xlfn.MAXIFS(Pesagens!$A$3:$A$5001,Pesagens!$B$3:$B$5001,$B559,Pesagens!$E$3:$E$5001,"&lt;&gt;"))</f>
        <v>46225</v>
      </c>
      <c r="I559" s="35">
        <f>IF($H559="","",IFERROR(AVERAGEIFS(Pesagens!$E$3:$E$5001,Pesagens!$B$3:$B$5001,$B559,Pesagens!$A$3:$A$5001,$H559),""))</f>
        <v>391</v>
      </c>
      <c r="J559" s="60">
        <f>IF(F559="","",Parâmetros!$C$4-F559)</f>
        <v>13</v>
      </c>
      <c r="K559" s="35">
        <f t="shared" si="16"/>
        <v>0</v>
      </c>
      <c r="L559" s="102" t="str">
        <f t="shared" si="17"/>
        <v/>
      </c>
      <c r="M559" s="103">
        <f>IF(I559="","",I559*Parâmetros!$C$8/15)</f>
        <v>13.815333333333335</v>
      </c>
      <c r="N559" s="103">
        <f>IF(K559="","",K559*Parâmetros!$C$8/15)</f>
        <v>0</v>
      </c>
      <c r="O559" s="26">
        <f>IF(M559="","",M559*Parâmetros!$C$5)</f>
        <v>4420.9066666666677</v>
      </c>
      <c r="P559" s="60" t="str">
        <f>IF(L559="","",IF(L559&gt;=Parâmetros!$C$10,"Sim","Não"))</f>
        <v/>
      </c>
    </row>
    <row r="560" spans="1:16" ht="15" customHeight="1" x14ac:dyDescent="0.3">
      <c r="A560" s="64">
        <v>558</v>
      </c>
      <c r="B560" s="64" t="s">
        <v>741</v>
      </c>
      <c r="C560" s="104" t="s">
        <v>183</v>
      </c>
      <c r="D560" s="104" t="s">
        <v>184</v>
      </c>
      <c r="E560" s="64">
        <v>8</v>
      </c>
      <c r="F560" s="86">
        <v>46225</v>
      </c>
      <c r="G560" s="40">
        <v>400</v>
      </c>
      <c r="H560" s="86">
        <f>IF(COUNTIFS(Pesagens!$B$3:$B$5001,$B560)=0,"",_xlfn.MAXIFS(Pesagens!$A$3:$A$5001,Pesagens!$B$3:$B$5001,$B560,Pesagens!$E$3:$E$5001,"&lt;&gt;"))</f>
        <v>46225</v>
      </c>
      <c r="I560" s="40">
        <f>IF($H560="","",IFERROR(AVERAGEIFS(Pesagens!$E$3:$E$5001,Pesagens!$B$3:$B$5001,$B560,Pesagens!$A$3:$A$5001,$H560),""))</f>
        <v>400</v>
      </c>
      <c r="J560" s="64">
        <f>IF(F560="","",Parâmetros!$C$4-F560)</f>
        <v>13</v>
      </c>
      <c r="K560" s="40">
        <f t="shared" si="16"/>
        <v>0</v>
      </c>
      <c r="L560" s="105" t="str">
        <f t="shared" si="17"/>
        <v/>
      </c>
      <c r="M560" s="106">
        <f>IF(I560="","",I560*Parâmetros!$C$8/15)</f>
        <v>14.133333333333333</v>
      </c>
      <c r="N560" s="106">
        <f>IF(K560="","",K560*Parâmetros!$C$8/15)</f>
        <v>0</v>
      </c>
      <c r="O560" s="28">
        <f>IF(M560="","",M560*Parâmetros!$C$5)</f>
        <v>4522.6666666666661</v>
      </c>
      <c r="P560" s="64" t="str">
        <f>IF(L560="","",IF(L560&gt;=Parâmetros!$C$10,"Sim","Não"))</f>
        <v/>
      </c>
    </row>
    <row r="561" spans="1:16" ht="15" customHeight="1" x14ac:dyDescent="0.3">
      <c r="A561" s="60">
        <v>559</v>
      </c>
      <c r="B561" s="60" t="s">
        <v>742</v>
      </c>
      <c r="C561" s="101" t="s">
        <v>183</v>
      </c>
      <c r="D561" s="101" t="s">
        <v>184</v>
      </c>
      <c r="E561" s="60">
        <v>8</v>
      </c>
      <c r="F561" s="85">
        <v>46225</v>
      </c>
      <c r="G561" s="35">
        <v>396</v>
      </c>
      <c r="H561" s="85">
        <f>IF(COUNTIFS(Pesagens!$B$3:$B$5001,$B561)=0,"",_xlfn.MAXIFS(Pesagens!$A$3:$A$5001,Pesagens!$B$3:$B$5001,$B561,Pesagens!$E$3:$E$5001,"&lt;&gt;"))</f>
        <v>46225</v>
      </c>
      <c r="I561" s="35">
        <f>IF($H561="","",IFERROR(AVERAGEIFS(Pesagens!$E$3:$E$5001,Pesagens!$B$3:$B$5001,$B561,Pesagens!$A$3:$A$5001,$H561),""))</f>
        <v>396</v>
      </c>
      <c r="J561" s="60">
        <f>IF(F561="","",Parâmetros!$C$4-F561)</f>
        <v>13</v>
      </c>
      <c r="K561" s="35">
        <f t="shared" si="16"/>
        <v>0</v>
      </c>
      <c r="L561" s="102" t="str">
        <f t="shared" si="17"/>
        <v/>
      </c>
      <c r="M561" s="103">
        <f>IF(I561="","",I561*Parâmetros!$C$8/15)</f>
        <v>13.992000000000001</v>
      </c>
      <c r="N561" s="103">
        <f>IF(K561="","",K561*Parâmetros!$C$8/15)</f>
        <v>0</v>
      </c>
      <c r="O561" s="26">
        <f>IF(M561="","",M561*Parâmetros!$C$5)</f>
        <v>4477.4400000000005</v>
      </c>
      <c r="P561" s="60" t="str">
        <f>IF(L561="","",IF(L561&gt;=Parâmetros!$C$10,"Sim","Não"))</f>
        <v/>
      </c>
    </row>
    <row r="562" spans="1:16" ht="15" customHeight="1" x14ac:dyDescent="0.3">
      <c r="A562" s="64">
        <v>560</v>
      </c>
      <c r="B562" s="64" t="s">
        <v>743</v>
      </c>
      <c r="C562" s="104" t="s">
        <v>183</v>
      </c>
      <c r="D562" s="104" t="s">
        <v>184</v>
      </c>
      <c r="E562" s="64">
        <v>8</v>
      </c>
      <c r="F562" s="86">
        <v>46225</v>
      </c>
      <c r="G562" s="40">
        <v>408</v>
      </c>
      <c r="H562" s="86">
        <f>IF(COUNTIFS(Pesagens!$B$3:$B$5001,$B562)=0,"",_xlfn.MAXIFS(Pesagens!$A$3:$A$5001,Pesagens!$B$3:$B$5001,$B562,Pesagens!$E$3:$E$5001,"&lt;&gt;"))</f>
        <v>46225</v>
      </c>
      <c r="I562" s="40">
        <f>IF($H562="","",IFERROR(AVERAGEIFS(Pesagens!$E$3:$E$5001,Pesagens!$B$3:$B$5001,$B562,Pesagens!$A$3:$A$5001,$H562),""))</f>
        <v>408</v>
      </c>
      <c r="J562" s="64">
        <f>IF(F562="","",Parâmetros!$C$4-F562)</f>
        <v>13</v>
      </c>
      <c r="K562" s="40">
        <f t="shared" si="16"/>
        <v>0</v>
      </c>
      <c r="L562" s="105" t="str">
        <f t="shared" si="17"/>
        <v/>
      </c>
      <c r="M562" s="106">
        <f>IF(I562="","",I562*Parâmetros!$C$8/15)</f>
        <v>14.416</v>
      </c>
      <c r="N562" s="106">
        <f>IF(K562="","",K562*Parâmetros!$C$8/15)</f>
        <v>0</v>
      </c>
      <c r="O562" s="28">
        <f>IF(M562="","",M562*Parâmetros!$C$5)</f>
        <v>4613.12</v>
      </c>
      <c r="P562" s="64" t="str">
        <f>IF(L562="","",IF(L562&gt;=Parâmetros!$C$10,"Sim","Não"))</f>
        <v/>
      </c>
    </row>
    <row r="563" spans="1:16" ht="15" customHeight="1" x14ac:dyDescent="0.3">
      <c r="A563" s="60">
        <v>561</v>
      </c>
      <c r="B563" s="60" t="s">
        <v>744</v>
      </c>
      <c r="C563" s="101" t="s">
        <v>183</v>
      </c>
      <c r="D563" s="101" t="s">
        <v>184</v>
      </c>
      <c r="E563" s="60">
        <v>8</v>
      </c>
      <c r="F563" s="85">
        <v>46225</v>
      </c>
      <c r="G563" s="35">
        <v>400</v>
      </c>
      <c r="H563" s="85">
        <f>IF(COUNTIFS(Pesagens!$B$3:$B$5001,$B563)=0,"",_xlfn.MAXIFS(Pesagens!$A$3:$A$5001,Pesagens!$B$3:$B$5001,$B563,Pesagens!$E$3:$E$5001,"&lt;&gt;"))</f>
        <v>46225</v>
      </c>
      <c r="I563" s="35">
        <f>IF($H563="","",IFERROR(AVERAGEIFS(Pesagens!$E$3:$E$5001,Pesagens!$B$3:$B$5001,$B563,Pesagens!$A$3:$A$5001,$H563),""))</f>
        <v>400</v>
      </c>
      <c r="J563" s="60">
        <f>IF(F563="","",Parâmetros!$C$4-F563)</f>
        <v>13</v>
      </c>
      <c r="K563" s="35">
        <f t="shared" si="16"/>
        <v>0</v>
      </c>
      <c r="L563" s="102" t="str">
        <f t="shared" si="17"/>
        <v/>
      </c>
      <c r="M563" s="103">
        <f>IF(I563="","",I563*Parâmetros!$C$8/15)</f>
        <v>14.133333333333333</v>
      </c>
      <c r="N563" s="103">
        <f>IF(K563="","",K563*Parâmetros!$C$8/15)</f>
        <v>0</v>
      </c>
      <c r="O563" s="26">
        <f>IF(M563="","",M563*Parâmetros!$C$5)</f>
        <v>4522.6666666666661</v>
      </c>
      <c r="P563" s="60" t="str">
        <f>IF(L563="","",IF(L563&gt;=Parâmetros!$C$10,"Sim","Não"))</f>
        <v/>
      </c>
    </row>
    <row r="564" spans="1:16" ht="15" customHeight="1" x14ac:dyDescent="0.3">
      <c r="A564" s="64">
        <v>562</v>
      </c>
      <c r="B564" s="64" t="s">
        <v>745</v>
      </c>
      <c r="C564" s="104" t="s">
        <v>183</v>
      </c>
      <c r="D564" s="104" t="s">
        <v>184</v>
      </c>
      <c r="E564" s="64">
        <v>8</v>
      </c>
      <c r="F564" s="86">
        <v>46225</v>
      </c>
      <c r="G564" s="40">
        <v>385</v>
      </c>
      <c r="H564" s="86">
        <f>IF(COUNTIFS(Pesagens!$B$3:$B$5001,$B564)=0,"",_xlfn.MAXIFS(Pesagens!$A$3:$A$5001,Pesagens!$B$3:$B$5001,$B564,Pesagens!$E$3:$E$5001,"&lt;&gt;"))</f>
        <v>46225</v>
      </c>
      <c r="I564" s="40">
        <f>IF($H564="","",IFERROR(AVERAGEIFS(Pesagens!$E$3:$E$5001,Pesagens!$B$3:$B$5001,$B564,Pesagens!$A$3:$A$5001,$H564),""))</f>
        <v>385</v>
      </c>
      <c r="J564" s="64">
        <f>IF(F564="","",Parâmetros!$C$4-F564)</f>
        <v>13</v>
      </c>
      <c r="K564" s="40">
        <f t="shared" si="16"/>
        <v>0</v>
      </c>
      <c r="L564" s="105" t="str">
        <f t="shared" si="17"/>
        <v/>
      </c>
      <c r="M564" s="106">
        <f>IF(I564="","",I564*Parâmetros!$C$8/15)</f>
        <v>13.603333333333333</v>
      </c>
      <c r="N564" s="106">
        <f>IF(K564="","",K564*Parâmetros!$C$8/15)</f>
        <v>0</v>
      </c>
      <c r="O564" s="28">
        <f>IF(M564="","",M564*Parâmetros!$C$5)</f>
        <v>4353.0666666666666</v>
      </c>
      <c r="P564" s="64" t="str">
        <f>IF(L564="","",IF(L564&gt;=Parâmetros!$C$10,"Sim","Não"))</f>
        <v/>
      </c>
    </row>
    <row r="565" spans="1:16" ht="15" customHeight="1" x14ac:dyDescent="0.3">
      <c r="A565" s="60">
        <v>563</v>
      </c>
      <c r="B565" s="60" t="s">
        <v>746</v>
      </c>
      <c r="C565" s="101" t="s">
        <v>183</v>
      </c>
      <c r="D565" s="101" t="s">
        <v>184</v>
      </c>
      <c r="E565" s="60">
        <v>8</v>
      </c>
      <c r="F565" s="85">
        <v>46225</v>
      </c>
      <c r="G565" s="35">
        <v>409</v>
      </c>
      <c r="H565" s="85">
        <f>IF(COUNTIFS(Pesagens!$B$3:$B$5001,$B565)=0,"",_xlfn.MAXIFS(Pesagens!$A$3:$A$5001,Pesagens!$B$3:$B$5001,$B565,Pesagens!$E$3:$E$5001,"&lt;&gt;"))</f>
        <v>46225</v>
      </c>
      <c r="I565" s="35">
        <f>IF($H565="","",IFERROR(AVERAGEIFS(Pesagens!$E$3:$E$5001,Pesagens!$B$3:$B$5001,$B565,Pesagens!$A$3:$A$5001,$H565),""))</f>
        <v>409</v>
      </c>
      <c r="J565" s="60">
        <f>IF(F565="","",Parâmetros!$C$4-F565)</f>
        <v>13</v>
      </c>
      <c r="K565" s="35">
        <f t="shared" si="16"/>
        <v>0</v>
      </c>
      <c r="L565" s="102" t="str">
        <f t="shared" si="17"/>
        <v/>
      </c>
      <c r="M565" s="103">
        <f>IF(I565="","",I565*Parâmetros!$C$8/15)</f>
        <v>14.451333333333334</v>
      </c>
      <c r="N565" s="103">
        <f>IF(K565="","",K565*Parâmetros!$C$8/15)</f>
        <v>0</v>
      </c>
      <c r="O565" s="26">
        <f>IF(M565="","",M565*Parâmetros!$C$5)</f>
        <v>4624.4266666666672</v>
      </c>
      <c r="P565" s="60" t="str">
        <f>IF(L565="","",IF(L565&gt;=Parâmetros!$C$10,"Sim","Não"))</f>
        <v/>
      </c>
    </row>
    <row r="566" spans="1:16" ht="15" customHeight="1" x14ac:dyDescent="0.3">
      <c r="A566" s="64">
        <v>564</v>
      </c>
      <c r="B566" s="64" t="s">
        <v>747</v>
      </c>
      <c r="C566" s="104" t="s">
        <v>183</v>
      </c>
      <c r="D566" s="104" t="s">
        <v>184</v>
      </c>
      <c r="E566" s="64">
        <v>8</v>
      </c>
      <c r="F566" s="86">
        <v>46225</v>
      </c>
      <c r="G566" s="40">
        <v>404</v>
      </c>
      <c r="H566" s="86">
        <f>IF(COUNTIFS(Pesagens!$B$3:$B$5001,$B566)=0,"",_xlfn.MAXIFS(Pesagens!$A$3:$A$5001,Pesagens!$B$3:$B$5001,$B566,Pesagens!$E$3:$E$5001,"&lt;&gt;"))</f>
        <v>46225</v>
      </c>
      <c r="I566" s="40">
        <f>IF($H566="","",IFERROR(AVERAGEIFS(Pesagens!$E$3:$E$5001,Pesagens!$B$3:$B$5001,$B566,Pesagens!$A$3:$A$5001,$H566),""))</f>
        <v>404</v>
      </c>
      <c r="J566" s="64">
        <f>IF(F566="","",Parâmetros!$C$4-F566)</f>
        <v>13</v>
      </c>
      <c r="K566" s="40">
        <f t="shared" si="16"/>
        <v>0</v>
      </c>
      <c r="L566" s="105" t="str">
        <f t="shared" si="17"/>
        <v/>
      </c>
      <c r="M566" s="106">
        <f>IF(I566="","",I566*Parâmetros!$C$8/15)</f>
        <v>14.274666666666667</v>
      </c>
      <c r="N566" s="106">
        <f>IF(K566="","",K566*Parâmetros!$C$8/15)</f>
        <v>0</v>
      </c>
      <c r="O566" s="28">
        <f>IF(M566="","",M566*Parâmetros!$C$5)</f>
        <v>4567.8933333333334</v>
      </c>
      <c r="P566" s="64" t="str">
        <f>IF(L566="","",IF(L566&gt;=Parâmetros!$C$10,"Sim","Não"))</f>
        <v/>
      </c>
    </row>
    <row r="567" spans="1:16" ht="15" customHeight="1" x14ac:dyDescent="0.3">
      <c r="A567" s="60">
        <v>565</v>
      </c>
      <c r="B567" s="60" t="s">
        <v>748</v>
      </c>
      <c r="C567" s="101" t="s">
        <v>183</v>
      </c>
      <c r="D567" s="101" t="s">
        <v>184</v>
      </c>
      <c r="E567" s="60">
        <v>8</v>
      </c>
      <c r="F567" s="85">
        <v>46225</v>
      </c>
      <c r="G567" s="35">
        <v>386</v>
      </c>
      <c r="H567" s="85">
        <f>IF(COUNTIFS(Pesagens!$B$3:$B$5001,$B567)=0,"",_xlfn.MAXIFS(Pesagens!$A$3:$A$5001,Pesagens!$B$3:$B$5001,$B567,Pesagens!$E$3:$E$5001,"&lt;&gt;"))</f>
        <v>46225</v>
      </c>
      <c r="I567" s="35">
        <f>IF($H567="","",IFERROR(AVERAGEIFS(Pesagens!$E$3:$E$5001,Pesagens!$B$3:$B$5001,$B567,Pesagens!$A$3:$A$5001,$H567),""))</f>
        <v>386</v>
      </c>
      <c r="J567" s="60">
        <f>IF(F567="","",Parâmetros!$C$4-F567)</f>
        <v>13</v>
      </c>
      <c r="K567" s="35">
        <f t="shared" si="16"/>
        <v>0</v>
      </c>
      <c r="L567" s="102" t="str">
        <f t="shared" si="17"/>
        <v/>
      </c>
      <c r="M567" s="103">
        <f>IF(I567="","",I567*Parâmetros!$C$8/15)</f>
        <v>13.638666666666667</v>
      </c>
      <c r="N567" s="103">
        <f>IF(K567="","",K567*Parâmetros!$C$8/15)</f>
        <v>0</v>
      </c>
      <c r="O567" s="26">
        <f>IF(M567="","",M567*Parâmetros!$C$5)</f>
        <v>4364.3733333333339</v>
      </c>
      <c r="P567" s="60" t="str">
        <f>IF(L567="","",IF(L567&gt;=Parâmetros!$C$10,"Sim","Não"))</f>
        <v/>
      </c>
    </row>
    <row r="568" spans="1:16" ht="15" customHeight="1" x14ac:dyDescent="0.3">
      <c r="A568" s="64">
        <v>566</v>
      </c>
      <c r="B568" s="64" t="s">
        <v>749</v>
      </c>
      <c r="C568" s="104" t="s">
        <v>183</v>
      </c>
      <c r="D568" s="104" t="s">
        <v>184</v>
      </c>
      <c r="E568" s="64">
        <v>8</v>
      </c>
      <c r="F568" s="86">
        <v>46225</v>
      </c>
      <c r="G568" s="40">
        <v>410</v>
      </c>
      <c r="H568" s="86">
        <f>IF(COUNTIFS(Pesagens!$B$3:$B$5001,$B568)=0,"",_xlfn.MAXIFS(Pesagens!$A$3:$A$5001,Pesagens!$B$3:$B$5001,$B568,Pesagens!$E$3:$E$5001,"&lt;&gt;"))</f>
        <v>46225</v>
      </c>
      <c r="I568" s="40">
        <f>IF($H568="","",IFERROR(AVERAGEIFS(Pesagens!$E$3:$E$5001,Pesagens!$B$3:$B$5001,$B568,Pesagens!$A$3:$A$5001,$H568),""))</f>
        <v>410</v>
      </c>
      <c r="J568" s="64">
        <f>IF(F568="","",Parâmetros!$C$4-F568)</f>
        <v>13</v>
      </c>
      <c r="K568" s="40">
        <f t="shared" si="16"/>
        <v>0</v>
      </c>
      <c r="L568" s="105" t="str">
        <f t="shared" si="17"/>
        <v/>
      </c>
      <c r="M568" s="106">
        <f>IF(I568="","",I568*Parâmetros!$C$8/15)</f>
        <v>14.486666666666668</v>
      </c>
      <c r="N568" s="106">
        <f>IF(K568="","",K568*Parâmetros!$C$8/15)</f>
        <v>0</v>
      </c>
      <c r="O568" s="28">
        <f>IF(M568="","",M568*Parâmetros!$C$5)</f>
        <v>4635.7333333333336</v>
      </c>
      <c r="P568" s="64" t="str">
        <f>IF(L568="","",IF(L568&gt;=Parâmetros!$C$10,"Sim","Não"))</f>
        <v/>
      </c>
    </row>
    <row r="569" spans="1:16" ht="15" customHeight="1" x14ac:dyDescent="0.3">
      <c r="A569" s="60">
        <v>567</v>
      </c>
      <c r="B569" s="60" t="s">
        <v>750</v>
      </c>
      <c r="C569" s="101" t="s">
        <v>183</v>
      </c>
      <c r="D569" s="101" t="s">
        <v>184</v>
      </c>
      <c r="E569" s="60">
        <v>8</v>
      </c>
      <c r="F569" s="85">
        <v>46225</v>
      </c>
      <c r="G569" s="35">
        <v>395</v>
      </c>
      <c r="H569" s="85">
        <f>IF(COUNTIFS(Pesagens!$B$3:$B$5001,$B569)=0,"",_xlfn.MAXIFS(Pesagens!$A$3:$A$5001,Pesagens!$B$3:$B$5001,$B569,Pesagens!$E$3:$E$5001,"&lt;&gt;"))</f>
        <v>46225</v>
      </c>
      <c r="I569" s="35">
        <f>IF($H569="","",IFERROR(AVERAGEIFS(Pesagens!$E$3:$E$5001,Pesagens!$B$3:$B$5001,$B569,Pesagens!$A$3:$A$5001,$H569),""))</f>
        <v>395</v>
      </c>
      <c r="J569" s="60">
        <f>IF(F569="","",Parâmetros!$C$4-F569)</f>
        <v>13</v>
      </c>
      <c r="K569" s="35">
        <f t="shared" si="16"/>
        <v>0</v>
      </c>
      <c r="L569" s="102" t="str">
        <f t="shared" si="17"/>
        <v/>
      </c>
      <c r="M569" s="103">
        <f>IF(I569="","",I569*Parâmetros!$C$8/15)</f>
        <v>13.956666666666669</v>
      </c>
      <c r="N569" s="103">
        <f>IF(K569="","",K569*Parâmetros!$C$8/15)</f>
        <v>0</v>
      </c>
      <c r="O569" s="26">
        <f>IF(M569="","",M569*Parâmetros!$C$5)</f>
        <v>4466.1333333333341</v>
      </c>
      <c r="P569" s="60" t="str">
        <f>IF(L569="","",IF(L569&gt;=Parâmetros!$C$10,"Sim","Não"))</f>
        <v/>
      </c>
    </row>
    <row r="570" spans="1:16" ht="15" customHeight="1" x14ac:dyDescent="0.3">
      <c r="A570" s="64">
        <v>568</v>
      </c>
      <c r="B570" s="64" t="s">
        <v>751</v>
      </c>
      <c r="C570" s="104" t="s">
        <v>183</v>
      </c>
      <c r="D570" s="104" t="s">
        <v>184</v>
      </c>
      <c r="E570" s="64">
        <v>8</v>
      </c>
      <c r="F570" s="86">
        <v>46225</v>
      </c>
      <c r="G570" s="40">
        <v>390</v>
      </c>
      <c r="H570" s="86">
        <f>IF(COUNTIFS(Pesagens!$B$3:$B$5001,$B570)=0,"",_xlfn.MAXIFS(Pesagens!$A$3:$A$5001,Pesagens!$B$3:$B$5001,$B570,Pesagens!$E$3:$E$5001,"&lt;&gt;"))</f>
        <v>46225</v>
      </c>
      <c r="I570" s="40">
        <f>IF($H570="","",IFERROR(AVERAGEIFS(Pesagens!$E$3:$E$5001,Pesagens!$B$3:$B$5001,$B570,Pesagens!$A$3:$A$5001,$H570),""))</f>
        <v>390</v>
      </c>
      <c r="J570" s="64">
        <f>IF(F570="","",Parâmetros!$C$4-F570)</f>
        <v>13</v>
      </c>
      <c r="K570" s="40">
        <f t="shared" si="16"/>
        <v>0</v>
      </c>
      <c r="L570" s="105" t="str">
        <f t="shared" si="17"/>
        <v/>
      </c>
      <c r="M570" s="106">
        <f>IF(I570="","",I570*Parâmetros!$C$8/15)</f>
        <v>13.780000000000001</v>
      </c>
      <c r="N570" s="106">
        <f>IF(K570="","",K570*Parâmetros!$C$8/15)</f>
        <v>0</v>
      </c>
      <c r="O570" s="28">
        <f>IF(M570="","",M570*Parâmetros!$C$5)</f>
        <v>4409.6000000000004</v>
      </c>
      <c r="P570" s="64" t="str">
        <f>IF(L570="","",IF(L570&gt;=Parâmetros!$C$10,"Sim","Não"))</f>
        <v/>
      </c>
    </row>
    <row r="571" spans="1:16" ht="15" customHeight="1" x14ac:dyDescent="0.3">
      <c r="A571" s="60">
        <v>569</v>
      </c>
      <c r="B571" s="60" t="s">
        <v>752</v>
      </c>
      <c r="C571" s="101" t="s">
        <v>183</v>
      </c>
      <c r="D571" s="101" t="s">
        <v>184</v>
      </c>
      <c r="E571" s="60">
        <v>8</v>
      </c>
      <c r="F571" s="85">
        <v>46225</v>
      </c>
      <c r="G571" s="35">
        <v>402</v>
      </c>
      <c r="H571" s="85">
        <f>IF(COUNTIFS(Pesagens!$B$3:$B$5001,$B571)=0,"",_xlfn.MAXIFS(Pesagens!$A$3:$A$5001,Pesagens!$B$3:$B$5001,$B571,Pesagens!$E$3:$E$5001,"&lt;&gt;"))</f>
        <v>46225</v>
      </c>
      <c r="I571" s="35">
        <f>IF($H571="","",IFERROR(AVERAGEIFS(Pesagens!$E$3:$E$5001,Pesagens!$B$3:$B$5001,$B571,Pesagens!$A$3:$A$5001,$H571),""))</f>
        <v>402</v>
      </c>
      <c r="J571" s="60">
        <f>IF(F571="","",Parâmetros!$C$4-F571)</f>
        <v>13</v>
      </c>
      <c r="K571" s="35">
        <f t="shared" si="16"/>
        <v>0</v>
      </c>
      <c r="L571" s="102" t="str">
        <f t="shared" si="17"/>
        <v/>
      </c>
      <c r="M571" s="103">
        <f>IF(I571="","",I571*Parâmetros!$C$8/15)</f>
        <v>14.204000000000001</v>
      </c>
      <c r="N571" s="103">
        <f>IF(K571="","",K571*Parâmetros!$C$8/15)</f>
        <v>0</v>
      </c>
      <c r="O571" s="26">
        <f>IF(M571="","",M571*Parâmetros!$C$5)</f>
        <v>4545.2800000000007</v>
      </c>
      <c r="P571" s="60" t="str">
        <f>IF(L571="","",IF(L571&gt;=Parâmetros!$C$10,"Sim","Não"))</f>
        <v/>
      </c>
    </row>
    <row r="572" spans="1:16" ht="15" customHeight="1" x14ac:dyDescent="0.3">
      <c r="A572" s="64">
        <v>570</v>
      </c>
      <c r="B572" s="64" t="s">
        <v>753</v>
      </c>
      <c r="C572" s="104" t="s">
        <v>183</v>
      </c>
      <c r="D572" s="104" t="s">
        <v>184</v>
      </c>
      <c r="E572" s="64">
        <v>8</v>
      </c>
      <c r="F572" s="86">
        <v>46225</v>
      </c>
      <c r="G572" s="40">
        <v>390</v>
      </c>
      <c r="H572" s="86">
        <f>IF(COUNTIFS(Pesagens!$B$3:$B$5001,$B572)=0,"",_xlfn.MAXIFS(Pesagens!$A$3:$A$5001,Pesagens!$B$3:$B$5001,$B572,Pesagens!$E$3:$E$5001,"&lt;&gt;"))</f>
        <v>46225</v>
      </c>
      <c r="I572" s="40">
        <f>IF($H572="","",IFERROR(AVERAGEIFS(Pesagens!$E$3:$E$5001,Pesagens!$B$3:$B$5001,$B572,Pesagens!$A$3:$A$5001,$H572),""))</f>
        <v>390</v>
      </c>
      <c r="J572" s="64">
        <f>IF(F572="","",Parâmetros!$C$4-F572)</f>
        <v>13</v>
      </c>
      <c r="K572" s="40">
        <f t="shared" si="16"/>
        <v>0</v>
      </c>
      <c r="L572" s="105" t="str">
        <f t="shared" si="17"/>
        <v/>
      </c>
      <c r="M572" s="106">
        <f>IF(I572="","",I572*Parâmetros!$C$8/15)</f>
        <v>13.780000000000001</v>
      </c>
      <c r="N572" s="106">
        <f>IF(K572="","",K572*Parâmetros!$C$8/15)</f>
        <v>0</v>
      </c>
      <c r="O572" s="28">
        <f>IF(M572="","",M572*Parâmetros!$C$5)</f>
        <v>4409.6000000000004</v>
      </c>
      <c r="P572" s="64" t="str">
        <f>IF(L572="","",IF(L572&gt;=Parâmetros!$C$10,"Sim","Não"))</f>
        <v/>
      </c>
    </row>
    <row r="573" spans="1:16" ht="15" customHeight="1" x14ac:dyDescent="0.3">
      <c r="A573" s="60">
        <v>571</v>
      </c>
      <c r="B573" s="60" t="s">
        <v>754</v>
      </c>
      <c r="C573" s="101" t="s">
        <v>183</v>
      </c>
      <c r="D573" s="101" t="s">
        <v>184</v>
      </c>
      <c r="E573" s="60">
        <v>8</v>
      </c>
      <c r="F573" s="85">
        <v>46225</v>
      </c>
      <c r="G573" s="35">
        <v>386</v>
      </c>
      <c r="H573" s="85">
        <f>IF(COUNTIFS(Pesagens!$B$3:$B$5001,$B573)=0,"",_xlfn.MAXIFS(Pesagens!$A$3:$A$5001,Pesagens!$B$3:$B$5001,$B573,Pesagens!$E$3:$E$5001,"&lt;&gt;"))</f>
        <v>46225</v>
      </c>
      <c r="I573" s="35">
        <f>IF($H573="","",IFERROR(AVERAGEIFS(Pesagens!$E$3:$E$5001,Pesagens!$B$3:$B$5001,$B573,Pesagens!$A$3:$A$5001,$H573),""))</f>
        <v>386</v>
      </c>
      <c r="J573" s="60">
        <f>IF(F573="","",Parâmetros!$C$4-F573)</f>
        <v>13</v>
      </c>
      <c r="K573" s="35">
        <f t="shared" si="16"/>
        <v>0</v>
      </c>
      <c r="L573" s="102" t="str">
        <f t="shared" si="17"/>
        <v/>
      </c>
      <c r="M573" s="103">
        <f>IF(I573="","",I573*Parâmetros!$C$8/15)</f>
        <v>13.638666666666667</v>
      </c>
      <c r="N573" s="103">
        <f>IF(K573="","",K573*Parâmetros!$C$8/15)</f>
        <v>0</v>
      </c>
      <c r="O573" s="26">
        <f>IF(M573="","",M573*Parâmetros!$C$5)</f>
        <v>4364.3733333333339</v>
      </c>
      <c r="P573" s="60" t="str">
        <f>IF(L573="","",IF(L573&gt;=Parâmetros!$C$10,"Sim","Não"))</f>
        <v/>
      </c>
    </row>
    <row r="574" spans="1:16" ht="15" customHeight="1" x14ac:dyDescent="0.3">
      <c r="A574" s="64">
        <v>572</v>
      </c>
      <c r="B574" s="64" t="s">
        <v>755</v>
      </c>
      <c r="C574" s="104" t="s">
        <v>183</v>
      </c>
      <c r="D574" s="104" t="s">
        <v>184</v>
      </c>
      <c r="E574" s="64">
        <v>8</v>
      </c>
      <c r="F574" s="86">
        <v>46225</v>
      </c>
      <c r="G574" s="40">
        <v>400</v>
      </c>
      <c r="H574" s="86">
        <f>IF(COUNTIFS(Pesagens!$B$3:$B$5001,$B574)=0,"",_xlfn.MAXIFS(Pesagens!$A$3:$A$5001,Pesagens!$B$3:$B$5001,$B574,Pesagens!$E$3:$E$5001,"&lt;&gt;"))</f>
        <v>46225</v>
      </c>
      <c r="I574" s="40">
        <f>IF($H574="","",IFERROR(AVERAGEIFS(Pesagens!$E$3:$E$5001,Pesagens!$B$3:$B$5001,$B574,Pesagens!$A$3:$A$5001,$H574),""))</f>
        <v>400</v>
      </c>
      <c r="J574" s="64">
        <f>IF(F574="","",Parâmetros!$C$4-F574)</f>
        <v>13</v>
      </c>
      <c r="K574" s="40">
        <f t="shared" si="16"/>
        <v>0</v>
      </c>
      <c r="L574" s="105" t="str">
        <f t="shared" si="17"/>
        <v/>
      </c>
      <c r="M574" s="106">
        <f>IF(I574="","",I574*Parâmetros!$C$8/15)</f>
        <v>14.133333333333333</v>
      </c>
      <c r="N574" s="106">
        <f>IF(K574="","",K574*Parâmetros!$C$8/15)</f>
        <v>0</v>
      </c>
      <c r="O574" s="28">
        <f>IF(M574="","",M574*Parâmetros!$C$5)</f>
        <v>4522.6666666666661</v>
      </c>
      <c r="P574" s="64" t="str">
        <f>IF(L574="","",IF(L574&gt;=Parâmetros!$C$10,"Sim","Não"))</f>
        <v/>
      </c>
    </row>
    <row r="575" spans="1:16" ht="15" customHeight="1" x14ac:dyDescent="0.3">
      <c r="A575" s="60">
        <v>573</v>
      </c>
      <c r="B575" s="60" t="s">
        <v>756</v>
      </c>
      <c r="C575" s="101" t="s">
        <v>183</v>
      </c>
      <c r="D575" s="101" t="s">
        <v>184</v>
      </c>
      <c r="E575" s="60">
        <v>8</v>
      </c>
      <c r="F575" s="85">
        <v>46225</v>
      </c>
      <c r="G575" s="35">
        <v>395</v>
      </c>
      <c r="H575" s="85">
        <f>IF(COUNTIFS(Pesagens!$B$3:$B$5001,$B575)=0,"",_xlfn.MAXIFS(Pesagens!$A$3:$A$5001,Pesagens!$B$3:$B$5001,$B575,Pesagens!$E$3:$E$5001,"&lt;&gt;"))</f>
        <v>46225</v>
      </c>
      <c r="I575" s="35">
        <f>IF($H575="","",IFERROR(AVERAGEIFS(Pesagens!$E$3:$E$5001,Pesagens!$B$3:$B$5001,$B575,Pesagens!$A$3:$A$5001,$H575),""))</f>
        <v>395</v>
      </c>
      <c r="J575" s="60">
        <f>IF(F575="","",Parâmetros!$C$4-F575)</f>
        <v>13</v>
      </c>
      <c r="K575" s="35">
        <f t="shared" si="16"/>
        <v>0</v>
      </c>
      <c r="L575" s="102" t="str">
        <f t="shared" si="17"/>
        <v/>
      </c>
      <c r="M575" s="103">
        <f>IF(I575="","",I575*Parâmetros!$C$8/15)</f>
        <v>13.956666666666669</v>
      </c>
      <c r="N575" s="103">
        <f>IF(K575="","",K575*Parâmetros!$C$8/15)</f>
        <v>0</v>
      </c>
      <c r="O575" s="26">
        <f>IF(M575="","",M575*Parâmetros!$C$5)</f>
        <v>4466.1333333333341</v>
      </c>
      <c r="P575" s="60" t="str">
        <f>IF(L575="","",IF(L575&gt;=Parâmetros!$C$10,"Sim","Não"))</f>
        <v/>
      </c>
    </row>
    <row r="576" spans="1:16" ht="15" customHeight="1" x14ac:dyDescent="0.3">
      <c r="A576" s="64">
        <v>574</v>
      </c>
      <c r="B576" s="64" t="s">
        <v>757</v>
      </c>
      <c r="C576" s="104" t="s">
        <v>183</v>
      </c>
      <c r="D576" s="104" t="s">
        <v>184</v>
      </c>
      <c r="E576" s="64">
        <v>8</v>
      </c>
      <c r="F576" s="86">
        <v>46225</v>
      </c>
      <c r="G576" s="40">
        <v>403</v>
      </c>
      <c r="H576" s="86">
        <f>IF(COUNTIFS(Pesagens!$B$3:$B$5001,$B576)=0,"",_xlfn.MAXIFS(Pesagens!$A$3:$A$5001,Pesagens!$B$3:$B$5001,$B576,Pesagens!$E$3:$E$5001,"&lt;&gt;"))</f>
        <v>46225</v>
      </c>
      <c r="I576" s="40">
        <f>IF($H576="","",IFERROR(AVERAGEIFS(Pesagens!$E$3:$E$5001,Pesagens!$B$3:$B$5001,$B576,Pesagens!$A$3:$A$5001,$H576),""))</f>
        <v>403</v>
      </c>
      <c r="J576" s="64">
        <f>IF(F576="","",Parâmetros!$C$4-F576)</f>
        <v>13</v>
      </c>
      <c r="K576" s="40">
        <f t="shared" si="16"/>
        <v>0</v>
      </c>
      <c r="L576" s="105" t="str">
        <f t="shared" si="17"/>
        <v/>
      </c>
      <c r="M576" s="106">
        <f>IF(I576="","",I576*Parâmetros!$C$8/15)</f>
        <v>14.239333333333333</v>
      </c>
      <c r="N576" s="106">
        <f>IF(K576="","",K576*Parâmetros!$C$8/15)</f>
        <v>0</v>
      </c>
      <c r="O576" s="28">
        <f>IF(M576="","",M576*Parâmetros!$C$5)</f>
        <v>4556.5866666666661</v>
      </c>
      <c r="P576" s="64" t="str">
        <f>IF(L576="","",IF(L576&gt;=Parâmetros!$C$10,"Sim","Não"))</f>
        <v/>
      </c>
    </row>
    <row r="577" spans="1:16" ht="15" customHeight="1" x14ac:dyDescent="0.3">
      <c r="A577" s="60">
        <v>575</v>
      </c>
      <c r="B577" s="60" t="s">
        <v>758</v>
      </c>
      <c r="C577" s="101" t="s">
        <v>183</v>
      </c>
      <c r="D577" s="101" t="s">
        <v>184</v>
      </c>
      <c r="E577" s="60">
        <v>8</v>
      </c>
      <c r="F577" s="85">
        <v>46225</v>
      </c>
      <c r="G577" s="35">
        <v>403</v>
      </c>
      <c r="H577" s="85">
        <f>IF(COUNTIFS(Pesagens!$B$3:$B$5001,$B577)=0,"",_xlfn.MAXIFS(Pesagens!$A$3:$A$5001,Pesagens!$B$3:$B$5001,$B577,Pesagens!$E$3:$E$5001,"&lt;&gt;"))</f>
        <v>46225</v>
      </c>
      <c r="I577" s="35">
        <f>IF($H577="","",IFERROR(AVERAGEIFS(Pesagens!$E$3:$E$5001,Pesagens!$B$3:$B$5001,$B577,Pesagens!$A$3:$A$5001,$H577),""))</f>
        <v>403</v>
      </c>
      <c r="J577" s="60">
        <f>IF(F577="","",Parâmetros!$C$4-F577)</f>
        <v>13</v>
      </c>
      <c r="K577" s="35">
        <f t="shared" si="16"/>
        <v>0</v>
      </c>
      <c r="L577" s="102" t="str">
        <f t="shared" si="17"/>
        <v/>
      </c>
      <c r="M577" s="103">
        <f>IF(I577="","",I577*Parâmetros!$C$8/15)</f>
        <v>14.239333333333333</v>
      </c>
      <c r="N577" s="103">
        <f>IF(K577="","",K577*Parâmetros!$C$8/15)</f>
        <v>0</v>
      </c>
      <c r="O577" s="26">
        <f>IF(M577="","",M577*Parâmetros!$C$5)</f>
        <v>4556.5866666666661</v>
      </c>
      <c r="P577" s="60" t="str">
        <f>IF(L577="","",IF(L577&gt;=Parâmetros!$C$10,"Sim","Não"))</f>
        <v/>
      </c>
    </row>
    <row r="578" spans="1:16" ht="15" customHeight="1" x14ac:dyDescent="0.3">
      <c r="A578" s="64">
        <v>576</v>
      </c>
      <c r="B578" s="64" t="s">
        <v>759</v>
      </c>
      <c r="C578" s="104" t="s">
        <v>183</v>
      </c>
      <c r="D578" s="104" t="s">
        <v>184</v>
      </c>
      <c r="E578" s="64">
        <v>8</v>
      </c>
      <c r="F578" s="86">
        <v>46225</v>
      </c>
      <c r="G578" s="40">
        <v>385</v>
      </c>
      <c r="H578" s="86">
        <f>IF(COUNTIFS(Pesagens!$B$3:$B$5001,$B578)=0,"",_xlfn.MAXIFS(Pesagens!$A$3:$A$5001,Pesagens!$B$3:$B$5001,$B578,Pesagens!$E$3:$E$5001,"&lt;&gt;"))</f>
        <v>46225</v>
      </c>
      <c r="I578" s="40">
        <f>IF($H578="","",IFERROR(AVERAGEIFS(Pesagens!$E$3:$E$5001,Pesagens!$B$3:$B$5001,$B578,Pesagens!$A$3:$A$5001,$H578),""))</f>
        <v>385</v>
      </c>
      <c r="J578" s="64">
        <f>IF(F578="","",Parâmetros!$C$4-F578)</f>
        <v>13</v>
      </c>
      <c r="K578" s="40">
        <f t="shared" si="16"/>
        <v>0</v>
      </c>
      <c r="L578" s="105" t="str">
        <f t="shared" si="17"/>
        <v/>
      </c>
      <c r="M578" s="106">
        <f>IF(I578="","",I578*Parâmetros!$C$8/15)</f>
        <v>13.603333333333333</v>
      </c>
      <c r="N578" s="106">
        <f>IF(K578="","",K578*Parâmetros!$C$8/15)</f>
        <v>0</v>
      </c>
      <c r="O578" s="28">
        <f>IF(M578="","",M578*Parâmetros!$C$5)</f>
        <v>4353.0666666666666</v>
      </c>
      <c r="P578" s="64" t="str">
        <f>IF(L578="","",IF(L578&gt;=Parâmetros!$C$10,"Sim","Não"))</f>
        <v/>
      </c>
    </row>
    <row r="579" spans="1:16" ht="15" customHeight="1" x14ac:dyDescent="0.3">
      <c r="A579" s="60">
        <v>577</v>
      </c>
      <c r="B579" s="60" t="s">
        <v>760</v>
      </c>
      <c r="C579" s="101" t="s">
        <v>183</v>
      </c>
      <c r="D579" s="101" t="s">
        <v>184</v>
      </c>
      <c r="E579" s="60">
        <v>8</v>
      </c>
      <c r="F579" s="85">
        <v>46225</v>
      </c>
      <c r="G579" s="35">
        <v>393</v>
      </c>
      <c r="H579" s="85">
        <f>IF(COUNTIFS(Pesagens!$B$3:$B$5001,$B579)=0,"",_xlfn.MAXIFS(Pesagens!$A$3:$A$5001,Pesagens!$B$3:$B$5001,$B579,Pesagens!$E$3:$E$5001,"&lt;&gt;"))</f>
        <v>46225</v>
      </c>
      <c r="I579" s="35">
        <f>IF($H579="","",IFERROR(AVERAGEIFS(Pesagens!$E$3:$E$5001,Pesagens!$B$3:$B$5001,$B579,Pesagens!$A$3:$A$5001,$H579),""))</f>
        <v>393</v>
      </c>
      <c r="J579" s="60">
        <f>IF(F579="","",Parâmetros!$C$4-F579)</f>
        <v>13</v>
      </c>
      <c r="K579" s="35">
        <f t="shared" ref="K579:K642" si="18">IF(OR(I579="",G579=""),"",I579-G579)</f>
        <v>0</v>
      </c>
      <c r="L579" s="102" t="str">
        <f t="shared" ref="L579:L642" si="19">IF(OR(I579="",G579="",H579&lt;=F579),"",(I579-G579)/(H579-F579))</f>
        <v/>
      </c>
      <c r="M579" s="103">
        <f>IF(I579="","",I579*Parâmetros!$C$8/15)</f>
        <v>13.886000000000001</v>
      </c>
      <c r="N579" s="103">
        <f>IF(K579="","",K579*Parâmetros!$C$8/15)</f>
        <v>0</v>
      </c>
      <c r="O579" s="26">
        <f>IF(M579="","",M579*Parâmetros!$C$5)</f>
        <v>4443.5200000000004</v>
      </c>
      <c r="P579" s="60" t="str">
        <f>IF(L579="","",IF(L579&gt;=Parâmetros!$C$10,"Sim","Não"))</f>
        <v/>
      </c>
    </row>
    <row r="580" spans="1:16" ht="15" customHeight="1" x14ac:dyDescent="0.3">
      <c r="A580" s="64">
        <v>578</v>
      </c>
      <c r="B580" s="64" t="s">
        <v>761</v>
      </c>
      <c r="C580" s="104" t="s">
        <v>183</v>
      </c>
      <c r="D580" s="104" t="s">
        <v>184</v>
      </c>
      <c r="E580" s="64">
        <v>8</v>
      </c>
      <c r="F580" s="86">
        <v>46225</v>
      </c>
      <c r="G580" s="40">
        <v>402</v>
      </c>
      <c r="H580" s="86">
        <f>IF(COUNTIFS(Pesagens!$B$3:$B$5001,$B580)=0,"",_xlfn.MAXIFS(Pesagens!$A$3:$A$5001,Pesagens!$B$3:$B$5001,$B580,Pesagens!$E$3:$E$5001,"&lt;&gt;"))</f>
        <v>46225</v>
      </c>
      <c r="I580" s="40">
        <f>IF($H580="","",IFERROR(AVERAGEIFS(Pesagens!$E$3:$E$5001,Pesagens!$B$3:$B$5001,$B580,Pesagens!$A$3:$A$5001,$H580),""))</f>
        <v>402</v>
      </c>
      <c r="J580" s="64">
        <f>IF(F580="","",Parâmetros!$C$4-F580)</f>
        <v>13</v>
      </c>
      <c r="K580" s="40">
        <f t="shared" si="18"/>
        <v>0</v>
      </c>
      <c r="L580" s="105" t="str">
        <f t="shared" si="19"/>
        <v/>
      </c>
      <c r="M580" s="106">
        <f>IF(I580="","",I580*Parâmetros!$C$8/15)</f>
        <v>14.204000000000001</v>
      </c>
      <c r="N580" s="106">
        <f>IF(K580="","",K580*Parâmetros!$C$8/15)</f>
        <v>0</v>
      </c>
      <c r="O580" s="28">
        <f>IF(M580="","",M580*Parâmetros!$C$5)</f>
        <v>4545.2800000000007</v>
      </c>
      <c r="P580" s="64" t="str">
        <f>IF(L580="","",IF(L580&gt;=Parâmetros!$C$10,"Sim","Não"))</f>
        <v/>
      </c>
    </row>
    <row r="581" spans="1:16" ht="15" customHeight="1" x14ac:dyDescent="0.3">
      <c r="A581" s="60">
        <v>579</v>
      </c>
      <c r="B581" s="60" t="s">
        <v>762</v>
      </c>
      <c r="C581" s="101" t="s">
        <v>183</v>
      </c>
      <c r="D581" s="101" t="s">
        <v>184</v>
      </c>
      <c r="E581" s="60">
        <v>8</v>
      </c>
      <c r="F581" s="85">
        <v>46225</v>
      </c>
      <c r="G581" s="35">
        <v>406</v>
      </c>
      <c r="H581" s="85">
        <f>IF(COUNTIFS(Pesagens!$B$3:$B$5001,$B581)=0,"",_xlfn.MAXIFS(Pesagens!$A$3:$A$5001,Pesagens!$B$3:$B$5001,$B581,Pesagens!$E$3:$E$5001,"&lt;&gt;"))</f>
        <v>46225</v>
      </c>
      <c r="I581" s="35">
        <f>IF($H581="","",IFERROR(AVERAGEIFS(Pesagens!$E$3:$E$5001,Pesagens!$B$3:$B$5001,$B581,Pesagens!$A$3:$A$5001,$H581),""))</f>
        <v>406</v>
      </c>
      <c r="J581" s="60">
        <f>IF(F581="","",Parâmetros!$C$4-F581)</f>
        <v>13</v>
      </c>
      <c r="K581" s="35">
        <f t="shared" si="18"/>
        <v>0</v>
      </c>
      <c r="L581" s="102" t="str">
        <f t="shared" si="19"/>
        <v/>
      </c>
      <c r="M581" s="103">
        <f>IF(I581="","",I581*Parâmetros!$C$8/15)</f>
        <v>14.345333333333334</v>
      </c>
      <c r="N581" s="103">
        <f>IF(K581="","",K581*Parâmetros!$C$8/15)</f>
        <v>0</v>
      </c>
      <c r="O581" s="26">
        <f>IF(M581="","",M581*Parâmetros!$C$5)</f>
        <v>4590.5066666666671</v>
      </c>
      <c r="P581" s="60" t="str">
        <f>IF(L581="","",IF(L581&gt;=Parâmetros!$C$10,"Sim","Não"))</f>
        <v/>
      </c>
    </row>
    <row r="582" spans="1:16" ht="15" customHeight="1" x14ac:dyDescent="0.3">
      <c r="A582" s="64">
        <v>580</v>
      </c>
      <c r="B582" s="64" t="s">
        <v>763</v>
      </c>
      <c r="C582" s="104" t="s">
        <v>183</v>
      </c>
      <c r="D582" s="104" t="s">
        <v>184</v>
      </c>
      <c r="E582" s="64">
        <v>8</v>
      </c>
      <c r="F582" s="86">
        <v>46225</v>
      </c>
      <c r="G582" s="40">
        <v>405</v>
      </c>
      <c r="H582" s="86">
        <f>IF(COUNTIFS(Pesagens!$B$3:$B$5001,$B582)=0,"",_xlfn.MAXIFS(Pesagens!$A$3:$A$5001,Pesagens!$B$3:$B$5001,$B582,Pesagens!$E$3:$E$5001,"&lt;&gt;"))</f>
        <v>46225</v>
      </c>
      <c r="I582" s="40">
        <f>IF($H582="","",IFERROR(AVERAGEIFS(Pesagens!$E$3:$E$5001,Pesagens!$B$3:$B$5001,$B582,Pesagens!$A$3:$A$5001,$H582),""))</f>
        <v>405</v>
      </c>
      <c r="J582" s="64">
        <f>IF(F582="","",Parâmetros!$C$4-F582)</f>
        <v>13</v>
      </c>
      <c r="K582" s="40">
        <f t="shared" si="18"/>
        <v>0</v>
      </c>
      <c r="L582" s="105" t="str">
        <f t="shared" si="19"/>
        <v/>
      </c>
      <c r="M582" s="106">
        <f>IF(I582="","",I582*Parâmetros!$C$8/15)</f>
        <v>14.31</v>
      </c>
      <c r="N582" s="106">
        <f>IF(K582="","",K582*Parâmetros!$C$8/15)</f>
        <v>0</v>
      </c>
      <c r="O582" s="28">
        <f>IF(M582="","",M582*Parâmetros!$C$5)</f>
        <v>4579.2</v>
      </c>
      <c r="P582" s="64" t="str">
        <f>IF(L582="","",IF(L582&gt;=Parâmetros!$C$10,"Sim","Não"))</f>
        <v/>
      </c>
    </row>
    <row r="583" spans="1:16" ht="15" customHeight="1" x14ac:dyDescent="0.3">
      <c r="A583" s="60">
        <v>581</v>
      </c>
      <c r="B583" s="60" t="s">
        <v>764</v>
      </c>
      <c r="C583" s="101" t="s">
        <v>183</v>
      </c>
      <c r="D583" s="101" t="s">
        <v>184</v>
      </c>
      <c r="E583" s="60">
        <v>8</v>
      </c>
      <c r="F583" s="85">
        <v>46225</v>
      </c>
      <c r="G583" s="35">
        <v>404</v>
      </c>
      <c r="H583" s="85">
        <f>IF(COUNTIFS(Pesagens!$B$3:$B$5001,$B583)=0,"",_xlfn.MAXIFS(Pesagens!$A$3:$A$5001,Pesagens!$B$3:$B$5001,$B583,Pesagens!$E$3:$E$5001,"&lt;&gt;"))</f>
        <v>46225</v>
      </c>
      <c r="I583" s="35">
        <f>IF($H583="","",IFERROR(AVERAGEIFS(Pesagens!$E$3:$E$5001,Pesagens!$B$3:$B$5001,$B583,Pesagens!$A$3:$A$5001,$H583),""))</f>
        <v>404</v>
      </c>
      <c r="J583" s="60">
        <f>IF(F583="","",Parâmetros!$C$4-F583)</f>
        <v>13</v>
      </c>
      <c r="K583" s="35">
        <f t="shared" si="18"/>
        <v>0</v>
      </c>
      <c r="L583" s="102" t="str">
        <f t="shared" si="19"/>
        <v/>
      </c>
      <c r="M583" s="103">
        <f>IF(I583="","",I583*Parâmetros!$C$8/15)</f>
        <v>14.274666666666667</v>
      </c>
      <c r="N583" s="103">
        <f>IF(K583="","",K583*Parâmetros!$C$8/15)</f>
        <v>0</v>
      </c>
      <c r="O583" s="26">
        <f>IF(M583="","",M583*Parâmetros!$C$5)</f>
        <v>4567.8933333333334</v>
      </c>
      <c r="P583" s="60" t="str">
        <f>IF(L583="","",IF(L583&gt;=Parâmetros!$C$10,"Sim","Não"))</f>
        <v/>
      </c>
    </row>
    <row r="584" spans="1:16" ht="15" customHeight="1" x14ac:dyDescent="0.3">
      <c r="A584" s="64">
        <v>582</v>
      </c>
      <c r="B584" s="64" t="s">
        <v>765</v>
      </c>
      <c r="C584" s="104" t="s">
        <v>183</v>
      </c>
      <c r="D584" s="104" t="s">
        <v>184</v>
      </c>
      <c r="E584" s="64">
        <v>8</v>
      </c>
      <c r="F584" s="86">
        <v>46225</v>
      </c>
      <c r="G584" s="40">
        <v>389</v>
      </c>
      <c r="H584" s="86">
        <f>IF(COUNTIFS(Pesagens!$B$3:$B$5001,$B584)=0,"",_xlfn.MAXIFS(Pesagens!$A$3:$A$5001,Pesagens!$B$3:$B$5001,$B584,Pesagens!$E$3:$E$5001,"&lt;&gt;"))</f>
        <v>46225</v>
      </c>
      <c r="I584" s="40">
        <f>IF($H584="","",IFERROR(AVERAGEIFS(Pesagens!$E$3:$E$5001,Pesagens!$B$3:$B$5001,$B584,Pesagens!$A$3:$A$5001,$H584),""))</f>
        <v>389</v>
      </c>
      <c r="J584" s="64">
        <f>IF(F584="","",Parâmetros!$C$4-F584)</f>
        <v>13</v>
      </c>
      <c r="K584" s="40">
        <f t="shared" si="18"/>
        <v>0</v>
      </c>
      <c r="L584" s="105" t="str">
        <f t="shared" si="19"/>
        <v/>
      </c>
      <c r="M584" s="106">
        <f>IF(I584="","",I584*Parâmetros!$C$8/15)</f>
        <v>13.744666666666667</v>
      </c>
      <c r="N584" s="106">
        <f>IF(K584="","",K584*Parâmetros!$C$8/15)</f>
        <v>0</v>
      </c>
      <c r="O584" s="28">
        <f>IF(M584="","",M584*Parâmetros!$C$5)</f>
        <v>4398.2933333333331</v>
      </c>
      <c r="P584" s="64" t="str">
        <f>IF(L584="","",IF(L584&gt;=Parâmetros!$C$10,"Sim","Não"))</f>
        <v/>
      </c>
    </row>
    <row r="585" spans="1:16" ht="15" customHeight="1" x14ac:dyDescent="0.3">
      <c r="A585" s="60">
        <v>583</v>
      </c>
      <c r="B585" s="60" t="s">
        <v>766</v>
      </c>
      <c r="C585" s="101" t="s">
        <v>183</v>
      </c>
      <c r="D585" s="101" t="s">
        <v>184</v>
      </c>
      <c r="E585" s="60">
        <v>8</v>
      </c>
      <c r="F585" s="85">
        <v>46225</v>
      </c>
      <c r="G585" s="35">
        <v>390</v>
      </c>
      <c r="H585" s="85">
        <f>IF(COUNTIFS(Pesagens!$B$3:$B$5001,$B585)=0,"",_xlfn.MAXIFS(Pesagens!$A$3:$A$5001,Pesagens!$B$3:$B$5001,$B585,Pesagens!$E$3:$E$5001,"&lt;&gt;"))</f>
        <v>46225</v>
      </c>
      <c r="I585" s="35">
        <f>IF($H585="","",IFERROR(AVERAGEIFS(Pesagens!$E$3:$E$5001,Pesagens!$B$3:$B$5001,$B585,Pesagens!$A$3:$A$5001,$H585),""))</f>
        <v>390</v>
      </c>
      <c r="J585" s="60">
        <f>IF(F585="","",Parâmetros!$C$4-F585)</f>
        <v>13</v>
      </c>
      <c r="K585" s="35">
        <f t="shared" si="18"/>
        <v>0</v>
      </c>
      <c r="L585" s="102" t="str">
        <f t="shared" si="19"/>
        <v/>
      </c>
      <c r="M585" s="103">
        <f>IF(I585="","",I585*Parâmetros!$C$8/15)</f>
        <v>13.780000000000001</v>
      </c>
      <c r="N585" s="103">
        <f>IF(K585="","",K585*Parâmetros!$C$8/15)</f>
        <v>0</v>
      </c>
      <c r="O585" s="26">
        <f>IF(M585="","",M585*Parâmetros!$C$5)</f>
        <v>4409.6000000000004</v>
      </c>
      <c r="P585" s="60" t="str">
        <f>IF(L585="","",IF(L585&gt;=Parâmetros!$C$10,"Sim","Não"))</f>
        <v/>
      </c>
    </row>
    <row r="586" spans="1:16" ht="15" customHeight="1" x14ac:dyDescent="0.3">
      <c r="A586" s="64">
        <v>584</v>
      </c>
      <c r="B586" s="64" t="s">
        <v>767</v>
      </c>
      <c r="C586" s="104" t="s">
        <v>183</v>
      </c>
      <c r="D586" s="104" t="s">
        <v>184</v>
      </c>
      <c r="E586" s="64">
        <v>8</v>
      </c>
      <c r="F586" s="86">
        <v>46225</v>
      </c>
      <c r="G586" s="40">
        <v>394</v>
      </c>
      <c r="H586" s="86">
        <f>IF(COUNTIFS(Pesagens!$B$3:$B$5001,$B586)=0,"",_xlfn.MAXIFS(Pesagens!$A$3:$A$5001,Pesagens!$B$3:$B$5001,$B586,Pesagens!$E$3:$E$5001,"&lt;&gt;"))</f>
        <v>46225</v>
      </c>
      <c r="I586" s="40">
        <f>IF($H586="","",IFERROR(AVERAGEIFS(Pesagens!$E$3:$E$5001,Pesagens!$B$3:$B$5001,$B586,Pesagens!$A$3:$A$5001,$H586),""))</f>
        <v>394</v>
      </c>
      <c r="J586" s="64">
        <f>IF(F586="","",Parâmetros!$C$4-F586)</f>
        <v>13</v>
      </c>
      <c r="K586" s="40">
        <f t="shared" si="18"/>
        <v>0</v>
      </c>
      <c r="L586" s="105" t="str">
        <f t="shared" si="19"/>
        <v/>
      </c>
      <c r="M586" s="106">
        <f>IF(I586="","",I586*Parâmetros!$C$8/15)</f>
        <v>13.921333333333335</v>
      </c>
      <c r="N586" s="106">
        <f>IF(K586="","",K586*Parâmetros!$C$8/15)</f>
        <v>0</v>
      </c>
      <c r="O586" s="28">
        <f>IF(M586="","",M586*Parâmetros!$C$5)</f>
        <v>4454.8266666666668</v>
      </c>
      <c r="P586" s="64" t="str">
        <f>IF(L586="","",IF(L586&gt;=Parâmetros!$C$10,"Sim","Não"))</f>
        <v/>
      </c>
    </row>
    <row r="587" spans="1:16" ht="15" customHeight="1" x14ac:dyDescent="0.3">
      <c r="A587" s="60">
        <v>585</v>
      </c>
      <c r="B587" s="60" t="s">
        <v>768</v>
      </c>
      <c r="C587" s="101" t="s">
        <v>183</v>
      </c>
      <c r="D587" s="101" t="s">
        <v>184</v>
      </c>
      <c r="E587" s="60">
        <v>8</v>
      </c>
      <c r="F587" s="85">
        <v>46225</v>
      </c>
      <c r="G587" s="35">
        <v>384</v>
      </c>
      <c r="H587" s="85">
        <f>IF(COUNTIFS(Pesagens!$B$3:$B$5001,$B587)=0,"",_xlfn.MAXIFS(Pesagens!$A$3:$A$5001,Pesagens!$B$3:$B$5001,$B587,Pesagens!$E$3:$E$5001,"&lt;&gt;"))</f>
        <v>46225</v>
      </c>
      <c r="I587" s="35">
        <f>IF($H587="","",IFERROR(AVERAGEIFS(Pesagens!$E$3:$E$5001,Pesagens!$B$3:$B$5001,$B587,Pesagens!$A$3:$A$5001,$H587),""))</f>
        <v>384</v>
      </c>
      <c r="J587" s="60">
        <f>IF(F587="","",Parâmetros!$C$4-F587)</f>
        <v>13</v>
      </c>
      <c r="K587" s="35">
        <f t="shared" si="18"/>
        <v>0</v>
      </c>
      <c r="L587" s="102" t="str">
        <f t="shared" si="19"/>
        <v/>
      </c>
      <c r="M587" s="103">
        <f>IF(I587="","",I587*Parâmetros!$C$8/15)</f>
        <v>13.568000000000001</v>
      </c>
      <c r="N587" s="103">
        <f>IF(K587="","",K587*Parâmetros!$C$8/15)</f>
        <v>0</v>
      </c>
      <c r="O587" s="26">
        <f>IF(M587="","",M587*Parâmetros!$C$5)</f>
        <v>4341.76</v>
      </c>
      <c r="P587" s="60" t="str">
        <f>IF(L587="","",IF(L587&gt;=Parâmetros!$C$10,"Sim","Não"))</f>
        <v/>
      </c>
    </row>
    <row r="588" spans="1:16" ht="15" customHeight="1" x14ac:dyDescent="0.3">
      <c r="A588" s="64">
        <v>586</v>
      </c>
      <c r="B588" s="64" t="s">
        <v>769</v>
      </c>
      <c r="C588" s="104" t="s">
        <v>183</v>
      </c>
      <c r="D588" s="104" t="s">
        <v>184</v>
      </c>
      <c r="E588" s="64">
        <v>8</v>
      </c>
      <c r="F588" s="86">
        <v>46225</v>
      </c>
      <c r="G588" s="40">
        <v>406</v>
      </c>
      <c r="H588" s="86">
        <f>IF(COUNTIFS(Pesagens!$B$3:$B$5001,$B588)=0,"",_xlfn.MAXIFS(Pesagens!$A$3:$A$5001,Pesagens!$B$3:$B$5001,$B588,Pesagens!$E$3:$E$5001,"&lt;&gt;"))</f>
        <v>46225</v>
      </c>
      <c r="I588" s="40">
        <f>IF($H588="","",IFERROR(AVERAGEIFS(Pesagens!$E$3:$E$5001,Pesagens!$B$3:$B$5001,$B588,Pesagens!$A$3:$A$5001,$H588),""))</f>
        <v>406</v>
      </c>
      <c r="J588" s="64">
        <f>IF(F588="","",Parâmetros!$C$4-F588)</f>
        <v>13</v>
      </c>
      <c r="K588" s="40">
        <f t="shared" si="18"/>
        <v>0</v>
      </c>
      <c r="L588" s="105" t="str">
        <f t="shared" si="19"/>
        <v/>
      </c>
      <c r="M588" s="106">
        <f>IF(I588="","",I588*Parâmetros!$C$8/15)</f>
        <v>14.345333333333334</v>
      </c>
      <c r="N588" s="106">
        <f>IF(K588="","",K588*Parâmetros!$C$8/15)</f>
        <v>0</v>
      </c>
      <c r="O588" s="28">
        <f>IF(M588="","",M588*Parâmetros!$C$5)</f>
        <v>4590.5066666666671</v>
      </c>
      <c r="P588" s="64" t="str">
        <f>IF(L588="","",IF(L588&gt;=Parâmetros!$C$10,"Sim","Não"))</f>
        <v/>
      </c>
    </row>
    <row r="589" spans="1:16" ht="15" customHeight="1" x14ac:dyDescent="0.3">
      <c r="A589" s="60">
        <v>587</v>
      </c>
      <c r="B589" s="60" t="s">
        <v>770</v>
      </c>
      <c r="C589" s="101" t="s">
        <v>183</v>
      </c>
      <c r="D589" s="101" t="s">
        <v>184</v>
      </c>
      <c r="E589" s="60">
        <v>8</v>
      </c>
      <c r="F589" s="85">
        <v>46225</v>
      </c>
      <c r="G589" s="35">
        <v>389</v>
      </c>
      <c r="H589" s="85">
        <f>IF(COUNTIFS(Pesagens!$B$3:$B$5001,$B589)=0,"",_xlfn.MAXIFS(Pesagens!$A$3:$A$5001,Pesagens!$B$3:$B$5001,$B589,Pesagens!$E$3:$E$5001,"&lt;&gt;"))</f>
        <v>46225</v>
      </c>
      <c r="I589" s="35">
        <f>IF($H589="","",IFERROR(AVERAGEIFS(Pesagens!$E$3:$E$5001,Pesagens!$B$3:$B$5001,$B589,Pesagens!$A$3:$A$5001,$H589),""))</f>
        <v>389</v>
      </c>
      <c r="J589" s="60">
        <f>IF(F589="","",Parâmetros!$C$4-F589)</f>
        <v>13</v>
      </c>
      <c r="K589" s="35">
        <f t="shared" si="18"/>
        <v>0</v>
      </c>
      <c r="L589" s="102" t="str">
        <f t="shared" si="19"/>
        <v/>
      </c>
      <c r="M589" s="103">
        <f>IF(I589="","",I589*Parâmetros!$C$8/15)</f>
        <v>13.744666666666667</v>
      </c>
      <c r="N589" s="103">
        <f>IF(K589="","",K589*Parâmetros!$C$8/15)</f>
        <v>0</v>
      </c>
      <c r="O589" s="26">
        <f>IF(M589="","",M589*Parâmetros!$C$5)</f>
        <v>4398.2933333333331</v>
      </c>
      <c r="P589" s="60" t="str">
        <f>IF(L589="","",IF(L589&gt;=Parâmetros!$C$10,"Sim","Não"))</f>
        <v/>
      </c>
    </row>
    <row r="590" spans="1:16" ht="15" customHeight="1" x14ac:dyDescent="0.3">
      <c r="A590" s="64">
        <v>588</v>
      </c>
      <c r="B590" s="64" t="s">
        <v>771</v>
      </c>
      <c r="C590" s="104" t="s">
        <v>183</v>
      </c>
      <c r="D590" s="104" t="s">
        <v>184</v>
      </c>
      <c r="E590" s="64">
        <v>8</v>
      </c>
      <c r="F590" s="86">
        <v>46225</v>
      </c>
      <c r="G590" s="40">
        <v>403</v>
      </c>
      <c r="H590" s="86">
        <f>IF(COUNTIFS(Pesagens!$B$3:$B$5001,$B590)=0,"",_xlfn.MAXIFS(Pesagens!$A$3:$A$5001,Pesagens!$B$3:$B$5001,$B590,Pesagens!$E$3:$E$5001,"&lt;&gt;"))</f>
        <v>46225</v>
      </c>
      <c r="I590" s="40">
        <f>IF($H590="","",IFERROR(AVERAGEIFS(Pesagens!$E$3:$E$5001,Pesagens!$B$3:$B$5001,$B590,Pesagens!$A$3:$A$5001,$H590),""))</f>
        <v>403</v>
      </c>
      <c r="J590" s="64">
        <f>IF(F590="","",Parâmetros!$C$4-F590)</f>
        <v>13</v>
      </c>
      <c r="K590" s="40">
        <f t="shared" si="18"/>
        <v>0</v>
      </c>
      <c r="L590" s="105" t="str">
        <f t="shared" si="19"/>
        <v/>
      </c>
      <c r="M590" s="106">
        <f>IF(I590="","",I590*Parâmetros!$C$8/15)</f>
        <v>14.239333333333333</v>
      </c>
      <c r="N590" s="106">
        <f>IF(K590="","",K590*Parâmetros!$C$8/15)</f>
        <v>0</v>
      </c>
      <c r="O590" s="28">
        <f>IF(M590="","",M590*Parâmetros!$C$5)</f>
        <v>4556.5866666666661</v>
      </c>
      <c r="P590" s="64" t="str">
        <f>IF(L590="","",IF(L590&gt;=Parâmetros!$C$10,"Sim","Não"))</f>
        <v/>
      </c>
    </row>
    <row r="591" spans="1:16" ht="15" customHeight="1" x14ac:dyDescent="0.3">
      <c r="A591" s="60">
        <v>589</v>
      </c>
      <c r="B591" s="60" t="s">
        <v>772</v>
      </c>
      <c r="C591" s="101" t="s">
        <v>183</v>
      </c>
      <c r="D591" s="101" t="s">
        <v>184</v>
      </c>
      <c r="E591" s="60">
        <v>8</v>
      </c>
      <c r="F591" s="85">
        <v>46225</v>
      </c>
      <c r="G591" s="35">
        <v>388</v>
      </c>
      <c r="H591" s="85">
        <f>IF(COUNTIFS(Pesagens!$B$3:$B$5001,$B591)=0,"",_xlfn.MAXIFS(Pesagens!$A$3:$A$5001,Pesagens!$B$3:$B$5001,$B591,Pesagens!$E$3:$E$5001,"&lt;&gt;"))</f>
        <v>46225</v>
      </c>
      <c r="I591" s="35">
        <f>IF($H591="","",IFERROR(AVERAGEIFS(Pesagens!$E$3:$E$5001,Pesagens!$B$3:$B$5001,$B591,Pesagens!$A$3:$A$5001,$H591),""))</f>
        <v>388</v>
      </c>
      <c r="J591" s="60">
        <f>IF(F591="","",Parâmetros!$C$4-F591)</f>
        <v>13</v>
      </c>
      <c r="K591" s="35">
        <f t="shared" si="18"/>
        <v>0</v>
      </c>
      <c r="L591" s="102" t="str">
        <f t="shared" si="19"/>
        <v/>
      </c>
      <c r="M591" s="103">
        <f>IF(I591="","",I591*Parâmetros!$C$8/15)</f>
        <v>13.709333333333335</v>
      </c>
      <c r="N591" s="103">
        <f>IF(K591="","",K591*Parâmetros!$C$8/15)</f>
        <v>0</v>
      </c>
      <c r="O591" s="26">
        <f>IF(M591="","",M591*Parâmetros!$C$5)</f>
        <v>4386.9866666666676</v>
      </c>
      <c r="P591" s="60" t="str">
        <f>IF(L591="","",IF(L591&gt;=Parâmetros!$C$10,"Sim","Não"))</f>
        <v/>
      </c>
    </row>
    <row r="592" spans="1:16" ht="15" customHeight="1" x14ac:dyDescent="0.3">
      <c r="A592" s="64">
        <v>590</v>
      </c>
      <c r="B592" s="64" t="s">
        <v>773</v>
      </c>
      <c r="C592" s="104" t="s">
        <v>183</v>
      </c>
      <c r="D592" s="104" t="s">
        <v>184</v>
      </c>
      <c r="E592" s="64">
        <v>8</v>
      </c>
      <c r="F592" s="86">
        <v>46225</v>
      </c>
      <c r="G592" s="40">
        <v>390</v>
      </c>
      <c r="H592" s="86">
        <f>IF(COUNTIFS(Pesagens!$B$3:$B$5001,$B592)=0,"",_xlfn.MAXIFS(Pesagens!$A$3:$A$5001,Pesagens!$B$3:$B$5001,$B592,Pesagens!$E$3:$E$5001,"&lt;&gt;"))</f>
        <v>46225</v>
      </c>
      <c r="I592" s="40">
        <f>IF($H592="","",IFERROR(AVERAGEIFS(Pesagens!$E$3:$E$5001,Pesagens!$B$3:$B$5001,$B592,Pesagens!$A$3:$A$5001,$H592),""))</f>
        <v>390</v>
      </c>
      <c r="J592" s="64">
        <f>IF(F592="","",Parâmetros!$C$4-F592)</f>
        <v>13</v>
      </c>
      <c r="K592" s="40">
        <f t="shared" si="18"/>
        <v>0</v>
      </c>
      <c r="L592" s="105" t="str">
        <f t="shared" si="19"/>
        <v/>
      </c>
      <c r="M592" s="106">
        <f>IF(I592="","",I592*Parâmetros!$C$8/15)</f>
        <v>13.780000000000001</v>
      </c>
      <c r="N592" s="106">
        <f>IF(K592="","",K592*Parâmetros!$C$8/15)</f>
        <v>0</v>
      </c>
      <c r="O592" s="28">
        <f>IF(M592="","",M592*Parâmetros!$C$5)</f>
        <v>4409.6000000000004</v>
      </c>
      <c r="P592" s="64" t="str">
        <f>IF(L592="","",IF(L592&gt;=Parâmetros!$C$10,"Sim","Não"))</f>
        <v/>
      </c>
    </row>
    <row r="593" spans="1:16" ht="15" customHeight="1" x14ac:dyDescent="0.3">
      <c r="A593" s="60">
        <v>591</v>
      </c>
      <c r="B593" s="60" t="s">
        <v>774</v>
      </c>
      <c r="C593" s="101" t="s">
        <v>183</v>
      </c>
      <c r="D593" s="101" t="s">
        <v>184</v>
      </c>
      <c r="E593" s="60">
        <v>8</v>
      </c>
      <c r="F593" s="85">
        <v>46225</v>
      </c>
      <c r="G593" s="35">
        <v>406</v>
      </c>
      <c r="H593" s="85">
        <f>IF(COUNTIFS(Pesagens!$B$3:$B$5001,$B593)=0,"",_xlfn.MAXIFS(Pesagens!$A$3:$A$5001,Pesagens!$B$3:$B$5001,$B593,Pesagens!$E$3:$E$5001,"&lt;&gt;"))</f>
        <v>46225</v>
      </c>
      <c r="I593" s="35">
        <f>IF($H593="","",IFERROR(AVERAGEIFS(Pesagens!$E$3:$E$5001,Pesagens!$B$3:$B$5001,$B593,Pesagens!$A$3:$A$5001,$H593),""))</f>
        <v>406</v>
      </c>
      <c r="J593" s="60">
        <f>IF(F593="","",Parâmetros!$C$4-F593)</f>
        <v>13</v>
      </c>
      <c r="K593" s="35">
        <f t="shared" si="18"/>
        <v>0</v>
      </c>
      <c r="L593" s="102" t="str">
        <f t="shared" si="19"/>
        <v/>
      </c>
      <c r="M593" s="103">
        <f>IF(I593="","",I593*Parâmetros!$C$8/15)</f>
        <v>14.345333333333334</v>
      </c>
      <c r="N593" s="103">
        <f>IF(K593="","",K593*Parâmetros!$C$8/15)</f>
        <v>0</v>
      </c>
      <c r="O593" s="26">
        <f>IF(M593="","",M593*Parâmetros!$C$5)</f>
        <v>4590.5066666666671</v>
      </c>
      <c r="P593" s="60" t="str">
        <f>IF(L593="","",IF(L593&gt;=Parâmetros!$C$10,"Sim","Não"))</f>
        <v/>
      </c>
    </row>
    <row r="594" spans="1:16" ht="15" customHeight="1" x14ac:dyDescent="0.3">
      <c r="A594" s="64">
        <v>592</v>
      </c>
      <c r="B594" s="64" t="s">
        <v>775</v>
      </c>
      <c r="C594" s="104" t="s">
        <v>183</v>
      </c>
      <c r="D594" s="104" t="s">
        <v>184</v>
      </c>
      <c r="E594" s="64">
        <v>8</v>
      </c>
      <c r="F594" s="86">
        <v>46225</v>
      </c>
      <c r="G594" s="40">
        <v>392</v>
      </c>
      <c r="H594" s="86">
        <f>IF(COUNTIFS(Pesagens!$B$3:$B$5001,$B594)=0,"",_xlfn.MAXIFS(Pesagens!$A$3:$A$5001,Pesagens!$B$3:$B$5001,$B594,Pesagens!$E$3:$E$5001,"&lt;&gt;"))</f>
        <v>46225</v>
      </c>
      <c r="I594" s="40">
        <f>IF($H594="","",IFERROR(AVERAGEIFS(Pesagens!$E$3:$E$5001,Pesagens!$B$3:$B$5001,$B594,Pesagens!$A$3:$A$5001,$H594),""))</f>
        <v>392</v>
      </c>
      <c r="J594" s="64">
        <f>IF(F594="","",Parâmetros!$C$4-F594)</f>
        <v>13</v>
      </c>
      <c r="K594" s="40">
        <f t="shared" si="18"/>
        <v>0</v>
      </c>
      <c r="L594" s="105" t="str">
        <f t="shared" si="19"/>
        <v/>
      </c>
      <c r="M594" s="106">
        <f>IF(I594="","",I594*Parâmetros!$C$8/15)</f>
        <v>13.850666666666667</v>
      </c>
      <c r="N594" s="106">
        <f>IF(K594="","",K594*Parâmetros!$C$8/15)</f>
        <v>0</v>
      </c>
      <c r="O594" s="28">
        <f>IF(M594="","",M594*Parâmetros!$C$5)</f>
        <v>4432.2133333333331</v>
      </c>
      <c r="P594" s="64" t="str">
        <f>IF(L594="","",IF(L594&gt;=Parâmetros!$C$10,"Sim","Não"))</f>
        <v/>
      </c>
    </row>
    <row r="595" spans="1:16" ht="15" customHeight="1" x14ac:dyDescent="0.3">
      <c r="A595" s="60">
        <v>593</v>
      </c>
      <c r="B595" s="60" t="s">
        <v>776</v>
      </c>
      <c r="C595" s="101" t="s">
        <v>183</v>
      </c>
      <c r="D595" s="101" t="s">
        <v>184</v>
      </c>
      <c r="E595" s="60">
        <v>8</v>
      </c>
      <c r="F595" s="85">
        <v>46225</v>
      </c>
      <c r="G595" s="35">
        <v>378</v>
      </c>
      <c r="H595" s="85">
        <f>IF(COUNTIFS(Pesagens!$B$3:$B$5001,$B595)=0,"",_xlfn.MAXIFS(Pesagens!$A$3:$A$5001,Pesagens!$B$3:$B$5001,$B595,Pesagens!$E$3:$E$5001,"&lt;&gt;"))</f>
        <v>46225</v>
      </c>
      <c r="I595" s="35">
        <f>IF($H595="","",IFERROR(AVERAGEIFS(Pesagens!$E$3:$E$5001,Pesagens!$B$3:$B$5001,$B595,Pesagens!$A$3:$A$5001,$H595),""))</f>
        <v>378</v>
      </c>
      <c r="J595" s="60">
        <f>IF(F595="","",Parâmetros!$C$4-F595)</f>
        <v>13</v>
      </c>
      <c r="K595" s="35">
        <f t="shared" si="18"/>
        <v>0</v>
      </c>
      <c r="L595" s="102" t="str">
        <f t="shared" si="19"/>
        <v/>
      </c>
      <c r="M595" s="103">
        <f>IF(I595="","",I595*Parâmetros!$C$8/15)</f>
        <v>13.356</v>
      </c>
      <c r="N595" s="103">
        <f>IF(K595="","",K595*Parâmetros!$C$8/15)</f>
        <v>0</v>
      </c>
      <c r="O595" s="26">
        <f>IF(M595="","",M595*Parâmetros!$C$5)</f>
        <v>4273.92</v>
      </c>
      <c r="P595" s="60" t="str">
        <f>IF(L595="","",IF(L595&gt;=Parâmetros!$C$10,"Sim","Não"))</f>
        <v/>
      </c>
    </row>
    <row r="596" spans="1:16" ht="15" customHeight="1" x14ac:dyDescent="0.3">
      <c r="A596" s="64">
        <v>594</v>
      </c>
      <c r="B596" s="64" t="s">
        <v>777</v>
      </c>
      <c r="C596" s="104" t="s">
        <v>183</v>
      </c>
      <c r="D596" s="104" t="s">
        <v>184</v>
      </c>
      <c r="E596" s="64">
        <v>8</v>
      </c>
      <c r="F596" s="86">
        <v>46225</v>
      </c>
      <c r="G596" s="40">
        <v>387</v>
      </c>
      <c r="H596" s="86">
        <f>IF(COUNTIFS(Pesagens!$B$3:$B$5001,$B596)=0,"",_xlfn.MAXIFS(Pesagens!$A$3:$A$5001,Pesagens!$B$3:$B$5001,$B596,Pesagens!$E$3:$E$5001,"&lt;&gt;"))</f>
        <v>46225</v>
      </c>
      <c r="I596" s="40">
        <f>IF($H596="","",IFERROR(AVERAGEIFS(Pesagens!$E$3:$E$5001,Pesagens!$B$3:$B$5001,$B596,Pesagens!$A$3:$A$5001,$H596),""))</f>
        <v>387</v>
      </c>
      <c r="J596" s="64">
        <f>IF(F596="","",Parâmetros!$C$4-F596)</f>
        <v>13</v>
      </c>
      <c r="K596" s="40">
        <f t="shared" si="18"/>
        <v>0</v>
      </c>
      <c r="L596" s="105" t="str">
        <f t="shared" si="19"/>
        <v/>
      </c>
      <c r="M596" s="106">
        <f>IF(I596="","",I596*Parâmetros!$C$8/15)</f>
        <v>13.674000000000001</v>
      </c>
      <c r="N596" s="106">
        <f>IF(K596="","",K596*Parâmetros!$C$8/15)</f>
        <v>0</v>
      </c>
      <c r="O596" s="28">
        <f>IF(M596="","",M596*Parâmetros!$C$5)</f>
        <v>4375.68</v>
      </c>
      <c r="P596" s="64" t="str">
        <f>IF(L596="","",IF(L596&gt;=Parâmetros!$C$10,"Sim","Não"))</f>
        <v/>
      </c>
    </row>
    <row r="597" spans="1:16" ht="15" customHeight="1" x14ac:dyDescent="0.3">
      <c r="A597" s="60">
        <v>595</v>
      </c>
      <c r="B597" s="60" t="s">
        <v>778</v>
      </c>
      <c r="C597" s="101" t="s">
        <v>183</v>
      </c>
      <c r="D597" s="101" t="s">
        <v>184</v>
      </c>
      <c r="E597" s="60">
        <v>8</v>
      </c>
      <c r="F597" s="85">
        <v>46225</v>
      </c>
      <c r="G597" s="35">
        <v>410</v>
      </c>
      <c r="H597" s="85">
        <f>IF(COUNTIFS(Pesagens!$B$3:$B$5001,$B597)=0,"",_xlfn.MAXIFS(Pesagens!$A$3:$A$5001,Pesagens!$B$3:$B$5001,$B597,Pesagens!$E$3:$E$5001,"&lt;&gt;"))</f>
        <v>46225</v>
      </c>
      <c r="I597" s="35">
        <f>IF($H597="","",IFERROR(AVERAGEIFS(Pesagens!$E$3:$E$5001,Pesagens!$B$3:$B$5001,$B597,Pesagens!$A$3:$A$5001,$H597),""))</f>
        <v>410</v>
      </c>
      <c r="J597" s="60">
        <f>IF(F597="","",Parâmetros!$C$4-F597)</f>
        <v>13</v>
      </c>
      <c r="K597" s="35">
        <f t="shared" si="18"/>
        <v>0</v>
      </c>
      <c r="L597" s="102" t="str">
        <f t="shared" si="19"/>
        <v/>
      </c>
      <c r="M597" s="103">
        <f>IF(I597="","",I597*Parâmetros!$C$8/15)</f>
        <v>14.486666666666668</v>
      </c>
      <c r="N597" s="103">
        <f>IF(K597="","",K597*Parâmetros!$C$8/15)</f>
        <v>0</v>
      </c>
      <c r="O597" s="26">
        <f>IF(M597="","",M597*Parâmetros!$C$5)</f>
        <v>4635.7333333333336</v>
      </c>
      <c r="P597" s="60" t="str">
        <f>IF(L597="","",IF(L597&gt;=Parâmetros!$C$10,"Sim","Não"))</f>
        <v/>
      </c>
    </row>
    <row r="598" spans="1:16" ht="15" customHeight="1" x14ac:dyDescent="0.3">
      <c r="A598" s="64">
        <v>596</v>
      </c>
      <c r="B598" s="64" t="s">
        <v>779</v>
      </c>
      <c r="C598" s="104" t="s">
        <v>183</v>
      </c>
      <c r="D598" s="104" t="s">
        <v>184</v>
      </c>
      <c r="E598" s="64">
        <v>8</v>
      </c>
      <c r="F598" s="86">
        <v>46225</v>
      </c>
      <c r="G598" s="40">
        <v>390</v>
      </c>
      <c r="H598" s="86">
        <f>IF(COUNTIFS(Pesagens!$B$3:$B$5001,$B598)=0,"",_xlfn.MAXIFS(Pesagens!$A$3:$A$5001,Pesagens!$B$3:$B$5001,$B598,Pesagens!$E$3:$E$5001,"&lt;&gt;"))</f>
        <v>46225</v>
      </c>
      <c r="I598" s="40">
        <f>IF($H598="","",IFERROR(AVERAGEIFS(Pesagens!$E$3:$E$5001,Pesagens!$B$3:$B$5001,$B598,Pesagens!$A$3:$A$5001,$H598),""))</f>
        <v>390</v>
      </c>
      <c r="J598" s="64">
        <f>IF(F598="","",Parâmetros!$C$4-F598)</f>
        <v>13</v>
      </c>
      <c r="K598" s="40">
        <f t="shared" si="18"/>
        <v>0</v>
      </c>
      <c r="L598" s="105" t="str">
        <f t="shared" si="19"/>
        <v/>
      </c>
      <c r="M598" s="106">
        <f>IF(I598="","",I598*Parâmetros!$C$8/15)</f>
        <v>13.780000000000001</v>
      </c>
      <c r="N598" s="106">
        <f>IF(K598="","",K598*Parâmetros!$C$8/15)</f>
        <v>0</v>
      </c>
      <c r="O598" s="28">
        <f>IF(M598="","",M598*Parâmetros!$C$5)</f>
        <v>4409.6000000000004</v>
      </c>
      <c r="P598" s="64" t="str">
        <f>IF(L598="","",IF(L598&gt;=Parâmetros!$C$10,"Sim","Não"))</f>
        <v/>
      </c>
    </row>
    <row r="599" spans="1:16" ht="15" customHeight="1" x14ac:dyDescent="0.3">
      <c r="A599" s="60">
        <v>597</v>
      </c>
      <c r="B599" s="60" t="s">
        <v>780</v>
      </c>
      <c r="C599" s="101" t="s">
        <v>183</v>
      </c>
      <c r="D599" s="101" t="s">
        <v>184</v>
      </c>
      <c r="E599" s="60">
        <v>8</v>
      </c>
      <c r="F599" s="85">
        <v>46225</v>
      </c>
      <c r="G599" s="35">
        <v>387</v>
      </c>
      <c r="H599" s="85">
        <f>IF(COUNTIFS(Pesagens!$B$3:$B$5001,$B599)=0,"",_xlfn.MAXIFS(Pesagens!$A$3:$A$5001,Pesagens!$B$3:$B$5001,$B599,Pesagens!$E$3:$E$5001,"&lt;&gt;"))</f>
        <v>46225</v>
      </c>
      <c r="I599" s="35">
        <f>IF($H599="","",IFERROR(AVERAGEIFS(Pesagens!$E$3:$E$5001,Pesagens!$B$3:$B$5001,$B599,Pesagens!$A$3:$A$5001,$H599),""))</f>
        <v>387</v>
      </c>
      <c r="J599" s="60">
        <f>IF(F599="","",Parâmetros!$C$4-F599)</f>
        <v>13</v>
      </c>
      <c r="K599" s="35">
        <f t="shared" si="18"/>
        <v>0</v>
      </c>
      <c r="L599" s="102" t="str">
        <f t="shared" si="19"/>
        <v/>
      </c>
      <c r="M599" s="103">
        <f>IF(I599="","",I599*Parâmetros!$C$8/15)</f>
        <v>13.674000000000001</v>
      </c>
      <c r="N599" s="103">
        <f>IF(K599="","",K599*Parâmetros!$C$8/15)</f>
        <v>0</v>
      </c>
      <c r="O599" s="26">
        <f>IF(M599="","",M599*Parâmetros!$C$5)</f>
        <v>4375.68</v>
      </c>
      <c r="P599" s="60" t="str">
        <f>IF(L599="","",IF(L599&gt;=Parâmetros!$C$10,"Sim","Não"))</f>
        <v/>
      </c>
    </row>
    <row r="600" spans="1:16" ht="15" customHeight="1" x14ac:dyDescent="0.3">
      <c r="A600" s="64">
        <v>598</v>
      </c>
      <c r="B600" s="64" t="s">
        <v>781</v>
      </c>
      <c r="C600" s="104" t="s">
        <v>183</v>
      </c>
      <c r="D600" s="104" t="s">
        <v>184</v>
      </c>
      <c r="E600" s="64">
        <v>8</v>
      </c>
      <c r="F600" s="86">
        <v>46225</v>
      </c>
      <c r="G600" s="40">
        <v>378</v>
      </c>
      <c r="H600" s="86">
        <f>IF(COUNTIFS(Pesagens!$B$3:$B$5001,$B600)=0,"",_xlfn.MAXIFS(Pesagens!$A$3:$A$5001,Pesagens!$B$3:$B$5001,$B600,Pesagens!$E$3:$E$5001,"&lt;&gt;"))</f>
        <v>46225</v>
      </c>
      <c r="I600" s="40">
        <f>IF($H600="","",IFERROR(AVERAGEIFS(Pesagens!$E$3:$E$5001,Pesagens!$B$3:$B$5001,$B600,Pesagens!$A$3:$A$5001,$H600),""))</f>
        <v>378</v>
      </c>
      <c r="J600" s="64">
        <f>IF(F600="","",Parâmetros!$C$4-F600)</f>
        <v>13</v>
      </c>
      <c r="K600" s="40">
        <f t="shared" si="18"/>
        <v>0</v>
      </c>
      <c r="L600" s="105" t="str">
        <f t="shared" si="19"/>
        <v/>
      </c>
      <c r="M600" s="106">
        <f>IF(I600="","",I600*Parâmetros!$C$8/15)</f>
        <v>13.356</v>
      </c>
      <c r="N600" s="106">
        <f>IF(K600="","",K600*Parâmetros!$C$8/15)</f>
        <v>0</v>
      </c>
      <c r="O600" s="28">
        <f>IF(M600="","",M600*Parâmetros!$C$5)</f>
        <v>4273.92</v>
      </c>
      <c r="P600" s="64" t="str">
        <f>IF(L600="","",IF(L600&gt;=Parâmetros!$C$10,"Sim","Não"))</f>
        <v/>
      </c>
    </row>
    <row r="601" spans="1:16" ht="15" customHeight="1" x14ac:dyDescent="0.3">
      <c r="A601" s="60">
        <v>599</v>
      </c>
      <c r="B601" s="60" t="s">
        <v>782</v>
      </c>
      <c r="C601" s="101" t="s">
        <v>183</v>
      </c>
      <c r="D601" s="101" t="s">
        <v>184</v>
      </c>
      <c r="E601" s="60">
        <v>8</v>
      </c>
      <c r="F601" s="85">
        <v>46226</v>
      </c>
      <c r="G601" s="35">
        <v>386</v>
      </c>
      <c r="H601" s="85">
        <f>IF(COUNTIFS(Pesagens!$B$3:$B$5001,$B601)=0,"",_xlfn.MAXIFS(Pesagens!$A$3:$A$5001,Pesagens!$B$3:$B$5001,$B601,Pesagens!$E$3:$E$5001,"&lt;&gt;"))</f>
        <v>46226</v>
      </c>
      <c r="I601" s="35">
        <f>IF($H601="","",IFERROR(AVERAGEIFS(Pesagens!$E$3:$E$5001,Pesagens!$B$3:$B$5001,$B601,Pesagens!$A$3:$A$5001,$H601),""))</f>
        <v>386</v>
      </c>
      <c r="J601" s="60">
        <f>IF(F601="","",Parâmetros!$C$4-F601)</f>
        <v>12</v>
      </c>
      <c r="K601" s="35">
        <f t="shared" si="18"/>
        <v>0</v>
      </c>
      <c r="L601" s="102" t="str">
        <f t="shared" si="19"/>
        <v/>
      </c>
      <c r="M601" s="103">
        <f>IF(I601="","",I601*Parâmetros!$C$8/15)</f>
        <v>13.638666666666667</v>
      </c>
      <c r="N601" s="103">
        <f>IF(K601="","",K601*Parâmetros!$C$8/15)</f>
        <v>0</v>
      </c>
      <c r="O601" s="26">
        <f>IF(M601="","",M601*Parâmetros!$C$5)</f>
        <v>4364.3733333333339</v>
      </c>
      <c r="P601" s="60" t="str">
        <f>IF(L601="","",IF(L601&gt;=Parâmetros!$C$10,"Sim","Não"))</f>
        <v/>
      </c>
    </row>
    <row r="602" spans="1:16" ht="15" customHeight="1" x14ac:dyDescent="0.3">
      <c r="A602" s="64">
        <v>600</v>
      </c>
      <c r="B602" s="64" t="s">
        <v>783</v>
      </c>
      <c r="C602" s="104" t="s">
        <v>183</v>
      </c>
      <c r="D602" s="104" t="s">
        <v>184</v>
      </c>
      <c r="E602" s="64">
        <v>9</v>
      </c>
      <c r="F602" s="86">
        <v>46225</v>
      </c>
      <c r="G602" s="40">
        <v>287</v>
      </c>
      <c r="H602" s="86">
        <f>IF(COUNTIFS(Pesagens!$B$3:$B$5001,$B602)=0,"",_xlfn.MAXIFS(Pesagens!$A$3:$A$5001,Pesagens!$B$3:$B$5001,$B602,Pesagens!$E$3:$E$5001,"&lt;&gt;"))</f>
        <v>46225</v>
      </c>
      <c r="I602" s="40">
        <f>IF($H602="","",IFERROR(AVERAGEIFS(Pesagens!$E$3:$E$5001,Pesagens!$B$3:$B$5001,$B602,Pesagens!$A$3:$A$5001,$H602),""))</f>
        <v>287</v>
      </c>
      <c r="J602" s="64">
        <f>IF(F602="","",Parâmetros!$C$4-F602)</f>
        <v>13</v>
      </c>
      <c r="K602" s="40">
        <f t="shared" si="18"/>
        <v>0</v>
      </c>
      <c r="L602" s="105" t="str">
        <f t="shared" si="19"/>
        <v/>
      </c>
      <c r="M602" s="106">
        <f>IF(I602="","",I602*Parâmetros!$C$8/15)</f>
        <v>10.140666666666668</v>
      </c>
      <c r="N602" s="106">
        <f>IF(K602="","",K602*Parâmetros!$C$8/15)</f>
        <v>0</v>
      </c>
      <c r="O602" s="28">
        <f>IF(M602="","",M602*Parâmetros!$C$5)</f>
        <v>3245.0133333333338</v>
      </c>
      <c r="P602" s="64" t="str">
        <f>IF(L602="","",IF(L602&gt;=Parâmetros!$C$10,"Sim","Não"))</f>
        <v/>
      </c>
    </row>
    <row r="603" spans="1:16" ht="15" customHeight="1" x14ac:dyDescent="0.3">
      <c r="A603" s="60">
        <v>601</v>
      </c>
      <c r="B603" s="60" t="s">
        <v>784</v>
      </c>
      <c r="C603" s="101" t="s">
        <v>183</v>
      </c>
      <c r="D603" s="101" t="s">
        <v>184</v>
      </c>
      <c r="E603" s="60">
        <v>9</v>
      </c>
      <c r="F603" s="85">
        <v>46225</v>
      </c>
      <c r="G603" s="35">
        <v>330</v>
      </c>
      <c r="H603" s="85">
        <f>IF(COUNTIFS(Pesagens!$B$3:$B$5001,$B603)=0,"",_xlfn.MAXIFS(Pesagens!$A$3:$A$5001,Pesagens!$B$3:$B$5001,$B603,Pesagens!$E$3:$E$5001,"&lt;&gt;"))</f>
        <v>46225</v>
      </c>
      <c r="I603" s="35">
        <f>IF($H603="","",IFERROR(AVERAGEIFS(Pesagens!$E$3:$E$5001,Pesagens!$B$3:$B$5001,$B603,Pesagens!$A$3:$A$5001,$H603),""))</f>
        <v>330</v>
      </c>
      <c r="J603" s="60">
        <f>IF(F603="","",Parâmetros!$C$4-F603)</f>
        <v>13</v>
      </c>
      <c r="K603" s="35">
        <f t="shared" si="18"/>
        <v>0</v>
      </c>
      <c r="L603" s="102" t="str">
        <f t="shared" si="19"/>
        <v/>
      </c>
      <c r="M603" s="103">
        <f>IF(I603="","",I603*Parâmetros!$C$8/15)</f>
        <v>11.66</v>
      </c>
      <c r="N603" s="103">
        <f>IF(K603="","",K603*Parâmetros!$C$8/15)</f>
        <v>0</v>
      </c>
      <c r="O603" s="26">
        <f>IF(M603="","",M603*Parâmetros!$C$5)</f>
        <v>3731.2</v>
      </c>
      <c r="P603" s="60" t="str">
        <f>IF(L603="","",IF(L603&gt;=Parâmetros!$C$10,"Sim","Não"))</f>
        <v/>
      </c>
    </row>
    <row r="604" spans="1:16" ht="15" customHeight="1" x14ac:dyDescent="0.3">
      <c r="A604" s="64">
        <v>602</v>
      </c>
      <c r="B604" s="64" t="s">
        <v>785</v>
      </c>
      <c r="C604" s="104" t="s">
        <v>183</v>
      </c>
      <c r="D604" s="104" t="s">
        <v>184</v>
      </c>
      <c r="E604" s="64">
        <v>9</v>
      </c>
      <c r="F604" s="86">
        <v>46225</v>
      </c>
      <c r="G604" s="40">
        <v>357</v>
      </c>
      <c r="H604" s="86">
        <f>IF(COUNTIFS(Pesagens!$B$3:$B$5001,$B604)=0,"",_xlfn.MAXIFS(Pesagens!$A$3:$A$5001,Pesagens!$B$3:$B$5001,$B604,Pesagens!$E$3:$E$5001,"&lt;&gt;"))</f>
        <v>46225</v>
      </c>
      <c r="I604" s="40">
        <f>IF($H604="","",IFERROR(AVERAGEIFS(Pesagens!$E$3:$E$5001,Pesagens!$B$3:$B$5001,$B604,Pesagens!$A$3:$A$5001,$H604),""))</f>
        <v>357</v>
      </c>
      <c r="J604" s="64">
        <f>IF(F604="","",Parâmetros!$C$4-F604)</f>
        <v>13</v>
      </c>
      <c r="K604" s="40">
        <f t="shared" si="18"/>
        <v>0</v>
      </c>
      <c r="L604" s="105" t="str">
        <f t="shared" si="19"/>
        <v/>
      </c>
      <c r="M604" s="106">
        <f>IF(I604="","",I604*Parâmetros!$C$8/15)</f>
        <v>12.614000000000001</v>
      </c>
      <c r="N604" s="106">
        <f>IF(K604="","",K604*Parâmetros!$C$8/15)</f>
        <v>0</v>
      </c>
      <c r="O604" s="28">
        <f>IF(M604="","",M604*Parâmetros!$C$5)</f>
        <v>4036.4800000000005</v>
      </c>
      <c r="P604" s="64" t="str">
        <f>IF(L604="","",IF(L604&gt;=Parâmetros!$C$10,"Sim","Não"))</f>
        <v/>
      </c>
    </row>
    <row r="605" spans="1:16" ht="15" customHeight="1" x14ac:dyDescent="0.3">
      <c r="A605" s="60">
        <v>603</v>
      </c>
      <c r="B605" s="60" t="s">
        <v>786</v>
      </c>
      <c r="C605" s="101" t="s">
        <v>183</v>
      </c>
      <c r="D605" s="101" t="s">
        <v>184</v>
      </c>
      <c r="E605" s="60">
        <v>9</v>
      </c>
      <c r="F605" s="85">
        <v>46225</v>
      </c>
      <c r="G605" s="35">
        <v>374</v>
      </c>
      <c r="H605" s="85">
        <f>IF(COUNTIFS(Pesagens!$B$3:$B$5001,$B605)=0,"",_xlfn.MAXIFS(Pesagens!$A$3:$A$5001,Pesagens!$B$3:$B$5001,$B605,Pesagens!$E$3:$E$5001,"&lt;&gt;"))</f>
        <v>46225</v>
      </c>
      <c r="I605" s="35">
        <f>IF($H605="","",IFERROR(AVERAGEIFS(Pesagens!$E$3:$E$5001,Pesagens!$B$3:$B$5001,$B605,Pesagens!$A$3:$A$5001,$H605),""))</f>
        <v>374</v>
      </c>
      <c r="J605" s="60">
        <f>IF(F605="","",Parâmetros!$C$4-F605)</f>
        <v>13</v>
      </c>
      <c r="K605" s="35">
        <f t="shared" si="18"/>
        <v>0</v>
      </c>
      <c r="L605" s="102" t="str">
        <f t="shared" si="19"/>
        <v/>
      </c>
      <c r="M605" s="103">
        <f>IF(I605="","",I605*Parâmetros!$C$8/15)</f>
        <v>13.214666666666666</v>
      </c>
      <c r="N605" s="103">
        <f>IF(K605="","",K605*Parâmetros!$C$8/15)</f>
        <v>0</v>
      </c>
      <c r="O605" s="26">
        <f>IF(M605="","",M605*Parâmetros!$C$5)</f>
        <v>4228.6933333333327</v>
      </c>
      <c r="P605" s="60" t="str">
        <f>IF(L605="","",IF(L605&gt;=Parâmetros!$C$10,"Sim","Não"))</f>
        <v/>
      </c>
    </row>
    <row r="606" spans="1:16" ht="15" customHeight="1" x14ac:dyDescent="0.3">
      <c r="A606" s="64">
        <v>604</v>
      </c>
      <c r="B606" s="64" t="s">
        <v>787</v>
      </c>
      <c r="C606" s="104" t="s">
        <v>183</v>
      </c>
      <c r="D606" s="104" t="s">
        <v>184</v>
      </c>
      <c r="E606" s="64">
        <v>9</v>
      </c>
      <c r="F606" s="86">
        <v>46225</v>
      </c>
      <c r="G606" s="40">
        <v>332</v>
      </c>
      <c r="H606" s="86">
        <f>IF(COUNTIFS(Pesagens!$B$3:$B$5001,$B606)=0,"",_xlfn.MAXIFS(Pesagens!$A$3:$A$5001,Pesagens!$B$3:$B$5001,$B606,Pesagens!$E$3:$E$5001,"&lt;&gt;"))</f>
        <v>46225</v>
      </c>
      <c r="I606" s="40">
        <f>IF($H606="","",IFERROR(AVERAGEIFS(Pesagens!$E$3:$E$5001,Pesagens!$B$3:$B$5001,$B606,Pesagens!$A$3:$A$5001,$H606),""))</f>
        <v>332</v>
      </c>
      <c r="J606" s="64">
        <f>IF(F606="","",Parâmetros!$C$4-F606)</f>
        <v>13</v>
      </c>
      <c r="K606" s="40">
        <f t="shared" si="18"/>
        <v>0</v>
      </c>
      <c r="L606" s="105" t="str">
        <f t="shared" si="19"/>
        <v/>
      </c>
      <c r="M606" s="106">
        <f>IF(I606="","",I606*Parâmetros!$C$8/15)</f>
        <v>11.730666666666668</v>
      </c>
      <c r="N606" s="106">
        <f>IF(K606="","",K606*Parâmetros!$C$8/15)</f>
        <v>0</v>
      </c>
      <c r="O606" s="28">
        <f>IF(M606="","",M606*Parâmetros!$C$5)</f>
        <v>3753.8133333333335</v>
      </c>
      <c r="P606" s="64" t="str">
        <f>IF(L606="","",IF(L606&gt;=Parâmetros!$C$10,"Sim","Não"))</f>
        <v/>
      </c>
    </row>
    <row r="607" spans="1:16" ht="15" customHeight="1" x14ac:dyDescent="0.3">
      <c r="A607" s="60">
        <v>605</v>
      </c>
      <c r="B607" s="60" t="s">
        <v>788</v>
      </c>
      <c r="C607" s="101" t="s">
        <v>183</v>
      </c>
      <c r="D607" s="101" t="s">
        <v>184</v>
      </c>
      <c r="E607" s="60">
        <v>9</v>
      </c>
      <c r="F607" s="85">
        <v>46225</v>
      </c>
      <c r="G607" s="35">
        <v>316</v>
      </c>
      <c r="H607" s="85">
        <f>IF(COUNTIFS(Pesagens!$B$3:$B$5001,$B607)=0,"",_xlfn.MAXIFS(Pesagens!$A$3:$A$5001,Pesagens!$B$3:$B$5001,$B607,Pesagens!$E$3:$E$5001,"&lt;&gt;"))</f>
        <v>46225</v>
      </c>
      <c r="I607" s="35">
        <f>IF($H607="","",IFERROR(AVERAGEIFS(Pesagens!$E$3:$E$5001,Pesagens!$B$3:$B$5001,$B607,Pesagens!$A$3:$A$5001,$H607),""))</f>
        <v>316</v>
      </c>
      <c r="J607" s="60">
        <f>IF(F607="","",Parâmetros!$C$4-F607)</f>
        <v>13</v>
      </c>
      <c r="K607" s="35">
        <f t="shared" si="18"/>
        <v>0</v>
      </c>
      <c r="L607" s="102" t="str">
        <f t="shared" si="19"/>
        <v/>
      </c>
      <c r="M607" s="103">
        <f>IF(I607="","",I607*Parâmetros!$C$8/15)</f>
        <v>11.165333333333335</v>
      </c>
      <c r="N607" s="103">
        <f>IF(K607="","",K607*Parâmetros!$C$8/15)</f>
        <v>0</v>
      </c>
      <c r="O607" s="26">
        <f>IF(M607="","",M607*Parâmetros!$C$5)</f>
        <v>3572.9066666666672</v>
      </c>
      <c r="P607" s="60" t="str">
        <f>IF(L607="","",IF(L607&gt;=Parâmetros!$C$10,"Sim","Não"))</f>
        <v/>
      </c>
    </row>
    <row r="608" spans="1:16" ht="15" customHeight="1" x14ac:dyDescent="0.3">
      <c r="A608" s="64">
        <v>606</v>
      </c>
      <c r="B608" s="64" t="s">
        <v>789</v>
      </c>
      <c r="C608" s="104" t="s">
        <v>183</v>
      </c>
      <c r="D608" s="104" t="s">
        <v>184</v>
      </c>
      <c r="E608" s="64">
        <v>9</v>
      </c>
      <c r="F608" s="86">
        <v>46225</v>
      </c>
      <c r="G608" s="40">
        <v>373</v>
      </c>
      <c r="H608" s="86">
        <f>IF(COUNTIFS(Pesagens!$B$3:$B$5001,$B608)=0,"",_xlfn.MAXIFS(Pesagens!$A$3:$A$5001,Pesagens!$B$3:$B$5001,$B608,Pesagens!$E$3:$E$5001,"&lt;&gt;"))</f>
        <v>46225</v>
      </c>
      <c r="I608" s="40">
        <f>IF($H608="","",IFERROR(AVERAGEIFS(Pesagens!$E$3:$E$5001,Pesagens!$B$3:$B$5001,$B608,Pesagens!$A$3:$A$5001,$H608),""))</f>
        <v>373</v>
      </c>
      <c r="J608" s="64">
        <f>IF(F608="","",Parâmetros!$C$4-F608)</f>
        <v>13</v>
      </c>
      <c r="K608" s="40">
        <f t="shared" si="18"/>
        <v>0</v>
      </c>
      <c r="L608" s="105" t="str">
        <f t="shared" si="19"/>
        <v/>
      </c>
      <c r="M608" s="106">
        <f>IF(I608="","",I608*Parâmetros!$C$8/15)</f>
        <v>13.179333333333334</v>
      </c>
      <c r="N608" s="106">
        <f>IF(K608="","",K608*Parâmetros!$C$8/15)</f>
        <v>0</v>
      </c>
      <c r="O608" s="28">
        <f>IF(M608="","",M608*Parâmetros!$C$5)</f>
        <v>4217.3866666666672</v>
      </c>
      <c r="P608" s="64" t="str">
        <f>IF(L608="","",IF(L608&gt;=Parâmetros!$C$10,"Sim","Não"))</f>
        <v/>
      </c>
    </row>
    <row r="609" spans="1:16" ht="15" customHeight="1" x14ac:dyDescent="0.3">
      <c r="A609" s="60">
        <v>607</v>
      </c>
      <c r="B609" s="60" t="s">
        <v>790</v>
      </c>
      <c r="C609" s="101" t="s">
        <v>183</v>
      </c>
      <c r="D609" s="101" t="s">
        <v>184</v>
      </c>
      <c r="E609" s="60">
        <v>9</v>
      </c>
      <c r="F609" s="85">
        <v>46225</v>
      </c>
      <c r="G609" s="35">
        <v>345</v>
      </c>
      <c r="H609" s="85">
        <f>IF(COUNTIFS(Pesagens!$B$3:$B$5001,$B609)=0,"",_xlfn.MAXIFS(Pesagens!$A$3:$A$5001,Pesagens!$B$3:$B$5001,$B609,Pesagens!$E$3:$E$5001,"&lt;&gt;"))</f>
        <v>46225</v>
      </c>
      <c r="I609" s="35">
        <f>IF($H609="","",IFERROR(AVERAGEIFS(Pesagens!$E$3:$E$5001,Pesagens!$B$3:$B$5001,$B609,Pesagens!$A$3:$A$5001,$H609),""))</f>
        <v>345</v>
      </c>
      <c r="J609" s="60">
        <f>IF(F609="","",Parâmetros!$C$4-F609)</f>
        <v>13</v>
      </c>
      <c r="K609" s="35">
        <f t="shared" si="18"/>
        <v>0</v>
      </c>
      <c r="L609" s="102" t="str">
        <f t="shared" si="19"/>
        <v/>
      </c>
      <c r="M609" s="103">
        <f>IF(I609="","",I609*Parâmetros!$C$8/15)</f>
        <v>12.190000000000001</v>
      </c>
      <c r="N609" s="103">
        <f>IF(K609="","",K609*Parâmetros!$C$8/15)</f>
        <v>0</v>
      </c>
      <c r="O609" s="26">
        <f>IF(M609="","",M609*Parâmetros!$C$5)</f>
        <v>3900.8</v>
      </c>
      <c r="P609" s="60" t="str">
        <f>IF(L609="","",IF(L609&gt;=Parâmetros!$C$10,"Sim","Não"))</f>
        <v/>
      </c>
    </row>
    <row r="610" spans="1:16" ht="15" customHeight="1" x14ac:dyDescent="0.3">
      <c r="A610" s="64">
        <v>608</v>
      </c>
      <c r="B610" s="64" t="s">
        <v>791</v>
      </c>
      <c r="C610" s="104" t="s">
        <v>183</v>
      </c>
      <c r="D610" s="104" t="s">
        <v>184</v>
      </c>
      <c r="E610" s="64">
        <v>9</v>
      </c>
      <c r="F610" s="86">
        <v>46225</v>
      </c>
      <c r="G610" s="40">
        <v>335</v>
      </c>
      <c r="H610" s="86">
        <f>IF(COUNTIFS(Pesagens!$B$3:$B$5001,$B610)=0,"",_xlfn.MAXIFS(Pesagens!$A$3:$A$5001,Pesagens!$B$3:$B$5001,$B610,Pesagens!$E$3:$E$5001,"&lt;&gt;"))</f>
        <v>46225</v>
      </c>
      <c r="I610" s="40">
        <f>IF($H610="","",IFERROR(AVERAGEIFS(Pesagens!$E$3:$E$5001,Pesagens!$B$3:$B$5001,$B610,Pesagens!$A$3:$A$5001,$H610),""))</f>
        <v>335</v>
      </c>
      <c r="J610" s="64">
        <f>IF(F610="","",Parâmetros!$C$4-F610)</f>
        <v>13</v>
      </c>
      <c r="K610" s="40">
        <f t="shared" si="18"/>
        <v>0</v>
      </c>
      <c r="L610" s="105" t="str">
        <f t="shared" si="19"/>
        <v/>
      </c>
      <c r="M610" s="106">
        <f>IF(I610="","",I610*Parâmetros!$C$8/15)</f>
        <v>11.836666666666668</v>
      </c>
      <c r="N610" s="106">
        <f>IF(K610="","",K610*Parâmetros!$C$8/15)</f>
        <v>0</v>
      </c>
      <c r="O610" s="28">
        <f>IF(M610="","",M610*Parâmetros!$C$5)</f>
        <v>3787.7333333333336</v>
      </c>
      <c r="P610" s="64" t="str">
        <f>IF(L610="","",IF(L610&gt;=Parâmetros!$C$10,"Sim","Não"))</f>
        <v/>
      </c>
    </row>
    <row r="611" spans="1:16" ht="15" customHeight="1" x14ac:dyDescent="0.3">
      <c r="A611" s="60">
        <v>609</v>
      </c>
      <c r="B611" s="60" t="s">
        <v>792</v>
      </c>
      <c r="C611" s="101" t="s">
        <v>183</v>
      </c>
      <c r="D611" s="101" t="s">
        <v>184</v>
      </c>
      <c r="E611" s="60">
        <v>9</v>
      </c>
      <c r="F611" s="85">
        <v>46225</v>
      </c>
      <c r="G611" s="35">
        <v>385</v>
      </c>
      <c r="H611" s="85">
        <f>IF(COUNTIFS(Pesagens!$B$3:$B$5001,$B611)=0,"",_xlfn.MAXIFS(Pesagens!$A$3:$A$5001,Pesagens!$B$3:$B$5001,$B611,Pesagens!$E$3:$E$5001,"&lt;&gt;"))</f>
        <v>46225</v>
      </c>
      <c r="I611" s="35">
        <f>IF($H611="","",IFERROR(AVERAGEIFS(Pesagens!$E$3:$E$5001,Pesagens!$B$3:$B$5001,$B611,Pesagens!$A$3:$A$5001,$H611),""))</f>
        <v>385</v>
      </c>
      <c r="J611" s="60">
        <f>IF(F611="","",Parâmetros!$C$4-F611)</f>
        <v>13</v>
      </c>
      <c r="K611" s="35">
        <f t="shared" si="18"/>
        <v>0</v>
      </c>
      <c r="L611" s="102" t="str">
        <f t="shared" si="19"/>
        <v/>
      </c>
      <c r="M611" s="103">
        <f>IF(I611="","",I611*Parâmetros!$C$8/15)</f>
        <v>13.603333333333333</v>
      </c>
      <c r="N611" s="103">
        <f>IF(K611="","",K611*Parâmetros!$C$8/15)</f>
        <v>0</v>
      </c>
      <c r="O611" s="26">
        <f>IF(M611="","",M611*Parâmetros!$C$5)</f>
        <v>4353.0666666666666</v>
      </c>
      <c r="P611" s="60" t="str">
        <f>IF(L611="","",IF(L611&gt;=Parâmetros!$C$10,"Sim","Não"))</f>
        <v/>
      </c>
    </row>
    <row r="612" spans="1:16" ht="15" customHeight="1" x14ac:dyDescent="0.3">
      <c r="A612" s="64">
        <v>610</v>
      </c>
      <c r="B612" s="64" t="s">
        <v>793</v>
      </c>
      <c r="C612" s="104" t="s">
        <v>183</v>
      </c>
      <c r="D612" s="104" t="s">
        <v>184</v>
      </c>
      <c r="E612" s="64">
        <v>9</v>
      </c>
      <c r="F612" s="86">
        <v>46225</v>
      </c>
      <c r="G612" s="40">
        <v>324</v>
      </c>
      <c r="H612" s="86">
        <f>IF(COUNTIFS(Pesagens!$B$3:$B$5001,$B612)=0,"",_xlfn.MAXIFS(Pesagens!$A$3:$A$5001,Pesagens!$B$3:$B$5001,$B612,Pesagens!$E$3:$E$5001,"&lt;&gt;"))</f>
        <v>46225</v>
      </c>
      <c r="I612" s="40">
        <f>IF($H612="","",IFERROR(AVERAGEIFS(Pesagens!$E$3:$E$5001,Pesagens!$B$3:$B$5001,$B612,Pesagens!$A$3:$A$5001,$H612),""))</f>
        <v>324</v>
      </c>
      <c r="J612" s="64">
        <f>IF(F612="","",Parâmetros!$C$4-F612)</f>
        <v>13</v>
      </c>
      <c r="K612" s="40">
        <f t="shared" si="18"/>
        <v>0</v>
      </c>
      <c r="L612" s="105" t="str">
        <f t="shared" si="19"/>
        <v/>
      </c>
      <c r="M612" s="106">
        <f>IF(I612="","",I612*Parâmetros!$C$8/15)</f>
        <v>11.448</v>
      </c>
      <c r="N612" s="106">
        <f>IF(K612="","",K612*Parâmetros!$C$8/15)</f>
        <v>0</v>
      </c>
      <c r="O612" s="28">
        <f>IF(M612="","",M612*Parâmetros!$C$5)</f>
        <v>3663.36</v>
      </c>
      <c r="P612" s="64" t="str">
        <f>IF(L612="","",IF(L612&gt;=Parâmetros!$C$10,"Sim","Não"))</f>
        <v/>
      </c>
    </row>
    <row r="613" spans="1:16" ht="15" customHeight="1" x14ac:dyDescent="0.3">
      <c r="A613" s="60">
        <v>611</v>
      </c>
      <c r="B613" s="60" t="s">
        <v>794</v>
      </c>
      <c r="C613" s="101" t="s">
        <v>183</v>
      </c>
      <c r="D613" s="101" t="s">
        <v>184</v>
      </c>
      <c r="E613" s="60">
        <v>9</v>
      </c>
      <c r="F613" s="85">
        <v>46225</v>
      </c>
      <c r="G613" s="35">
        <v>329</v>
      </c>
      <c r="H613" s="85">
        <f>IF(COUNTIFS(Pesagens!$B$3:$B$5001,$B613)=0,"",_xlfn.MAXIFS(Pesagens!$A$3:$A$5001,Pesagens!$B$3:$B$5001,$B613,Pesagens!$E$3:$E$5001,"&lt;&gt;"))</f>
        <v>46225</v>
      </c>
      <c r="I613" s="35">
        <f>IF($H613="","",IFERROR(AVERAGEIFS(Pesagens!$E$3:$E$5001,Pesagens!$B$3:$B$5001,$B613,Pesagens!$A$3:$A$5001,$H613),""))</f>
        <v>329</v>
      </c>
      <c r="J613" s="60">
        <f>IF(F613="","",Parâmetros!$C$4-F613)</f>
        <v>13</v>
      </c>
      <c r="K613" s="35">
        <f t="shared" si="18"/>
        <v>0</v>
      </c>
      <c r="L613" s="102" t="str">
        <f t="shared" si="19"/>
        <v/>
      </c>
      <c r="M613" s="103">
        <f>IF(I613="","",I613*Parâmetros!$C$8/15)</f>
        <v>11.624666666666666</v>
      </c>
      <c r="N613" s="103">
        <f>IF(K613="","",K613*Parâmetros!$C$8/15)</f>
        <v>0</v>
      </c>
      <c r="O613" s="26">
        <f>IF(M613="","",M613*Parâmetros!$C$5)</f>
        <v>3719.8933333333334</v>
      </c>
      <c r="P613" s="60" t="str">
        <f>IF(L613="","",IF(L613&gt;=Parâmetros!$C$10,"Sim","Não"))</f>
        <v/>
      </c>
    </row>
    <row r="614" spans="1:16" ht="15" customHeight="1" x14ac:dyDescent="0.3">
      <c r="A614" s="64">
        <v>612</v>
      </c>
      <c r="B614" s="64" t="s">
        <v>795</v>
      </c>
      <c r="C614" s="104" t="s">
        <v>183</v>
      </c>
      <c r="D614" s="104" t="s">
        <v>184</v>
      </c>
      <c r="E614" s="64">
        <v>9</v>
      </c>
      <c r="F614" s="86">
        <v>46225</v>
      </c>
      <c r="G614" s="40">
        <v>330</v>
      </c>
      <c r="H614" s="86">
        <f>IF(COUNTIFS(Pesagens!$B$3:$B$5001,$B614)=0,"",_xlfn.MAXIFS(Pesagens!$A$3:$A$5001,Pesagens!$B$3:$B$5001,$B614,Pesagens!$E$3:$E$5001,"&lt;&gt;"))</f>
        <v>46225</v>
      </c>
      <c r="I614" s="40">
        <f>IF($H614="","",IFERROR(AVERAGEIFS(Pesagens!$E$3:$E$5001,Pesagens!$B$3:$B$5001,$B614,Pesagens!$A$3:$A$5001,$H614),""))</f>
        <v>330</v>
      </c>
      <c r="J614" s="64">
        <f>IF(F614="","",Parâmetros!$C$4-F614)</f>
        <v>13</v>
      </c>
      <c r="K614" s="40">
        <f t="shared" si="18"/>
        <v>0</v>
      </c>
      <c r="L614" s="105" t="str">
        <f t="shared" si="19"/>
        <v/>
      </c>
      <c r="M614" s="106">
        <f>IF(I614="","",I614*Parâmetros!$C$8/15)</f>
        <v>11.66</v>
      </c>
      <c r="N614" s="106">
        <f>IF(K614="","",K614*Parâmetros!$C$8/15)</f>
        <v>0</v>
      </c>
      <c r="O614" s="28">
        <f>IF(M614="","",M614*Parâmetros!$C$5)</f>
        <v>3731.2</v>
      </c>
      <c r="P614" s="64" t="str">
        <f>IF(L614="","",IF(L614&gt;=Parâmetros!$C$10,"Sim","Não"))</f>
        <v/>
      </c>
    </row>
    <row r="615" spans="1:16" ht="15" customHeight="1" x14ac:dyDescent="0.3">
      <c r="A615" s="60">
        <v>613</v>
      </c>
      <c r="B615" s="60" t="s">
        <v>796</v>
      </c>
      <c r="C615" s="101" t="s">
        <v>183</v>
      </c>
      <c r="D615" s="101" t="s">
        <v>184</v>
      </c>
      <c r="E615" s="60">
        <v>9</v>
      </c>
      <c r="F615" s="85">
        <v>46226</v>
      </c>
      <c r="G615" s="35">
        <v>322</v>
      </c>
      <c r="H615" s="85">
        <f>IF(COUNTIFS(Pesagens!$B$3:$B$5001,$B615)=0,"",_xlfn.MAXIFS(Pesagens!$A$3:$A$5001,Pesagens!$B$3:$B$5001,$B615,Pesagens!$E$3:$E$5001,"&lt;&gt;"))</f>
        <v>46226</v>
      </c>
      <c r="I615" s="35">
        <f>IF($H615="","",IFERROR(AVERAGEIFS(Pesagens!$E$3:$E$5001,Pesagens!$B$3:$B$5001,$B615,Pesagens!$A$3:$A$5001,$H615),""))</f>
        <v>322</v>
      </c>
      <c r="J615" s="60">
        <f>IF(F615="","",Parâmetros!$C$4-F615)</f>
        <v>12</v>
      </c>
      <c r="K615" s="35">
        <f t="shared" si="18"/>
        <v>0</v>
      </c>
      <c r="L615" s="102" t="str">
        <f t="shared" si="19"/>
        <v/>
      </c>
      <c r="M615" s="103">
        <f>IF(I615="","",I615*Parâmetros!$C$8/15)</f>
        <v>11.377333333333333</v>
      </c>
      <c r="N615" s="103">
        <f>IF(K615="","",K615*Parâmetros!$C$8/15)</f>
        <v>0</v>
      </c>
      <c r="O615" s="26">
        <f>IF(M615="","",M615*Parâmetros!$C$5)</f>
        <v>3640.7466666666664</v>
      </c>
      <c r="P615" s="60" t="str">
        <f>IF(L615="","",IF(L615&gt;=Parâmetros!$C$10,"Sim","Não"))</f>
        <v/>
      </c>
    </row>
    <row r="616" spans="1:16" ht="15" customHeight="1" x14ac:dyDescent="0.3">
      <c r="A616" s="64">
        <v>614</v>
      </c>
      <c r="B616" s="64" t="s">
        <v>797</v>
      </c>
      <c r="C616" s="104" t="s">
        <v>798</v>
      </c>
      <c r="D616" s="104" t="s">
        <v>799</v>
      </c>
      <c r="E616" s="64">
        <v>10</v>
      </c>
      <c r="F616" s="86">
        <v>46227</v>
      </c>
      <c r="G616" s="40">
        <v>380</v>
      </c>
      <c r="H616" s="86">
        <f>IF(COUNTIFS(Pesagens!$B$3:$B$5001,$B616)=0,"",_xlfn.MAXIFS(Pesagens!$A$3:$A$5001,Pesagens!$B$3:$B$5001,$B616,Pesagens!$E$3:$E$5001,"&lt;&gt;"))</f>
        <v>46227</v>
      </c>
      <c r="I616" s="40">
        <f>IF($H616="","",IFERROR(AVERAGEIFS(Pesagens!$E$3:$E$5001,Pesagens!$B$3:$B$5001,$B616,Pesagens!$A$3:$A$5001,$H616),""))</f>
        <v>380</v>
      </c>
      <c r="J616" s="64">
        <f>IF(F616="","",Parâmetros!$C$4-F616)</f>
        <v>11</v>
      </c>
      <c r="K616" s="40">
        <f t="shared" si="18"/>
        <v>0</v>
      </c>
      <c r="L616" s="105" t="str">
        <f t="shared" si="19"/>
        <v/>
      </c>
      <c r="M616" s="106">
        <f>IF(I616="","",I616*Parâmetros!$C$8/15)</f>
        <v>13.426666666666668</v>
      </c>
      <c r="N616" s="106">
        <f>IF(K616="","",K616*Parâmetros!$C$8/15)</f>
        <v>0</v>
      </c>
      <c r="O616" s="28">
        <f>IF(M616="","",M616*Parâmetros!$C$5)</f>
        <v>4296.5333333333338</v>
      </c>
      <c r="P616" s="64" t="str">
        <f>IF(L616="","",IF(L616&gt;=Parâmetros!$C$10,"Sim","Não"))</f>
        <v/>
      </c>
    </row>
    <row r="617" spans="1:16" ht="15" customHeight="1" x14ac:dyDescent="0.3">
      <c r="A617" s="60">
        <v>615</v>
      </c>
      <c r="B617" s="60" t="s">
        <v>800</v>
      </c>
      <c r="C617" s="101" t="s">
        <v>798</v>
      </c>
      <c r="D617" s="101" t="s">
        <v>799</v>
      </c>
      <c r="E617" s="60">
        <v>10</v>
      </c>
      <c r="F617" s="85">
        <v>46227</v>
      </c>
      <c r="G617" s="35">
        <v>380</v>
      </c>
      <c r="H617" s="85">
        <f>IF(COUNTIFS(Pesagens!$B$3:$B$5001,$B617)=0,"",_xlfn.MAXIFS(Pesagens!$A$3:$A$5001,Pesagens!$B$3:$B$5001,$B617,Pesagens!$E$3:$E$5001,"&lt;&gt;"))</f>
        <v>46227</v>
      </c>
      <c r="I617" s="35">
        <f>IF($H617="","",IFERROR(AVERAGEIFS(Pesagens!$E$3:$E$5001,Pesagens!$B$3:$B$5001,$B617,Pesagens!$A$3:$A$5001,$H617),""))</f>
        <v>380</v>
      </c>
      <c r="J617" s="60">
        <f>IF(F617="","",Parâmetros!$C$4-F617)</f>
        <v>11</v>
      </c>
      <c r="K617" s="35">
        <f t="shared" si="18"/>
        <v>0</v>
      </c>
      <c r="L617" s="102" t="str">
        <f t="shared" si="19"/>
        <v/>
      </c>
      <c r="M617" s="103">
        <f>IF(I617="","",I617*Parâmetros!$C$8/15)</f>
        <v>13.426666666666668</v>
      </c>
      <c r="N617" s="103">
        <f>IF(K617="","",K617*Parâmetros!$C$8/15)</f>
        <v>0</v>
      </c>
      <c r="O617" s="26">
        <f>IF(M617="","",M617*Parâmetros!$C$5)</f>
        <v>4296.5333333333338</v>
      </c>
      <c r="P617" s="60" t="str">
        <f>IF(L617="","",IF(L617&gt;=Parâmetros!$C$10,"Sim","Não"))</f>
        <v/>
      </c>
    </row>
    <row r="618" spans="1:16" ht="15" customHeight="1" x14ac:dyDescent="0.3">
      <c r="A618" s="64">
        <v>616</v>
      </c>
      <c r="B618" s="64" t="s">
        <v>801</v>
      </c>
      <c r="C618" s="104" t="s">
        <v>798</v>
      </c>
      <c r="D618" s="104" t="s">
        <v>799</v>
      </c>
      <c r="E618" s="64">
        <v>10</v>
      </c>
      <c r="F618" s="86">
        <v>46227</v>
      </c>
      <c r="G618" s="40">
        <v>380</v>
      </c>
      <c r="H618" s="86">
        <f>IF(COUNTIFS(Pesagens!$B$3:$B$5001,$B618)=0,"",_xlfn.MAXIFS(Pesagens!$A$3:$A$5001,Pesagens!$B$3:$B$5001,$B618,Pesagens!$E$3:$E$5001,"&lt;&gt;"))</f>
        <v>46227</v>
      </c>
      <c r="I618" s="40">
        <f>IF($H618="","",IFERROR(AVERAGEIFS(Pesagens!$E$3:$E$5001,Pesagens!$B$3:$B$5001,$B618,Pesagens!$A$3:$A$5001,$H618),""))</f>
        <v>380</v>
      </c>
      <c r="J618" s="64">
        <f>IF(F618="","",Parâmetros!$C$4-F618)</f>
        <v>11</v>
      </c>
      <c r="K618" s="40">
        <f t="shared" si="18"/>
        <v>0</v>
      </c>
      <c r="L618" s="105" t="str">
        <f t="shared" si="19"/>
        <v/>
      </c>
      <c r="M618" s="106">
        <f>IF(I618="","",I618*Parâmetros!$C$8/15)</f>
        <v>13.426666666666668</v>
      </c>
      <c r="N618" s="106">
        <f>IF(K618="","",K618*Parâmetros!$C$8/15)</f>
        <v>0</v>
      </c>
      <c r="O618" s="28">
        <f>IF(M618="","",M618*Parâmetros!$C$5)</f>
        <v>4296.5333333333338</v>
      </c>
      <c r="P618" s="64" t="str">
        <f>IF(L618="","",IF(L618&gt;=Parâmetros!$C$10,"Sim","Não"))</f>
        <v/>
      </c>
    </row>
    <row r="619" spans="1:16" ht="15" customHeight="1" x14ac:dyDescent="0.3">
      <c r="A619" s="60">
        <v>617</v>
      </c>
      <c r="B619" s="60" t="s">
        <v>802</v>
      </c>
      <c r="C619" s="101" t="s">
        <v>798</v>
      </c>
      <c r="D619" s="101" t="s">
        <v>799</v>
      </c>
      <c r="E619" s="60">
        <v>10</v>
      </c>
      <c r="F619" s="85">
        <v>46227</v>
      </c>
      <c r="G619" s="35">
        <v>380</v>
      </c>
      <c r="H619" s="85">
        <f>IF(COUNTIFS(Pesagens!$B$3:$B$5001,$B619)=0,"",_xlfn.MAXIFS(Pesagens!$A$3:$A$5001,Pesagens!$B$3:$B$5001,$B619,Pesagens!$E$3:$E$5001,"&lt;&gt;"))</f>
        <v>46227</v>
      </c>
      <c r="I619" s="35">
        <f>IF($H619="","",IFERROR(AVERAGEIFS(Pesagens!$E$3:$E$5001,Pesagens!$B$3:$B$5001,$B619,Pesagens!$A$3:$A$5001,$H619),""))</f>
        <v>380</v>
      </c>
      <c r="J619" s="60">
        <f>IF(F619="","",Parâmetros!$C$4-F619)</f>
        <v>11</v>
      </c>
      <c r="K619" s="35">
        <f t="shared" si="18"/>
        <v>0</v>
      </c>
      <c r="L619" s="102" t="str">
        <f t="shared" si="19"/>
        <v/>
      </c>
      <c r="M619" s="103">
        <f>IF(I619="","",I619*Parâmetros!$C$8/15)</f>
        <v>13.426666666666668</v>
      </c>
      <c r="N619" s="103">
        <f>IF(K619="","",K619*Parâmetros!$C$8/15)</f>
        <v>0</v>
      </c>
      <c r="O619" s="26">
        <f>IF(M619="","",M619*Parâmetros!$C$5)</f>
        <v>4296.5333333333338</v>
      </c>
      <c r="P619" s="60" t="str">
        <f>IF(L619="","",IF(L619&gt;=Parâmetros!$C$10,"Sim","Não"))</f>
        <v/>
      </c>
    </row>
    <row r="620" spans="1:16" ht="15" customHeight="1" x14ac:dyDescent="0.3">
      <c r="A620" s="64">
        <v>618</v>
      </c>
      <c r="B620" s="64" t="s">
        <v>803</v>
      </c>
      <c r="C620" s="104" t="s">
        <v>798</v>
      </c>
      <c r="D620" s="104" t="s">
        <v>799</v>
      </c>
      <c r="E620" s="64">
        <v>10</v>
      </c>
      <c r="F620" s="86">
        <v>46227</v>
      </c>
      <c r="G620" s="40">
        <v>380</v>
      </c>
      <c r="H620" s="86">
        <f>IF(COUNTIFS(Pesagens!$B$3:$B$5001,$B620)=0,"",_xlfn.MAXIFS(Pesagens!$A$3:$A$5001,Pesagens!$B$3:$B$5001,$B620,Pesagens!$E$3:$E$5001,"&lt;&gt;"))</f>
        <v>46227</v>
      </c>
      <c r="I620" s="40">
        <f>IF($H620="","",IFERROR(AVERAGEIFS(Pesagens!$E$3:$E$5001,Pesagens!$B$3:$B$5001,$B620,Pesagens!$A$3:$A$5001,$H620),""))</f>
        <v>380</v>
      </c>
      <c r="J620" s="64">
        <f>IF(F620="","",Parâmetros!$C$4-F620)</f>
        <v>11</v>
      </c>
      <c r="K620" s="40">
        <f t="shared" si="18"/>
        <v>0</v>
      </c>
      <c r="L620" s="105" t="str">
        <f t="shared" si="19"/>
        <v/>
      </c>
      <c r="M620" s="106">
        <f>IF(I620="","",I620*Parâmetros!$C$8/15)</f>
        <v>13.426666666666668</v>
      </c>
      <c r="N620" s="106">
        <f>IF(K620="","",K620*Parâmetros!$C$8/15)</f>
        <v>0</v>
      </c>
      <c r="O620" s="28">
        <f>IF(M620="","",M620*Parâmetros!$C$5)</f>
        <v>4296.5333333333338</v>
      </c>
      <c r="P620" s="64" t="str">
        <f>IF(L620="","",IF(L620&gt;=Parâmetros!$C$10,"Sim","Não"))</f>
        <v/>
      </c>
    </row>
    <row r="621" spans="1:16" ht="15" customHeight="1" x14ac:dyDescent="0.3">
      <c r="A621" s="60">
        <v>619</v>
      </c>
      <c r="B621" s="60" t="s">
        <v>804</v>
      </c>
      <c r="C621" s="101" t="s">
        <v>798</v>
      </c>
      <c r="D621" s="101" t="s">
        <v>799</v>
      </c>
      <c r="E621" s="60">
        <v>10</v>
      </c>
      <c r="F621" s="85">
        <v>46227</v>
      </c>
      <c r="G621" s="35">
        <v>380</v>
      </c>
      <c r="H621" s="85">
        <f>IF(COUNTIFS(Pesagens!$B$3:$B$5001,$B621)=0,"",_xlfn.MAXIFS(Pesagens!$A$3:$A$5001,Pesagens!$B$3:$B$5001,$B621,Pesagens!$E$3:$E$5001,"&lt;&gt;"))</f>
        <v>46227</v>
      </c>
      <c r="I621" s="35">
        <f>IF($H621="","",IFERROR(AVERAGEIFS(Pesagens!$E$3:$E$5001,Pesagens!$B$3:$B$5001,$B621,Pesagens!$A$3:$A$5001,$H621),""))</f>
        <v>380</v>
      </c>
      <c r="J621" s="60">
        <f>IF(F621="","",Parâmetros!$C$4-F621)</f>
        <v>11</v>
      </c>
      <c r="K621" s="35">
        <f t="shared" si="18"/>
        <v>0</v>
      </c>
      <c r="L621" s="102" t="str">
        <f t="shared" si="19"/>
        <v/>
      </c>
      <c r="M621" s="103">
        <f>IF(I621="","",I621*Parâmetros!$C$8/15)</f>
        <v>13.426666666666668</v>
      </c>
      <c r="N621" s="103">
        <f>IF(K621="","",K621*Parâmetros!$C$8/15)</f>
        <v>0</v>
      </c>
      <c r="O621" s="26">
        <f>IF(M621="","",M621*Parâmetros!$C$5)</f>
        <v>4296.5333333333338</v>
      </c>
      <c r="P621" s="60" t="str">
        <f>IF(L621="","",IF(L621&gt;=Parâmetros!$C$10,"Sim","Não"))</f>
        <v/>
      </c>
    </row>
    <row r="622" spans="1:16" ht="15" customHeight="1" x14ac:dyDescent="0.3">
      <c r="A622" s="64">
        <v>620</v>
      </c>
      <c r="B622" s="64" t="s">
        <v>805</v>
      </c>
      <c r="C622" s="104" t="s">
        <v>798</v>
      </c>
      <c r="D622" s="104" t="s">
        <v>799</v>
      </c>
      <c r="E622" s="64">
        <v>10</v>
      </c>
      <c r="F622" s="86">
        <v>46227</v>
      </c>
      <c r="G622" s="40">
        <v>380</v>
      </c>
      <c r="H622" s="86">
        <f>IF(COUNTIFS(Pesagens!$B$3:$B$5001,$B622)=0,"",_xlfn.MAXIFS(Pesagens!$A$3:$A$5001,Pesagens!$B$3:$B$5001,$B622,Pesagens!$E$3:$E$5001,"&lt;&gt;"))</f>
        <v>46227</v>
      </c>
      <c r="I622" s="40">
        <f>IF($H622="","",IFERROR(AVERAGEIFS(Pesagens!$E$3:$E$5001,Pesagens!$B$3:$B$5001,$B622,Pesagens!$A$3:$A$5001,$H622),""))</f>
        <v>380</v>
      </c>
      <c r="J622" s="64">
        <f>IF(F622="","",Parâmetros!$C$4-F622)</f>
        <v>11</v>
      </c>
      <c r="K622" s="40">
        <f t="shared" si="18"/>
        <v>0</v>
      </c>
      <c r="L622" s="105" t="str">
        <f t="shared" si="19"/>
        <v/>
      </c>
      <c r="M622" s="106">
        <f>IF(I622="","",I622*Parâmetros!$C$8/15)</f>
        <v>13.426666666666668</v>
      </c>
      <c r="N622" s="106">
        <f>IF(K622="","",K622*Parâmetros!$C$8/15)</f>
        <v>0</v>
      </c>
      <c r="O622" s="28">
        <f>IF(M622="","",M622*Parâmetros!$C$5)</f>
        <v>4296.5333333333338</v>
      </c>
      <c r="P622" s="64" t="str">
        <f>IF(L622="","",IF(L622&gt;=Parâmetros!$C$10,"Sim","Não"))</f>
        <v/>
      </c>
    </row>
    <row r="623" spans="1:16" ht="15" customHeight="1" x14ac:dyDescent="0.3">
      <c r="A623" s="60">
        <v>621</v>
      </c>
      <c r="B623" s="60" t="s">
        <v>806</v>
      </c>
      <c r="C623" s="101" t="s">
        <v>798</v>
      </c>
      <c r="D623" s="101" t="s">
        <v>799</v>
      </c>
      <c r="E623" s="60">
        <v>10</v>
      </c>
      <c r="F623" s="85">
        <v>46227</v>
      </c>
      <c r="G623" s="35">
        <v>380</v>
      </c>
      <c r="H623" s="85">
        <f>IF(COUNTIFS(Pesagens!$B$3:$B$5001,$B623)=0,"",_xlfn.MAXIFS(Pesagens!$A$3:$A$5001,Pesagens!$B$3:$B$5001,$B623,Pesagens!$E$3:$E$5001,"&lt;&gt;"))</f>
        <v>46227</v>
      </c>
      <c r="I623" s="35">
        <f>IF($H623="","",IFERROR(AVERAGEIFS(Pesagens!$E$3:$E$5001,Pesagens!$B$3:$B$5001,$B623,Pesagens!$A$3:$A$5001,$H623),""))</f>
        <v>380</v>
      </c>
      <c r="J623" s="60">
        <f>IF(F623="","",Parâmetros!$C$4-F623)</f>
        <v>11</v>
      </c>
      <c r="K623" s="35">
        <f t="shared" si="18"/>
        <v>0</v>
      </c>
      <c r="L623" s="102" t="str">
        <f t="shared" si="19"/>
        <v/>
      </c>
      <c r="M623" s="103">
        <f>IF(I623="","",I623*Parâmetros!$C$8/15)</f>
        <v>13.426666666666668</v>
      </c>
      <c r="N623" s="103">
        <f>IF(K623="","",K623*Parâmetros!$C$8/15)</f>
        <v>0</v>
      </c>
      <c r="O623" s="26">
        <f>IF(M623="","",M623*Parâmetros!$C$5)</f>
        <v>4296.5333333333338</v>
      </c>
      <c r="P623" s="60" t="str">
        <f>IF(L623="","",IF(L623&gt;=Parâmetros!$C$10,"Sim","Não"))</f>
        <v/>
      </c>
    </row>
    <row r="624" spans="1:16" ht="15" customHeight="1" x14ac:dyDescent="0.3">
      <c r="A624" s="64">
        <v>622</v>
      </c>
      <c r="B624" s="64" t="s">
        <v>807</v>
      </c>
      <c r="C624" s="104" t="s">
        <v>798</v>
      </c>
      <c r="D624" s="104" t="s">
        <v>799</v>
      </c>
      <c r="E624" s="64">
        <v>10</v>
      </c>
      <c r="F624" s="86">
        <v>46227</v>
      </c>
      <c r="G624" s="40">
        <v>380</v>
      </c>
      <c r="H624" s="86">
        <f>IF(COUNTIFS(Pesagens!$B$3:$B$5001,$B624)=0,"",_xlfn.MAXIFS(Pesagens!$A$3:$A$5001,Pesagens!$B$3:$B$5001,$B624,Pesagens!$E$3:$E$5001,"&lt;&gt;"))</f>
        <v>46227</v>
      </c>
      <c r="I624" s="40">
        <f>IF($H624="","",IFERROR(AVERAGEIFS(Pesagens!$E$3:$E$5001,Pesagens!$B$3:$B$5001,$B624,Pesagens!$A$3:$A$5001,$H624),""))</f>
        <v>380</v>
      </c>
      <c r="J624" s="64">
        <f>IF(F624="","",Parâmetros!$C$4-F624)</f>
        <v>11</v>
      </c>
      <c r="K624" s="40">
        <f t="shared" si="18"/>
        <v>0</v>
      </c>
      <c r="L624" s="105" t="str">
        <f t="shared" si="19"/>
        <v/>
      </c>
      <c r="M624" s="106">
        <f>IF(I624="","",I624*Parâmetros!$C$8/15)</f>
        <v>13.426666666666668</v>
      </c>
      <c r="N624" s="106">
        <f>IF(K624="","",K624*Parâmetros!$C$8/15)</f>
        <v>0</v>
      </c>
      <c r="O624" s="28">
        <f>IF(M624="","",M624*Parâmetros!$C$5)</f>
        <v>4296.5333333333338</v>
      </c>
      <c r="P624" s="64" t="str">
        <f>IF(L624="","",IF(L624&gt;=Parâmetros!$C$10,"Sim","Não"))</f>
        <v/>
      </c>
    </row>
    <row r="625" spans="1:16" ht="15" customHeight="1" x14ac:dyDescent="0.3">
      <c r="A625" s="60">
        <v>623</v>
      </c>
      <c r="B625" s="60" t="s">
        <v>808</v>
      </c>
      <c r="C625" s="101" t="s">
        <v>798</v>
      </c>
      <c r="D625" s="101" t="s">
        <v>799</v>
      </c>
      <c r="E625" s="60">
        <v>10</v>
      </c>
      <c r="F625" s="85">
        <v>46227</v>
      </c>
      <c r="G625" s="35">
        <v>380</v>
      </c>
      <c r="H625" s="85">
        <f>IF(COUNTIFS(Pesagens!$B$3:$B$5001,$B625)=0,"",_xlfn.MAXIFS(Pesagens!$A$3:$A$5001,Pesagens!$B$3:$B$5001,$B625,Pesagens!$E$3:$E$5001,"&lt;&gt;"))</f>
        <v>46227</v>
      </c>
      <c r="I625" s="35">
        <f>IF($H625="","",IFERROR(AVERAGEIFS(Pesagens!$E$3:$E$5001,Pesagens!$B$3:$B$5001,$B625,Pesagens!$A$3:$A$5001,$H625),""))</f>
        <v>380</v>
      </c>
      <c r="J625" s="60">
        <f>IF(F625="","",Parâmetros!$C$4-F625)</f>
        <v>11</v>
      </c>
      <c r="K625" s="35">
        <f t="shared" si="18"/>
        <v>0</v>
      </c>
      <c r="L625" s="102" t="str">
        <f t="shared" si="19"/>
        <v/>
      </c>
      <c r="M625" s="103">
        <f>IF(I625="","",I625*Parâmetros!$C$8/15)</f>
        <v>13.426666666666668</v>
      </c>
      <c r="N625" s="103">
        <f>IF(K625="","",K625*Parâmetros!$C$8/15)</f>
        <v>0</v>
      </c>
      <c r="O625" s="26">
        <f>IF(M625="","",M625*Parâmetros!$C$5)</f>
        <v>4296.5333333333338</v>
      </c>
      <c r="P625" s="60" t="str">
        <f>IF(L625="","",IF(L625&gt;=Parâmetros!$C$10,"Sim","Não"))</f>
        <v/>
      </c>
    </row>
    <row r="626" spans="1:16" ht="15" customHeight="1" x14ac:dyDescent="0.3">
      <c r="A626" s="64">
        <v>624</v>
      </c>
      <c r="B626" s="64" t="s">
        <v>809</v>
      </c>
      <c r="C626" s="104" t="s">
        <v>798</v>
      </c>
      <c r="D626" s="104" t="s">
        <v>799</v>
      </c>
      <c r="E626" s="64">
        <v>10</v>
      </c>
      <c r="F626" s="86">
        <v>46227</v>
      </c>
      <c r="G626" s="40">
        <v>380</v>
      </c>
      <c r="H626" s="86">
        <f>IF(COUNTIFS(Pesagens!$B$3:$B$5001,$B626)=0,"",_xlfn.MAXIFS(Pesagens!$A$3:$A$5001,Pesagens!$B$3:$B$5001,$B626,Pesagens!$E$3:$E$5001,"&lt;&gt;"))</f>
        <v>46227</v>
      </c>
      <c r="I626" s="40">
        <f>IF($H626="","",IFERROR(AVERAGEIFS(Pesagens!$E$3:$E$5001,Pesagens!$B$3:$B$5001,$B626,Pesagens!$A$3:$A$5001,$H626),""))</f>
        <v>380</v>
      </c>
      <c r="J626" s="64">
        <f>IF(F626="","",Parâmetros!$C$4-F626)</f>
        <v>11</v>
      </c>
      <c r="K626" s="40">
        <f t="shared" si="18"/>
        <v>0</v>
      </c>
      <c r="L626" s="105" t="str">
        <f t="shared" si="19"/>
        <v/>
      </c>
      <c r="M626" s="106">
        <f>IF(I626="","",I626*Parâmetros!$C$8/15)</f>
        <v>13.426666666666668</v>
      </c>
      <c r="N626" s="106">
        <f>IF(K626="","",K626*Parâmetros!$C$8/15)</f>
        <v>0</v>
      </c>
      <c r="O626" s="28">
        <f>IF(M626="","",M626*Parâmetros!$C$5)</f>
        <v>4296.5333333333338</v>
      </c>
      <c r="P626" s="64" t="str">
        <f>IF(L626="","",IF(L626&gt;=Parâmetros!$C$10,"Sim","Não"))</f>
        <v/>
      </c>
    </row>
    <row r="627" spans="1:16" ht="15" customHeight="1" x14ac:dyDescent="0.3">
      <c r="A627" s="60">
        <v>625</v>
      </c>
      <c r="B627" s="60" t="s">
        <v>810</v>
      </c>
      <c r="C627" s="101" t="s">
        <v>798</v>
      </c>
      <c r="D627" s="101" t="s">
        <v>799</v>
      </c>
      <c r="E627" s="60">
        <v>10</v>
      </c>
      <c r="F627" s="85">
        <v>46227</v>
      </c>
      <c r="G627" s="35">
        <v>380</v>
      </c>
      <c r="H627" s="85">
        <f>IF(COUNTIFS(Pesagens!$B$3:$B$5001,$B627)=0,"",_xlfn.MAXIFS(Pesagens!$A$3:$A$5001,Pesagens!$B$3:$B$5001,$B627,Pesagens!$E$3:$E$5001,"&lt;&gt;"))</f>
        <v>46227</v>
      </c>
      <c r="I627" s="35">
        <f>IF($H627="","",IFERROR(AVERAGEIFS(Pesagens!$E$3:$E$5001,Pesagens!$B$3:$B$5001,$B627,Pesagens!$A$3:$A$5001,$H627),""))</f>
        <v>380</v>
      </c>
      <c r="J627" s="60">
        <f>IF(F627="","",Parâmetros!$C$4-F627)</f>
        <v>11</v>
      </c>
      <c r="K627" s="35">
        <f t="shared" si="18"/>
        <v>0</v>
      </c>
      <c r="L627" s="102" t="str">
        <f t="shared" si="19"/>
        <v/>
      </c>
      <c r="M627" s="103">
        <f>IF(I627="","",I627*Parâmetros!$C$8/15)</f>
        <v>13.426666666666668</v>
      </c>
      <c r="N627" s="103">
        <f>IF(K627="","",K627*Parâmetros!$C$8/15)</f>
        <v>0</v>
      </c>
      <c r="O627" s="26">
        <f>IF(M627="","",M627*Parâmetros!$C$5)</f>
        <v>4296.5333333333338</v>
      </c>
      <c r="P627" s="60" t="str">
        <f>IF(L627="","",IF(L627&gt;=Parâmetros!$C$10,"Sim","Não"))</f>
        <v/>
      </c>
    </row>
    <row r="628" spans="1:16" ht="15" customHeight="1" x14ac:dyDescent="0.3">
      <c r="A628" s="64">
        <v>626</v>
      </c>
      <c r="B628" s="64" t="s">
        <v>811</v>
      </c>
      <c r="C628" s="104" t="s">
        <v>798</v>
      </c>
      <c r="D628" s="104" t="s">
        <v>799</v>
      </c>
      <c r="E628" s="64">
        <v>10</v>
      </c>
      <c r="F628" s="86">
        <v>46227</v>
      </c>
      <c r="G628" s="40">
        <v>380</v>
      </c>
      <c r="H628" s="86">
        <f>IF(COUNTIFS(Pesagens!$B$3:$B$5001,$B628)=0,"",_xlfn.MAXIFS(Pesagens!$A$3:$A$5001,Pesagens!$B$3:$B$5001,$B628,Pesagens!$E$3:$E$5001,"&lt;&gt;"))</f>
        <v>46227</v>
      </c>
      <c r="I628" s="40">
        <f>IF($H628="","",IFERROR(AVERAGEIFS(Pesagens!$E$3:$E$5001,Pesagens!$B$3:$B$5001,$B628,Pesagens!$A$3:$A$5001,$H628),""))</f>
        <v>380</v>
      </c>
      <c r="J628" s="64">
        <f>IF(F628="","",Parâmetros!$C$4-F628)</f>
        <v>11</v>
      </c>
      <c r="K628" s="40">
        <f t="shared" si="18"/>
        <v>0</v>
      </c>
      <c r="L628" s="105" t="str">
        <f t="shared" si="19"/>
        <v/>
      </c>
      <c r="M628" s="106">
        <f>IF(I628="","",I628*Parâmetros!$C$8/15)</f>
        <v>13.426666666666668</v>
      </c>
      <c r="N628" s="106">
        <f>IF(K628="","",K628*Parâmetros!$C$8/15)</f>
        <v>0</v>
      </c>
      <c r="O628" s="28">
        <f>IF(M628="","",M628*Parâmetros!$C$5)</f>
        <v>4296.5333333333338</v>
      </c>
      <c r="P628" s="64" t="str">
        <f>IF(L628="","",IF(L628&gt;=Parâmetros!$C$10,"Sim","Não"))</f>
        <v/>
      </c>
    </row>
    <row r="629" spans="1:16" ht="15" customHeight="1" x14ac:dyDescent="0.3">
      <c r="A629" s="60">
        <v>627</v>
      </c>
      <c r="B629" s="60" t="s">
        <v>812</v>
      </c>
      <c r="C629" s="101" t="s">
        <v>798</v>
      </c>
      <c r="D629" s="101" t="s">
        <v>799</v>
      </c>
      <c r="E629" s="60">
        <v>10</v>
      </c>
      <c r="F629" s="85">
        <v>46227</v>
      </c>
      <c r="G629" s="35">
        <v>380</v>
      </c>
      <c r="H629" s="85">
        <f>IF(COUNTIFS(Pesagens!$B$3:$B$5001,$B629)=0,"",_xlfn.MAXIFS(Pesagens!$A$3:$A$5001,Pesagens!$B$3:$B$5001,$B629,Pesagens!$E$3:$E$5001,"&lt;&gt;"))</f>
        <v>46227</v>
      </c>
      <c r="I629" s="35">
        <f>IF($H629="","",IFERROR(AVERAGEIFS(Pesagens!$E$3:$E$5001,Pesagens!$B$3:$B$5001,$B629,Pesagens!$A$3:$A$5001,$H629),""))</f>
        <v>380</v>
      </c>
      <c r="J629" s="60">
        <f>IF(F629="","",Parâmetros!$C$4-F629)</f>
        <v>11</v>
      </c>
      <c r="K629" s="35">
        <f t="shared" si="18"/>
        <v>0</v>
      </c>
      <c r="L629" s="102" t="str">
        <f t="shared" si="19"/>
        <v/>
      </c>
      <c r="M629" s="103">
        <f>IF(I629="","",I629*Parâmetros!$C$8/15)</f>
        <v>13.426666666666668</v>
      </c>
      <c r="N629" s="103">
        <f>IF(K629="","",K629*Parâmetros!$C$8/15)</f>
        <v>0</v>
      </c>
      <c r="O629" s="26">
        <f>IF(M629="","",M629*Parâmetros!$C$5)</f>
        <v>4296.5333333333338</v>
      </c>
      <c r="P629" s="60" t="str">
        <f>IF(L629="","",IF(L629&gt;=Parâmetros!$C$10,"Sim","Não"))</f>
        <v/>
      </c>
    </row>
    <row r="630" spans="1:16" ht="15" customHeight="1" x14ac:dyDescent="0.3">
      <c r="A630" s="64">
        <v>628</v>
      </c>
      <c r="B630" s="64" t="s">
        <v>813</v>
      </c>
      <c r="C630" s="104" t="s">
        <v>798</v>
      </c>
      <c r="D630" s="104" t="s">
        <v>799</v>
      </c>
      <c r="E630" s="64">
        <v>10</v>
      </c>
      <c r="F630" s="86">
        <v>46227</v>
      </c>
      <c r="G630" s="40">
        <v>380</v>
      </c>
      <c r="H630" s="86">
        <f>IF(COUNTIFS(Pesagens!$B$3:$B$5001,$B630)=0,"",_xlfn.MAXIFS(Pesagens!$A$3:$A$5001,Pesagens!$B$3:$B$5001,$B630,Pesagens!$E$3:$E$5001,"&lt;&gt;"))</f>
        <v>46227</v>
      </c>
      <c r="I630" s="40">
        <f>IF($H630="","",IFERROR(AVERAGEIFS(Pesagens!$E$3:$E$5001,Pesagens!$B$3:$B$5001,$B630,Pesagens!$A$3:$A$5001,$H630),""))</f>
        <v>380</v>
      </c>
      <c r="J630" s="64">
        <f>IF(F630="","",Parâmetros!$C$4-F630)</f>
        <v>11</v>
      </c>
      <c r="K630" s="40">
        <f t="shared" si="18"/>
        <v>0</v>
      </c>
      <c r="L630" s="105" t="str">
        <f t="shared" si="19"/>
        <v/>
      </c>
      <c r="M630" s="106">
        <f>IF(I630="","",I630*Parâmetros!$C$8/15)</f>
        <v>13.426666666666668</v>
      </c>
      <c r="N630" s="106">
        <f>IF(K630="","",K630*Parâmetros!$C$8/15)</f>
        <v>0</v>
      </c>
      <c r="O630" s="28">
        <f>IF(M630="","",M630*Parâmetros!$C$5)</f>
        <v>4296.5333333333338</v>
      </c>
      <c r="P630" s="64" t="str">
        <f>IF(L630="","",IF(L630&gt;=Parâmetros!$C$10,"Sim","Não"))</f>
        <v/>
      </c>
    </row>
    <row r="631" spans="1:16" ht="15" customHeight="1" x14ac:dyDescent="0.3">
      <c r="A631" s="60">
        <v>629</v>
      </c>
      <c r="B631" s="60" t="s">
        <v>814</v>
      </c>
      <c r="C631" s="101" t="s">
        <v>798</v>
      </c>
      <c r="D631" s="101" t="s">
        <v>799</v>
      </c>
      <c r="E631" s="60">
        <v>10</v>
      </c>
      <c r="F631" s="85">
        <v>46227</v>
      </c>
      <c r="G631" s="35">
        <v>380</v>
      </c>
      <c r="H631" s="85">
        <f>IF(COUNTIFS(Pesagens!$B$3:$B$5001,$B631)=0,"",_xlfn.MAXIFS(Pesagens!$A$3:$A$5001,Pesagens!$B$3:$B$5001,$B631,Pesagens!$E$3:$E$5001,"&lt;&gt;"))</f>
        <v>46227</v>
      </c>
      <c r="I631" s="35">
        <f>IF($H631="","",IFERROR(AVERAGEIFS(Pesagens!$E$3:$E$5001,Pesagens!$B$3:$B$5001,$B631,Pesagens!$A$3:$A$5001,$H631),""))</f>
        <v>380</v>
      </c>
      <c r="J631" s="60">
        <f>IF(F631="","",Parâmetros!$C$4-F631)</f>
        <v>11</v>
      </c>
      <c r="K631" s="35">
        <f t="shared" si="18"/>
        <v>0</v>
      </c>
      <c r="L631" s="102" t="str">
        <f t="shared" si="19"/>
        <v/>
      </c>
      <c r="M631" s="103">
        <f>IF(I631="","",I631*Parâmetros!$C$8/15)</f>
        <v>13.426666666666668</v>
      </c>
      <c r="N631" s="103">
        <f>IF(K631="","",K631*Parâmetros!$C$8/15)</f>
        <v>0</v>
      </c>
      <c r="O631" s="26">
        <f>IF(M631="","",M631*Parâmetros!$C$5)</f>
        <v>4296.5333333333338</v>
      </c>
      <c r="P631" s="60" t="str">
        <f>IF(L631="","",IF(L631&gt;=Parâmetros!$C$10,"Sim","Não"))</f>
        <v/>
      </c>
    </row>
    <row r="632" spans="1:16" ht="15" customHeight="1" x14ac:dyDescent="0.3">
      <c r="A632" s="64">
        <v>630</v>
      </c>
      <c r="B632" s="64" t="s">
        <v>815</v>
      </c>
      <c r="C632" s="104" t="s">
        <v>798</v>
      </c>
      <c r="D632" s="104" t="s">
        <v>799</v>
      </c>
      <c r="E632" s="64">
        <v>10</v>
      </c>
      <c r="F632" s="86">
        <v>46227</v>
      </c>
      <c r="G632" s="40">
        <v>380</v>
      </c>
      <c r="H632" s="86">
        <f>IF(COUNTIFS(Pesagens!$B$3:$B$5001,$B632)=0,"",_xlfn.MAXIFS(Pesagens!$A$3:$A$5001,Pesagens!$B$3:$B$5001,$B632,Pesagens!$E$3:$E$5001,"&lt;&gt;"))</f>
        <v>46227</v>
      </c>
      <c r="I632" s="40">
        <f>IF($H632="","",IFERROR(AVERAGEIFS(Pesagens!$E$3:$E$5001,Pesagens!$B$3:$B$5001,$B632,Pesagens!$A$3:$A$5001,$H632),""))</f>
        <v>380</v>
      </c>
      <c r="J632" s="64">
        <f>IF(F632="","",Parâmetros!$C$4-F632)</f>
        <v>11</v>
      </c>
      <c r="K632" s="40">
        <f t="shared" si="18"/>
        <v>0</v>
      </c>
      <c r="L632" s="105" t="str">
        <f t="shared" si="19"/>
        <v/>
      </c>
      <c r="M632" s="106">
        <f>IF(I632="","",I632*Parâmetros!$C$8/15)</f>
        <v>13.426666666666668</v>
      </c>
      <c r="N632" s="106">
        <f>IF(K632="","",K632*Parâmetros!$C$8/15)</f>
        <v>0</v>
      </c>
      <c r="O632" s="28">
        <f>IF(M632="","",M632*Parâmetros!$C$5)</f>
        <v>4296.5333333333338</v>
      </c>
      <c r="P632" s="64" t="str">
        <f>IF(L632="","",IF(L632&gt;=Parâmetros!$C$10,"Sim","Não"))</f>
        <v/>
      </c>
    </row>
    <row r="633" spans="1:16" ht="15" customHeight="1" x14ac:dyDescent="0.3">
      <c r="A633" s="60">
        <v>631</v>
      </c>
      <c r="B633" s="60" t="s">
        <v>816</v>
      </c>
      <c r="C633" s="101" t="s">
        <v>798</v>
      </c>
      <c r="D633" s="101" t="s">
        <v>799</v>
      </c>
      <c r="E633" s="60">
        <v>10</v>
      </c>
      <c r="F633" s="85">
        <v>46227</v>
      </c>
      <c r="G633" s="35">
        <v>380</v>
      </c>
      <c r="H633" s="85">
        <f>IF(COUNTIFS(Pesagens!$B$3:$B$5001,$B633)=0,"",_xlfn.MAXIFS(Pesagens!$A$3:$A$5001,Pesagens!$B$3:$B$5001,$B633,Pesagens!$E$3:$E$5001,"&lt;&gt;"))</f>
        <v>46227</v>
      </c>
      <c r="I633" s="35">
        <f>IF($H633="","",IFERROR(AVERAGEIFS(Pesagens!$E$3:$E$5001,Pesagens!$B$3:$B$5001,$B633,Pesagens!$A$3:$A$5001,$H633),""))</f>
        <v>380</v>
      </c>
      <c r="J633" s="60">
        <f>IF(F633="","",Parâmetros!$C$4-F633)</f>
        <v>11</v>
      </c>
      <c r="K633" s="35">
        <f t="shared" si="18"/>
        <v>0</v>
      </c>
      <c r="L633" s="102" t="str">
        <f t="shared" si="19"/>
        <v/>
      </c>
      <c r="M633" s="103">
        <f>IF(I633="","",I633*Parâmetros!$C$8/15)</f>
        <v>13.426666666666668</v>
      </c>
      <c r="N633" s="103">
        <f>IF(K633="","",K633*Parâmetros!$C$8/15)</f>
        <v>0</v>
      </c>
      <c r="O633" s="26">
        <f>IF(M633="","",M633*Parâmetros!$C$5)</f>
        <v>4296.5333333333338</v>
      </c>
      <c r="P633" s="60" t="str">
        <f>IF(L633="","",IF(L633&gt;=Parâmetros!$C$10,"Sim","Não"))</f>
        <v/>
      </c>
    </row>
    <row r="634" spans="1:16" ht="15" customHeight="1" x14ac:dyDescent="0.3">
      <c r="A634" s="64">
        <v>632</v>
      </c>
      <c r="B634" s="64" t="s">
        <v>817</v>
      </c>
      <c r="C634" s="104" t="s">
        <v>798</v>
      </c>
      <c r="D634" s="104" t="s">
        <v>799</v>
      </c>
      <c r="E634" s="64">
        <v>10</v>
      </c>
      <c r="F634" s="86">
        <v>46227</v>
      </c>
      <c r="G634" s="40">
        <v>380</v>
      </c>
      <c r="H634" s="86">
        <f>IF(COUNTIFS(Pesagens!$B$3:$B$5001,$B634)=0,"",_xlfn.MAXIFS(Pesagens!$A$3:$A$5001,Pesagens!$B$3:$B$5001,$B634,Pesagens!$E$3:$E$5001,"&lt;&gt;"))</f>
        <v>46227</v>
      </c>
      <c r="I634" s="40">
        <f>IF($H634="","",IFERROR(AVERAGEIFS(Pesagens!$E$3:$E$5001,Pesagens!$B$3:$B$5001,$B634,Pesagens!$A$3:$A$5001,$H634),""))</f>
        <v>380</v>
      </c>
      <c r="J634" s="64">
        <f>IF(F634="","",Parâmetros!$C$4-F634)</f>
        <v>11</v>
      </c>
      <c r="K634" s="40">
        <f t="shared" si="18"/>
        <v>0</v>
      </c>
      <c r="L634" s="105" t="str">
        <f t="shared" si="19"/>
        <v/>
      </c>
      <c r="M634" s="106">
        <f>IF(I634="","",I634*Parâmetros!$C$8/15)</f>
        <v>13.426666666666668</v>
      </c>
      <c r="N634" s="106">
        <f>IF(K634="","",K634*Parâmetros!$C$8/15)</f>
        <v>0</v>
      </c>
      <c r="O634" s="28">
        <f>IF(M634="","",M634*Parâmetros!$C$5)</f>
        <v>4296.5333333333338</v>
      </c>
      <c r="P634" s="64" t="str">
        <f>IF(L634="","",IF(L634&gt;=Parâmetros!$C$10,"Sim","Não"))</f>
        <v/>
      </c>
    </row>
    <row r="635" spans="1:16" ht="15" customHeight="1" x14ac:dyDescent="0.3">
      <c r="A635" s="60">
        <v>633</v>
      </c>
      <c r="B635" s="60" t="s">
        <v>818</v>
      </c>
      <c r="C635" s="101" t="s">
        <v>798</v>
      </c>
      <c r="D635" s="101" t="s">
        <v>799</v>
      </c>
      <c r="E635" s="60">
        <v>10</v>
      </c>
      <c r="F635" s="85">
        <v>46227</v>
      </c>
      <c r="G635" s="35">
        <v>380</v>
      </c>
      <c r="H635" s="85">
        <f>IF(COUNTIFS(Pesagens!$B$3:$B$5001,$B635)=0,"",_xlfn.MAXIFS(Pesagens!$A$3:$A$5001,Pesagens!$B$3:$B$5001,$B635,Pesagens!$E$3:$E$5001,"&lt;&gt;"))</f>
        <v>46227</v>
      </c>
      <c r="I635" s="35">
        <f>IF($H635="","",IFERROR(AVERAGEIFS(Pesagens!$E$3:$E$5001,Pesagens!$B$3:$B$5001,$B635,Pesagens!$A$3:$A$5001,$H635),""))</f>
        <v>380</v>
      </c>
      <c r="J635" s="60">
        <f>IF(F635="","",Parâmetros!$C$4-F635)</f>
        <v>11</v>
      </c>
      <c r="K635" s="35">
        <f t="shared" si="18"/>
        <v>0</v>
      </c>
      <c r="L635" s="102" t="str">
        <f t="shared" si="19"/>
        <v/>
      </c>
      <c r="M635" s="103">
        <f>IF(I635="","",I635*Parâmetros!$C$8/15)</f>
        <v>13.426666666666668</v>
      </c>
      <c r="N635" s="103">
        <f>IF(K635="","",K635*Parâmetros!$C$8/15)</f>
        <v>0</v>
      </c>
      <c r="O635" s="26">
        <f>IF(M635="","",M635*Parâmetros!$C$5)</f>
        <v>4296.5333333333338</v>
      </c>
      <c r="P635" s="60" t="str">
        <f>IF(L635="","",IF(L635&gt;=Parâmetros!$C$10,"Sim","Não"))</f>
        <v/>
      </c>
    </row>
    <row r="636" spans="1:16" ht="15" customHeight="1" x14ac:dyDescent="0.3">
      <c r="A636" s="64">
        <v>634</v>
      </c>
      <c r="B636" s="64" t="s">
        <v>819</v>
      </c>
      <c r="C636" s="104" t="s">
        <v>798</v>
      </c>
      <c r="D636" s="104" t="s">
        <v>799</v>
      </c>
      <c r="E636" s="64">
        <v>10</v>
      </c>
      <c r="F636" s="86">
        <v>46227</v>
      </c>
      <c r="G636" s="40">
        <v>380</v>
      </c>
      <c r="H636" s="86">
        <f>IF(COUNTIFS(Pesagens!$B$3:$B$5001,$B636)=0,"",_xlfn.MAXIFS(Pesagens!$A$3:$A$5001,Pesagens!$B$3:$B$5001,$B636,Pesagens!$E$3:$E$5001,"&lt;&gt;"))</f>
        <v>46227</v>
      </c>
      <c r="I636" s="40">
        <f>IF($H636="","",IFERROR(AVERAGEIFS(Pesagens!$E$3:$E$5001,Pesagens!$B$3:$B$5001,$B636,Pesagens!$A$3:$A$5001,$H636),""))</f>
        <v>380</v>
      </c>
      <c r="J636" s="64">
        <f>IF(F636="","",Parâmetros!$C$4-F636)</f>
        <v>11</v>
      </c>
      <c r="K636" s="40">
        <f t="shared" si="18"/>
        <v>0</v>
      </c>
      <c r="L636" s="105" t="str">
        <f t="shared" si="19"/>
        <v/>
      </c>
      <c r="M636" s="106">
        <f>IF(I636="","",I636*Parâmetros!$C$8/15)</f>
        <v>13.426666666666668</v>
      </c>
      <c r="N636" s="106">
        <f>IF(K636="","",K636*Parâmetros!$C$8/15)</f>
        <v>0</v>
      </c>
      <c r="O636" s="28">
        <f>IF(M636="","",M636*Parâmetros!$C$5)</f>
        <v>4296.5333333333338</v>
      </c>
      <c r="P636" s="64" t="str">
        <f>IF(L636="","",IF(L636&gt;=Parâmetros!$C$10,"Sim","Não"))</f>
        <v/>
      </c>
    </row>
    <row r="637" spans="1:16" ht="15" customHeight="1" x14ac:dyDescent="0.3">
      <c r="A637" s="60">
        <v>635</v>
      </c>
      <c r="B637" s="60" t="s">
        <v>820</v>
      </c>
      <c r="C637" s="101" t="s">
        <v>798</v>
      </c>
      <c r="D637" s="101" t="s">
        <v>799</v>
      </c>
      <c r="E637" s="60">
        <v>10</v>
      </c>
      <c r="F637" s="85">
        <v>46227</v>
      </c>
      <c r="G637" s="35">
        <v>380</v>
      </c>
      <c r="H637" s="85">
        <f>IF(COUNTIFS(Pesagens!$B$3:$B$5001,$B637)=0,"",_xlfn.MAXIFS(Pesagens!$A$3:$A$5001,Pesagens!$B$3:$B$5001,$B637,Pesagens!$E$3:$E$5001,"&lt;&gt;"))</f>
        <v>46227</v>
      </c>
      <c r="I637" s="35">
        <f>IF($H637="","",IFERROR(AVERAGEIFS(Pesagens!$E$3:$E$5001,Pesagens!$B$3:$B$5001,$B637,Pesagens!$A$3:$A$5001,$H637),""))</f>
        <v>380</v>
      </c>
      <c r="J637" s="60">
        <f>IF(F637="","",Parâmetros!$C$4-F637)</f>
        <v>11</v>
      </c>
      <c r="K637" s="35">
        <f t="shared" si="18"/>
        <v>0</v>
      </c>
      <c r="L637" s="102" t="str">
        <f t="shared" si="19"/>
        <v/>
      </c>
      <c r="M637" s="103">
        <f>IF(I637="","",I637*Parâmetros!$C$8/15)</f>
        <v>13.426666666666668</v>
      </c>
      <c r="N637" s="103">
        <f>IF(K637="","",K637*Parâmetros!$C$8/15)</f>
        <v>0</v>
      </c>
      <c r="O637" s="26">
        <f>IF(M637="","",M637*Parâmetros!$C$5)</f>
        <v>4296.5333333333338</v>
      </c>
      <c r="P637" s="60" t="str">
        <f>IF(L637="","",IF(L637&gt;=Parâmetros!$C$10,"Sim","Não"))</f>
        <v/>
      </c>
    </row>
    <row r="638" spans="1:16" ht="15" customHeight="1" x14ac:dyDescent="0.3">
      <c r="A638" s="64">
        <v>636</v>
      </c>
      <c r="B638" s="64" t="s">
        <v>821</v>
      </c>
      <c r="C638" s="104" t="s">
        <v>798</v>
      </c>
      <c r="D638" s="104" t="s">
        <v>799</v>
      </c>
      <c r="E638" s="64">
        <v>10</v>
      </c>
      <c r="F638" s="86">
        <v>46227</v>
      </c>
      <c r="G638" s="40">
        <v>380</v>
      </c>
      <c r="H638" s="86">
        <f>IF(COUNTIFS(Pesagens!$B$3:$B$5001,$B638)=0,"",_xlfn.MAXIFS(Pesagens!$A$3:$A$5001,Pesagens!$B$3:$B$5001,$B638,Pesagens!$E$3:$E$5001,"&lt;&gt;"))</f>
        <v>46227</v>
      </c>
      <c r="I638" s="40">
        <f>IF($H638="","",IFERROR(AVERAGEIFS(Pesagens!$E$3:$E$5001,Pesagens!$B$3:$B$5001,$B638,Pesagens!$A$3:$A$5001,$H638),""))</f>
        <v>380</v>
      </c>
      <c r="J638" s="64">
        <f>IF(F638="","",Parâmetros!$C$4-F638)</f>
        <v>11</v>
      </c>
      <c r="K638" s="40">
        <f t="shared" si="18"/>
        <v>0</v>
      </c>
      <c r="L638" s="105" t="str">
        <f t="shared" si="19"/>
        <v/>
      </c>
      <c r="M638" s="106">
        <f>IF(I638="","",I638*Parâmetros!$C$8/15)</f>
        <v>13.426666666666668</v>
      </c>
      <c r="N638" s="106">
        <f>IF(K638="","",K638*Parâmetros!$C$8/15)</f>
        <v>0</v>
      </c>
      <c r="O638" s="28">
        <f>IF(M638="","",M638*Parâmetros!$C$5)</f>
        <v>4296.5333333333338</v>
      </c>
      <c r="P638" s="64" t="str">
        <f>IF(L638="","",IF(L638&gt;=Parâmetros!$C$10,"Sim","Não"))</f>
        <v/>
      </c>
    </row>
    <row r="639" spans="1:16" ht="15" customHeight="1" x14ac:dyDescent="0.3">
      <c r="A639" s="60">
        <v>637</v>
      </c>
      <c r="B639" s="60" t="s">
        <v>822</v>
      </c>
      <c r="C639" s="101" t="s">
        <v>798</v>
      </c>
      <c r="D639" s="101" t="s">
        <v>799</v>
      </c>
      <c r="E639" s="60">
        <v>10</v>
      </c>
      <c r="F639" s="85">
        <v>46227</v>
      </c>
      <c r="G639" s="35">
        <v>380</v>
      </c>
      <c r="H639" s="85">
        <f>IF(COUNTIFS(Pesagens!$B$3:$B$5001,$B639)=0,"",_xlfn.MAXIFS(Pesagens!$A$3:$A$5001,Pesagens!$B$3:$B$5001,$B639,Pesagens!$E$3:$E$5001,"&lt;&gt;"))</f>
        <v>46227</v>
      </c>
      <c r="I639" s="35">
        <f>IF($H639="","",IFERROR(AVERAGEIFS(Pesagens!$E$3:$E$5001,Pesagens!$B$3:$B$5001,$B639,Pesagens!$A$3:$A$5001,$H639),""))</f>
        <v>380</v>
      </c>
      <c r="J639" s="60">
        <f>IF(F639="","",Parâmetros!$C$4-F639)</f>
        <v>11</v>
      </c>
      <c r="K639" s="35">
        <f t="shared" si="18"/>
        <v>0</v>
      </c>
      <c r="L639" s="102" t="str">
        <f t="shared" si="19"/>
        <v/>
      </c>
      <c r="M639" s="103">
        <f>IF(I639="","",I639*Parâmetros!$C$8/15)</f>
        <v>13.426666666666668</v>
      </c>
      <c r="N639" s="103">
        <f>IF(K639="","",K639*Parâmetros!$C$8/15)</f>
        <v>0</v>
      </c>
      <c r="O639" s="26">
        <f>IF(M639="","",M639*Parâmetros!$C$5)</f>
        <v>4296.5333333333338</v>
      </c>
      <c r="P639" s="60" t="str">
        <f>IF(L639="","",IF(L639&gt;=Parâmetros!$C$10,"Sim","Não"))</f>
        <v/>
      </c>
    </row>
    <row r="640" spans="1:16" ht="15" customHeight="1" x14ac:dyDescent="0.3">
      <c r="A640" s="64">
        <v>638</v>
      </c>
      <c r="B640" s="64" t="s">
        <v>823</v>
      </c>
      <c r="C640" s="104" t="s">
        <v>798</v>
      </c>
      <c r="D640" s="104" t="s">
        <v>799</v>
      </c>
      <c r="E640" s="64">
        <v>10</v>
      </c>
      <c r="F640" s="86">
        <v>46227</v>
      </c>
      <c r="G640" s="40">
        <v>380</v>
      </c>
      <c r="H640" s="86">
        <f>IF(COUNTIFS(Pesagens!$B$3:$B$5001,$B640)=0,"",_xlfn.MAXIFS(Pesagens!$A$3:$A$5001,Pesagens!$B$3:$B$5001,$B640,Pesagens!$E$3:$E$5001,"&lt;&gt;"))</f>
        <v>46227</v>
      </c>
      <c r="I640" s="40">
        <f>IF($H640="","",IFERROR(AVERAGEIFS(Pesagens!$E$3:$E$5001,Pesagens!$B$3:$B$5001,$B640,Pesagens!$A$3:$A$5001,$H640),""))</f>
        <v>380</v>
      </c>
      <c r="J640" s="64">
        <f>IF(F640="","",Parâmetros!$C$4-F640)</f>
        <v>11</v>
      </c>
      <c r="K640" s="40">
        <f t="shared" si="18"/>
        <v>0</v>
      </c>
      <c r="L640" s="105" t="str">
        <f t="shared" si="19"/>
        <v/>
      </c>
      <c r="M640" s="106">
        <f>IF(I640="","",I640*Parâmetros!$C$8/15)</f>
        <v>13.426666666666668</v>
      </c>
      <c r="N640" s="106">
        <f>IF(K640="","",K640*Parâmetros!$C$8/15)</f>
        <v>0</v>
      </c>
      <c r="O640" s="28">
        <f>IF(M640="","",M640*Parâmetros!$C$5)</f>
        <v>4296.5333333333338</v>
      </c>
      <c r="P640" s="64" t="str">
        <f>IF(L640="","",IF(L640&gt;=Parâmetros!$C$10,"Sim","Não"))</f>
        <v/>
      </c>
    </row>
    <row r="641" spans="1:16" ht="15" customHeight="1" x14ac:dyDescent="0.3">
      <c r="A641" s="60">
        <v>639</v>
      </c>
      <c r="B641" s="60" t="s">
        <v>824</v>
      </c>
      <c r="C641" s="101" t="s">
        <v>798</v>
      </c>
      <c r="D641" s="101" t="s">
        <v>799</v>
      </c>
      <c r="E641" s="60">
        <v>10</v>
      </c>
      <c r="F641" s="85">
        <v>46227</v>
      </c>
      <c r="G641" s="35">
        <v>380</v>
      </c>
      <c r="H641" s="85">
        <f>IF(COUNTIFS(Pesagens!$B$3:$B$5001,$B641)=0,"",_xlfn.MAXIFS(Pesagens!$A$3:$A$5001,Pesagens!$B$3:$B$5001,$B641,Pesagens!$E$3:$E$5001,"&lt;&gt;"))</f>
        <v>46227</v>
      </c>
      <c r="I641" s="35">
        <f>IF($H641="","",IFERROR(AVERAGEIFS(Pesagens!$E$3:$E$5001,Pesagens!$B$3:$B$5001,$B641,Pesagens!$A$3:$A$5001,$H641),""))</f>
        <v>380</v>
      </c>
      <c r="J641" s="60">
        <f>IF(F641="","",Parâmetros!$C$4-F641)</f>
        <v>11</v>
      </c>
      <c r="K641" s="35">
        <f t="shared" si="18"/>
        <v>0</v>
      </c>
      <c r="L641" s="102" t="str">
        <f t="shared" si="19"/>
        <v/>
      </c>
      <c r="M641" s="103">
        <f>IF(I641="","",I641*Parâmetros!$C$8/15)</f>
        <v>13.426666666666668</v>
      </c>
      <c r="N641" s="103">
        <f>IF(K641="","",K641*Parâmetros!$C$8/15)</f>
        <v>0</v>
      </c>
      <c r="O641" s="26">
        <f>IF(M641="","",M641*Parâmetros!$C$5)</f>
        <v>4296.5333333333338</v>
      </c>
      <c r="P641" s="60" t="str">
        <f>IF(L641="","",IF(L641&gt;=Parâmetros!$C$10,"Sim","Não"))</f>
        <v/>
      </c>
    </row>
    <row r="642" spans="1:16" ht="15" customHeight="1" x14ac:dyDescent="0.3">
      <c r="A642" s="64">
        <v>640</v>
      </c>
      <c r="B642" s="64" t="s">
        <v>825</v>
      </c>
      <c r="C642" s="104" t="s">
        <v>798</v>
      </c>
      <c r="D642" s="104" t="s">
        <v>799</v>
      </c>
      <c r="E642" s="64">
        <v>10</v>
      </c>
      <c r="F642" s="86">
        <v>46227</v>
      </c>
      <c r="G642" s="40">
        <v>380</v>
      </c>
      <c r="H642" s="86">
        <f>IF(COUNTIFS(Pesagens!$B$3:$B$5001,$B642)=0,"",_xlfn.MAXIFS(Pesagens!$A$3:$A$5001,Pesagens!$B$3:$B$5001,$B642,Pesagens!$E$3:$E$5001,"&lt;&gt;"))</f>
        <v>46227</v>
      </c>
      <c r="I642" s="40">
        <f>IF($H642="","",IFERROR(AVERAGEIFS(Pesagens!$E$3:$E$5001,Pesagens!$B$3:$B$5001,$B642,Pesagens!$A$3:$A$5001,$H642),""))</f>
        <v>380</v>
      </c>
      <c r="J642" s="64">
        <f>IF(F642="","",Parâmetros!$C$4-F642)</f>
        <v>11</v>
      </c>
      <c r="K642" s="40">
        <f t="shared" si="18"/>
        <v>0</v>
      </c>
      <c r="L642" s="105" t="str">
        <f t="shared" si="19"/>
        <v/>
      </c>
      <c r="M642" s="106">
        <f>IF(I642="","",I642*Parâmetros!$C$8/15)</f>
        <v>13.426666666666668</v>
      </c>
      <c r="N642" s="106">
        <f>IF(K642="","",K642*Parâmetros!$C$8/15)</f>
        <v>0</v>
      </c>
      <c r="O642" s="28">
        <f>IF(M642="","",M642*Parâmetros!$C$5)</f>
        <v>4296.5333333333338</v>
      </c>
      <c r="P642" s="64" t="str">
        <f>IF(L642="","",IF(L642&gt;=Parâmetros!$C$10,"Sim","Não"))</f>
        <v/>
      </c>
    </row>
    <row r="643" spans="1:16" ht="15" customHeight="1" x14ac:dyDescent="0.3">
      <c r="A643" s="60">
        <v>641</v>
      </c>
      <c r="B643" s="60" t="s">
        <v>826</v>
      </c>
      <c r="C643" s="101" t="s">
        <v>798</v>
      </c>
      <c r="D643" s="101" t="s">
        <v>799</v>
      </c>
      <c r="E643" s="60">
        <v>10</v>
      </c>
      <c r="F643" s="85">
        <v>46227</v>
      </c>
      <c r="G643" s="35">
        <v>380</v>
      </c>
      <c r="H643" s="85">
        <f>IF(COUNTIFS(Pesagens!$B$3:$B$5001,$B643)=0,"",_xlfn.MAXIFS(Pesagens!$A$3:$A$5001,Pesagens!$B$3:$B$5001,$B643,Pesagens!$E$3:$E$5001,"&lt;&gt;"))</f>
        <v>46227</v>
      </c>
      <c r="I643" s="35">
        <f>IF($H643="","",IFERROR(AVERAGEIFS(Pesagens!$E$3:$E$5001,Pesagens!$B$3:$B$5001,$B643,Pesagens!$A$3:$A$5001,$H643),""))</f>
        <v>380</v>
      </c>
      <c r="J643" s="60">
        <f>IF(F643="","",Parâmetros!$C$4-F643)</f>
        <v>11</v>
      </c>
      <c r="K643" s="35">
        <f t="shared" ref="K643:K648" si="20">IF(OR(I643="",G643=""),"",I643-G643)</f>
        <v>0</v>
      </c>
      <c r="L643" s="102" t="str">
        <f t="shared" ref="L643:L648" si="21">IF(OR(I643="",G643="",H643&lt;=F643),"",(I643-G643)/(H643-F643))</f>
        <v/>
      </c>
      <c r="M643" s="103">
        <f>IF(I643="","",I643*Parâmetros!$C$8/15)</f>
        <v>13.426666666666668</v>
      </c>
      <c r="N643" s="103">
        <f>IF(K643="","",K643*Parâmetros!$C$8/15)</f>
        <v>0</v>
      </c>
      <c r="O643" s="26">
        <f>IF(M643="","",M643*Parâmetros!$C$5)</f>
        <v>4296.5333333333338</v>
      </c>
      <c r="P643" s="60" t="str">
        <f>IF(L643="","",IF(L643&gt;=Parâmetros!$C$10,"Sim","Não"))</f>
        <v/>
      </c>
    </row>
    <row r="644" spans="1:16" ht="15" customHeight="1" x14ac:dyDescent="0.3">
      <c r="A644" s="64">
        <v>642</v>
      </c>
      <c r="B644" s="64" t="s">
        <v>827</v>
      </c>
      <c r="C644" s="104" t="s">
        <v>798</v>
      </c>
      <c r="D644" s="104" t="s">
        <v>799</v>
      </c>
      <c r="E644" s="64">
        <v>10</v>
      </c>
      <c r="F644" s="86">
        <v>46227</v>
      </c>
      <c r="G644" s="40">
        <v>380</v>
      </c>
      <c r="H644" s="86">
        <f>IF(COUNTIFS(Pesagens!$B$3:$B$5001,$B644)=0,"",_xlfn.MAXIFS(Pesagens!$A$3:$A$5001,Pesagens!$B$3:$B$5001,$B644,Pesagens!$E$3:$E$5001,"&lt;&gt;"))</f>
        <v>46227</v>
      </c>
      <c r="I644" s="40">
        <f>IF($H644="","",IFERROR(AVERAGEIFS(Pesagens!$E$3:$E$5001,Pesagens!$B$3:$B$5001,$B644,Pesagens!$A$3:$A$5001,$H644),""))</f>
        <v>380</v>
      </c>
      <c r="J644" s="64">
        <f>IF(F644="","",Parâmetros!$C$4-F644)</f>
        <v>11</v>
      </c>
      <c r="K644" s="40">
        <f t="shared" si="20"/>
        <v>0</v>
      </c>
      <c r="L644" s="105" t="str">
        <f t="shared" si="21"/>
        <v/>
      </c>
      <c r="M644" s="106">
        <f>IF(I644="","",I644*Parâmetros!$C$8/15)</f>
        <v>13.426666666666668</v>
      </c>
      <c r="N644" s="106">
        <f>IF(K644="","",K644*Parâmetros!$C$8/15)</f>
        <v>0</v>
      </c>
      <c r="O644" s="28">
        <f>IF(M644="","",M644*Parâmetros!$C$5)</f>
        <v>4296.5333333333338</v>
      </c>
      <c r="P644" s="64" t="str">
        <f>IF(L644="","",IF(L644&gt;=Parâmetros!$C$10,"Sim","Não"))</f>
        <v/>
      </c>
    </row>
    <row r="645" spans="1:16" ht="15" customHeight="1" x14ac:dyDescent="0.3">
      <c r="A645" s="60">
        <v>643</v>
      </c>
      <c r="B645" s="60" t="s">
        <v>828</v>
      </c>
      <c r="C645" s="101" t="s">
        <v>798</v>
      </c>
      <c r="D645" s="101" t="s">
        <v>799</v>
      </c>
      <c r="E645" s="60">
        <v>10</v>
      </c>
      <c r="F645" s="85">
        <v>46227</v>
      </c>
      <c r="G645" s="35">
        <v>380</v>
      </c>
      <c r="H645" s="85">
        <f>IF(COUNTIFS(Pesagens!$B$3:$B$5001,$B645)=0,"",_xlfn.MAXIFS(Pesagens!$A$3:$A$5001,Pesagens!$B$3:$B$5001,$B645,Pesagens!$E$3:$E$5001,"&lt;&gt;"))</f>
        <v>46227</v>
      </c>
      <c r="I645" s="35">
        <f>IF($H645="","",IFERROR(AVERAGEIFS(Pesagens!$E$3:$E$5001,Pesagens!$B$3:$B$5001,$B645,Pesagens!$A$3:$A$5001,$H645),""))</f>
        <v>380</v>
      </c>
      <c r="J645" s="60">
        <f>IF(F645="","",Parâmetros!$C$4-F645)</f>
        <v>11</v>
      </c>
      <c r="K645" s="35">
        <f t="shared" si="20"/>
        <v>0</v>
      </c>
      <c r="L645" s="102" t="str">
        <f t="shared" si="21"/>
        <v/>
      </c>
      <c r="M645" s="103">
        <f>IF(I645="","",I645*Parâmetros!$C$8/15)</f>
        <v>13.426666666666668</v>
      </c>
      <c r="N645" s="103">
        <f>IF(K645="","",K645*Parâmetros!$C$8/15)</f>
        <v>0</v>
      </c>
      <c r="O645" s="26">
        <f>IF(M645="","",M645*Parâmetros!$C$5)</f>
        <v>4296.5333333333338</v>
      </c>
      <c r="P645" s="60" t="str">
        <f>IF(L645="","",IF(L645&gt;=Parâmetros!$C$10,"Sim","Não"))</f>
        <v/>
      </c>
    </row>
    <row r="646" spans="1:16" ht="15" customHeight="1" x14ac:dyDescent="0.3">
      <c r="A646" s="64">
        <v>644</v>
      </c>
      <c r="B646" s="64" t="s">
        <v>829</v>
      </c>
      <c r="C646" s="104" t="s">
        <v>798</v>
      </c>
      <c r="D646" s="104" t="s">
        <v>799</v>
      </c>
      <c r="E646" s="64">
        <v>10</v>
      </c>
      <c r="F646" s="86">
        <v>46227</v>
      </c>
      <c r="G646" s="40">
        <v>380</v>
      </c>
      <c r="H646" s="86">
        <f>IF(COUNTIFS(Pesagens!$B$3:$B$5001,$B646)=0,"",_xlfn.MAXIFS(Pesagens!$A$3:$A$5001,Pesagens!$B$3:$B$5001,$B646,Pesagens!$E$3:$E$5001,"&lt;&gt;"))</f>
        <v>46227</v>
      </c>
      <c r="I646" s="40">
        <f>IF($H646="","",IFERROR(AVERAGEIFS(Pesagens!$E$3:$E$5001,Pesagens!$B$3:$B$5001,$B646,Pesagens!$A$3:$A$5001,$H646),""))</f>
        <v>380</v>
      </c>
      <c r="J646" s="64">
        <f>IF(F646="","",Parâmetros!$C$4-F646)</f>
        <v>11</v>
      </c>
      <c r="K646" s="40">
        <f t="shared" si="20"/>
        <v>0</v>
      </c>
      <c r="L646" s="105" t="str">
        <f t="shared" si="21"/>
        <v/>
      </c>
      <c r="M646" s="106">
        <f>IF(I646="","",I646*Parâmetros!$C$8/15)</f>
        <v>13.426666666666668</v>
      </c>
      <c r="N646" s="106">
        <f>IF(K646="","",K646*Parâmetros!$C$8/15)</f>
        <v>0</v>
      </c>
      <c r="O646" s="28">
        <f>IF(M646="","",M646*Parâmetros!$C$5)</f>
        <v>4296.5333333333338</v>
      </c>
      <c r="P646" s="64" t="str">
        <f>IF(L646="","",IF(L646&gt;=Parâmetros!$C$10,"Sim","Não"))</f>
        <v/>
      </c>
    </row>
    <row r="647" spans="1:16" ht="15" customHeight="1" x14ac:dyDescent="0.3">
      <c r="A647" s="60">
        <v>645</v>
      </c>
      <c r="B647" s="60" t="s">
        <v>830</v>
      </c>
      <c r="C647" s="101" t="s">
        <v>798</v>
      </c>
      <c r="D647" s="101" t="s">
        <v>799</v>
      </c>
      <c r="E647" s="60">
        <v>10</v>
      </c>
      <c r="F647" s="85">
        <v>46227</v>
      </c>
      <c r="G647" s="35">
        <v>380</v>
      </c>
      <c r="H647" s="85">
        <f>IF(COUNTIFS(Pesagens!$B$3:$B$5001,$B647)=0,"",_xlfn.MAXIFS(Pesagens!$A$3:$A$5001,Pesagens!$B$3:$B$5001,$B647,Pesagens!$E$3:$E$5001,"&lt;&gt;"))</f>
        <v>46227</v>
      </c>
      <c r="I647" s="35">
        <f>IF($H647="","",IFERROR(AVERAGEIFS(Pesagens!$E$3:$E$5001,Pesagens!$B$3:$B$5001,$B647,Pesagens!$A$3:$A$5001,$H647),""))</f>
        <v>380</v>
      </c>
      <c r="J647" s="60">
        <f>IF(F647="","",Parâmetros!$C$4-F647)</f>
        <v>11</v>
      </c>
      <c r="K647" s="35">
        <f t="shared" si="20"/>
        <v>0</v>
      </c>
      <c r="L647" s="102" t="str">
        <f t="shared" si="21"/>
        <v/>
      </c>
      <c r="M647" s="103">
        <f>IF(I647="","",I647*Parâmetros!$C$8/15)</f>
        <v>13.426666666666668</v>
      </c>
      <c r="N647" s="103">
        <f>IF(K647="","",K647*Parâmetros!$C$8/15)</f>
        <v>0</v>
      </c>
      <c r="O647" s="26">
        <f>IF(M647="","",M647*Parâmetros!$C$5)</f>
        <v>4296.5333333333338</v>
      </c>
      <c r="P647" s="60" t="str">
        <f>IF(L647="","",IF(L647&gt;=Parâmetros!$C$10,"Sim","Não"))</f>
        <v/>
      </c>
    </row>
    <row r="648" spans="1:16" ht="15" customHeight="1" x14ac:dyDescent="0.3">
      <c r="A648" s="64">
        <v>646</v>
      </c>
      <c r="B648" s="64" t="s">
        <v>831</v>
      </c>
      <c r="C648" s="104" t="s">
        <v>798</v>
      </c>
      <c r="D648" s="104" t="s">
        <v>799</v>
      </c>
      <c r="E648" s="64">
        <v>10</v>
      </c>
      <c r="F648" s="86">
        <v>46227</v>
      </c>
      <c r="G648" s="40">
        <v>380</v>
      </c>
      <c r="H648" s="86">
        <f>IF(COUNTIFS(Pesagens!$B$3:$B$5001,$B648)=0,"",_xlfn.MAXIFS(Pesagens!$A$3:$A$5001,Pesagens!$B$3:$B$5001,$B648,Pesagens!$E$3:$E$5001,"&lt;&gt;"))</f>
        <v>46227</v>
      </c>
      <c r="I648" s="40">
        <f>IF($H648="","",IFERROR(AVERAGEIFS(Pesagens!$E$3:$E$5001,Pesagens!$B$3:$B$5001,$B648,Pesagens!$A$3:$A$5001,$H648),""))</f>
        <v>380</v>
      </c>
      <c r="J648" s="64">
        <f>IF(F648="","",Parâmetros!$C$4-F648)</f>
        <v>11</v>
      </c>
      <c r="K648" s="40">
        <f t="shared" si="20"/>
        <v>0</v>
      </c>
      <c r="L648" s="105" t="str">
        <f t="shared" si="21"/>
        <v/>
      </c>
      <c r="M648" s="106">
        <f>IF(I648="","",I648*Parâmetros!$C$8/15)</f>
        <v>13.426666666666668</v>
      </c>
      <c r="N648" s="106">
        <f>IF(K648="","",K648*Parâmetros!$C$8/15)</f>
        <v>0</v>
      </c>
      <c r="O648" s="28">
        <f>IF(M648="","",M648*Parâmetros!$C$5)</f>
        <v>4296.5333333333338</v>
      </c>
      <c r="P648" s="64" t="str">
        <f>IF(L648="","",IF(L648&gt;=Parâmetros!$C$10,"Sim","Não"))</f>
        <v/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48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4" customWidth="1"/>
    <col min="3" max="3" width="16" customWidth="1"/>
    <col min="4" max="4" width="9" customWidth="1"/>
    <col min="5" max="5" width="11" customWidth="1"/>
    <col min="6" max="6" width="34" customWidth="1"/>
  </cols>
  <sheetData>
    <row r="1" spans="1:6" ht="24" customHeight="1" x14ac:dyDescent="0.3">
      <c r="A1" s="7" t="s">
        <v>832</v>
      </c>
      <c r="B1" s="7"/>
      <c r="C1" s="7"/>
      <c r="D1" s="7"/>
      <c r="E1" s="7"/>
      <c r="F1" s="7"/>
    </row>
    <row r="2" spans="1:6" ht="30" customHeight="1" x14ac:dyDescent="0.3">
      <c r="A2" s="15" t="s">
        <v>45</v>
      </c>
      <c r="B2" s="15" t="s">
        <v>168</v>
      </c>
      <c r="C2" s="15" t="s">
        <v>169</v>
      </c>
      <c r="D2" s="15" t="s">
        <v>100</v>
      </c>
      <c r="E2" s="15" t="s">
        <v>833</v>
      </c>
      <c r="F2" s="15" t="s">
        <v>834</v>
      </c>
    </row>
    <row r="3" spans="1:6" ht="15" customHeight="1" x14ac:dyDescent="0.3">
      <c r="A3" s="85">
        <v>46220</v>
      </c>
      <c r="B3" s="60" t="s">
        <v>182</v>
      </c>
      <c r="C3" s="101" t="s">
        <v>183</v>
      </c>
      <c r="D3" s="60">
        <v>1</v>
      </c>
      <c r="E3" s="35">
        <v>456</v>
      </c>
      <c r="F3" s="101" t="s">
        <v>835</v>
      </c>
    </row>
    <row r="4" spans="1:6" ht="15" customHeight="1" x14ac:dyDescent="0.3">
      <c r="A4" s="86">
        <v>46220</v>
      </c>
      <c r="B4" s="64" t="s">
        <v>185</v>
      </c>
      <c r="C4" s="104" t="s">
        <v>183</v>
      </c>
      <c r="D4" s="64">
        <v>1</v>
      </c>
      <c r="E4" s="40">
        <v>444</v>
      </c>
      <c r="F4" s="104" t="s">
        <v>835</v>
      </c>
    </row>
    <row r="5" spans="1:6" ht="15" customHeight="1" x14ac:dyDescent="0.3">
      <c r="A5" s="85">
        <v>46220</v>
      </c>
      <c r="B5" s="60" t="s">
        <v>186</v>
      </c>
      <c r="C5" s="101" t="s">
        <v>183</v>
      </c>
      <c r="D5" s="60">
        <v>1</v>
      </c>
      <c r="E5" s="35">
        <v>466</v>
      </c>
      <c r="F5" s="101" t="s">
        <v>835</v>
      </c>
    </row>
    <row r="6" spans="1:6" ht="15" customHeight="1" x14ac:dyDescent="0.3">
      <c r="A6" s="86">
        <v>46220</v>
      </c>
      <c r="B6" s="64" t="s">
        <v>187</v>
      </c>
      <c r="C6" s="104" t="s">
        <v>183</v>
      </c>
      <c r="D6" s="64">
        <v>1</v>
      </c>
      <c r="E6" s="40">
        <v>476</v>
      </c>
      <c r="F6" s="104" t="s">
        <v>835</v>
      </c>
    </row>
    <row r="7" spans="1:6" ht="15" customHeight="1" x14ac:dyDescent="0.3">
      <c r="A7" s="85">
        <v>46220</v>
      </c>
      <c r="B7" s="60" t="s">
        <v>188</v>
      </c>
      <c r="C7" s="101" t="s">
        <v>183</v>
      </c>
      <c r="D7" s="60">
        <v>1</v>
      </c>
      <c r="E7" s="35">
        <v>460</v>
      </c>
      <c r="F7" s="101" t="s">
        <v>835</v>
      </c>
    </row>
    <row r="8" spans="1:6" ht="15" customHeight="1" x14ac:dyDescent="0.3">
      <c r="A8" s="86">
        <v>46220</v>
      </c>
      <c r="B8" s="64" t="s">
        <v>189</v>
      </c>
      <c r="C8" s="104" t="s">
        <v>183</v>
      </c>
      <c r="D8" s="64">
        <v>1</v>
      </c>
      <c r="E8" s="40">
        <v>469</v>
      </c>
      <c r="F8" s="104" t="s">
        <v>835</v>
      </c>
    </row>
    <row r="9" spans="1:6" ht="15" customHeight="1" x14ac:dyDescent="0.3">
      <c r="A9" s="85">
        <v>46220</v>
      </c>
      <c r="B9" s="60" t="s">
        <v>190</v>
      </c>
      <c r="C9" s="101" t="s">
        <v>183</v>
      </c>
      <c r="D9" s="60">
        <v>1</v>
      </c>
      <c r="E9" s="35">
        <v>441</v>
      </c>
      <c r="F9" s="101" t="s">
        <v>835</v>
      </c>
    </row>
    <row r="10" spans="1:6" ht="15" customHeight="1" x14ac:dyDescent="0.3">
      <c r="A10" s="86">
        <v>46220</v>
      </c>
      <c r="B10" s="64" t="s">
        <v>191</v>
      </c>
      <c r="C10" s="104" t="s">
        <v>183</v>
      </c>
      <c r="D10" s="64">
        <v>1</v>
      </c>
      <c r="E10" s="40">
        <v>465</v>
      </c>
      <c r="F10" s="104" t="s">
        <v>835</v>
      </c>
    </row>
    <row r="11" spans="1:6" ht="15" customHeight="1" x14ac:dyDescent="0.3">
      <c r="A11" s="85">
        <v>46220</v>
      </c>
      <c r="B11" s="60" t="s">
        <v>192</v>
      </c>
      <c r="C11" s="101" t="s">
        <v>183</v>
      </c>
      <c r="D11" s="60">
        <v>1</v>
      </c>
      <c r="E11" s="35">
        <v>440</v>
      </c>
      <c r="F11" s="101" t="s">
        <v>835</v>
      </c>
    </row>
    <row r="12" spans="1:6" ht="15" customHeight="1" x14ac:dyDescent="0.3">
      <c r="A12" s="86">
        <v>46220</v>
      </c>
      <c r="B12" s="64" t="s">
        <v>193</v>
      </c>
      <c r="C12" s="104" t="s">
        <v>183</v>
      </c>
      <c r="D12" s="64">
        <v>1</v>
      </c>
      <c r="E12" s="40">
        <v>460</v>
      </c>
      <c r="F12" s="104" t="s">
        <v>835</v>
      </c>
    </row>
    <row r="13" spans="1:6" ht="15" customHeight="1" x14ac:dyDescent="0.3">
      <c r="A13" s="85">
        <v>46220</v>
      </c>
      <c r="B13" s="60" t="s">
        <v>194</v>
      </c>
      <c r="C13" s="101" t="s">
        <v>183</v>
      </c>
      <c r="D13" s="60">
        <v>1</v>
      </c>
      <c r="E13" s="35">
        <v>461</v>
      </c>
      <c r="F13" s="101" t="s">
        <v>835</v>
      </c>
    </row>
    <row r="14" spans="1:6" ht="15" customHeight="1" x14ac:dyDescent="0.3">
      <c r="A14" s="86">
        <v>46220</v>
      </c>
      <c r="B14" s="64" t="s">
        <v>195</v>
      </c>
      <c r="C14" s="104" t="s">
        <v>183</v>
      </c>
      <c r="D14" s="64">
        <v>1</v>
      </c>
      <c r="E14" s="40">
        <v>447</v>
      </c>
      <c r="F14" s="104" t="s">
        <v>835</v>
      </c>
    </row>
    <row r="15" spans="1:6" ht="15" customHeight="1" x14ac:dyDescent="0.3">
      <c r="A15" s="85">
        <v>46220</v>
      </c>
      <c r="B15" s="60" t="s">
        <v>196</v>
      </c>
      <c r="C15" s="101" t="s">
        <v>183</v>
      </c>
      <c r="D15" s="60">
        <v>1</v>
      </c>
      <c r="E15" s="35">
        <v>458</v>
      </c>
      <c r="F15" s="101" t="s">
        <v>835</v>
      </c>
    </row>
    <row r="16" spans="1:6" ht="15" customHeight="1" x14ac:dyDescent="0.3">
      <c r="A16" s="86">
        <v>46220</v>
      </c>
      <c r="B16" s="64" t="s">
        <v>197</v>
      </c>
      <c r="C16" s="104" t="s">
        <v>183</v>
      </c>
      <c r="D16" s="64">
        <v>1</v>
      </c>
      <c r="E16" s="40">
        <v>458</v>
      </c>
      <c r="F16" s="104" t="s">
        <v>835</v>
      </c>
    </row>
    <row r="17" spans="1:6" ht="15" customHeight="1" x14ac:dyDescent="0.3">
      <c r="A17" s="85">
        <v>46220</v>
      </c>
      <c r="B17" s="60" t="s">
        <v>198</v>
      </c>
      <c r="C17" s="101" t="s">
        <v>183</v>
      </c>
      <c r="D17" s="60">
        <v>1</v>
      </c>
      <c r="E17" s="35">
        <v>462</v>
      </c>
      <c r="F17" s="101" t="s">
        <v>835</v>
      </c>
    </row>
    <row r="18" spans="1:6" ht="15" customHeight="1" x14ac:dyDescent="0.3">
      <c r="A18" s="86">
        <v>46220</v>
      </c>
      <c r="B18" s="64" t="s">
        <v>199</v>
      </c>
      <c r="C18" s="104" t="s">
        <v>183</v>
      </c>
      <c r="D18" s="64">
        <v>1</v>
      </c>
      <c r="E18" s="40">
        <v>474</v>
      </c>
      <c r="F18" s="104" t="s">
        <v>835</v>
      </c>
    </row>
    <row r="19" spans="1:6" ht="15" customHeight="1" x14ac:dyDescent="0.3">
      <c r="A19" s="85">
        <v>46220</v>
      </c>
      <c r="B19" s="60" t="s">
        <v>200</v>
      </c>
      <c r="C19" s="101" t="s">
        <v>183</v>
      </c>
      <c r="D19" s="60">
        <v>1</v>
      </c>
      <c r="E19" s="35">
        <v>447</v>
      </c>
      <c r="F19" s="101" t="s">
        <v>835</v>
      </c>
    </row>
    <row r="20" spans="1:6" ht="15" customHeight="1" x14ac:dyDescent="0.3">
      <c r="A20" s="86">
        <v>46220</v>
      </c>
      <c r="B20" s="64" t="s">
        <v>201</v>
      </c>
      <c r="C20" s="104" t="s">
        <v>183</v>
      </c>
      <c r="D20" s="64">
        <v>1</v>
      </c>
      <c r="E20" s="40">
        <v>459</v>
      </c>
      <c r="F20" s="104" t="s">
        <v>835</v>
      </c>
    </row>
    <row r="21" spans="1:6" ht="15" customHeight="1" x14ac:dyDescent="0.3">
      <c r="A21" s="85">
        <v>46220</v>
      </c>
      <c r="B21" s="60" t="s">
        <v>202</v>
      </c>
      <c r="C21" s="101" t="s">
        <v>183</v>
      </c>
      <c r="D21" s="60">
        <v>1</v>
      </c>
      <c r="E21" s="35">
        <v>446</v>
      </c>
      <c r="F21" s="101" t="s">
        <v>835</v>
      </c>
    </row>
    <row r="22" spans="1:6" ht="15" customHeight="1" x14ac:dyDescent="0.3">
      <c r="A22" s="86">
        <v>46220</v>
      </c>
      <c r="B22" s="64" t="s">
        <v>203</v>
      </c>
      <c r="C22" s="104" t="s">
        <v>183</v>
      </c>
      <c r="D22" s="64">
        <v>1</v>
      </c>
      <c r="E22" s="40">
        <v>464</v>
      </c>
      <c r="F22" s="104" t="s">
        <v>835</v>
      </c>
    </row>
    <row r="23" spans="1:6" ht="15" customHeight="1" x14ac:dyDescent="0.3">
      <c r="A23" s="85">
        <v>46220</v>
      </c>
      <c r="B23" s="60" t="s">
        <v>204</v>
      </c>
      <c r="C23" s="101" t="s">
        <v>183</v>
      </c>
      <c r="D23" s="60">
        <v>1</v>
      </c>
      <c r="E23" s="35">
        <v>440</v>
      </c>
      <c r="F23" s="101" t="s">
        <v>835</v>
      </c>
    </row>
    <row r="24" spans="1:6" ht="15" customHeight="1" x14ac:dyDescent="0.3">
      <c r="A24" s="86">
        <v>46220</v>
      </c>
      <c r="B24" s="64" t="s">
        <v>205</v>
      </c>
      <c r="C24" s="104" t="s">
        <v>183</v>
      </c>
      <c r="D24" s="64">
        <v>1</v>
      </c>
      <c r="E24" s="40">
        <v>443</v>
      </c>
      <c r="F24" s="104" t="s">
        <v>835</v>
      </c>
    </row>
    <row r="25" spans="1:6" ht="15" customHeight="1" x14ac:dyDescent="0.3">
      <c r="A25" s="85">
        <v>46220</v>
      </c>
      <c r="B25" s="60" t="s">
        <v>206</v>
      </c>
      <c r="C25" s="101" t="s">
        <v>183</v>
      </c>
      <c r="D25" s="60">
        <v>1</v>
      </c>
      <c r="E25" s="35">
        <v>459</v>
      </c>
      <c r="F25" s="101" t="s">
        <v>835</v>
      </c>
    </row>
    <row r="26" spans="1:6" ht="15" customHeight="1" x14ac:dyDescent="0.3">
      <c r="A26" s="86">
        <v>46220</v>
      </c>
      <c r="B26" s="64" t="s">
        <v>207</v>
      </c>
      <c r="C26" s="104" t="s">
        <v>183</v>
      </c>
      <c r="D26" s="64">
        <v>1</v>
      </c>
      <c r="E26" s="40">
        <v>440</v>
      </c>
      <c r="F26" s="104" t="s">
        <v>835</v>
      </c>
    </row>
    <row r="27" spans="1:6" ht="15" customHeight="1" x14ac:dyDescent="0.3">
      <c r="A27" s="85">
        <v>46220</v>
      </c>
      <c r="B27" s="60" t="s">
        <v>208</v>
      </c>
      <c r="C27" s="101" t="s">
        <v>183</v>
      </c>
      <c r="D27" s="60">
        <v>1</v>
      </c>
      <c r="E27" s="35">
        <v>467</v>
      </c>
      <c r="F27" s="101" t="s">
        <v>835</v>
      </c>
    </row>
    <row r="28" spans="1:6" ht="15" customHeight="1" x14ac:dyDescent="0.3">
      <c r="A28" s="86">
        <v>46220</v>
      </c>
      <c r="B28" s="64" t="s">
        <v>209</v>
      </c>
      <c r="C28" s="104" t="s">
        <v>183</v>
      </c>
      <c r="D28" s="64">
        <v>1</v>
      </c>
      <c r="E28" s="40">
        <v>460</v>
      </c>
      <c r="F28" s="104" t="s">
        <v>835</v>
      </c>
    </row>
    <row r="29" spans="1:6" ht="15" customHeight="1" x14ac:dyDescent="0.3">
      <c r="A29" s="85">
        <v>46220</v>
      </c>
      <c r="B29" s="60" t="s">
        <v>210</v>
      </c>
      <c r="C29" s="101" t="s">
        <v>183</v>
      </c>
      <c r="D29" s="60">
        <v>1</v>
      </c>
      <c r="E29" s="35">
        <v>445</v>
      </c>
      <c r="F29" s="101" t="s">
        <v>835</v>
      </c>
    </row>
    <row r="30" spans="1:6" ht="15" customHeight="1" x14ac:dyDescent="0.3">
      <c r="A30" s="86">
        <v>46220</v>
      </c>
      <c r="B30" s="64" t="s">
        <v>211</v>
      </c>
      <c r="C30" s="104" t="s">
        <v>183</v>
      </c>
      <c r="D30" s="64">
        <v>1</v>
      </c>
      <c r="E30" s="40">
        <v>466</v>
      </c>
      <c r="F30" s="104" t="s">
        <v>835</v>
      </c>
    </row>
    <row r="31" spans="1:6" ht="15" customHeight="1" x14ac:dyDescent="0.3">
      <c r="A31" s="85">
        <v>46220</v>
      </c>
      <c r="B31" s="60" t="s">
        <v>212</v>
      </c>
      <c r="C31" s="101" t="s">
        <v>183</v>
      </c>
      <c r="D31" s="60">
        <v>1</v>
      </c>
      <c r="E31" s="35">
        <v>451</v>
      </c>
      <c r="F31" s="101" t="s">
        <v>835</v>
      </c>
    </row>
    <row r="32" spans="1:6" ht="15" customHeight="1" x14ac:dyDescent="0.3">
      <c r="A32" s="86">
        <v>46220</v>
      </c>
      <c r="B32" s="64" t="s">
        <v>213</v>
      </c>
      <c r="C32" s="104" t="s">
        <v>183</v>
      </c>
      <c r="D32" s="64">
        <v>1</v>
      </c>
      <c r="E32" s="40">
        <v>460</v>
      </c>
      <c r="F32" s="104" t="s">
        <v>835</v>
      </c>
    </row>
    <row r="33" spans="1:6" ht="15" customHeight="1" x14ac:dyDescent="0.3">
      <c r="A33" s="85">
        <v>46220</v>
      </c>
      <c r="B33" s="60" t="s">
        <v>214</v>
      </c>
      <c r="C33" s="101" t="s">
        <v>183</v>
      </c>
      <c r="D33" s="60">
        <v>1</v>
      </c>
      <c r="E33" s="35">
        <v>460</v>
      </c>
      <c r="F33" s="101" t="s">
        <v>835</v>
      </c>
    </row>
    <row r="34" spans="1:6" ht="15" customHeight="1" x14ac:dyDescent="0.3">
      <c r="A34" s="86">
        <v>46220</v>
      </c>
      <c r="B34" s="64" t="s">
        <v>215</v>
      </c>
      <c r="C34" s="104" t="s">
        <v>183</v>
      </c>
      <c r="D34" s="64">
        <v>1</v>
      </c>
      <c r="E34" s="40">
        <v>455</v>
      </c>
      <c r="F34" s="104" t="s">
        <v>835</v>
      </c>
    </row>
    <row r="35" spans="1:6" ht="15" customHeight="1" x14ac:dyDescent="0.3">
      <c r="A35" s="85">
        <v>46220</v>
      </c>
      <c r="B35" s="60" t="s">
        <v>216</v>
      </c>
      <c r="C35" s="101" t="s">
        <v>183</v>
      </c>
      <c r="D35" s="60">
        <v>1</v>
      </c>
      <c r="E35" s="35">
        <v>474</v>
      </c>
      <c r="F35" s="101" t="s">
        <v>835</v>
      </c>
    </row>
    <row r="36" spans="1:6" ht="15" customHeight="1" x14ac:dyDescent="0.3">
      <c r="A36" s="86">
        <v>46220</v>
      </c>
      <c r="B36" s="64" t="s">
        <v>217</v>
      </c>
      <c r="C36" s="104" t="s">
        <v>183</v>
      </c>
      <c r="D36" s="64">
        <v>1</v>
      </c>
      <c r="E36" s="40">
        <v>453</v>
      </c>
      <c r="F36" s="104" t="s">
        <v>835</v>
      </c>
    </row>
    <row r="37" spans="1:6" ht="15" customHeight="1" x14ac:dyDescent="0.3">
      <c r="A37" s="85">
        <v>46220</v>
      </c>
      <c r="B37" s="60" t="s">
        <v>218</v>
      </c>
      <c r="C37" s="101" t="s">
        <v>183</v>
      </c>
      <c r="D37" s="60">
        <v>1</v>
      </c>
      <c r="E37" s="35">
        <v>441</v>
      </c>
      <c r="F37" s="101" t="s">
        <v>835</v>
      </c>
    </row>
    <row r="38" spans="1:6" ht="15" customHeight="1" x14ac:dyDescent="0.3">
      <c r="A38" s="86">
        <v>46220</v>
      </c>
      <c r="B38" s="64" t="s">
        <v>219</v>
      </c>
      <c r="C38" s="104" t="s">
        <v>183</v>
      </c>
      <c r="D38" s="64">
        <v>1</v>
      </c>
      <c r="E38" s="40">
        <v>448</v>
      </c>
      <c r="F38" s="104" t="s">
        <v>835</v>
      </c>
    </row>
    <row r="39" spans="1:6" ht="15" customHeight="1" x14ac:dyDescent="0.3">
      <c r="A39" s="85">
        <v>46220</v>
      </c>
      <c r="B39" s="60" t="s">
        <v>220</v>
      </c>
      <c r="C39" s="101" t="s">
        <v>183</v>
      </c>
      <c r="D39" s="60">
        <v>1</v>
      </c>
      <c r="E39" s="35">
        <v>475</v>
      </c>
      <c r="F39" s="101" t="s">
        <v>835</v>
      </c>
    </row>
    <row r="40" spans="1:6" ht="15" customHeight="1" x14ac:dyDescent="0.3">
      <c r="A40" s="86">
        <v>46220</v>
      </c>
      <c r="B40" s="64" t="s">
        <v>221</v>
      </c>
      <c r="C40" s="104" t="s">
        <v>183</v>
      </c>
      <c r="D40" s="64">
        <v>1</v>
      </c>
      <c r="E40" s="40">
        <v>440</v>
      </c>
      <c r="F40" s="104" t="s">
        <v>835</v>
      </c>
    </row>
    <row r="41" spans="1:6" ht="15" customHeight="1" x14ac:dyDescent="0.3">
      <c r="A41" s="85">
        <v>46220</v>
      </c>
      <c r="B41" s="60" t="s">
        <v>222</v>
      </c>
      <c r="C41" s="101" t="s">
        <v>183</v>
      </c>
      <c r="D41" s="60">
        <v>1</v>
      </c>
      <c r="E41" s="35">
        <v>460</v>
      </c>
      <c r="F41" s="101" t="s">
        <v>835</v>
      </c>
    </row>
    <row r="42" spans="1:6" ht="15" customHeight="1" x14ac:dyDescent="0.3">
      <c r="A42" s="86">
        <v>46220</v>
      </c>
      <c r="B42" s="64" t="s">
        <v>223</v>
      </c>
      <c r="C42" s="104" t="s">
        <v>183</v>
      </c>
      <c r="D42" s="64">
        <v>1</v>
      </c>
      <c r="E42" s="40">
        <v>454</v>
      </c>
      <c r="F42" s="104" t="s">
        <v>835</v>
      </c>
    </row>
    <row r="43" spans="1:6" ht="15" customHeight="1" x14ac:dyDescent="0.3">
      <c r="A43" s="85">
        <v>46220</v>
      </c>
      <c r="B43" s="60" t="s">
        <v>224</v>
      </c>
      <c r="C43" s="101" t="s">
        <v>183</v>
      </c>
      <c r="D43" s="60">
        <v>1</v>
      </c>
      <c r="E43" s="35">
        <v>450</v>
      </c>
      <c r="F43" s="101" t="s">
        <v>835</v>
      </c>
    </row>
    <row r="44" spans="1:6" ht="15" customHeight="1" x14ac:dyDescent="0.3">
      <c r="A44" s="86">
        <v>46220</v>
      </c>
      <c r="B44" s="64" t="s">
        <v>225</v>
      </c>
      <c r="C44" s="104" t="s">
        <v>183</v>
      </c>
      <c r="D44" s="64">
        <v>1</v>
      </c>
      <c r="E44" s="40">
        <v>467</v>
      </c>
      <c r="F44" s="104" t="s">
        <v>835</v>
      </c>
    </row>
    <row r="45" spans="1:6" ht="15" customHeight="1" x14ac:dyDescent="0.3">
      <c r="A45" s="85">
        <v>46220</v>
      </c>
      <c r="B45" s="60" t="s">
        <v>226</v>
      </c>
      <c r="C45" s="101" t="s">
        <v>183</v>
      </c>
      <c r="D45" s="60">
        <v>1</v>
      </c>
      <c r="E45" s="35">
        <v>464</v>
      </c>
      <c r="F45" s="101" t="s">
        <v>835</v>
      </c>
    </row>
    <row r="46" spans="1:6" ht="15" customHeight="1" x14ac:dyDescent="0.3">
      <c r="A46" s="86">
        <v>46220</v>
      </c>
      <c r="B46" s="64" t="s">
        <v>227</v>
      </c>
      <c r="C46" s="104" t="s">
        <v>183</v>
      </c>
      <c r="D46" s="64">
        <v>1</v>
      </c>
      <c r="E46" s="40">
        <v>435</v>
      </c>
      <c r="F46" s="104" t="s">
        <v>835</v>
      </c>
    </row>
    <row r="47" spans="1:6" ht="15" customHeight="1" x14ac:dyDescent="0.3">
      <c r="A47" s="85">
        <v>46220</v>
      </c>
      <c r="B47" s="60" t="s">
        <v>228</v>
      </c>
      <c r="C47" s="101" t="s">
        <v>183</v>
      </c>
      <c r="D47" s="60">
        <v>1</v>
      </c>
      <c r="E47" s="35">
        <v>471</v>
      </c>
      <c r="F47" s="101" t="s">
        <v>835</v>
      </c>
    </row>
    <row r="48" spans="1:6" ht="15" customHeight="1" x14ac:dyDescent="0.3">
      <c r="A48" s="86">
        <v>46220</v>
      </c>
      <c r="B48" s="64" t="s">
        <v>229</v>
      </c>
      <c r="C48" s="104" t="s">
        <v>183</v>
      </c>
      <c r="D48" s="64">
        <v>1</v>
      </c>
      <c r="E48" s="40">
        <v>457</v>
      </c>
      <c r="F48" s="104" t="s">
        <v>835</v>
      </c>
    </row>
    <row r="49" spans="1:6" ht="15" customHeight="1" x14ac:dyDescent="0.3">
      <c r="A49" s="85">
        <v>46220</v>
      </c>
      <c r="B49" s="60" t="s">
        <v>230</v>
      </c>
      <c r="C49" s="101" t="s">
        <v>183</v>
      </c>
      <c r="D49" s="60">
        <v>1</v>
      </c>
      <c r="E49" s="35">
        <v>445</v>
      </c>
      <c r="F49" s="101" t="s">
        <v>835</v>
      </c>
    </row>
    <row r="50" spans="1:6" ht="15" customHeight="1" x14ac:dyDescent="0.3">
      <c r="A50" s="86">
        <v>46220</v>
      </c>
      <c r="B50" s="64" t="s">
        <v>231</v>
      </c>
      <c r="C50" s="104" t="s">
        <v>183</v>
      </c>
      <c r="D50" s="64">
        <v>1</v>
      </c>
      <c r="E50" s="40">
        <v>440</v>
      </c>
      <c r="F50" s="104" t="s">
        <v>835</v>
      </c>
    </row>
    <row r="51" spans="1:6" ht="15" customHeight="1" x14ac:dyDescent="0.3">
      <c r="A51" s="85">
        <v>46220</v>
      </c>
      <c r="B51" s="60" t="s">
        <v>232</v>
      </c>
      <c r="C51" s="101" t="s">
        <v>183</v>
      </c>
      <c r="D51" s="60">
        <v>1</v>
      </c>
      <c r="E51" s="35">
        <v>458</v>
      </c>
      <c r="F51" s="101" t="s">
        <v>835</v>
      </c>
    </row>
    <row r="52" spans="1:6" ht="15" customHeight="1" x14ac:dyDescent="0.3">
      <c r="A52" s="86">
        <v>46220</v>
      </c>
      <c r="B52" s="64" t="s">
        <v>233</v>
      </c>
      <c r="C52" s="104" t="s">
        <v>183</v>
      </c>
      <c r="D52" s="64">
        <v>1</v>
      </c>
      <c r="E52" s="40">
        <v>451</v>
      </c>
      <c r="F52" s="104" t="s">
        <v>835</v>
      </c>
    </row>
    <row r="53" spans="1:6" ht="15" customHeight="1" x14ac:dyDescent="0.3">
      <c r="A53" s="85">
        <v>46220</v>
      </c>
      <c r="B53" s="60" t="s">
        <v>234</v>
      </c>
      <c r="C53" s="101" t="s">
        <v>183</v>
      </c>
      <c r="D53" s="60">
        <v>1</v>
      </c>
      <c r="E53" s="35">
        <v>455</v>
      </c>
      <c r="F53" s="101" t="s">
        <v>835</v>
      </c>
    </row>
    <row r="54" spans="1:6" ht="15" customHeight="1" x14ac:dyDescent="0.3">
      <c r="A54" s="86">
        <v>46220</v>
      </c>
      <c r="B54" s="64" t="s">
        <v>235</v>
      </c>
      <c r="C54" s="104" t="s">
        <v>183</v>
      </c>
      <c r="D54" s="64">
        <v>1</v>
      </c>
      <c r="E54" s="40">
        <v>458</v>
      </c>
      <c r="F54" s="104" t="s">
        <v>835</v>
      </c>
    </row>
    <row r="55" spans="1:6" ht="15" customHeight="1" x14ac:dyDescent="0.3">
      <c r="A55" s="85">
        <v>46220</v>
      </c>
      <c r="B55" s="60" t="s">
        <v>236</v>
      </c>
      <c r="C55" s="101" t="s">
        <v>183</v>
      </c>
      <c r="D55" s="60">
        <v>1</v>
      </c>
      <c r="E55" s="35">
        <v>456</v>
      </c>
      <c r="F55" s="101" t="s">
        <v>835</v>
      </c>
    </row>
    <row r="56" spans="1:6" ht="15" customHeight="1" x14ac:dyDescent="0.3">
      <c r="A56" s="86">
        <v>46220</v>
      </c>
      <c r="B56" s="64" t="s">
        <v>237</v>
      </c>
      <c r="C56" s="104" t="s">
        <v>183</v>
      </c>
      <c r="D56" s="64">
        <v>1</v>
      </c>
      <c r="E56" s="40">
        <v>458</v>
      </c>
      <c r="F56" s="104" t="s">
        <v>835</v>
      </c>
    </row>
    <row r="57" spans="1:6" ht="15" customHeight="1" x14ac:dyDescent="0.3">
      <c r="A57" s="85">
        <v>46220</v>
      </c>
      <c r="B57" s="60" t="s">
        <v>238</v>
      </c>
      <c r="C57" s="101" t="s">
        <v>183</v>
      </c>
      <c r="D57" s="60">
        <v>1</v>
      </c>
      <c r="E57" s="35">
        <v>460</v>
      </c>
      <c r="F57" s="101" t="s">
        <v>835</v>
      </c>
    </row>
    <row r="58" spans="1:6" ht="15" customHeight="1" x14ac:dyDescent="0.3">
      <c r="A58" s="86">
        <v>46220</v>
      </c>
      <c r="B58" s="64" t="s">
        <v>239</v>
      </c>
      <c r="C58" s="104" t="s">
        <v>183</v>
      </c>
      <c r="D58" s="64">
        <v>1</v>
      </c>
      <c r="E58" s="40">
        <v>448</v>
      </c>
      <c r="F58" s="104" t="s">
        <v>835</v>
      </c>
    </row>
    <row r="59" spans="1:6" ht="15" customHeight="1" x14ac:dyDescent="0.3">
      <c r="A59" s="85">
        <v>46220</v>
      </c>
      <c r="B59" s="60" t="s">
        <v>240</v>
      </c>
      <c r="C59" s="101" t="s">
        <v>183</v>
      </c>
      <c r="D59" s="60">
        <v>1</v>
      </c>
      <c r="E59" s="35">
        <v>452</v>
      </c>
      <c r="F59" s="101" t="s">
        <v>835</v>
      </c>
    </row>
    <row r="60" spans="1:6" ht="15" customHeight="1" x14ac:dyDescent="0.3">
      <c r="A60" s="86">
        <v>46220</v>
      </c>
      <c r="B60" s="64" t="s">
        <v>241</v>
      </c>
      <c r="C60" s="104" t="s">
        <v>183</v>
      </c>
      <c r="D60" s="64">
        <v>1</v>
      </c>
      <c r="E60" s="40">
        <v>473</v>
      </c>
      <c r="F60" s="104" t="s">
        <v>835</v>
      </c>
    </row>
    <row r="61" spans="1:6" ht="15" customHeight="1" x14ac:dyDescent="0.3">
      <c r="A61" s="85">
        <v>46220</v>
      </c>
      <c r="B61" s="60" t="s">
        <v>242</v>
      </c>
      <c r="C61" s="101" t="s">
        <v>183</v>
      </c>
      <c r="D61" s="60">
        <v>1</v>
      </c>
      <c r="E61" s="35">
        <v>472</v>
      </c>
      <c r="F61" s="101" t="s">
        <v>835</v>
      </c>
    </row>
    <row r="62" spans="1:6" ht="15" customHeight="1" x14ac:dyDescent="0.3">
      <c r="A62" s="86">
        <v>46220</v>
      </c>
      <c r="B62" s="64" t="s">
        <v>243</v>
      </c>
      <c r="C62" s="104" t="s">
        <v>183</v>
      </c>
      <c r="D62" s="64">
        <v>1</v>
      </c>
      <c r="E62" s="40">
        <v>440</v>
      </c>
      <c r="F62" s="104" t="s">
        <v>835</v>
      </c>
    </row>
    <row r="63" spans="1:6" ht="15" customHeight="1" x14ac:dyDescent="0.3">
      <c r="A63" s="85">
        <v>46224</v>
      </c>
      <c r="B63" s="60" t="s">
        <v>244</v>
      </c>
      <c r="C63" s="101" t="s">
        <v>183</v>
      </c>
      <c r="D63" s="60">
        <v>1</v>
      </c>
      <c r="E63" s="35">
        <v>438</v>
      </c>
      <c r="F63" s="101" t="s">
        <v>835</v>
      </c>
    </row>
    <row r="64" spans="1:6" ht="15" customHeight="1" x14ac:dyDescent="0.3">
      <c r="A64" s="86">
        <v>46224</v>
      </c>
      <c r="B64" s="64" t="s">
        <v>245</v>
      </c>
      <c r="C64" s="104" t="s">
        <v>183</v>
      </c>
      <c r="D64" s="64">
        <v>1</v>
      </c>
      <c r="E64" s="40">
        <v>429</v>
      </c>
      <c r="F64" s="104" t="s">
        <v>835</v>
      </c>
    </row>
    <row r="65" spans="1:6" ht="15" customHeight="1" x14ac:dyDescent="0.3">
      <c r="A65" s="85">
        <v>46224</v>
      </c>
      <c r="B65" s="60" t="s">
        <v>246</v>
      </c>
      <c r="C65" s="101" t="s">
        <v>183</v>
      </c>
      <c r="D65" s="60">
        <v>1</v>
      </c>
      <c r="E65" s="35">
        <v>440</v>
      </c>
      <c r="F65" s="101" t="s">
        <v>835</v>
      </c>
    </row>
    <row r="66" spans="1:6" ht="15" customHeight="1" x14ac:dyDescent="0.3">
      <c r="A66" s="86">
        <v>46225</v>
      </c>
      <c r="B66" s="64" t="s">
        <v>247</v>
      </c>
      <c r="C66" s="104" t="s">
        <v>183</v>
      </c>
      <c r="D66" s="64">
        <v>1</v>
      </c>
      <c r="E66" s="40">
        <v>440</v>
      </c>
      <c r="F66" s="104" t="s">
        <v>835</v>
      </c>
    </row>
    <row r="67" spans="1:6" ht="15" customHeight="1" x14ac:dyDescent="0.3">
      <c r="A67" s="85">
        <v>46225</v>
      </c>
      <c r="B67" s="60" t="s">
        <v>248</v>
      </c>
      <c r="C67" s="101" t="s">
        <v>183</v>
      </c>
      <c r="D67" s="60">
        <v>1</v>
      </c>
      <c r="E67" s="35">
        <v>451</v>
      </c>
      <c r="F67" s="101" t="s">
        <v>835</v>
      </c>
    </row>
    <row r="68" spans="1:6" ht="15" customHeight="1" x14ac:dyDescent="0.3">
      <c r="A68" s="86">
        <v>46225</v>
      </c>
      <c r="B68" s="64" t="s">
        <v>249</v>
      </c>
      <c r="C68" s="104" t="s">
        <v>183</v>
      </c>
      <c r="D68" s="64">
        <v>1</v>
      </c>
      <c r="E68" s="40">
        <v>436</v>
      </c>
      <c r="F68" s="104" t="s">
        <v>835</v>
      </c>
    </row>
    <row r="69" spans="1:6" ht="15" customHeight="1" x14ac:dyDescent="0.3">
      <c r="A69" s="85">
        <v>46225</v>
      </c>
      <c r="B69" s="60" t="s">
        <v>250</v>
      </c>
      <c r="C69" s="101" t="s">
        <v>183</v>
      </c>
      <c r="D69" s="60">
        <v>1</v>
      </c>
      <c r="E69" s="35">
        <v>444</v>
      </c>
      <c r="F69" s="101" t="s">
        <v>835</v>
      </c>
    </row>
    <row r="70" spans="1:6" ht="15" customHeight="1" x14ac:dyDescent="0.3">
      <c r="A70" s="86">
        <v>46225</v>
      </c>
      <c r="B70" s="64" t="s">
        <v>251</v>
      </c>
      <c r="C70" s="104" t="s">
        <v>183</v>
      </c>
      <c r="D70" s="64">
        <v>1</v>
      </c>
      <c r="E70" s="40">
        <v>447</v>
      </c>
      <c r="F70" s="104" t="s">
        <v>835</v>
      </c>
    </row>
    <row r="71" spans="1:6" ht="15" customHeight="1" x14ac:dyDescent="0.3">
      <c r="A71" s="85">
        <v>46225</v>
      </c>
      <c r="B71" s="60" t="s">
        <v>252</v>
      </c>
      <c r="C71" s="101" t="s">
        <v>183</v>
      </c>
      <c r="D71" s="60">
        <v>1</v>
      </c>
      <c r="E71" s="35">
        <v>442</v>
      </c>
      <c r="F71" s="101" t="s">
        <v>835</v>
      </c>
    </row>
    <row r="72" spans="1:6" ht="15" customHeight="1" x14ac:dyDescent="0.3">
      <c r="A72" s="86">
        <v>46225</v>
      </c>
      <c r="B72" s="64" t="s">
        <v>253</v>
      </c>
      <c r="C72" s="104" t="s">
        <v>183</v>
      </c>
      <c r="D72" s="64">
        <v>1</v>
      </c>
      <c r="E72" s="40">
        <v>429</v>
      </c>
      <c r="F72" s="104" t="s">
        <v>835</v>
      </c>
    </row>
    <row r="73" spans="1:6" ht="15" customHeight="1" x14ac:dyDescent="0.3">
      <c r="A73" s="85">
        <v>46225</v>
      </c>
      <c r="B73" s="60" t="s">
        <v>254</v>
      </c>
      <c r="C73" s="101" t="s">
        <v>183</v>
      </c>
      <c r="D73" s="60">
        <v>1</v>
      </c>
      <c r="E73" s="35">
        <v>437</v>
      </c>
      <c r="F73" s="101" t="s">
        <v>835</v>
      </c>
    </row>
    <row r="74" spans="1:6" ht="15" customHeight="1" x14ac:dyDescent="0.3">
      <c r="A74" s="86">
        <v>46225</v>
      </c>
      <c r="B74" s="64" t="s">
        <v>255</v>
      </c>
      <c r="C74" s="104" t="s">
        <v>183</v>
      </c>
      <c r="D74" s="64">
        <v>1</v>
      </c>
      <c r="E74" s="40">
        <v>450</v>
      </c>
      <c r="F74" s="104" t="s">
        <v>835</v>
      </c>
    </row>
    <row r="75" spans="1:6" ht="15" customHeight="1" x14ac:dyDescent="0.3">
      <c r="A75" s="85">
        <v>46225</v>
      </c>
      <c r="B75" s="60" t="s">
        <v>256</v>
      </c>
      <c r="C75" s="101" t="s">
        <v>183</v>
      </c>
      <c r="D75" s="60">
        <v>1</v>
      </c>
      <c r="E75" s="35">
        <v>437</v>
      </c>
      <c r="F75" s="101" t="s">
        <v>835</v>
      </c>
    </row>
    <row r="76" spans="1:6" ht="15" customHeight="1" x14ac:dyDescent="0.3">
      <c r="A76" s="86">
        <v>46225</v>
      </c>
      <c r="B76" s="64" t="s">
        <v>257</v>
      </c>
      <c r="C76" s="104" t="s">
        <v>183</v>
      </c>
      <c r="D76" s="64">
        <v>1</v>
      </c>
      <c r="E76" s="40">
        <v>450</v>
      </c>
      <c r="F76" s="104" t="s">
        <v>835</v>
      </c>
    </row>
    <row r="77" spans="1:6" ht="15" customHeight="1" x14ac:dyDescent="0.3">
      <c r="A77" s="85">
        <v>46225</v>
      </c>
      <c r="B77" s="60" t="s">
        <v>258</v>
      </c>
      <c r="C77" s="101" t="s">
        <v>183</v>
      </c>
      <c r="D77" s="60">
        <v>1</v>
      </c>
      <c r="E77" s="35">
        <v>446</v>
      </c>
      <c r="F77" s="101" t="s">
        <v>835</v>
      </c>
    </row>
    <row r="78" spans="1:6" ht="15" customHeight="1" x14ac:dyDescent="0.3">
      <c r="A78" s="86">
        <v>46225</v>
      </c>
      <c r="B78" s="64" t="s">
        <v>259</v>
      </c>
      <c r="C78" s="104" t="s">
        <v>183</v>
      </c>
      <c r="D78" s="64">
        <v>1</v>
      </c>
      <c r="E78" s="40">
        <v>447</v>
      </c>
      <c r="F78" s="104" t="s">
        <v>835</v>
      </c>
    </row>
    <row r="79" spans="1:6" ht="15" customHeight="1" x14ac:dyDescent="0.3">
      <c r="A79" s="85">
        <v>46220</v>
      </c>
      <c r="B79" s="60" t="s">
        <v>260</v>
      </c>
      <c r="C79" s="101" t="s">
        <v>183</v>
      </c>
      <c r="D79" s="60">
        <v>2</v>
      </c>
      <c r="E79" s="35">
        <v>492</v>
      </c>
      <c r="F79" s="101" t="s">
        <v>835</v>
      </c>
    </row>
    <row r="80" spans="1:6" ht="15" customHeight="1" x14ac:dyDescent="0.3">
      <c r="A80" s="86">
        <v>46220</v>
      </c>
      <c r="B80" s="64" t="s">
        <v>261</v>
      </c>
      <c r="C80" s="104" t="s">
        <v>183</v>
      </c>
      <c r="D80" s="64">
        <v>2</v>
      </c>
      <c r="E80" s="40">
        <v>486</v>
      </c>
      <c r="F80" s="104" t="s">
        <v>835</v>
      </c>
    </row>
    <row r="81" spans="1:6" ht="15" customHeight="1" x14ac:dyDescent="0.3">
      <c r="A81" s="85">
        <v>46220</v>
      </c>
      <c r="B81" s="60" t="s">
        <v>262</v>
      </c>
      <c r="C81" s="101" t="s">
        <v>183</v>
      </c>
      <c r="D81" s="60">
        <v>2</v>
      </c>
      <c r="E81" s="35">
        <v>504</v>
      </c>
      <c r="F81" s="101" t="s">
        <v>835</v>
      </c>
    </row>
    <row r="82" spans="1:6" ht="15" customHeight="1" x14ac:dyDescent="0.3">
      <c r="A82" s="86">
        <v>46220</v>
      </c>
      <c r="B82" s="64" t="s">
        <v>263</v>
      </c>
      <c r="C82" s="104" t="s">
        <v>183</v>
      </c>
      <c r="D82" s="64">
        <v>2</v>
      </c>
      <c r="E82" s="40">
        <v>481</v>
      </c>
      <c r="F82" s="104" t="s">
        <v>835</v>
      </c>
    </row>
    <row r="83" spans="1:6" ht="15" customHeight="1" x14ac:dyDescent="0.3">
      <c r="A83" s="85">
        <v>46220</v>
      </c>
      <c r="B83" s="60" t="s">
        <v>264</v>
      </c>
      <c r="C83" s="101" t="s">
        <v>183</v>
      </c>
      <c r="D83" s="60">
        <v>2</v>
      </c>
      <c r="E83" s="35">
        <v>493</v>
      </c>
      <c r="F83" s="101" t="s">
        <v>835</v>
      </c>
    </row>
    <row r="84" spans="1:6" ht="15" customHeight="1" x14ac:dyDescent="0.3">
      <c r="A84" s="86">
        <v>46220</v>
      </c>
      <c r="B84" s="64" t="s">
        <v>265</v>
      </c>
      <c r="C84" s="104" t="s">
        <v>183</v>
      </c>
      <c r="D84" s="64">
        <v>2</v>
      </c>
      <c r="E84" s="40">
        <v>495</v>
      </c>
      <c r="F84" s="104" t="s">
        <v>835</v>
      </c>
    </row>
    <row r="85" spans="1:6" ht="15" customHeight="1" x14ac:dyDescent="0.3">
      <c r="A85" s="85">
        <v>46220</v>
      </c>
      <c r="B85" s="60" t="s">
        <v>266</v>
      </c>
      <c r="C85" s="101" t="s">
        <v>183</v>
      </c>
      <c r="D85" s="60">
        <v>2</v>
      </c>
      <c r="E85" s="35">
        <v>495</v>
      </c>
      <c r="F85" s="101" t="s">
        <v>835</v>
      </c>
    </row>
    <row r="86" spans="1:6" ht="15" customHeight="1" x14ac:dyDescent="0.3">
      <c r="A86" s="86">
        <v>46220</v>
      </c>
      <c r="B86" s="64" t="s">
        <v>267</v>
      </c>
      <c r="C86" s="104" t="s">
        <v>183</v>
      </c>
      <c r="D86" s="64">
        <v>2</v>
      </c>
      <c r="E86" s="40">
        <v>480</v>
      </c>
      <c r="F86" s="104" t="s">
        <v>835</v>
      </c>
    </row>
    <row r="87" spans="1:6" ht="15" customHeight="1" x14ac:dyDescent="0.3">
      <c r="A87" s="85">
        <v>46220</v>
      </c>
      <c r="B87" s="60" t="s">
        <v>268</v>
      </c>
      <c r="C87" s="101" t="s">
        <v>183</v>
      </c>
      <c r="D87" s="60">
        <v>2</v>
      </c>
      <c r="E87" s="35">
        <v>534</v>
      </c>
      <c r="F87" s="101" t="s">
        <v>835</v>
      </c>
    </row>
    <row r="88" spans="1:6" ht="15" customHeight="1" x14ac:dyDescent="0.3">
      <c r="A88" s="86">
        <v>46220</v>
      </c>
      <c r="B88" s="64" t="s">
        <v>269</v>
      </c>
      <c r="C88" s="104" t="s">
        <v>183</v>
      </c>
      <c r="D88" s="64">
        <v>2</v>
      </c>
      <c r="E88" s="40">
        <v>492</v>
      </c>
      <c r="F88" s="104" t="s">
        <v>835</v>
      </c>
    </row>
    <row r="89" spans="1:6" ht="15" customHeight="1" x14ac:dyDescent="0.3">
      <c r="A89" s="85">
        <v>46220</v>
      </c>
      <c r="B89" s="60" t="s">
        <v>270</v>
      </c>
      <c r="C89" s="101" t="s">
        <v>183</v>
      </c>
      <c r="D89" s="60">
        <v>2</v>
      </c>
      <c r="E89" s="35">
        <v>527</v>
      </c>
      <c r="F89" s="101" t="s">
        <v>835</v>
      </c>
    </row>
    <row r="90" spans="1:6" ht="15" customHeight="1" x14ac:dyDescent="0.3">
      <c r="A90" s="86">
        <v>46220</v>
      </c>
      <c r="B90" s="64" t="s">
        <v>271</v>
      </c>
      <c r="C90" s="104" t="s">
        <v>183</v>
      </c>
      <c r="D90" s="64">
        <v>2</v>
      </c>
      <c r="E90" s="40">
        <v>495</v>
      </c>
      <c r="F90" s="104" t="s">
        <v>835</v>
      </c>
    </row>
    <row r="91" spans="1:6" ht="15" customHeight="1" x14ac:dyDescent="0.3">
      <c r="A91" s="85">
        <v>46220</v>
      </c>
      <c r="B91" s="60" t="s">
        <v>272</v>
      </c>
      <c r="C91" s="101" t="s">
        <v>183</v>
      </c>
      <c r="D91" s="60">
        <v>2</v>
      </c>
      <c r="E91" s="35">
        <v>518</v>
      </c>
      <c r="F91" s="101" t="s">
        <v>835</v>
      </c>
    </row>
    <row r="92" spans="1:6" ht="15" customHeight="1" x14ac:dyDescent="0.3">
      <c r="A92" s="86">
        <v>46220</v>
      </c>
      <c r="B92" s="64" t="s">
        <v>273</v>
      </c>
      <c r="C92" s="104" t="s">
        <v>183</v>
      </c>
      <c r="D92" s="64">
        <v>2</v>
      </c>
      <c r="E92" s="40">
        <v>498</v>
      </c>
      <c r="F92" s="104" t="s">
        <v>835</v>
      </c>
    </row>
    <row r="93" spans="1:6" ht="15" customHeight="1" x14ac:dyDescent="0.3">
      <c r="A93" s="85">
        <v>46220</v>
      </c>
      <c r="B93" s="60" t="s">
        <v>274</v>
      </c>
      <c r="C93" s="101" t="s">
        <v>183</v>
      </c>
      <c r="D93" s="60">
        <v>2</v>
      </c>
      <c r="E93" s="35">
        <v>514</v>
      </c>
      <c r="F93" s="101" t="s">
        <v>835</v>
      </c>
    </row>
    <row r="94" spans="1:6" ht="15" customHeight="1" x14ac:dyDescent="0.3">
      <c r="A94" s="86">
        <v>46220</v>
      </c>
      <c r="B94" s="64" t="s">
        <v>275</v>
      </c>
      <c r="C94" s="104" t="s">
        <v>183</v>
      </c>
      <c r="D94" s="64">
        <v>2</v>
      </c>
      <c r="E94" s="40">
        <v>483</v>
      </c>
      <c r="F94" s="104" t="s">
        <v>835</v>
      </c>
    </row>
    <row r="95" spans="1:6" ht="15" customHeight="1" x14ac:dyDescent="0.3">
      <c r="A95" s="85">
        <v>46220</v>
      </c>
      <c r="B95" s="60" t="s">
        <v>276</v>
      </c>
      <c r="C95" s="101" t="s">
        <v>183</v>
      </c>
      <c r="D95" s="60">
        <v>2</v>
      </c>
      <c r="E95" s="35">
        <v>508</v>
      </c>
      <c r="F95" s="101" t="s">
        <v>835</v>
      </c>
    </row>
    <row r="96" spans="1:6" ht="15" customHeight="1" x14ac:dyDescent="0.3">
      <c r="A96" s="86">
        <v>46220</v>
      </c>
      <c r="B96" s="64" t="s">
        <v>277</v>
      </c>
      <c r="C96" s="104" t="s">
        <v>183</v>
      </c>
      <c r="D96" s="64">
        <v>2</v>
      </c>
      <c r="E96" s="40">
        <v>500</v>
      </c>
      <c r="F96" s="104" t="s">
        <v>835</v>
      </c>
    </row>
    <row r="97" spans="1:6" ht="15" customHeight="1" x14ac:dyDescent="0.3">
      <c r="A97" s="85">
        <v>46220</v>
      </c>
      <c r="B97" s="60" t="s">
        <v>278</v>
      </c>
      <c r="C97" s="101" t="s">
        <v>183</v>
      </c>
      <c r="D97" s="60">
        <v>2</v>
      </c>
      <c r="E97" s="35">
        <v>505</v>
      </c>
      <c r="F97" s="101" t="s">
        <v>835</v>
      </c>
    </row>
    <row r="98" spans="1:6" ht="15" customHeight="1" x14ac:dyDescent="0.3">
      <c r="A98" s="86">
        <v>46220</v>
      </c>
      <c r="B98" s="64" t="s">
        <v>279</v>
      </c>
      <c r="C98" s="104" t="s">
        <v>183</v>
      </c>
      <c r="D98" s="64">
        <v>2</v>
      </c>
      <c r="E98" s="40">
        <v>485</v>
      </c>
      <c r="F98" s="104" t="s">
        <v>835</v>
      </c>
    </row>
    <row r="99" spans="1:6" ht="15" customHeight="1" x14ac:dyDescent="0.3">
      <c r="A99" s="85">
        <v>46220</v>
      </c>
      <c r="B99" s="60" t="s">
        <v>280</v>
      </c>
      <c r="C99" s="101" t="s">
        <v>183</v>
      </c>
      <c r="D99" s="60">
        <v>2</v>
      </c>
      <c r="E99" s="35">
        <v>552</v>
      </c>
      <c r="F99" s="101" t="s">
        <v>835</v>
      </c>
    </row>
    <row r="100" spans="1:6" ht="15" customHeight="1" x14ac:dyDescent="0.3">
      <c r="A100" s="86">
        <v>46225</v>
      </c>
      <c r="B100" s="64" t="s">
        <v>281</v>
      </c>
      <c r="C100" s="104" t="s">
        <v>183</v>
      </c>
      <c r="D100" s="64">
        <v>2</v>
      </c>
      <c r="E100" s="40">
        <v>494</v>
      </c>
      <c r="F100" s="104" t="s">
        <v>835</v>
      </c>
    </row>
    <row r="101" spans="1:6" ht="15" customHeight="1" x14ac:dyDescent="0.3">
      <c r="A101" s="85">
        <v>46220</v>
      </c>
      <c r="B101" s="60" t="s">
        <v>282</v>
      </c>
      <c r="C101" s="101" t="s">
        <v>183</v>
      </c>
      <c r="D101" s="60">
        <v>3</v>
      </c>
      <c r="E101" s="35">
        <v>397</v>
      </c>
      <c r="F101" s="101" t="s">
        <v>835</v>
      </c>
    </row>
    <row r="102" spans="1:6" ht="15" customHeight="1" x14ac:dyDescent="0.3">
      <c r="A102" s="86">
        <v>46220</v>
      </c>
      <c r="B102" s="64" t="s">
        <v>283</v>
      </c>
      <c r="C102" s="104" t="s">
        <v>183</v>
      </c>
      <c r="D102" s="64">
        <v>3</v>
      </c>
      <c r="E102" s="40">
        <v>422</v>
      </c>
      <c r="F102" s="104" t="s">
        <v>835</v>
      </c>
    </row>
    <row r="103" spans="1:6" ht="15" customHeight="1" x14ac:dyDescent="0.3">
      <c r="A103" s="85">
        <v>46220</v>
      </c>
      <c r="B103" s="60" t="s">
        <v>284</v>
      </c>
      <c r="C103" s="101" t="s">
        <v>183</v>
      </c>
      <c r="D103" s="60">
        <v>3</v>
      </c>
      <c r="E103" s="35">
        <v>437</v>
      </c>
      <c r="F103" s="101" t="s">
        <v>835</v>
      </c>
    </row>
    <row r="104" spans="1:6" ht="15" customHeight="1" x14ac:dyDescent="0.3">
      <c r="A104" s="86">
        <v>46220</v>
      </c>
      <c r="B104" s="64" t="s">
        <v>285</v>
      </c>
      <c r="C104" s="104" t="s">
        <v>183</v>
      </c>
      <c r="D104" s="64">
        <v>3</v>
      </c>
      <c r="E104" s="40">
        <v>400</v>
      </c>
      <c r="F104" s="104" t="s">
        <v>835</v>
      </c>
    </row>
    <row r="105" spans="1:6" ht="15" customHeight="1" x14ac:dyDescent="0.3">
      <c r="A105" s="85">
        <v>46220</v>
      </c>
      <c r="B105" s="60" t="s">
        <v>286</v>
      </c>
      <c r="C105" s="101" t="s">
        <v>183</v>
      </c>
      <c r="D105" s="60">
        <v>3</v>
      </c>
      <c r="E105" s="35">
        <v>395</v>
      </c>
      <c r="F105" s="101" t="s">
        <v>835</v>
      </c>
    </row>
    <row r="106" spans="1:6" ht="15" customHeight="1" x14ac:dyDescent="0.3">
      <c r="A106" s="86">
        <v>46220</v>
      </c>
      <c r="B106" s="64" t="s">
        <v>287</v>
      </c>
      <c r="C106" s="104" t="s">
        <v>183</v>
      </c>
      <c r="D106" s="64">
        <v>3</v>
      </c>
      <c r="E106" s="40">
        <v>413</v>
      </c>
      <c r="F106" s="104" t="s">
        <v>835</v>
      </c>
    </row>
    <row r="107" spans="1:6" ht="15" customHeight="1" x14ac:dyDescent="0.3">
      <c r="A107" s="85">
        <v>46220</v>
      </c>
      <c r="B107" s="60" t="s">
        <v>288</v>
      </c>
      <c r="C107" s="101" t="s">
        <v>183</v>
      </c>
      <c r="D107" s="60">
        <v>3</v>
      </c>
      <c r="E107" s="35">
        <v>398</v>
      </c>
      <c r="F107" s="101" t="s">
        <v>835</v>
      </c>
    </row>
    <row r="108" spans="1:6" ht="15" customHeight="1" x14ac:dyDescent="0.3">
      <c r="A108" s="86">
        <v>46220</v>
      </c>
      <c r="B108" s="64" t="s">
        <v>289</v>
      </c>
      <c r="C108" s="104" t="s">
        <v>183</v>
      </c>
      <c r="D108" s="64">
        <v>3</v>
      </c>
      <c r="E108" s="40">
        <v>411</v>
      </c>
      <c r="F108" s="104" t="s">
        <v>835</v>
      </c>
    </row>
    <row r="109" spans="1:6" ht="15" customHeight="1" x14ac:dyDescent="0.3">
      <c r="A109" s="85">
        <v>46220</v>
      </c>
      <c r="B109" s="60" t="s">
        <v>290</v>
      </c>
      <c r="C109" s="101" t="s">
        <v>183</v>
      </c>
      <c r="D109" s="60">
        <v>3</v>
      </c>
      <c r="E109" s="35">
        <v>412</v>
      </c>
      <c r="F109" s="101" t="s">
        <v>835</v>
      </c>
    </row>
    <row r="110" spans="1:6" ht="15" customHeight="1" x14ac:dyDescent="0.3">
      <c r="A110" s="86">
        <v>46220</v>
      </c>
      <c r="B110" s="64" t="s">
        <v>291</v>
      </c>
      <c r="C110" s="104" t="s">
        <v>183</v>
      </c>
      <c r="D110" s="64">
        <v>3</v>
      </c>
      <c r="E110" s="40">
        <v>421</v>
      </c>
      <c r="F110" s="104" t="s">
        <v>835</v>
      </c>
    </row>
    <row r="111" spans="1:6" ht="15" customHeight="1" x14ac:dyDescent="0.3">
      <c r="A111" s="85">
        <v>46224</v>
      </c>
      <c r="B111" s="60" t="s">
        <v>292</v>
      </c>
      <c r="C111" s="101" t="s">
        <v>183</v>
      </c>
      <c r="D111" s="60">
        <v>3</v>
      </c>
      <c r="E111" s="35">
        <v>404</v>
      </c>
      <c r="F111" s="101" t="s">
        <v>835</v>
      </c>
    </row>
    <row r="112" spans="1:6" ht="15" customHeight="1" x14ac:dyDescent="0.3">
      <c r="A112" s="86">
        <v>46224</v>
      </c>
      <c r="B112" s="64" t="s">
        <v>293</v>
      </c>
      <c r="C112" s="104" t="s">
        <v>183</v>
      </c>
      <c r="D112" s="64">
        <v>3</v>
      </c>
      <c r="E112" s="40">
        <v>418</v>
      </c>
      <c r="F112" s="104" t="s">
        <v>835</v>
      </c>
    </row>
    <row r="113" spans="1:6" ht="15" customHeight="1" x14ac:dyDescent="0.3">
      <c r="A113" s="85">
        <v>46224</v>
      </c>
      <c r="B113" s="60" t="s">
        <v>294</v>
      </c>
      <c r="C113" s="101" t="s">
        <v>183</v>
      </c>
      <c r="D113" s="60">
        <v>3</v>
      </c>
      <c r="E113" s="35">
        <v>432</v>
      </c>
      <c r="F113" s="101" t="s">
        <v>835</v>
      </c>
    </row>
    <row r="114" spans="1:6" ht="15" customHeight="1" x14ac:dyDescent="0.3">
      <c r="A114" s="86">
        <v>46224</v>
      </c>
      <c r="B114" s="64" t="s">
        <v>295</v>
      </c>
      <c r="C114" s="104" t="s">
        <v>183</v>
      </c>
      <c r="D114" s="64">
        <v>3</v>
      </c>
      <c r="E114" s="40">
        <v>408</v>
      </c>
      <c r="F114" s="104" t="s">
        <v>835</v>
      </c>
    </row>
    <row r="115" spans="1:6" ht="15" customHeight="1" x14ac:dyDescent="0.3">
      <c r="A115" s="85">
        <v>46224</v>
      </c>
      <c r="B115" s="60" t="s">
        <v>296</v>
      </c>
      <c r="C115" s="101" t="s">
        <v>183</v>
      </c>
      <c r="D115" s="60">
        <v>3</v>
      </c>
      <c r="E115" s="35">
        <v>431</v>
      </c>
      <c r="F115" s="101" t="s">
        <v>835</v>
      </c>
    </row>
    <row r="116" spans="1:6" ht="15" customHeight="1" x14ac:dyDescent="0.3">
      <c r="A116" s="86">
        <v>46224</v>
      </c>
      <c r="B116" s="64" t="s">
        <v>297</v>
      </c>
      <c r="C116" s="104" t="s">
        <v>183</v>
      </c>
      <c r="D116" s="64">
        <v>3</v>
      </c>
      <c r="E116" s="40">
        <v>403</v>
      </c>
      <c r="F116" s="104" t="s">
        <v>835</v>
      </c>
    </row>
    <row r="117" spans="1:6" ht="15" customHeight="1" x14ac:dyDescent="0.3">
      <c r="A117" s="85">
        <v>46224</v>
      </c>
      <c r="B117" s="60" t="s">
        <v>298</v>
      </c>
      <c r="C117" s="101" t="s">
        <v>183</v>
      </c>
      <c r="D117" s="60">
        <v>3</v>
      </c>
      <c r="E117" s="35">
        <v>412</v>
      </c>
      <c r="F117" s="101" t="s">
        <v>835</v>
      </c>
    </row>
    <row r="118" spans="1:6" ht="15" customHeight="1" x14ac:dyDescent="0.3">
      <c r="A118" s="86">
        <v>46224</v>
      </c>
      <c r="B118" s="64" t="s">
        <v>299</v>
      </c>
      <c r="C118" s="104" t="s">
        <v>183</v>
      </c>
      <c r="D118" s="64">
        <v>3</v>
      </c>
      <c r="E118" s="40">
        <v>410</v>
      </c>
      <c r="F118" s="104" t="s">
        <v>835</v>
      </c>
    </row>
    <row r="119" spans="1:6" ht="15" customHeight="1" x14ac:dyDescent="0.3">
      <c r="A119" s="85">
        <v>46224</v>
      </c>
      <c r="B119" s="60" t="s">
        <v>300</v>
      </c>
      <c r="C119" s="101" t="s">
        <v>183</v>
      </c>
      <c r="D119" s="60">
        <v>3</v>
      </c>
      <c r="E119" s="35">
        <v>402</v>
      </c>
      <c r="F119" s="101" t="s">
        <v>835</v>
      </c>
    </row>
    <row r="120" spans="1:6" ht="15" customHeight="1" x14ac:dyDescent="0.3">
      <c r="A120" s="86">
        <v>46224</v>
      </c>
      <c r="B120" s="64" t="s">
        <v>301</v>
      </c>
      <c r="C120" s="104" t="s">
        <v>183</v>
      </c>
      <c r="D120" s="64">
        <v>3</v>
      </c>
      <c r="E120" s="40">
        <v>424</v>
      </c>
      <c r="F120" s="104" t="s">
        <v>835</v>
      </c>
    </row>
    <row r="121" spans="1:6" ht="15" customHeight="1" x14ac:dyDescent="0.3">
      <c r="A121" s="85">
        <v>46224</v>
      </c>
      <c r="B121" s="60" t="s">
        <v>302</v>
      </c>
      <c r="C121" s="101" t="s">
        <v>183</v>
      </c>
      <c r="D121" s="60">
        <v>3</v>
      </c>
      <c r="E121" s="35">
        <v>411</v>
      </c>
      <c r="F121" s="101" t="s">
        <v>835</v>
      </c>
    </row>
    <row r="122" spans="1:6" ht="15" customHeight="1" x14ac:dyDescent="0.3">
      <c r="A122" s="86">
        <v>46224</v>
      </c>
      <c r="B122" s="64" t="s">
        <v>303</v>
      </c>
      <c r="C122" s="104" t="s">
        <v>183</v>
      </c>
      <c r="D122" s="64">
        <v>3</v>
      </c>
      <c r="E122" s="40">
        <v>422</v>
      </c>
      <c r="F122" s="104" t="s">
        <v>835</v>
      </c>
    </row>
    <row r="123" spans="1:6" ht="15" customHeight="1" x14ac:dyDescent="0.3">
      <c r="A123" s="85">
        <v>46224</v>
      </c>
      <c r="B123" s="60" t="s">
        <v>304</v>
      </c>
      <c r="C123" s="101" t="s">
        <v>183</v>
      </c>
      <c r="D123" s="60">
        <v>3</v>
      </c>
      <c r="E123" s="35">
        <v>411</v>
      </c>
      <c r="F123" s="101" t="s">
        <v>835</v>
      </c>
    </row>
    <row r="124" spans="1:6" ht="15" customHeight="1" x14ac:dyDescent="0.3">
      <c r="A124" s="86">
        <v>46224</v>
      </c>
      <c r="B124" s="64" t="s">
        <v>305</v>
      </c>
      <c r="C124" s="104" t="s">
        <v>183</v>
      </c>
      <c r="D124" s="64">
        <v>3</v>
      </c>
      <c r="E124" s="40">
        <v>426</v>
      </c>
      <c r="F124" s="104" t="s">
        <v>835</v>
      </c>
    </row>
    <row r="125" spans="1:6" ht="15" customHeight="1" x14ac:dyDescent="0.3">
      <c r="A125" s="85">
        <v>46224</v>
      </c>
      <c r="B125" s="60" t="s">
        <v>306</v>
      </c>
      <c r="C125" s="101" t="s">
        <v>183</v>
      </c>
      <c r="D125" s="60">
        <v>3</v>
      </c>
      <c r="E125" s="35">
        <v>414</v>
      </c>
      <c r="F125" s="101" t="s">
        <v>835</v>
      </c>
    </row>
    <row r="126" spans="1:6" ht="15" customHeight="1" x14ac:dyDescent="0.3">
      <c r="A126" s="86">
        <v>46224</v>
      </c>
      <c r="B126" s="64" t="s">
        <v>307</v>
      </c>
      <c r="C126" s="104" t="s">
        <v>183</v>
      </c>
      <c r="D126" s="64">
        <v>3</v>
      </c>
      <c r="E126" s="40">
        <v>420</v>
      </c>
      <c r="F126" s="104" t="s">
        <v>835</v>
      </c>
    </row>
    <row r="127" spans="1:6" ht="15" customHeight="1" x14ac:dyDescent="0.3">
      <c r="A127" s="85">
        <v>46224</v>
      </c>
      <c r="B127" s="60" t="s">
        <v>308</v>
      </c>
      <c r="C127" s="101" t="s">
        <v>183</v>
      </c>
      <c r="D127" s="60">
        <v>3</v>
      </c>
      <c r="E127" s="35">
        <v>400</v>
      </c>
      <c r="F127" s="101" t="s">
        <v>835</v>
      </c>
    </row>
    <row r="128" spans="1:6" ht="15" customHeight="1" x14ac:dyDescent="0.3">
      <c r="A128" s="86">
        <v>46224</v>
      </c>
      <c r="B128" s="64" t="s">
        <v>309</v>
      </c>
      <c r="C128" s="104" t="s">
        <v>183</v>
      </c>
      <c r="D128" s="64">
        <v>3</v>
      </c>
      <c r="E128" s="40">
        <v>422</v>
      </c>
      <c r="F128" s="104" t="s">
        <v>835</v>
      </c>
    </row>
    <row r="129" spans="1:6" ht="15" customHeight="1" x14ac:dyDescent="0.3">
      <c r="A129" s="85">
        <v>46224</v>
      </c>
      <c r="B129" s="60" t="s">
        <v>310</v>
      </c>
      <c r="C129" s="101" t="s">
        <v>183</v>
      </c>
      <c r="D129" s="60">
        <v>3</v>
      </c>
      <c r="E129" s="35">
        <v>412</v>
      </c>
      <c r="F129" s="101" t="s">
        <v>835</v>
      </c>
    </row>
    <row r="130" spans="1:6" ht="15" customHeight="1" x14ac:dyDescent="0.3">
      <c r="A130" s="86">
        <v>46224</v>
      </c>
      <c r="B130" s="64" t="s">
        <v>311</v>
      </c>
      <c r="C130" s="104" t="s">
        <v>183</v>
      </c>
      <c r="D130" s="64">
        <v>3</v>
      </c>
      <c r="E130" s="40">
        <v>431</v>
      </c>
      <c r="F130" s="104" t="s">
        <v>835</v>
      </c>
    </row>
    <row r="131" spans="1:6" ht="15" customHeight="1" x14ac:dyDescent="0.3">
      <c r="A131" s="85">
        <v>46224</v>
      </c>
      <c r="B131" s="60" t="s">
        <v>312</v>
      </c>
      <c r="C131" s="101" t="s">
        <v>183</v>
      </c>
      <c r="D131" s="60">
        <v>3</v>
      </c>
      <c r="E131" s="35">
        <v>417</v>
      </c>
      <c r="F131" s="101" t="s">
        <v>835</v>
      </c>
    </row>
    <row r="132" spans="1:6" ht="15" customHeight="1" x14ac:dyDescent="0.3">
      <c r="A132" s="86">
        <v>46224</v>
      </c>
      <c r="B132" s="64" t="s">
        <v>313</v>
      </c>
      <c r="C132" s="104" t="s">
        <v>183</v>
      </c>
      <c r="D132" s="64">
        <v>3</v>
      </c>
      <c r="E132" s="40">
        <v>430</v>
      </c>
      <c r="F132" s="104" t="s">
        <v>835</v>
      </c>
    </row>
    <row r="133" spans="1:6" ht="15" customHeight="1" x14ac:dyDescent="0.3">
      <c r="A133" s="85">
        <v>46224</v>
      </c>
      <c r="B133" s="60" t="s">
        <v>314</v>
      </c>
      <c r="C133" s="101" t="s">
        <v>183</v>
      </c>
      <c r="D133" s="60">
        <v>3</v>
      </c>
      <c r="E133" s="35">
        <v>424</v>
      </c>
      <c r="F133" s="101" t="s">
        <v>835</v>
      </c>
    </row>
    <row r="134" spans="1:6" ht="15" customHeight="1" x14ac:dyDescent="0.3">
      <c r="A134" s="86">
        <v>46224</v>
      </c>
      <c r="B134" s="64" t="s">
        <v>315</v>
      </c>
      <c r="C134" s="104" t="s">
        <v>183</v>
      </c>
      <c r="D134" s="64">
        <v>3</v>
      </c>
      <c r="E134" s="40">
        <v>402</v>
      </c>
      <c r="F134" s="104" t="s">
        <v>835</v>
      </c>
    </row>
    <row r="135" spans="1:6" ht="15" customHeight="1" x14ac:dyDescent="0.3">
      <c r="A135" s="85">
        <v>46224</v>
      </c>
      <c r="B135" s="60" t="s">
        <v>316</v>
      </c>
      <c r="C135" s="101" t="s">
        <v>183</v>
      </c>
      <c r="D135" s="60">
        <v>3</v>
      </c>
      <c r="E135" s="35">
        <v>407</v>
      </c>
      <c r="F135" s="101" t="s">
        <v>835</v>
      </c>
    </row>
    <row r="136" spans="1:6" ht="15" customHeight="1" x14ac:dyDescent="0.3">
      <c r="A136" s="86">
        <v>46224</v>
      </c>
      <c r="B136" s="64" t="s">
        <v>317</v>
      </c>
      <c r="C136" s="104" t="s">
        <v>183</v>
      </c>
      <c r="D136" s="64">
        <v>3</v>
      </c>
      <c r="E136" s="40">
        <v>421</v>
      </c>
      <c r="F136" s="104" t="s">
        <v>835</v>
      </c>
    </row>
    <row r="137" spans="1:6" ht="15" customHeight="1" x14ac:dyDescent="0.3">
      <c r="A137" s="85">
        <v>46224</v>
      </c>
      <c r="B137" s="60" t="s">
        <v>318</v>
      </c>
      <c r="C137" s="101" t="s">
        <v>183</v>
      </c>
      <c r="D137" s="60">
        <v>3</v>
      </c>
      <c r="E137" s="35">
        <v>395</v>
      </c>
      <c r="F137" s="101" t="s">
        <v>835</v>
      </c>
    </row>
    <row r="138" spans="1:6" ht="15" customHeight="1" x14ac:dyDescent="0.3">
      <c r="A138" s="86">
        <v>46224</v>
      </c>
      <c r="B138" s="64" t="s">
        <v>319</v>
      </c>
      <c r="C138" s="104" t="s">
        <v>183</v>
      </c>
      <c r="D138" s="64">
        <v>3</v>
      </c>
      <c r="E138" s="40">
        <v>410</v>
      </c>
      <c r="F138" s="104" t="s">
        <v>835</v>
      </c>
    </row>
    <row r="139" spans="1:6" ht="15" customHeight="1" x14ac:dyDescent="0.3">
      <c r="A139" s="85">
        <v>46224</v>
      </c>
      <c r="B139" s="60" t="s">
        <v>320</v>
      </c>
      <c r="C139" s="101" t="s">
        <v>183</v>
      </c>
      <c r="D139" s="60">
        <v>3</v>
      </c>
      <c r="E139" s="35">
        <v>397</v>
      </c>
      <c r="F139" s="101" t="s">
        <v>835</v>
      </c>
    </row>
    <row r="140" spans="1:6" ht="15" customHeight="1" x14ac:dyDescent="0.3">
      <c r="A140" s="86">
        <v>46224</v>
      </c>
      <c r="B140" s="64" t="s">
        <v>321</v>
      </c>
      <c r="C140" s="104" t="s">
        <v>183</v>
      </c>
      <c r="D140" s="64">
        <v>3</v>
      </c>
      <c r="E140" s="40">
        <v>421</v>
      </c>
      <c r="F140" s="104" t="s">
        <v>835</v>
      </c>
    </row>
    <row r="141" spans="1:6" ht="15" customHeight="1" x14ac:dyDescent="0.3">
      <c r="A141" s="85">
        <v>46224</v>
      </c>
      <c r="B141" s="60" t="s">
        <v>322</v>
      </c>
      <c r="C141" s="101" t="s">
        <v>183</v>
      </c>
      <c r="D141" s="60">
        <v>3</v>
      </c>
      <c r="E141" s="35">
        <v>397</v>
      </c>
      <c r="F141" s="101" t="s">
        <v>835</v>
      </c>
    </row>
    <row r="142" spans="1:6" ht="15" customHeight="1" x14ac:dyDescent="0.3">
      <c r="A142" s="86">
        <v>46224</v>
      </c>
      <c r="B142" s="64" t="s">
        <v>323</v>
      </c>
      <c r="C142" s="104" t="s">
        <v>183</v>
      </c>
      <c r="D142" s="64">
        <v>3</v>
      </c>
      <c r="E142" s="40">
        <v>414</v>
      </c>
      <c r="F142" s="104" t="s">
        <v>835</v>
      </c>
    </row>
    <row r="143" spans="1:6" ht="15" customHeight="1" x14ac:dyDescent="0.3">
      <c r="A143" s="85">
        <v>46224</v>
      </c>
      <c r="B143" s="60" t="s">
        <v>324</v>
      </c>
      <c r="C143" s="101" t="s">
        <v>183</v>
      </c>
      <c r="D143" s="60">
        <v>3</v>
      </c>
      <c r="E143" s="35">
        <v>417</v>
      </c>
      <c r="F143" s="101" t="s">
        <v>835</v>
      </c>
    </row>
    <row r="144" spans="1:6" ht="15" customHeight="1" x14ac:dyDescent="0.3">
      <c r="A144" s="86">
        <v>46224</v>
      </c>
      <c r="B144" s="64" t="s">
        <v>325</v>
      </c>
      <c r="C144" s="104" t="s">
        <v>183</v>
      </c>
      <c r="D144" s="64">
        <v>3</v>
      </c>
      <c r="E144" s="40">
        <v>414</v>
      </c>
      <c r="F144" s="104" t="s">
        <v>835</v>
      </c>
    </row>
    <row r="145" spans="1:6" ht="15" customHeight="1" x14ac:dyDescent="0.3">
      <c r="A145" s="85">
        <v>46224</v>
      </c>
      <c r="B145" s="60" t="s">
        <v>326</v>
      </c>
      <c r="C145" s="101" t="s">
        <v>183</v>
      </c>
      <c r="D145" s="60">
        <v>3</v>
      </c>
      <c r="E145" s="35">
        <v>407</v>
      </c>
      <c r="F145" s="101" t="s">
        <v>835</v>
      </c>
    </row>
    <row r="146" spans="1:6" ht="15" customHeight="1" x14ac:dyDescent="0.3">
      <c r="A146" s="86">
        <v>46224</v>
      </c>
      <c r="B146" s="64" t="s">
        <v>327</v>
      </c>
      <c r="C146" s="104" t="s">
        <v>183</v>
      </c>
      <c r="D146" s="64">
        <v>3</v>
      </c>
      <c r="E146" s="40">
        <v>402</v>
      </c>
      <c r="F146" s="104" t="s">
        <v>835</v>
      </c>
    </row>
    <row r="147" spans="1:6" ht="15" customHeight="1" x14ac:dyDescent="0.3">
      <c r="A147" s="85">
        <v>46224</v>
      </c>
      <c r="B147" s="60" t="s">
        <v>328</v>
      </c>
      <c r="C147" s="101" t="s">
        <v>183</v>
      </c>
      <c r="D147" s="60">
        <v>3</v>
      </c>
      <c r="E147" s="35">
        <v>397</v>
      </c>
      <c r="F147" s="101" t="s">
        <v>835</v>
      </c>
    </row>
    <row r="148" spans="1:6" ht="15" customHeight="1" x14ac:dyDescent="0.3">
      <c r="A148" s="86">
        <v>46224</v>
      </c>
      <c r="B148" s="64" t="s">
        <v>329</v>
      </c>
      <c r="C148" s="104" t="s">
        <v>183</v>
      </c>
      <c r="D148" s="64">
        <v>3</v>
      </c>
      <c r="E148" s="40">
        <v>395</v>
      </c>
      <c r="F148" s="104" t="s">
        <v>835</v>
      </c>
    </row>
    <row r="149" spans="1:6" ht="15" customHeight="1" x14ac:dyDescent="0.3">
      <c r="A149" s="85">
        <v>46224</v>
      </c>
      <c r="B149" s="60" t="s">
        <v>330</v>
      </c>
      <c r="C149" s="101" t="s">
        <v>183</v>
      </c>
      <c r="D149" s="60">
        <v>3</v>
      </c>
      <c r="E149" s="35">
        <v>420</v>
      </c>
      <c r="F149" s="101" t="s">
        <v>835</v>
      </c>
    </row>
    <row r="150" spans="1:6" ht="15" customHeight="1" x14ac:dyDescent="0.3">
      <c r="A150" s="86">
        <v>46224</v>
      </c>
      <c r="B150" s="64" t="s">
        <v>331</v>
      </c>
      <c r="C150" s="104" t="s">
        <v>183</v>
      </c>
      <c r="D150" s="64">
        <v>3</v>
      </c>
      <c r="E150" s="40">
        <v>397</v>
      </c>
      <c r="F150" s="104" t="s">
        <v>835</v>
      </c>
    </row>
    <row r="151" spans="1:6" ht="15" customHeight="1" x14ac:dyDescent="0.3">
      <c r="A151" s="85">
        <v>46224</v>
      </c>
      <c r="B151" s="60" t="s">
        <v>332</v>
      </c>
      <c r="C151" s="101" t="s">
        <v>183</v>
      </c>
      <c r="D151" s="60">
        <v>3</v>
      </c>
      <c r="E151" s="35">
        <v>400</v>
      </c>
      <c r="F151" s="101" t="s">
        <v>835</v>
      </c>
    </row>
    <row r="152" spans="1:6" ht="15" customHeight="1" x14ac:dyDescent="0.3">
      <c r="A152" s="86">
        <v>46224</v>
      </c>
      <c r="B152" s="64" t="s">
        <v>333</v>
      </c>
      <c r="C152" s="104" t="s">
        <v>183</v>
      </c>
      <c r="D152" s="64">
        <v>3</v>
      </c>
      <c r="E152" s="40">
        <v>406</v>
      </c>
      <c r="F152" s="104" t="s">
        <v>835</v>
      </c>
    </row>
    <row r="153" spans="1:6" ht="15" customHeight="1" x14ac:dyDescent="0.3">
      <c r="A153" s="85">
        <v>46224</v>
      </c>
      <c r="B153" s="60" t="s">
        <v>334</v>
      </c>
      <c r="C153" s="101" t="s">
        <v>183</v>
      </c>
      <c r="D153" s="60">
        <v>3</v>
      </c>
      <c r="E153" s="35">
        <v>408</v>
      </c>
      <c r="F153" s="101" t="s">
        <v>835</v>
      </c>
    </row>
    <row r="154" spans="1:6" ht="15" customHeight="1" x14ac:dyDescent="0.3">
      <c r="A154" s="86">
        <v>46224</v>
      </c>
      <c r="B154" s="64" t="s">
        <v>335</v>
      </c>
      <c r="C154" s="104" t="s">
        <v>183</v>
      </c>
      <c r="D154" s="64">
        <v>3</v>
      </c>
      <c r="E154" s="40">
        <v>412</v>
      </c>
      <c r="F154" s="104" t="s">
        <v>835</v>
      </c>
    </row>
    <row r="155" spans="1:6" ht="15" customHeight="1" x14ac:dyDescent="0.3">
      <c r="A155" s="85">
        <v>46224</v>
      </c>
      <c r="B155" s="60" t="s">
        <v>336</v>
      </c>
      <c r="C155" s="101" t="s">
        <v>183</v>
      </c>
      <c r="D155" s="60">
        <v>3</v>
      </c>
      <c r="E155" s="35">
        <v>404</v>
      </c>
      <c r="F155" s="101" t="s">
        <v>835</v>
      </c>
    </row>
    <row r="156" spans="1:6" ht="15" customHeight="1" x14ac:dyDescent="0.3">
      <c r="A156" s="86">
        <v>46224</v>
      </c>
      <c r="B156" s="64" t="s">
        <v>337</v>
      </c>
      <c r="C156" s="104" t="s">
        <v>183</v>
      </c>
      <c r="D156" s="64">
        <v>3</v>
      </c>
      <c r="E156" s="40">
        <v>416</v>
      </c>
      <c r="F156" s="104" t="s">
        <v>835</v>
      </c>
    </row>
    <row r="157" spans="1:6" ht="15" customHeight="1" x14ac:dyDescent="0.3">
      <c r="A157" s="85">
        <v>46224</v>
      </c>
      <c r="B157" s="60" t="s">
        <v>338</v>
      </c>
      <c r="C157" s="101" t="s">
        <v>183</v>
      </c>
      <c r="D157" s="60">
        <v>3</v>
      </c>
      <c r="E157" s="35">
        <v>404</v>
      </c>
      <c r="F157" s="101" t="s">
        <v>835</v>
      </c>
    </row>
    <row r="158" spans="1:6" ht="15" customHeight="1" x14ac:dyDescent="0.3">
      <c r="A158" s="86">
        <v>46224</v>
      </c>
      <c r="B158" s="64" t="s">
        <v>339</v>
      </c>
      <c r="C158" s="104" t="s">
        <v>183</v>
      </c>
      <c r="D158" s="64">
        <v>3</v>
      </c>
      <c r="E158" s="40">
        <v>423</v>
      </c>
      <c r="F158" s="104" t="s">
        <v>835</v>
      </c>
    </row>
    <row r="159" spans="1:6" ht="15" customHeight="1" x14ac:dyDescent="0.3">
      <c r="A159" s="85">
        <v>46224</v>
      </c>
      <c r="B159" s="60" t="s">
        <v>340</v>
      </c>
      <c r="C159" s="101" t="s">
        <v>183</v>
      </c>
      <c r="D159" s="60">
        <v>3</v>
      </c>
      <c r="E159" s="35">
        <v>406</v>
      </c>
      <c r="F159" s="101" t="s">
        <v>835</v>
      </c>
    </row>
    <row r="160" spans="1:6" ht="15" customHeight="1" x14ac:dyDescent="0.3">
      <c r="A160" s="86">
        <v>46224</v>
      </c>
      <c r="B160" s="64" t="s">
        <v>341</v>
      </c>
      <c r="C160" s="104" t="s">
        <v>183</v>
      </c>
      <c r="D160" s="64">
        <v>3</v>
      </c>
      <c r="E160" s="40">
        <v>405</v>
      </c>
      <c r="F160" s="104" t="s">
        <v>835</v>
      </c>
    </row>
    <row r="161" spans="1:6" ht="15" customHeight="1" x14ac:dyDescent="0.3">
      <c r="A161" s="85">
        <v>46224</v>
      </c>
      <c r="B161" s="60" t="s">
        <v>342</v>
      </c>
      <c r="C161" s="101" t="s">
        <v>183</v>
      </c>
      <c r="D161" s="60">
        <v>3</v>
      </c>
      <c r="E161" s="35">
        <v>403</v>
      </c>
      <c r="F161" s="101" t="s">
        <v>835</v>
      </c>
    </row>
    <row r="162" spans="1:6" ht="15" customHeight="1" x14ac:dyDescent="0.3">
      <c r="A162" s="86">
        <v>46221</v>
      </c>
      <c r="B162" s="64" t="s">
        <v>343</v>
      </c>
      <c r="C162" s="104" t="s">
        <v>183</v>
      </c>
      <c r="D162" s="64">
        <v>3</v>
      </c>
      <c r="E162" s="40">
        <v>407</v>
      </c>
      <c r="F162" s="104" t="s">
        <v>835</v>
      </c>
    </row>
    <row r="163" spans="1:6" ht="15" customHeight="1" x14ac:dyDescent="0.3">
      <c r="A163" s="85">
        <v>46221</v>
      </c>
      <c r="B163" s="60" t="s">
        <v>344</v>
      </c>
      <c r="C163" s="101" t="s">
        <v>183</v>
      </c>
      <c r="D163" s="60">
        <v>3</v>
      </c>
      <c r="E163" s="35">
        <v>423</v>
      </c>
      <c r="F163" s="101" t="s">
        <v>835</v>
      </c>
    </row>
    <row r="164" spans="1:6" ht="15" customHeight="1" x14ac:dyDescent="0.3">
      <c r="A164" s="86">
        <v>46221</v>
      </c>
      <c r="B164" s="64" t="s">
        <v>345</v>
      </c>
      <c r="C164" s="104" t="s">
        <v>183</v>
      </c>
      <c r="D164" s="64">
        <v>3</v>
      </c>
      <c r="E164" s="40">
        <v>400</v>
      </c>
      <c r="F164" s="104" t="s">
        <v>835</v>
      </c>
    </row>
    <row r="165" spans="1:6" ht="15" customHeight="1" x14ac:dyDescent="0.3">
      <c r="A165" s="85">
        <v>46221</v>
      </c>
      <c r="B165" s="60" t="s">
        <v>346</v>
      </c>
      <c r="C165" s="101" t="s">
        <v>183</v>
      </c>
      <c r="D165" s="60">
        <v>3</v>
      </c>
      <c r="E165" s="35">
        <v>412</v>
      </c>
      <c r="F165" s="101" t="s">
        <v>835</v>
      </c>
    </row>
    <row r="166" spans="1:6" ht="15" customHeight="1" x14ac:dyDescent="0.3">
      <c r="A166" s="86">
        <v>46221</v>
      </c>
      <c r="B166" s="64" t="s">
        <v>347</v>
      </c>
      <c r="C166" s="104" t="s">
        <v>183</v>
      </c>
      <c r="D166" s="64">
        <v>3</v>
      </c>
      <c r="E166" s="40">
        <v>403</v>
      </c>
      <c r="F166" s="104" t="s">
        <v>835</v>
      </c>
    </row>
    <row r="167" spans="1:6" ht="15" customHeight="1" x14ac:dyDescent="0.3">
      <c r="A167" s="85">
        <v>46221</v>
      </c>
      <c r="B167" s="60" t="s">
        <v>348</v>
      </c>
      <c r="C167" s="101" t="s">
        <v>183</v>
      </c>
      <c r="D167" s="60">
        <v>3</v>
      </c>
      <c r="E167" s="35">
        <v>415</v>
      </c>
      <c r="F167" s="101" t="s">
        <v>835</v>
      </c>
    </row>
    <row r="168" spans="1:6" ht="15" customHeight="1" x14ac:dyDescent="0.3">
      <c r="A168" s="86">
        <v>46221</v>
      </c>
      <c r="B168" s="64" t="s">
        <v>349</v>
      </c>
      <c r="C168" s="104" t="s">
        <v>183</v>
      </c>
      <c r="D168" s="64">
        <v>3</v>
      </c>
      <c r="E168" s="40">
        <v>408</v>
      </c>
      <c r="F168" s="104" t="s">
        <v>835</v>
      </c>
    </row>
    <row r="169" spans="1:6" ht="15" customHeight="1" x14ac:dyDescent="0.3">
      <c r="A169" s="85">
        <v>46221</v>
      </c>
      <c r="B169" s="60" t="s">
        <v>350</v>
      </c>
      <c r="C169" s="101" t="s">
        <v>183</v>
      </c>
      <c r="D169" s="60">
        <v>3</v>
      </c>
      <c r="E169" s="35">
        <v>393</v>
      </c>
      <c r="F169" s="101" t="s">
        <v>835</v>
      </c>
    </row>
    <row r="170" spans="1:6" ht="15" customHeight="1" x14ac:dyDescent="0.3">
      <c r="A170" s="86">
        <v>46221</v>
      </c>
      <c r="B170" s="64" t="s">
        <v>351</v>
      </c>
      <c r="C170" s="104" t="s">
        <v>183</v>
      </c>
      <c r="D170" s="64">
        <v>3</v>
      </c>
      <c r="E170" s="40">
        <v>398</v>
      </c>
      <c r="F170" s="104" t="s">
        <v>835</v>
      </c>
    </row>
    <row r="171" spans="1:6" ht="15" customHeight="1" x14ac:dyDescent="0.3">
      <c r="A171" s="85">
        <v>46221</v>
      </c>
      <c r="B171" s="60" t="s">
        <v>352</v>
      </c>
      <c r="C171" s="101" t="s">
        <v>183</v>
      </c>
      <c r="D171" s="60">
        <v>3</v>
      </c>
      <c r="E171" s="35">
        <v>389</v>
      </c>
      <c r="F171" s="101" t="s">
        <v>835</v>
      </c>
    </row>
    <row r="172" spans="1:6" ht="15" customHeight="1" x14ac:dyDescent="0.3">
      <c r="A172" s="86">
        <v>46221</v>
      </c>
      <c r="B172" s="64" t="s">
        <v>353</v>
      </c>
      <c r="C172" s="104" t="s">
        <v>183</v>
      </c>
      <c r="D172" s="64">
        <v>3</v>
      </c>
      <c r="E172" s="40">
        <v>389</v>
      </c>
      <c r="F172" s="104" t="s">
        <v>835</v>
      </c>
    </row>
    <row r="173" spans="1:6" ht="15" customHeight="1" x14ac:dyDescent="0.3">
      <c r="A173" s="85">
        <v>46221</v>
      </c>
      <c r="B173" s="60" t="s">
        <v>354</v>
      </c>
      <c r="C173" s="101" t="s">
        <v>183</v>
      </c>
      <c r="D173" s="60">
        <v>3</v>
      </c>
      <c r="E173" s="35">
        <v>342</v>
      </c>
      <c r="F173" s="101" t="s">
        <v>835</v>
      </c>
    </row>
    <row r="174" spans="1:6" ht="15" customHeight="1" x14ac:dyDescent="0.3">
      <c r="A174" s="86">
        <v>46221</v>
      </c>
      <c r="B174" s="64" t="s">
        <v>355</v>
      </c>
      <c r="C174" s="104" t="s">
        <v>183</v>
      </c>
      <c r="D174" s="64">
        <v>3</v>
      </c>
      <c r="E174" s="40">
        <v>423</v>
      </c>
      <c r="F174" s="104" t="s">
        <v>835</v>
      </c>
    </row>
    <row r="175" spans="1:6" ht="15" customHeight="1" x14ac:dyDescent="0.3">
      <c r="A175" s="85">
        <v>46221</v>
      </c>
      <c r="B175" s="60" t="s">
        <v>356</v>
      </c>
      <c r="C175" s="101" t="s">
        <v>183</v>
      </c>
      <c r="D175" s="60">
        <v>3</v>
      </c>
      <c r="E175" s="35">
        <v>436</v>
      </c>
      <c r="F175" s="101" t="s">
        <v>835</v>
      </c>
    </row>
    <row r="176" spans="1:6" ht="15" customHeight="1" x14ac:dyDescent="0.3">
      <c r="A176" s="86">
        <v>46221</v>
      </c>
      <c r="B176" s="64" t="s">
        <v>357</v>
      </c>
      <c r="C176" s="104" t="s">
        <v>183</v>
      </c>
      <c r="D176" s="64">
        <v>3</v>
      </c>
      <c r="E176" s="40">
        <v>421</v>
      </c>
      <c r="F176" s="104" t="s">
        <v>835</v>
      </c>
    </row>
    <row r="177" spans="1:6" ht="15" customHeight="1" x14ac:dyDescent="0.3">
      <c r="A177" s="85">
        <v>46221</v>
      </c>
      <c r="B177" s="60" t="s">
        <v>358</v>
      </c>
      <c r="C177" s="101" t="s">
        <v>183</v>
      </c>
      <c r="D177" s="60">
        <v>3</v>
      </c>
      <c r="E177" s="35">
        <v>414</v>
      </c>
      <c r="F177" s="101" t="s">
        <v>835</v>
      </c>
    </row>
    <row r="178" spans="1:6" ht="15" customHeight="1" x14ac:dyDescent="0.3">
      <c r="A178" s="86">
        <v>46221</v>
      </c>
      <c r="B178" s="64" t="s">
        <v>359</v>
      </c>
      <c r="C178" s="104" t="s">
        <v>183</v>
      </c>
      <c r="D178" s="64">
        <v>3</v>
      </c>
      <c r="E178" s="40">
        <v>420</v>
      </c>
      <c r="F178" s="104" t="s">
        <v>835</v>
      </c>
    </row>
    <row r="179" spans="1:6" ht="15" customHeight="1" x14ac:dyDescent="0.3">
      <c r="A179" s="85">
        <v>46221</v>
      </c>
      <c r="B179" s="60" t="s">
        <v>360</v>
      </c>
      <c r="C179" s="101" t="s">
        <v>183</v>
      </c>
      <c r="D179" s="60">
        <v>3</v>
      </c>
      <c r="E179" s="35">
        <v>410</v>
      </c>
      <c r="F179" s="101" t="s">
        <v>835</v>
      </c>
    </row>
    <row r="180" spans="1:6" ht="15" customHeight="1" x14ac:dyDescent="0.3">
      <c r="A180" s="86">
        <v>46221</v>
      </c>
      <c r="B180" s="64" t="s">
        <v>361</v>
      </c>
      <c r="C180" s="104" t="s">
        <v>183</v>
      </c>
      <c r="D180" s="64">
        <v>3</v>
      </c>
      <c r="E180" s="40">
        <v>420</v>
      </c>
      <c r="F180" s="104" t="s">
        <v>835</v>
      </c>
    </row>
    <row r="181" spans="1:6" ht="15" customHeight="1" x14ac:dyDescent="0.3">
      <c r="A181" s="85">
        <v>46225</v>
      </c>
      <c r="B181" s="60" t="s">
        <v>362</v>
      </c>
      <c r="C181" s="101" t="s">
        <v>183</v>
      </c>
      <c r="D181" s="60">
        <v>3</v>
      </c>
      <c r="E181" s="35">
        <v>400</v>
      </c>
      <c r="F181" s="101" t="s">
        <v>835</v>
      </c>
    </row>
    <row r="182" spans="1:6" ht="15" customHeight="1" x14ac:dyDescent="0.3">
      <c r="A182" s="86">
        <v>46225</v>
      </c>
      <c r="B182" s="64" t="s">
        <v>363</v>
      </c>
      <c r="C182" s="104" t="s">
        <v>183</v>
      </c>
      <c r="D182" s="64">
        <v>3</v>
      </c>
      <c r="E182" s="40">
        <v>406</v>
      </c>
      <c r="F182" s="104" t="s">
        <v>835</v>
      </c>
    </row>
    <row r="183" spans="1:6" ht="15" customHeight="1" x14ac:dyDescent="0.3">
      <c r="A183" s="85">
        <v>46225</v>
      </c>
      <c r="B183" s="60" t="s">
        <v>364</v>
      </c>
      <c r="C183" s="101" t="s">
        <v>183</v>
      </c>
      <c r="D183" s="60">
        <v>3</v>
      </c>
      <c r="E183" s="35">
        <v>426</v>
      </c>
      <c r="F183" s="101" t="s">
        <v>835</v>
      </c>
    </row>
    <row r="184" spans="1:6" ht="15" customHeight="1" x14ac:dyDescent="0.3">
      <c r="A184" s="86">
        <v>46225</v>
      </c>
      <c r="B184" s="64" t="s">
        <v>365</v>
      </c>
      <c r="C184" s="104" t="s">
        <v>183</v>
      </c>
      <c r="D184" s="64">
        <v>3</v>
      </c>
      <c r="E184" s="40">
        <v>410</v>
      </c>
      <c r="F184" s="104" t="s">
        <v>835</v>
      </c>
    </row>
    <row r="185" spans="1:6" ht="15" customHeight="1" x14ac:dyDescent="0.3">
      <c r="A185" s="85">
        <v>46225</v>
      </c>
      <c r="B185" s="60" t="s">
        <v>366</v>
      </c>
      <c r="C185" s="101" t="s">
        <v>183</v>
      </c>
      <c r="D185" s="60">
        <v>3</v>
      </c>
      <c r="E185" s="35">
        <v>400</v>
      </c>
      <c r="F185" s="101" t="s">
        <v>835</v>
      </c>
    </row>
    <row r="186" spans="1:6" ht="15" customHeight="1" x14ac:dyDescent="0.3">
      <c r="A186" s="86">
        <v>46221</v>
      </c>
      <c r="B186" s="64" t="s">
        <v>367</v>
      </c>
      <c r="C186" s="104" t="s">
        <v>183</v>
      </c>
      <c r="D186" s="64">
        <v>4</v>
      </c>
      <c r="E186" s="40">
        <v>398</v>
      </c>
      <c r="F186" s="104" t="s">
        <v>835</v>
      </c>
    </row>
    <row r="187" spans="1:6" ht="15" customHeight="1" x14ac:dyDescent="0.3">
      <c r="A187" s="85">
        <v>46221</v>
      </c>
      <c r="B187" s="60" t="s">
        <v>368</v>
      </c>
      <c r="C187" s="101" t="s">
        <v>183</v>
      </c>
      <c r="D187" s="60">
        <v>4</v>
      </c>
      <c r="E187" s="35">
        <v>387</v>
      </c>
      <c r="F187" s="101" t="s">
        <v>835</v>
      </c>
    </row>
    <row r="188" spans="1:6" ht="15" customHeight="1" x14ac:dyDescent="0.3">
      <c r="A188" s="86">
        <v>46221</v>
      </c>
      <c r="B188" s="64" t="s">
        <v>369</v>
      </c>
      <c r="C188" s="104" t="s">
        <v>183</v>
      </c>
      <c r="D188" s="64">
        <v>4</v>
      </c>
      <c r="E188" s="40">
        <v>378</v>
      </c>
      <c r="F188" s="104" t="s">
        <v>835</v>
      </c>
    </row>
    <row r="189" spans="1:6" ht="15" customHeight="1" x14ac:dyDescent="0.3">
      <c r="A189" s="85">
        <v>46221</v>
      </c>
      <c r="B189" s="60" t="s">
        <v>370</v>
      </c>
      <c r="C189" s="101" t="s">
        <v>183</v>
      </c>
      <c r="D189" s="60">
        <v>4</v>
      </c>
      <c r="E189" s="35">
        <v>378</v>
      </c>
      <c r="F189" s="101" t="s">
        <v>835</v>
      </c>
    </row>
    <row r="190" spans="1:6" ht="15" customHeight="1" x14ac:dyDescent="0.3">
      <c r="A190" s="86">
        <v>46221</v>
      </c>
      <c r="B190" s="64" t="s">
        <v>371</v>
      </c>
      <c r="C190" s="104" t="s">
        <v>183</v>
      </c>
      <c r="D190" s="64">
        <v>4</v>
      </c>
      <c r="E190" s="40">
        <v>378</v>
      </c>
      <c r="F190" s="104" t="s">
        <v>835</v>
      </c>
    </row>
    <row r="191" spans="1:6" ht="15" customHeight="1" x14ac:dyDescent="0.3">
      <c r="A191" s="85">
        <v>46221</v>
      </c>
      <c r="B191" s="60" t="s">
        <v>372</v>
      </c>
      <c r="C191" s="101" t="s">
        <v>183</v>
      </c>
      <c r="D191" s="60">
        <v>4</v>
      </c>
      <c r="E191" s="35">
        <v>376</v>
      </c>
      <c r="F191" s="101" t="s">
        <v>835</v>
      </c>
    </row>
    <row r="192" spans="1:6" ht="15" customHeight="1" x14ac:dyDescent="0.3">
      <c r="A192" s="86">
        <v>46221</v>
      </c>
      <c r="B192" s="64" t="s">
        <v>373</v>
      </c>
      <c r="C192" s="104" t="s">
        <v>183</v>
      </c>
      <c r="D192" s="64">
        <v>4</v>
      </c>
      <c r="E192" s="40">
        <v>393</v>
      </c>
      <c r="F192" s="104" t="s">
        <v>835</v>
      </c>
    </row>
    <row r="193" spans="1:6" ht="15" customHeight="1" x14ac:dyDescent="0.3">
      <c r="A193" s="85">
        <v>46221</v>
      </c>
      <c r="B193" s="60" t="s">
        <v>374</v>
      </c>
      <c r="C193" s="101" t="s">
        <v>183</v>
      </c>
      <c r="D193" s="60">
        <v>4</v>
      </c>
      <c r="E193" s="35">
        <v>374</v>
      </c>
      <c r="F193" s="101" t="s">
        <v>835</v>
      </c>
    </row>
    <row r="194" spans="1:6" ht="15" customHeight="1" x14ac:dyDescent="0.3">
      <c r="A194" s="86">
        <v>46221</v>
      </c>
      <c r="B194" s="64" t="s">
        <v>375</v>
      </c>
      <c r="C194" s="104" t="s">
        <v>183</v>
      </c>
      <c r="D194" s="64">
        <v>4</v>
      </c>
      <c r="E194" s="40">
        <v>390</v>
      </c>
      <c r="F194" s="104" t="s">
        <v>835</v>
      </c>
    </row>
    <row r="195" spans="1:6" ht="15" customHeight="1" x14ac:dyDescent="0.3">
      <c r="A195" s="85">
        <v>46221</v>
      </c>
      <c r="B195" s="60" t="s">
        <v>376</v>
      </c>
      <c r="C195" s="101" t="s">
        <v>183</v>
      </c>
      <c r="D195" s="60">
        <v>4</v>
      </c>
      <c r="E195" s="35">
        <v>388</v>
      </c>
      <c r="F195" s="101" t="s">
        <v>835</v>
      </c>
    </row>
    <row r="196" spans="1:6" ht="15" customHeight="1" x14ac:dyDescent="0.3">
      <c r="A196" s="86">
        <v>46221</v>
      </c>
      <c r="B196" s="64" t="s">
        <v>377</v>
      </c>
      <c r="C196" s="104" t="s">
        <v>183</v>
      </c>
      <c r="D196" s="64">
        <v>4</v>
      </c>
      <c r="E196" s="40">
        <v>376</v>
      </c>
      <c r="F196" s="104" t="s">
        <v>835</v>
      </c>
    </row>
    <row r="197" spans="1:6" ht="15" customHeight="1" x14ac:dyDescent="0.3">
      <c r="A197" s="85">
        <v>46221</v>
      </c>
      <c r="B197" s="60" t="s">
        <v>378</v>
      </c>
      <c r="C197" s="101" t="s">
        <v>183</v>
      </c>
      <c r="D197" s="60">
        <v>4</v>
      </c>
      <c r="E197" s="35">
        <v>382</v>
      </c>
      <c r="F197" s="101" t="s">
        <v>835</v>
      </c>
    </row>
    <row r="198" spans="1:6" ht="15" customHeight="1" x14ac:dyDescent="0.3">
      <c r="A198" s="86">
        <v>46221</v>
      </c>
      <c r="B198" s="64" t="s">
        <v>379</v>
      </c>
      <c r="C198" s="104" t="s">
        <v>183</v>
      </c>
      <c r="D198" s="64">
        <v>4</v>
      </c>
      <c r="E198" s="40">
        <v>382</v>
      </c>
      <c r="F198" s="104" t="s">
        <v>835</v>
      </c>
    </row>
    <row r="199" spans="1:6" ht="15" customHeight="1" x14ac:dyDescent="0.3">
      <c r="A199" s="85">
        <v>46221</v>
      </c>
      <c r="B199" s="60" t="s">
        <v>380</v>
      </c>
      <c r="C199" s="101" t="s">
        <v>183</v>
      </c>
      <c r="D199" s="60">
        <v>4</v>
      </c>
      <c r="E199" s="35">
        <v>378</v>
      </c>
      <c r="F199" s="101" t="s">
        <v>835</v>
      </c>
    </row>
    <row r="200" spans="1:6" ht="15" customHeight="1" x14ac:dyDescent="0.3">
      <c r="A200" s="86">
        <v>46221</v>
      </c>
      <c r="B200" s="64" t="s">
        <v>381</v>
      </c>
      <c r="C200" s="104" t="s">
        <v>183</v>
      </c>
      <c r="D200" s="64">
        <v>4</v>
      </c>
      <c r="E200" s="40">
        <v>396</v>
      </c>
      <c r="F200" s="104" t="s">
        <v>835</v>
      </c>
    </row>
    <row r="201" spans="1:6" ht="15" customHeight="1" x14ac:dyDescent="0.3">
      <c r="A201" s="85">
        <v>46221</v>
      </c>
      <c r="B201" s="60" t="s">
        <v>382</v>
      </c>
      <c r="C201" s="101" t="s">
        <v>183</v>
      </c>
      <c r="D201" s="60">
        <v>4</v>
      </c>
      <c r="E201" s="35">
        <v>397</v>
      </c>
      <c r="F201" s="101" t="s">
        <v>835</v>
      </c>
    </row>
    <row r="202" spans="1:6" ht="15" customHeight="1" x14ac:dyDescent="0.3">
      <c r="A202" s="86">
        <v>46221</v>
      </c>
      <c r="B202" s="64" t="s">
        <v>383</v>
      </c>
      <c r="C202" s="104" t="s">
        <v>183</v>
      </c>
      <c r="D202" s="64">
        <v>4</v>
      </c>
      <c r="E202" s="40">
        <v>377</v>
      </c>
      <c r="F202" s="104" t="s">
        <v>835</v>
      </c>
    </row>
    <row r="203" spans="1:6" ht="15" customHeight="1" x14ac:dyDescent="0.3">
      <c r="A203" s="85">
        <v>46221</v>
      </c>
      <c r="B203" s="60" t="s">
        <v>384</v>
      </c>
      <c r="C203" s="101" t="s">
        <v>183</v>
      </c>
      <c r="D203" s="60">
        <v>4</v>
      </c>
      <c r="E203" s="35">
        <v>370</v>
      </c>
      <c r="F203" s="101" t="s">
        <v>835</v>
      </c>
    </row>
    <row r="204" spans="1:6" ht="15" customHeight="1" x14ac:dyDescent="0.3">
      <c r="A204" s="86">
        <v>46221</v>
      </c>
      <c r="B204" s="64" t="s">
        <v>385</v>
      </c>
      <c r="C204" s="104" t="s">
        <v>183</v>
      </c>
      <c r="D204" s="64">
        <v>4</v>
      </c>
      <c r="E204" s="40">
        <v>373</v>
      </c>
      <c r="F204" s="104" t="s">
        <v>835</v>
      </c>
    </row>
    <row r="205" spans="1:6" ht="15" customHeight="1" x14ac:dyDescent="0.3">
      <c r="A205" s="85">
        <v>46221</v>
      </c>
      <c r="B205" s="60" t="s">
        <v>386</v>
      </c>
      <c r="C205" s="101" t="s">
        <v>183</v>
      </c>
      <c r="D205" s="60">
        <v>4</v>
      </c>
      <c r="E205" s="35">
        <v>382</v>
      </c>
      <c r="F205" s="101" t="s">
        <v>835</v>
      </c>
    </row>
    <row r="206" spans="1:6" ht="15" customHeight="1" x14ac:dyDescent="0.3">
      <c r="A206" s="86">
        <v>46221</v>
      </c>
      <c r="B206" s="64" t="s">
        <v>387</v>
      </c>
      <c r="C206" s="104" t="s">
        <v>183</v>
      </c>
      <c r="D206" s="64">
        <v>4</v>
      </c>
      <c r="E206" s="40">
        <v>373</v>
      </c>
      <c r="F206" s="104" t="s">
        <v>835</v>
      </c>
    </row>
    <row r="207" spans="1:6" ht="15" customHeight="1" x14ac:dyDescent="0.3">
      <c r="A207" s="85">
        <v>46221</v>
      </c>
      <c r="B207" s="60" t="s">
        <v>388</v>
      </c>
      <c r="C207" s="101" t="s">
        <v>183</v>
      </c>
      <c r="D207" s="60">
        <v>4</v>
      </c>
      <c r="E207" s="35">
        <v>381</v>
      </c>
      <c r="F207" s="101" t="s">
        <v>835</v>
      </c>
    </row>
    <row r="208" spans="1:6" ht="15" customHeight="1" x14ac:dyDescent="0.3">
      <c r="A208" s="86">
        <v>46221</v>
      </c>
      <c r="B208" s="64" t="s">
        <v>389</v>
      </c>
      <c r="C208" s="104" t="s">
        <v>183</v>
      </c>
      <c r="D208" s="64">
        <v>4</v>
      </c>
      <c r="E208" s="40">
        <v>371</v>
      </c>
      <c r="F208" s="104" t="s">
        <v>835</v>
      </c>
    </row>
    <row r="209" spans="1:6" ht="15" customHeight="1" x14ac:dyDescent="0.3">
      <c r="A209" s="85">
        <v>46221</v>
      </c>
      <c r="B209" s="60" t="s">
        <v>390</v>
      </c>
      <c r="C209" s="101" t="s">
        <v>183</v>
      </c>
      <c r="D209" s="60">
        <v>4</v>
      </c>
      <c r="E209" s="35">
        <v>370</v>
      </c>
      <c r="F209" s="101" t="s">
        <v>835</v>
      </c>
    </row>
    <row r="210" spans="1:6" ht="15" customHeight="1" x14ac:dyDescent="0.3">
      <c r="A210" s="86">
        <v>46221</v>
      </c>
      <c r="B210" s="64" t="s">
        <v>391</v>
      </c>
      <c r="C210" s="104" t="s">
        <v>183</v>
      </c>
      <c r="D210" s="64">
        <v>4</v>
      </c>
      <c r="E210" s="40">
        <v>395</v>
      </c>
      <c r="F210" s="104" t="s">
        <v>835</v>
      </c>
    </row>
    <row r="211" spans="1:6" ht="15" customHeight="1" x14ac:dyDescent="0.3">
      <c r="A211" s="85">
        <v>46221</v>
      </c>
      <c r="B211" s="60" t="s">
        <v>392</v>
      </c>
      <c r="C211" s="101" t="s">
        <v>183</v>
      </c>
      <c r="D211" s="60">
        <v>4</v>
      </c>
      <c r="E211" s="35">
        <v>384</v>
      </c>
      <c r="F211" s="101" t="s">
        <v>835</v>
      </c>
    </row>
    <row r="212" spans="1:6" ht="15" customHeight="1" x14ac:dyDescent="0.3">
      <c r="A212" s="86">
        <v>46221</v>
      </c>
      <c r="B212" s="64" t="s">
        <v>393</v>
      </c>
      <c r="C212" s="104" t="s">
        <v>183</v>
      </c>
      <c r="D212" s="64">
        <v>4</v>
      </c>
      <c r="E212" s="40">
        <v>386</v>
      </c>
      <c r="F212" s="104" t="s">
        <v>835</v>
      </c>
    </row>
    <row r="213" spans="1:6" ht="15" customHeight="1" x14ac:dyDescent="0.3">
      <c r="A213" s="85">
        <v>46221</v>
      </c>
      <c r="B213" s="60" t="s">
        <v>394</v>
      </c>
      <c r="C213" s="101" t="s">
        <v>183</v>
      </c>
      <c r="D213" s="60">
        <v>4</v>
      </c>
      <c r="E213" s="35">
        <v>391</v>
      </c>
      <c r="F213" s="101" t="s">
        <v>835</v>
      </c>
    </row>
    <row r="214" spans="1:6" ht="15" customHeight="1" x14ac:dyDescent="0.3">
      <c r="A214" s="86">
        <v>46221</v>
      </c>
      <c r="B214" s="64" t="s">
        <v>395</v>
      </c>
      <c r="C214" s="104" t="s">
        <v>183</v>
      </c>
      <c r="D214" s="64">
        <v>4</v>
      </c>
      <c r="E214" s="40">
        <v>384</v>
      </c>
      <c r="F214" s="104" t="s">
        <v>835</v>
      </c>
    </row>
    <row r="215" spans="1:6" ht="15" customHeight="1" x14ac:dyDescent="0.3">
      <c r="A215" s="85">
        <v>46221</v>
      </c>
      <c r="B215" s="60" t="s">
        <v>396</v>
      </c>
      <c r="C215" s="101" t="s">
        <v>183</v>
      </c>
      <c r="D215" s="60">
        <v>4</v>
      </c>
      <c r="E215" s="35">
        <v>376</v>
      </c>
      <c r="F215" s="101" t="s">
        <v>835</v>
      </c>
    </row>
    <row r="216" spans="1:6" ht="15" customHeight="1" x14ac:dyDescent="0.3">
      <c r="A216" s="86">
        <v>46221</v>
      </c>
      <c r="B216" s="64" t="s">
        <v>397</v>
      </c>
      <c r="C216" s="104" t="s">
        <v>183</v>
      </c>
      <c r="D216" s="64">
        <v>4</v>
      </c>
      <c r="E216" s="40">
        <v>373</v>
      </c>
      <c r="F216" s="104" t="s">
        <v>835</v>
      </c>
    </row>
    <row r="217" spans="1:6" ht="15" customHeight="1" x14ac:dyDescent="0.3">
      <c r="A217" s="85">
        <v>46221</v>
      </c>
      <c r="B217" s="60" t="s">
        <v>398</v>
      </c>
      <c r="C217" s="101" t="s">
        <v>183</v>
      </c>
      <c r="D217" s="60">
        <v>4</v>
      </c>
      <c r="E217" s="35">
        <v>370</v>
      </c>
      <c r="F217" s="101" t="s">
        <v>835</v>
      </c>
    </row>
    <row r="218" spans="1:6" ht="15" customHeight="1" x14ac:dyDescent="0.3">
      <c r="A218" s="86">
        <v>46221</v>
      </c>
      <c r="B218" s="64" t="s">
        <v>399</v>
      </c>
      <c r="C218" s="104" t="s">
        <v>183</v>
      </c>
      <c r="D218" s="64">
        <v>4</v>
      </c>
      <c r="E218" s="40">
        <v>383</v>
      </c>
      <c r="F218" s="104" t="s">
        <v>835</v>
      </c>
    </row>
    <row r="219" spans="1:6" ht="15" customHeight="1" x14ac:dyDescent="0.3">
      <c r="A219" s="85">
        <v>46221</v>
      </c>
      <c r="B219" s="60" t="s">
        <v>400</v>
      </c>
      <c r="C219" s="101" t="s">
        <v>183</v>
      </c>
      <c r="D219" s="60">
        <v>4</v>
      </c>
      <c r="E219" s="35">
        <v>391</v>
      </c>
      <c r="F219" s="101" t="s">
        <v>835</v>
      </c>
    </row>
    <row r="220" spans="1:6" ht="15" customHeight="1" x14ac:dyDescent="0.3">
      <c r="A220" s="86">
        <v>46221</v>
      </c>
      <c r="B220" s="64" t="s">
        <v>401</v>
      </c>
      <c r="C220" s="104" t="s">
        <v>183</v>
      </c>
      <c r="D220" s="64">
        <v>4</v>
      </c>
      <c r="E220" s="40">
        <v>387</v>
      </c>
      <c r="F220" s="104" t="s">
        <v>835</v>
      </c>
    </row>
    <row r="221" spans="1:6" ht="15" customHeight="1" x14ac:dyDescent="0.3">
      <c r="A221" s="85">
        <v>46221</v>
      </c>
      <c r="B221" s="60" t="s">
        <v>402</v>
      </c>
      <c r="C221" s="101" t="s">
        <v>183</v>
      </c>
      <c r="D221" s="60">
        <v>4</v>
      </c>
      <c r="E221" s="35">
        <v>376</v>
      </c>
      <c r="F221" s="101" t="s">
        <v>835</v>
      </c>
    </row>
    <row r="222" spans="1:6" ht="15" customHeight="1" x14ac:dyDescent="0.3">
      <c r="A222" s="86">
        <v>46221</v>
      </c>
      <c r="B222" s="64" t="s">
        <v>403</v>
      </c>
      <c r="C222" s="104" t="s">
        <v>183</v>
      </c>
      <c r="D222" s="64">
        <v>4</v>
      </c>
      <c r="E222" s="40">
        <v>383</v>
      </c>
      <c r="F222" s="104" t="s">
        <v>835</v>
      </c>
    </row>
    <row r="223" spans="1:6" ht="15" customHeight="1" x14ac:dyDescent="0.3">
      <c r="A223" s="85">
        <v>46221</v>
      </c>
      <c r="B223" s="60" t="s">
        <v>404</v>
      </c>
      <c r="C223" s="101" t="s">
        <v>183</v>
      </c>
      <c r="D223" s="60">
        <v>4</v>
      </c>
      <c r="E223" s="35">
        <v>379</v>
      </c>
      <c r="F223" s="101" t="s">
        <v>835</v>
      </c>
    </row>
    <row r="224" spans="1:6" ht="15" customHeight="1" x14ac:dyDescent="0.3">
      <c r="A224" s="86">
        <v>46221</v>
      </c>
      <c r="B224" s="64" t="s">
        <v>405</v>
      </c>
      <c r="C224" s="104" t="s">
        <v>183</v>
      </c>
      <c r="D224" s="64">
        <v>4</v>
      </c>
      <c r="E224" s="40">
        <v>396</v>
      </c>
      <c r="F224" s="104" t="s">
        <v>835</v>
      </c>
    </row>
    <row r="225" spans="1:6" ht="15" customHeight="1" x14ac:dyDescent="0.3">
      <c r="A225" s="85">
        <v>46221</v>
      </c>
      <c r="B225" s="60" t="s">
        <v>406</v>
      </c>
      <c r="C225" s="101" t="s">
        <v>183</v>
      </c>
      <c r="D225" s="60">
        <v>4</v>
      </c>
      <c r="E225" s="35">
        <v>376</v>
      </c>
      <c r="F225" s="101" t="s">
        <v>835</v>
      </c>
    </row>
    <row r="226" spans="1:6" ht="15" customHeight="1" x14ac:dyDescent="0.3">
      <c r="A226" s="86">
        <v>46221</v>
      </c>
      <c r="B226" s="64" t="s">
        <v>407</v>
      </c>
      <c r="C226" s="104" t="s">
        <v>183</v>
      </c>
      <c r="D226" s="64">
        <v>4</v>
      </c>
      <c r="E226" s="40">
        <v>386</v>
      </c>
      <c r="F226" s="104" t="s">
        <v>835</v>
      </c>
    </row>
    <row r="227" spans="1:6" ht="15" customHeight="1" x14ac:dyDescent="0.3">
      <c r="A227" s="85">
        <v>46221</v>
      </c>
      <c r="B227" s="60" t="s">
        <v>408</v>
      </c>
      <c r="C227" s="101" t="s">
        <v>183</v>
      </c>
      <c r="D227" s="60">
        <v>4</v>
      </c>
      <c r="E227" s="35">
        <v>378</v>
      </c>
      <c r="F227" s="101" t="s">
        <v>835</v>
      </c>
    </row>
    <row r="228" spans="1:6" ht="15" customHeight="1" x14ac:dyDescent="0.3">
      <c r="A228" s="86">
        <v>46221</v>
      </c>
      <c r="B228" s="64" t="s">
        <v>409</v>
      </c>
      <c r="C228" s="104" t="s">
        <v>183</v>
      </c>
      <c r="D228" s="64">
        <v>4</v>
      </c>
      <c r="E228" s="40">
        <v>381</v>
      </c>
      <c r="F228" s="104" t="s">
        <v>835</v>
      </c>
    </row>
    <row r="229" spans="1:6" ht="15" customHeight="1" x14ac:dyDescent="0.3">
      <c r="A229" s="85">
        <v>46221</v>
      </c>
      <c r="B229" s="60" t="s">
        <v>410</v>
      </c>
      <c r="C229" s="101" t="s">
        <v>183</v>
      </c>
      <c r="D229" s="60">
        <v>4</v>
      </c>
      <c r="E229" s="35">
        <v>389</v>
      </c>
      <c r="F229" s="101" t="s">
        <v>835</v>
      </c>
    </row>
    <row r="230" spans="1:6" ht="15" customHeight="1" x14ac:dyDescent="0.3">
      <c r="A230" s="86">
        <v>46221</v>
      </c>
      <c r="B230" s="64" t="s">
        <v>411</v>
      </c>
      <c r="C230" s="104" t="s">
        <v>183</v>
      </c>
      <c r="D230" s="64">
        <v>4</v>
      </c>
      <c r="E230" s="40">
        <v>378</v>
      </c>
      <c r="F230" s="104" t="s">
        <v>835</v>
      </c>
    </row>
    <row r="231" spans="1:6" ht="15" customHeight="1" x14ac:dyDescent="0.3">
      <c r="A231" s="85">
        <v>46221</v>
      </c>
      <c r="B231" s="60" t="s">
        <v>412</v>
      </c>
      <c r="C231" s="101" t="s">
        <v>183</v>
      </c>
      <c r="D231" s="60">
        <v>4</v>
      </c>
      <c r="E231" s="35">
        <v>377</v>
      </c>
      <c r="F231" s="101" t="s">
        <v>835</v>
      </c>
    </row>
    <row r="232" spans="1:6" ht="15" customHeight="1" x14ac:dyDescent="0.3">
      <c r="A232" s="86">
        <v>46221</v>
      </c>
      <c r="B232" s="64" t="s">
        <v>413</v>
      </c>
      <c r="C232" s="104" t="s">
        <v>183</v>
      </c>
      <c r="D232" s="64">
        <v>4</v>
      </c>
      <c r="E232" s="40">
        <v>385</v>
      </c>
      <c r="F232" s="104" t="s">
        <v>835</v>
      </c>
    </row>
    <row r="233" spans="1:6" ht="15" customHeight="1" x14ac:dyDescent="0.3">
      <c r="A233" s="85">
        <v>46221</v>
      </c>
      <c r="B233" s="60" t="s">
        <v>414</v>
      </c>
      <c r="C233" s="101" t="s">
        <v>183</v>
      </c>
      <c r="D233" s="60">
        <v>4</v>
      </c>
      <c r="E233" s="35">
        <v>373</v>
      </c>
      <c r="F233" s="101" t="s">
        <v>835</v>
      </c>
    </row>
    <row r="234" spans="1:6" ht="15" customHeight="1" x14ac:dyDescent="0.3">
      <c r="A234" s="86">
        <v>46221</v>
      </c>
      <c r="B234" s="64" t="s">
        <v>415</v>
      </c>
      <c r="C234" s="104" t="s">
        <v>183</v>
      </c>
      <c r="D234" s="64">
        <v>4</v>
      </c>
      <c r="E234" s="40">
        <v>391</v>
      </c>
      <c r="F234" s="104" t="s">
        <v>835</v>
      </c>
    </row>
    <row r="235" spans="1:6" ht="15" customHeight="1" x14ac:dyDescent="0.3">
      <c r="A235" s="85">
        <v>46221</v>
      </c>
      <c r="B235" s="60" t="s">
        <v>416</v>
      </c>
      <c r="C235" s="101" t="s">
        <v>183</v>
      </c>
      <c r="D235" s="60">
        <v>4</v>
      </c>
      <c r="E235" s="35">
        <v>392</v>
      </c>
      <c r="F235" s="101" t="s">
        <v>835</v>
      </c>
    </row>
    <row r="236" spans="1:6" ht="15" customHeight="1" x14ac:dyDescent="0.3">
      <c r="A236" s="86">
        <v>46221</v>
      </c>
      <c r="B236" s="64" t="s">
        <v>417</v>
      </c>
      <c r="C236" s="104" t="s">
        <v>183</v>
      </c>
      <c r="D236" s="64">
        <v>4</v>
      </c>
      <c r="E236" s="40">
        <v>378</v>
      </c>
      <c r="F236" s="104" t="s">
        <v>835</v>
      </c>
    </row>
    <row r="237" spans="1:6" ht="15" customHeight="1" x14ac:dyDescent="0.3">
      <c r="A237" s="85">
        <v>46221</v>
      </c>
      <c r="B237" s="60" t="s">
        <v>418</v>
      </c>
      <c r="C237" s="101" t="s">
        <v>183</v>
      </c>
      <c r="D237" s="60">
        <v>4</v>
      </c>
      <c r="E237" s="35">
        <v>383</v>
      </c>
      <c r="F237" s="101" t="s">
        <v>835</v>
      </c>
    </row>
    <row r="238" spans="1:6" ht="15" customHeight="1" x14ac:dyDescent="0.3">
      <c r="A238" s="86">
        <v>46221</v>
      </c>
      <c r="B238" s="64" t="s">
        <v>419</v>
      </c>
      <c r="C238" s="104" t="s">
        <v>183</v>
      </c>
      <c r="D238" s="64">
        <v>4</v>
      </c>
      <c r="E238" s="40">
        <v>389</v>
      </c>
      <c r="F238" s="104" t="s">
        <v>835</v>
      </c>
    </row>
    <row r="239" spans="1:6" ht="15" customHeight="1" x14ac:dyDescent="0.3">
      <c r="A239" s="85">
        <v>46221</v>
      </c>
      <c r="B239" s="60" t="s">
        <v>420</v>
      </c>
      <c r="C239" s="101" t="s">
        <v>183</v>
      </c>
      <c r="D239" s="60">
        <v>4</v>
      </c>
      <c r="E239" s="35">
        <v>385</v>
      </c>
      <c r="F239" s="101" t="s">
        <v>835</v>
      </c>
    </row>
    <row r="240" spans="1:6" ht="15" customHeight="1" x14ac:dyDescent="0.3">
      <c r="A240" s="86">
        <v>46221</v>
      </c>
      <c r="B240" s="64" t="s">
        <v>421</v>
      </c>
      <c r="C240" s="104" t="s">
        <v>183</v>
      </c>
      <c r="D240" s="64">
        <v>4</v>
      </c>
      <c r="E240" s="40">
        <v>378</v>
      </c>
      <c r="F240" s="104" t="s">
        <v>835</v>
      </c>
    </row>
    <row r="241" spans="1:6" ht="15" customHeight="1" x14ac:dyDescent="0.3">
      <c r="A241" s="85">
        <v>46221</v>
      </c>
      <c r="B241" s="60" t="s">
        <v>422</v>
      </c>
      <c r="C241" s="101" t="s">
        <v>183</v>
      </c>
      <c r="D241" s="60">
        <v>4</v>
      </c>
      <c r="E241" s="35">
        <v>373</v>
      </c>
      <c r="F241" s="101" t="s">
        <v>835</v>
      </c>
    </row>
    <row r="242" spans="1:6" ht="15" customHeight="1" x14ac:dyDescent="0.3">
      <c r="A242" s="86">
        <v>46221</v>
      </c>
      <c r="B242" s="64" t="s">
        <v>423</v>
      </c>
      <c r="C242" s="104" t="s">
        <v>183</v>
      </c>
      <c r="D242" s="64">
        <v>4</v>
      </c>
      <c r="E242" s="40">
        <v>388</v>
      </c>
      <c r="F242" s="104" t="s">
        <v>835</v>
      </c>
    </row>
    <row r="243" spans="1:6" ht="15" customHeight="1" x14ac:dyDescent="0.3">
      <c r="A243" s="85">
        <v>46221</v>
      </c>
      <c r="B243" s="60" t="s">
        <v>424</v>
      </c>
      <c r="C243" s="101" t="s">
        <v>183</v>
      </c>
      <c r="D243" s="60">
        <v>4</v>
      </c>
      <c r="E243" s="35">
        <v>378</v>
      </c>
      <c r="F243" s="101" t="s">
        <v>835</v>
      </c>
    </row>
    <row r="244" spans="1:6" ht="15" customHeight="1" x14ac:dyDescent="0.3">
      <c r="A244" s="86">
        <v>46221</v>
      </c>
      <c r="B244" s="64" t="s">
        <v>425</v>
      </c>
      <c r="C244" s="104" t="s">
        <v>183</v>
      </c>
      <c r="D244" s="64">
        <v>4</v>
      </c>
      <c r="E244" s="40">
        <v>378</v>
      </c>
      <c r="F244" s="104" t="s">
        <v>835</v>
      </c>
    </row>
    <row r="245" spans="1:6" ht="15" customHeight="1" x14ac:dyDescent="0.3">
      <c r="A245" s="85">
        <v>46221</v>
      </c>
      <c r="B245" s="60" t="s">
        <v>426</v>
      </c>
      <c r="C245" s="101" t="s">
        <v>183</v>
      </c>
      <c r="D245" s="60">
        <v>4</v>
      </c>
      <c r="E245" s="35">
        <v>372</v>
      </c>
      <c r="F245" s="101" t="s">
        <v>835</v>
      </c>
    </row>
    <row r="246" spans="1:6" ht="15" customHeight="1" x14ac:dyDescent="0.3">
      <c r="A246" s="86">
        <v>46221</v>
      </c>
      <c r="B246" s="64" t="s">
        <v>427</v>
      </c>
      <c r="C246" s="104" t="s">
        <v>183</v>
      </c>
      <c r="D246" s="64">
        <v>4</v>
      </c>
      <c r="E246" s="40">
        <v>380</v>
      </c>
      <c r="F246" s="104" t="s">
        <v>835</v>
      </c>
    </row>
    <row r="247" spans="1:6" ht="15" customHeight="1" x14ac:dyDescent="0.3">
      <c r="A247" s="85">
        <v>46221</v>
      </c>
      <c r="B247" s="60" t="s">
        <v>428</v>
      </c>
      <c r="C247" s="101" t="s">
        <v>183</v>
      </c>
      <c r="D247" s="60">
        <v>4</v>
      </c>
      <c r="E247" s="35">
        <v>379</v>
      </c>
      <c r="F247" s="101" t="s">
        <v>835</v>
      </c>
    </row>
    <row r="248" spans="1:6" ht="15" customHeight="1" x14ac:dyDescent="0.3">
      <c r="A248" s="86">
        <v>46221</v>
      </c>
      <c r="B248" s="64" t="s">
        <v>429</v>
      </c>
      <c r="C248" s="104" t="s">
        <v>183</v>
      </c>
      <c r="D248" s="64">
        <v>4</v>
      </c>
      <c r="E248" s="40">
        <v>387</v>
      </c>
      <c r="F248" s="104" t="s">
        <v>835</v>
      </c>
    </row>
    <row r="249" spans="1:6" ht="15" customHeight="1" x14ac:dyDescent="0.3">
      <c r="A249" s="85">
        <v>46221</v>
      </c>
      <c r="B249" s="60" t="s">
        <v>430</v>
      </c>
      <c r="C249" s="101" t="s">
        <v>183</v>
      </c>
      <c r="D249" s="60">
        <v>4</v>
      </c>
      <c r="E249" s="35">
        <v>378</v>
      </c>
      <c r="F249" s="101" t="s">
        <v>835</v>
      </c>
    </row>
    <row r="250" spans="1:6" ht="15" customHeight="1" x14ac:dyDescent="0.3">
      <c r="A250" s="86">
        <v>46221</v>
      </c>
      <c r="B250" s="64" t="s">
        <v>431</v>
      </c>
      <c r="C250" s="104" t="s">
        <v>183</v>
      </c>
      <c r="D250" s="64">
        <v>4</v>
      </c>
      <c r="E250" s="40">
        <v>381</v>
      </c>
      <c r="F250" s="104" t="s">
        <v>835</v>
      </c>
    </row>
    <row r="251" spans="1:6" ht="15" customHeight="1" x14ac:dyDescent="0.3">
      <c r="A251" s="85">
        <v>46221</v>
      </c>
      <c r="B251" s="60" t="s">
        <v>432</v>
      </c>
      <c r="C251" s="101" t="s">
        <v>183</v>
      </c>
      <c r="D251" s="60">
        <v>4</v>
      </c>
      <c r="E251" s="35">
        <v>384</v>
      </c>
      <c r="F251" s="101" t="s">
        <v>835</v>
      </c>
    </row>
    <row r="252" spans="1:6" ht="15" customHeight="1" x14ac:dyDescent="0.3">
      <c r="A252" s="86">
        <v>46221</v>
      </c>
      <c r="B252" s="64" t="s">
        <v>433</v>
      </c>
      <c r="C252" s="104" t="s">
        <v>183</v>
      </c>
      <c r="D252" s="64">
        <v>4</v>
      </c>
      <c r="E252" s="40">
        <v>387</v>
      </c>
      <c r="F252" s="104" t="s">
        <v>835</v>
      </c>
    </row>
    <row r="253" spans="1:6" ht="15" customHeight="1" x14ac:dyDescent="0.3">
      <c r="A253" s="85">
        <v>46221</v>
      </c>
      <c r="B253" s="60" t="s">
        <v>434</v>
      </c>
      <c r="C253" s="101" t="s">
        <v>183</v>
      </c>
      <c r="D253" s="60">
        <v>4</v>
      </c>
      <c r="E253" s="35">
        <v>377</v>
      </c>
      <c r="F253" s="101" t="s">
        <v>835</v>
      </c>
    </row>
    <row r="254" spans="1:6" ht="15" customHeight="1" x14ac:dyDescent="0.3">
      <c r="A254" s="86">
        <v>46221</v>
      </c>
      <c r="B254" s="64" t="s">
        <v>435</v>
      </c>
      <c r="C254" s="104" t="s">
        <v>183</v>
      </c>
      <c r="D254" s="64">
        <v>4</v>
      </c>
      <c r="E254" s="40">
        <v>381</v>
      </c>
      <c r="F254" s="104" t="s">
        <v>835</v>
      </c>
    </row>
    <row r="255" spans="1:6" ht="15" customHeight="1" x14ac:dyDescent="0.3">
      <c r="A255" s="85">
        <v>46221</v>
      </c>
      <c r="B255" s="60" t="s">
        <v>436</v>
      </c>
      <c r="C255" s="101" t="s">
        <v>183</v>
      </c>
      <c r="D255" s="60">
        <v>4</v>
      </c>
      <c r="E255" s="35">
        <v>376</v>
      </c>
      <c r="F255" s="101" t="s">
        <v>835</v>
      </c>
    </row>
    <row r="256" spans="1:6" ht="15" customHeight="1" x14ac:dyDescent="0.3">
      <c r="A256" s="86">
        <v>46221</v>
      </c>
      <c r="B256" s="64" t="s">
        <v>437</v>
      </c>
      <c r="C256" s="104" t="s">
        <v>183</v>
      </c>
      <c r="D256" s="64">
        <v>4</v>
      </c>
      <c r="E256" s="40">
        <v>381</v>
      </c>
      <c r="F256" s="104" t="s">
        <v>835</v>
      </c>
    </row>
    <row r="257" spans="1:6" ht="15" customHeight="1" x14ac:dyDescent="0.3">
      <c r="A257" s="85">
        <v>46221</v>
      </c>
      <c r="B257" s="60" t="s">
        <v>438</v>
      </c>
      <c r="C257" s="101" t="s">
        <v>183</v>
      </c>
      <c r="D257" s="60">
        <v>4</v>
      </c>
      <c r="E257" s="35">
        <v>376</v>
      </c>
      <c r="F257" s="101" t="s">
        <v>835</v>
      </c>
    </row>
    <row r="258" spans="1:6" ht="15" customHeight="1" x14ac:dyDescent="0.3">
      <c r="A258" s="86">
        <v>46221</v>
      </c>
      <c r="B258" s="64" t="s">
        <v>439</v>
      </c>
      <c r="C258" s="104" t="s">
        <v>183</v>
      </c>
      <c r="D258" s="64">
        <v>4</v>
      </c>
      <c r="E258" s="40">
        <v>375</v>
      </c>
      <c r="F258" s="104" t="s">
        <v>835</v>
      </c>
    </row>
    <row r="259" spans="1:6" ht="15" customHeight="1" x14ac:dyDescent="0.3">
      <c r="A259" s="85">
        <v>46221</v>
      </c>
      <c r="B259" s="60" t="s">
        <v>440</v>
      </c>
      <c r="C259" s="101" t="s">
        <v>183</v>
      </c>
      <c r="D259" s="60">
        <v>4</v>
      </c>
      <c r="E259" s="35">
        <v>393</v>
      </c>
      <c r="F259" s="101" t="s">
        <v>835</v>
      </c>
    </row>
    <row r="260" spans="1:6" ht="15" customHeight="1" x14ac:dyDescent="0.3">
      <c r="A260" s="86">
        <v>46221</v>
      </c>
      <c r="B260" s="64" t="s">
        <v>441</v>
      </c>
      <c r="C260" s="104" t="s">
        <v>183</v>
      </c>
      <c r="D260" s="64">
        <v>4</v>
      </c>
      <c r="E260" s="40">
        <v>388</v>
      </c>
      <c r="F260" s="104" t="s">
        <v>835</v>
      </c>
    </row>
    <row r="261" spans="1:6" ht="15" customHeight="1" x14ac:dyDescent="0.3">
      <c r="A261" s="85">
        <v>46221</v>
      </c>
      <c r="B261" s="60" t="s">
        <v>442</v>
      </c>
      <c r="C261" s="101" t="s">
        <v>183</v>
      </c>
      <c r="D261" s="60">
        <v>4</v>
      </c>
      <c r="E261" s="35">
        <v>385</v>
      </c>
      <c r="F261" s="101" t="s">
        <v>835</v>
      </c>
    </row>
    <row r="262" spans="1:6" ht="15" customHeight="1" x14ac:dyDescent="0.3">
      <c r="A262" s="86">
        <v>46221</v>
      </c>
      <c r="B262" s="64" t="s">
        <v>443</v>
      </c>
      <c r="C262" s="104" t="s">
        <v>183</v>
      </c>
      <c r="D262" s="64">
        <v>4</v>
      </c>
      <c r="E262" s="40">
        <v>385</v>
      </c>
      <c r="F262" s="104" t="s">
        <v>835</v>
      </c>
    </row>
    <row r="263" spans="1:6" ht="15" customHeight="1" x14ac:dyDescent="0.3">
      <c r="A263" s="85">
        <v>46221</v>
      </c>
      <c r="B263" s="60" t="s">
        <v>444</v>
      </c>
      <c r="C263" s="101" t="s">
        <v>183</v>
      </c>
      <c r="D263" s="60">
        <v>4</v>
      </c>
      <c r="E263" s="35">
        <v>380</v>
      </c>
      <c r="F263" s="101" t="s">
        <v>835</v>
      </c>
    </row>
    <row r="264" spans="1:6" ht="15" customHeight="1" x14ac:dyDescent="0.3">
      <c r="A264" s="86">
        <v>46221</v>
      </c>
      <c r="B264" s="64" t="s">
        <v>445</v>
      </c>
      <c r="C264" s="104" t="s">
        <v>183</v>
      </c>
      <c r="D264" s="64">
        <v>4</v>
      </c>
      <c r="E264" s="40">
        <v>389</v>
      </c>
      <c r="F264" s="104" t="s">
        <v>835</v>
      </c>
    </row>
    <row r="265" spans="1:6" ht="15" customHeight="1" x14ac:dyDescent="0.3">
      <c r="A265" s="85">
        <v>46221</v>
      </c>
      <c r="B265" s="60" t="s">
        <v>446</v>
      </c>
      <c r="C265" s="101" t="s">
        <v>183</v>
      </c>
      <c r="D265" s="60">
        <v>4</v>
      </c>
      <c r="E265" s="35">
        <v>390</v>
      </c>
      <c r="F265" s="101" t="s">
        <v>835</v>
      </c>
    </row>
    <row r="266" spans="1:6" ht="15" customHeight="1" x14ac:dyDescent="0.3">
      <c r="A266" s="86">
        <v>46221</v>
      </c>
      <c r="B266" s="64" t="s">
        <v>447</v>
      </c>
      <c r="C266" s="104" t="s">
        <v>183</v>
      </c>
      <c r="D266" s="64">
        <v>4</v>
      </c>
      <c r="E266" s="40">
        <v>397</v>
      </c>
      <c r="F266" s="104" t="s">
        <v>835</v>
      </c>
    </row>
    <row r="267" spans="1:6" ht="15" customHeight="1" x14ac:dyDescent="0.3">
      <c r="A267" s="85">
        <v>46221</v>
      </c>
      <c r="B267" s="60" t="s">
        <v>448</v>
      </c>
      <c r="C267" s="101" t="s">
        <v>183</v>
      </c>
      <c r="D267" s="60">
        <v>4</v>
      </c>
      <c r="E267" s="35">
        <v>374</v>
      </c>
      <c r="F267" s="101" t="s">
        <v>835</v>
      </c>
    </row>
    <row r="268" spans="1:6" ht="15" customHeight="1" x14ac:dyDescent="0.3">
      <c r="A268" s="86">
        <v>46221</v>
      </c>
      <c r="B268" s="64" t="s">
        <v>449</v>
      </c>
      <c r="C268" s="104" t="s">
        <v>183</v>
      </c>
      <c r="D268" s="64">
        <v>4</v>
      </c>
      <c r="E268" s="40">
        <v>373</v>
      </c>
      <c r="F268" s="104" t="s">
        <v>835</v>
      </c>
    </row>
    <row r="269" spans="1:6" ht="15" customHeight="1" x14ac:dyDescent="0.3">
      <c r="A269" s="85">
        <v>46221</v>
      </c>
      <c r="B269" s="60" t="s">
        <v>450</v>
      </c>
      <c r="C269" s="101" t="s">
        <v>183</v>
      </c>
      <c r="D269" s="60">
        <v>4</v>
      </c>
      <c r="E269" s="35">
        <v>385</v>
      </c>
      <c r="F269" s="101" t="s">
        <v>835</v>
      </c>
    </row>
    <row r="270" spans="1:6" ht="15" customHeight="1" x14ac:dyDescent="0.3">
      <c r="A270" s="86">
        <v>46221</v>
      </c>
      <c r="B270" s="64" t="s">
        <v>451</v>
      </c>
      <c r="C270" s="104" t="s">
        <v>183</v>
      </c>
      <c r="D270" s="64">
        <v>4</v>
      </c>
      <c r="E270" s="40">
        <v>383</v>
      </c>
      <c r="F270" s="104" t="s">
        <v>835</v>
      </c>
    </row>
    <row r="271" spans="1:6" ht="15" customHeight="1" x14ac:dyDescent="0.3">
      <c r="A271" s="85">
        <v>46221</v>
      </c>
      <c r="B271" s="60" t="s">
        <v>452</v>
      </c>
      <c r="C271" s="101" t="s">
        <v>183</v>
      </c>
      <c r="D271" s="60">
        <v>4</v>
      </c>
      <c r="E271" s="35">
        <v>373</v>
      </c>
      <c r="F271" s="101" t="s">
        <v>835</v>
      </c>
    </row>
    <row r="272" spans="1:6" ht="15" customHeight="1" x14ac:dyDescent="0.3">
      <c r="A272" s="86">
        <v>46221</v>
      </c>
      <c r="B272" s="64" t="s">
        <v>453</v>
      </c>
      <c r="C272" s="104" t="s">
        <v>183</v>
      </c>
      <c r="D272" s="64">
        <v>4</v>
      </c>
      <c r="E272" s="40">
        <v>375</v>
      </c>
      <c r="F272" s="104" t="s">
        <v>835</v>
      </c>
    </row>
    <row r="273" spans="1:6" ht="15" customHeight="1" x14ac:dyDescent="0.3">
      <c r="A273" s="85">
        <v>46221</v>
      </c>
      <c r="B273" s="60" t="s">
        <v>454</v>
      </c>
      <c r="C273" s="101" t="s">
        <v>183</v>
      </c>
      <c r="D273" s="60">
        <v>4</v>
      </c>
      <c r="E273" s="35">
        <v>393</v>
      </c>
      <c r="F273" s="101" t="s">
        <v>835</v>
      </c>
    </row>
    <row r="274" spans="1:6" ht="15" customHeight="1" x14ac:dyDescent="0.3">
      <c r="A274" s="86">
        <v>46221</v>
      </c>
      <c r="B274" s="64" t="s">
        <v>455</v>
      </c>
      <c r="C274" s="104" t="s">
        <v>183</v>
      </c>
      <c r="D274" s="64">
        <v>4</v>
      </c>
      <c r="E274" s="40">
        <v>375</v>
      </c>
      <c r="F274" s="104" t="s">
        <v>835</v>
      </c>
    </row>
    <row r="275" spans="1:6" ht="15" customHeight="1" x14ac:dyDescent="0.3">
      <c r="A275" s="85">
        <v>46221</v>
      </c>
      <c r="B275" s="60" t="s">
        <v>456</v>
      </c>
      <c r="C275" s="101" t="s">
        <v>183</v>
      </c>
      <c r="D275" s="60">
        <v>4</v>
      </c>
      <c r="E275" s="35">
        <v>375</v>
      </c>
      <c r="F275" s="101" t="s">
        <v>835</v>
      </c>
    </row>
    <row r="276" spans="1:6" ht="15" customHeight="1" x14ac:dyDescent="0.3">
      <c r="A276" s="86">
        <v>46224</v>
      </c>
      <c r="B276" s="64" t="s">
        <v>457</v>
      </c>
      <c r="C276" s="104" t="s">
        <v>183</v>
      </c>
      <c r="D276" s="64">
        <v>5</v>
      </c>
      <c r="E276" s="40">
        <v>366</v>
      </c>
      <c r="F276" s="104" t="s">
        <v>835</v>
      </c>
    </row>
    <row r="277" spans="1:6" ht="15" customHeight="1" x14ac:dyDescent="0.3">
      <c r="A277" s="85">
        <v>46224</v>
      </c>
      <c r="B277" s="60" t="s">
        <v>458</v>
      </c>
      <c r="C277" s="101" t="s">
        <v>183</v>
      </c>
      <c r="D277" s="60">
        <v>5</v>
      </c>
      <c r="E277" s="35">
        <v>363</v>
      </c>
      <c r="F277" s="101" t="s">
        <v>835</v>
      </c>
    </row>
    <row r="278" spans="1:6" ht="15" customHeight="1" x14ac:dyDescent="0.3">
      <c r="A278" s="86">
        <v>46224</v>
      </c>
      <c r="B278" s="64" t="s">
        <v>459</v>
      </c>
      <c r="C278" s="104" t="s">
        <v>183</v>
      </c>
      <c r="D278" s="64">
        <v>5</v>
      </c>
      <c r="E278" s="40">
        <v>360</v>
      </c>
      <c r="F278" s="104" t="s">
        <v>835</v>
      </c>
    </row>
    <row r="279" spans="1:6" ht="15" customHeight="1" x14ac:dyDescent="0.3">
      <c r="A279" s="85">
        <v>46224</v>
      </c>
      <c r="B279" s="60" t="s">
        <v>460</v>
      </c>
      <c r="C279" s="101" t="s">
        <v>183</v>
      </c>
      <c r="D279" s="60">
        <v>5</v>
      </c>
      <c r="E279" s="35">
        <v>369</v>
      </c>
      <c r="F279" s="101" t="s">
        <v>835</v>
      </c>
    </row>
    <row r="280" spans="1:6" ht="15" customHeight="1" x14ac:dyDescent="0.3">
      <c r="A280" s="86">
        <v>46224</v>
      </c>
      <c r="B280" s="64" t="s">
        <v>461</v>
      </c>
      <c r="C280" s="104" t="s">
        <v>183</v>
      </c>
      <c r="D280" s="64">
        <v>5</v>
      </c>
      <c r="E280" s="40">
        <v>356</v>
      </c>
      <c r="F280" s="104" t="s">
        <v>835</v>
      </c>
    </row>
    <row r="281" spans="1:6" ht="15" customHeight="1" x14ac:dyDescent="0.3">
      <c r="A281" s="85">
        <v>46224</v>
      </c>
      <c r="B281" s="60" t="s">
        <v>462</v>
      </c>
      <c r="C281" s="101" t="s">
        <v>183</v>
      </c>
      <c r="D281" s="60">
        <v>5</v>
      </c>
      <c r="E281" s="35">
        <v>368</v>
      </c>
      <c r="F281" s="101" t="s">
        <v>835</v>
      </c>
    </row>
    <row r="282" spans="1:6" ht="15" customHeight="1" x14ac:dyDescent="0.3">
      <c r="A282" s="86">
        <v>46224</v>
      </c>
      <c r="B282" s="64" t="s">
        <v>463</v>
      </c>
      <c r="C282" s="104" t="s">
        <v>183</v>
      </c>
      <c r="D282" s="64">
        <v>5</v>
      </c>
      <c r="E282" s="40">
        <v>356</v>
      </c>
      <c r="F282" s="104" t="s">
        <v>835</v>
      </c>
    </row>
    <row r="283" spans="1:6" ht="15" customHeight="1" x14ac:dyDescent="0.3">
      <c r="A283" s="85">
        <v>46224</v>
      </c>
      <c r="B283" s="60" t="s">
        <v>464</v>
      </c>
      <c r="C283" s="101" t="s">
        <v>183</v>
      </c>
      <c r="D283" s="60">
        <v>5</v>
      </c>
      <c r="E283" s="35">
        <v>363</v>
      </c>
      <c r="F283" s="101" t="s">
        <v>835</v>
      </c>
    </row>
    <row r="284" spans="1:6" ht="15" customHeight="1" x14ac:dyDescent="0.3">
      <c r="A284" s="86">
        <v>46224</v>
      </c>
      <c r="B284" s="64" t="s">
        <v>465</v>
      </c>
      <c r="C284" s="104" t="s">
        <v>183</v>
      </c>
      <c r="D284" s="64">
        <v>5</v>
      </c>
      <c r="E284" s="40">
        <v>369</v>
      </c>
      <c r="F284" s="104" t="s">
        <v>835</v>
      </c>
    </row>
    <row r="285" spans="1:6" ht="15" customHeight="1" x14ac:dyDescent="0.3">
      <c r="A285" s="85">
        <v>46224</v>
      </c>
      <c r="B285" s="60" t="s">
        <v>466</v>
      </c>
      <c r="C285" s="101" t="s">
        <v>183</v>
      </c>
      <c r="D285" s="60">
        <v>5</v>
      </c>
      <c r="E285" s="35">
        <v>365</v>
      </c>
      <c r="F285" s="101" t="s">
        <v>835</v>
      </c>
    </row>
    <row r="286" spans="1:6" ht="15" customHeight="1" x14ac:dyDescent="0.3">
      <c r="A286" s="86">
        <v>46224</v>
      </c>
      <c r="B286" s="64" t="s">
        <v>467</v>
      </c>
      <c r="C286" s="104" t="s">
        <v>183</v>
      </c>
      <c r="D286" s="64">
        <v>5</v>
      </c>
      <c r="E286" s="40">
        <v>362</v>
      </c>
      <c r="F286" s="104" t="s">
        <v>835</v>
      </c>
    </row>
    <row r="287" spans="1:6" ht="15" customHeight="1" x14ac:dyDescent="0.3">
      <c r="A287" s="85">
        <v>46224</v>
      </c>
      <c r="B287" s="60" t="s">
        <v>468</v>
      </c>
      <c r="C287" s="101" t="s">
        <v>183</v>
      </c>
      <c r="D287" s="60">
        <v>5</v>
      </c>
      <c r="E287" s="35">
        <v>362</v>
      </c>
      <c r="F287" s="101" t="s">
        <v>835</v>
      </c>
    </row>
    <row r="288" spans="1:6" ht="15" customHeight="1" x14ac:dyDescent="0.3">
      <c r="A288" s="86">
        <v>46224</v>
      </c>
      <c r="B288" s="64" t="s">
        <v>469</v>
      </c>
      <c r="C288" s="104" t="s">
        <v>183</v>
      </c>
      <c r="D288" s="64">
        <v>5</v>
      </c>
      <c r="E288" s="40">
        <v>368</v>
      </c>
      <c r="F288" s="104" t="s">
        <v>835</v>
      </c>
    </row>
    <row r="289" spans="1:6" ht="15" customHeight="1" x14ac:dyDescent="0.3">
      <c r="A289" s="85">
        <v>46224</v>
      </c>
      <c r="B289" s="60" t="s">
        <v>470</v>
      </c>
      <c r="C289" s="101" t="s">
        <v>183</v>
      </c>
      <c r="D289" s="60">
        <v>5</v>
      </c>
      <c r="E289" s="35">
        <v>355</v>
      </c>
      <c r="F289" s="101" t="s">
        <v>835</v>
      </c>
    </row>
    <row r="290" spans="1:6" ht="15" customHeight="1" x14ac:dyDescent="0.3">
      <c r="A290" s="86">
        <v>46221</v>
      </c>
      <c r="B290" s="64" t="s">
        <v>471</v>
      </c>
      <c r="C290" s="104" t="s">
        <v>183</v>
      </c>
      <c r="D290" s="64">
        <v>5</v>
      </c>
      <c r="E290" s="40">
        <v>366</v>
      </c>
      <c r="F290" s="104" t="s">
        <v>835</v>
      </c>
    </row>
    <row r="291" spans="1:6" ht="15" customHeight="1" x14ac:dyDescent="0.3">
      <c r="A291" s="85">
        <v>46221</v>
      </c>
      <c r="B291" s="60" t="s">
        <v>472</v>
      </c>
      <c r="C291" s="101" t="s">
        <v>183</v>
      </c>
      <c r="D291" s="60">
        <v>5</v>
      </c>
      <c r="E291" s="35">
        <v>369</v>
      </c>
      <c r="F291" s="101" t="s">
        <v>835</v>
      </c>
    </row>
    <row r="292" spans="1:6" ht="15" customHeight="1" x14ac:dyDescent="0.3">
      <c r="A292" s="86">
        <v>46221</v>
      </c>
      <c r="B292" s="64" t="s">
        <v>473</v>
      </c>
      <c r="C292" s="104" t="s">
        <v>183</v>
      </c>
      <c r="D292" s="64">
        <v>5</v>
      </c>
      <c r="E292" s="40">
        <v>366</v>
      </c>
      <c r="F292" s="104" t="s">
        <v>835</v>
      </c>
    </row>
    <row r="293" spans="1:6" ht="15" customHeight="1" x14ac:dyDescent="0.3">
      <c r="A293" s="85">
        <v>46221</v>
      </c>
      <c r="B293" s="60" t="s">
        <v>474</v>
      </c>
      <c r="C293" s="101" t="s">
        <v>183</v>
      </c>
      <c r="D293" s="60">
        <v>5</v>
      </c>
      <c r="E293" s="35">
        <v>365</v>
      </c>
      <c r="F293" s="101" t="s">
        <v>835</v>
      </c>
    </row>
    <row r="294" spans="1:6" ht="15" customHeight="1" x14ac:dyDescent="0.3">
      <c r="A294" s="86">
        <v>46221</v>
      </c>
      <c r="B294" s="64" t="s">
        <v>475</v>
      </c>
      <c r="C294" s="104" t="s">
        <v>183</v>
      </c>
      <c r="D294" s="64">
        <v>5</v>
      </c>
      <c r="E294" s="40">
        <v>356</v>
      </c>
      <c r="F294" s="104" t="s">
        <v>835</v>
      </c>
    </row>
    <row r="295" spans="1:6" ht="15" customHeight="1" x14ac:dyDescent="0.3">
      <c r="A295" s="85">
        <v>46221</v>
      </c>
      <c r="B295" s="60" t="s">
        <v>476</v>
      </c>
      <c r="C295" s="101" t="s">
        <v>183</v>
      </c>
      <c r="D295" s="60">
        <v>5</v>
      </c>
      <c r="E295" s="35">
        <v>357</v>
      </c>
      <c r="F295" s="101" t="s">
        <v>835</v>
      </c>
    </row>
    <row r="296" spans="1:6" ht="15" customHeight="1" x14ac:dyDescent="0.3">
      <c r="A296" s="86">
        <v>46221</v>
      </c>
      <c r="B296" s="64" t="s">
        <v>477</v>
      </c>
      <c r="C296" s="104" t="s">
        <v>183</v>
      </c>
      <c r="D296" s="64">
        <v>5</v>
      </c>
      <c r="E296" s="40">
        <v>356</v>
      </c>
      <c r="F296" s="104" t="s">
        <v>835</v>
      </c>
    </row>
    <row r="297" spans="1:6" ht="15" customHeight="1" x14ac:dyDescent="0.3">
      <c r="A297" s="85">
        <v>46221</v>
      </c>
      <c r="B297" s="60" t="s">
        <v>478</v>
      </c>
      <c r="C297" s="101" t="s">
        <v>183</v>
      </c>
      <c r="D297" s="60">
        <v>5</v>
      </c>
      <c r="E297" s="35">
        <v>344</v>
      </c>
      <c r="F297" s="101" t="s">
        <v>835</v>
      </c>
    </row>
    <row r="298" spans="1:6" ht="15" customHeight="1" x14ac:dyDescent="0.3">
      <c r="A298" s="86">
        <v>46221</v>
      </c>
      <c r="B298" s="64" t="s">
        <v>479</v>
      </c>
      <c r="C298" s="104" t="s">
        <v>183</v>
      </c>
      <c r="D298" s="64">
        <v>5</v>
      </c>
      <c r="E298" s="40">
        <v>366</v>
      </c>
      <c r="F298" s="104" t="s">
        <v>835</v>
      </c>
    </row>
    <row r="299" spans="1:6" ht="15" customHeight="1" x14ac:dyDescent="0.3">
      <c r="A299" s="85">
        <v>46221</v>
      </c>
      <c r="B299" s="60" t="s">
        <v>480</v>
      </c>
      <c r="C299" s="101" t="s">
        <v>183</v>
      </c>
      <c r="D299" s="60">
        <v>5</v>
      </c>
      <c r="E299" s="35">
        <v>372</v>
      </c>
      <c r="F299" s="101" t="s">
        <v>835</v>
      </c>
    </row>
    <row r="300" spans="1:6" ht="15" customHeight="1" x14ac:dyDescent="0.3">
      <c r="A300" s="86">
        <v>46221</v>
      </c>
      <c r="B300" s="64" t="s">
        <v>481</v>
      </c>
      <c r="C300" s="104" t="s">
        <v>183</v>
      </c>
      <c r="D300" s="64">
        <v>5</v>
      </c>
      <c r="E300" s="40">
        <v>342</v>
      </c>
      <c r="F300" s="104" t="s">
        <v>835</v>
      </c>
    </row>
    <row r="301" spans="1:6" ht="15" customHeight="1" x14ac:dyDescent="0.3">
      <c r="A301" s="85">
        <v>46221</v>
      </c>
      <c r="B301" s="60" t="s">
        <v>482</v>
      </c>
      <c r="C301" s="101" t="s">
        <v>183</v>
      </c>
      <c r="D301" s="60">
        <v>5</v>
      </c>
      <c r="E301" s="35">
        <v>366</v>
      </c>
      <c r="F301" s="101" t="s">
        <v>835</v>
      </c>
    </row>
    <row r="302" spans="1:6" ht="15" customHeight="1" x14ac:dyDescent="0.3">
      <c r="A302" s="86">
        <v>46221</v>
      </c>
      <c r="B302" s="64" t="s">
        <v>483</v>
      </c>
      <c r="C302" s="104" t="s">
        <v>183</v>
      </c>
      <c r="D302" s="64">
        <v>5</v>
      </c>
      <c r="E302" s="40">
        <v>368</v>
      </c>
      <c r="F302" s="104" t="s">
        <v>835</v>
      </c>
    </row>
    <row r="303" spans="1:6" ht="15" customHeight="1" x14ac:dyDescent="0.3">
      <c r="A303" s="85">
        <v>46221</v>
      </c>
      <c r="B303" s="60" t="s">
        <v>484</v>
      </c>
      <c r="C303" s="101" t="s">
        <v>183</v>
      </c>
      <c r="D303" s="60">
        <v>5</v>
      </c>
      <c r="E303" s="35">
        <v>357</v>
      </c>
      <c r="F303" s="101" t="s">
        <v>835</v>
      </c>
    </row>
    <row r="304" spans="1:6" ht="15" customHeight="1" x14ac:dyDescent="0.3">
      <c r="A304" s="86">
        <v>46221</v>
      </c>
      <c r="B304" s="64" t="s">
        <v>485</v>
      </c>
      <c r="C304" s="104" t="s">
        <v>183</v>
      </c>
      <c r="D304" s="64">
        <v>5</v>
      </c>
      <c r="E304" s="40">
        <v>363</v>
      </c>
      <c r="F304" s="104" t="s">
        <v>835</v>
      </c>
    </row>
    <row r="305" spans="1:6" ht="15" customHeight="1" x14ac:dyDescent="0.3">
      <c r="A305" s="85">
        <v>46221</v>
      </c>
      <c r="B305" s="60" t="s">
        <v>486</v>
      </c>
      <c r="C305" s="101" t="s">
        <v>183</v>
      </c>
      <c r="D305" s="60">
        <v>5</v>
      </c>
      <c r="E305" s="35">
        <v>360</v>
      </c>
      <c r="F305" s="101" t="s">
        <v>835</v>
      </c>
    </row>
    <row r="306" spans="1:6" ht="15" customHeight="1" x14ac:dyDescent="0.3">
      <c r="A306" s="86">
        <v>46221</v>
      </c>
      <c r="B306" s="64" t="s">
        <v>487</v>
      </c>
      <c r="C306" s="104" t="s">
        <v>183</v>
      </c>
      <c r="D306" s="64">
        <v>5</v>
      </c>
      <c r="E306" s="40">
        <v>367</v>
      </c>
      <c r="F306" s="104" t="s">
        <v>835</v>
      </c>
    </row>
    <row r="307" spans="1:6" ht="15" customHeight="1" x14ac:dyDescent="0.3">
      <c r="A307" s="85">
        <v>46221</v>
      </c>
      <c r="B307" s="60" t="s">
        <v>488</v>
      </c>
      <c r="C307" s="101" t="s">
        <v>183</v>
      </c>
      <c r="D307" s="60">
        <v>5</v>
      </c>
      <c r="E307" s="35">
        <v>362</v>
      </c>
      <c r="F307" s="101" t="s">
        <v>835</v>
      </c>
    </row>
    <row r="308" spans="1:6" ht="15" customHeight="1" x14ac:dyDescent="0.3">
      <c r="A308" s="86">
        <v>46221</v>
      </c>
      <c r="B308" s="64" t="s">
        <v>489</v>
      </c>
      <c r="C308" s="104" t="s">
        <v>183</v>
      </c>
      <c r="D308" s="64">
        <v>5</v>
      </c>
      <c r="E308" s="40">
        <v>358</v>
      </c>
      <c r="F308" s="104" t="s">
        <v>835</v>
      </c>
    </row>
    <row r="309" spans="1:6" ht="15" customHeight="1" x14ac:dyDescent="0.3">
      <c r="A309" s="85">
        <v>46221</v>
      </c>
      <c r="B309" s="60" t="s">
        <v>490</v>
      </c>
      <c r="C309" s="101" t="s">
        <v>183</v>
      </c>
      <c r="D309" s="60">
        <v>5</v>
      </c>
      <c r="E309" s="35">
        <v>360</v>
      </c>
      <c r="F309" s="101" t="s">
        <v>835</v>
      </c>
    </row>
    <row r="310" spans="1:6" ht="15" customHeight="1" x14ac:dyDescent="0.3">
      <c r="A310" s="86">
        <v>46221</v>
      </c>
      <c r="B310" s="64" t="s">
        <v>491</v>
      </c>
      <c r="C310" s="104" t="s">
        <v>183</v>
      </c>
      <c r="D310" s="64">
        <v>5</v>
      </c>
      <c r="E310" s="40">
        <v>364</v>
      </c>
      <c r="F310" s="104" t="s">
        <v>835</v>
      </c>
    </row>
    <row r="311" spans="1:6" ht="15" customHeight="1" x14ac:dyDescent="0.3">
      <c r="A311" s="85">
        <v>46221</v>
      </c>
      <c r="B311" s="60" t="s">
        <v>492</v>
      </c>
      <c r="C311" s="101" t="s">
        <v>183</v>
      </c>
      <c r="D311" s="60">
        <v>5</v>
      </c>
      <c r="E311" s="35">
        <v>365</v>
      </c>
      <c r="F311" s="101" t="s">
        <v>835</v>
      </c>
    </row>
    <row r="312" spans="1:6" ht="15" customHeight="1" x14ac:dyDescent="0.3">
      <c r="A312" s="86">
        <v>46221</v>
      </c>
      <c r="B312" s="64" t="s">
        <v>493</v>
      </c>
      <c r="C312" s="104" t="s">
        <v>183</v>
      </c>
      <c r="D312" s="64">
        <v>5</v>
      </c>
      <c r="E312" s="40">
        <v>358</v>
      </c>
      <c r="F312" s="104" t="s">
        <v>835</v>
      </c>
    </row>
    <row r="313" spans="1:6" ht="15" customHeight="1" x14ac:dyDescent="0.3">
      <c r="A313" s="85">
        <v>46221</v>
      </c>
      <c r="B313" s="60" t="s">
        <v>494</v>
      </c>
      <c r="C313" s="101" t="s">
        <v>183</v>
      </c>
      <c r="D313" s="60">
        <v>5</v>
      </c>
      <c r="E313" s="35">
        <v>365</v>
      </c>
      <c r="F313" s="101" t="s">
        <v>835</v>
      </c>
    </row>
    <row r="314" spans="1:6" ht="15" customHeight="1" x14ac:dyDescent="0.3">
      <c r="A314" s="86">
        <v>46221</v>
      </c>
      <c r="B314" s="64" t="s">
        <v>495</v>
      </c>
      <c r="C314" s="104" t="s">
        <v>183</v>
      </c>
      <c r="D314" s="64">
        <v>5</v>
      </c>
      <c r="E314" s="40">
        <v>358</v>
      </c>
      <c r="F314" s="104" t="s">
        <v>835</v>
      </c>
    </row>
    <row r="315" spans="1:6" ht="15" customHeight="1" x14ac:dyDescent="0.3">
      <c r="A315" s="85">
        <v>46221</v>
      </c>
      <c r="B315" s="60" t="s">
        <v>496</v>
      </c>
      <c r="C315" s="101" t="s">
        <v>183</v>
      </c>
      <c r="D315" s="60">
        <v>5</v>
      </c>
      <c r="E315" s="35">
        <v>355</v>
      </c>
      <c r="F315" s="101" t="s">
        <v>835</v>
      </c>
    </row>
    <row r="316" spans="1:6" ht="15" customHeight="1" x14ac:dyDescent="0.3">
      <c r="A316" s="86">
        <v>46221</v>
      </c>
      <c r="B316" s="64" t="s">
        <v>497</v>
      </c>
      <c r="C316" s="104" t="s">
        <v>183</v>
      </c>
      <c r="D316" s="64">
        <v>5</v>
      </c>
      <c r="E316" s="40">
        <v>362</v>
      </c>
      <c r="F316" s="104" t="s">
        <v>835</v>
      </c>
    </row>
    <row r="317" spans="1:6" ht="15" customHeight="1" x14ac:dyDescent="0.3">
      <c r="A317" s="85">
        <v>46221</v>
      </c>
      <c r="B317" s="60" t="s">
        <v>498</v>
      </c>
      <c r="C317" s="101" t="s">
        <v>183</v>
      </c>
      <c r="D317" s="60">
        <v>5</v>
      </c>
      <c r="E317" s="35">
        <v>367</v>
      </c>
      <c r="F317" s="101" t="s">
        <v>835</v>
      </c>
    </row>
    <row r="318" spans="1:6" ht="15" customHeight="1" x14ac:dyDescent="0.3">
      <c r="A318" s="86">
        <v>46221</v>
      </c>
      <c r="B318" s="64" t="s">
        <v>499</v>
      </c>
      <c r="C318" s="104" t="s">
        <v>183</v>
      </c>
      <c r="D318" s="64">
        <v>5</v>
      </c>
      <c r="E318" s="40">
        <v>356</v>
      </c>
      <c r="F318" s="104" t="s">
        <v>835</v>
      </c>
    </row>
    <row r="319" spans="1:6" ht="15" customHeight="1" x14ac:dyDescent="0.3">
      <c r="A319" s="85">
        <v>46221</v>
      </c>
      <c r="B319" s="60" t="s">
        <v>500</v>
      </c>
      <c r="C319" s="101" t="s">
        <v>183</v>
      </c>
      <c r="D319" s="60">
        <v>5</v>
      </c>
      <c r="E319" s="35">
        <v>363</v>
      </c>
      <c r="F319" s="101" t="s">
        <v>835</v>
      </c>
    </row>
    <row r="320" spans="1:6" ht="15" customHeight="1" x14ac:dyDescent="0.3">
      <c r="A320" s="86">
        <v>46221</v>
      </c>
      <c r="B320" s="64" t="s">
        <v>501</v>
      </c>
      <c r="C320" s="104" t="s">
        <v>183</v>
      </c>
      <c r="D320" s="64">
        <v>5</v>
      </c>
      <c r="E320" s="40">
        <v>355</v>
      </c>
      <c r="F320" s="104" t="s">
        <v>835</v>
      </c>
    </row>
    <row r="321" spans="1:6" ht="15" customHeight="1" x14ac:dyDescent="0.3">
      <c r="A321" s="85">
        <v>46221</v>
      </c>
      <c r="B321" s="60" t="s">
        <v>502</v>
      </c>
      <c r="C321" s="101" t="s">
        <v>183</v>
      </c>
      <c r="D321" s="60">
        <v>5</v>
      </c>
      <c r="E321" s="35">
        <v>366</v>
      </c>
      <c r="F321" s="101" t="s">
        <v>835</v>
      </c>
    </row>
    <row r="322" spans="1:6" ht="15" customHeight="1" x14ac:dyDescent="0.3">
      <c r="A322" s="86">
        <v>46221</v>
      </c>
      <c r="B322" s="64" t="s">
        <v>503</v>
      </c>
      <c r="C322" s="104" t="s">
        <v>183</v>
      </c>
      <c r="D322" s="64">
        <v>5</v>
      </c>
      <c r="E322" s="40">
        <v>356</v>
      </c>
      <c r="F322" s="104" t="s">
        <v>835</v>
      </c>
    </row>
    <row r="323" spans="1:6" ht="15" customHeight="1" x14ac:dyDescent="0.3">
      <c r="A323" s="85">
        <v>46221</v>
      </c>
      <c r="B323" s="60" t="s">
        <v>504</v>
      </c>
      <c r="C323" s="101" t="s">
        <v>183</v>
      </c>
      <c r="D323" s="60">
        <v>5</v>
      </c>
      <c r="E323" s="35">
        <v>366</v>
      </c>
      <c r="F323" s="101" t="s">
        <v>835</v>
      </c>
    </row>
    <row r="324" spans="1:6" ht="15" customHeight="1" x14ac:dyDescent="0.3">
      <c r="A324" s="86">
        <v>46221</v>
      </c>
      <c r="B324" s="64" t="s">
        <v>505</v>
      </c>
      <c r="C324" s="104" t="s">
        <v>183</v>
      </c>
      <c r="D324" s="64">
        <v>5</v>
      </c>
      <c r="E324" s="40">
        <v>362</v>
      </c>
      <c r="F324" s="104" t="s">
        <v>835</v>
      </c>
    </row>
    <row r="325" spans="1:6" ht="15" customHeight="1" x14ac:dyDescent="0.3">
      <c r="A325" s="85">
        <v>46221</v>
      </c>
      <c r="B325" s="60" t="s">
        <v>506</v>
      </c>
      <c r="C325" s="101" t="s">
        <v>183</v>
      </c>
      <c r="D325" s="60">
        <v>5</v>
      </c>
      <c r="E325" s="35">
        <v>366</v>
      </c>
      <c r="F325" s="101" t="s">
        <v>835</v>
      </c>
    </row>
    <row r="326" spans="1:6" ht="15" customHeight="1" x14ac:dyDescent="0.3">
      <c r="A326" s="86">
        <v>46221</v>
      </c>
      <c r="B326" s="64" t="s">
        <v>507</v>
      </c>
      <c r="C326" s="104" t="s">
        <v>183</v>
      </c>
      <c r="D326" s="64">
        <v>5</v>
      </c>
      <c r="E326" s="40">
        <v>353</v>
      </c>
      <c r="F326" s="104" t="s">
        <v>835</v>
      </c>
    </row>
    <row r="327" spans="1:6" ht="15" customHeight="1" x14ac:dyDescent="0.3">
      <c r="A327" s="85">
        <v>46221</v>
      </c>
      <c r="B327" s="60" t="s">
        <v>508</v>
      </c>
      <c r="C327" s="101" t="s">
        <v>183</v>
      </c>
      <c r="D327" s="60">
        <v>5</v>
      </c>
      <c r="E327" s="35">
        <v>360</v>
      </c>
      <c r="F327" s="101" t="s">
        <v>835</v>
      </c>
    </row>
    <row r="328" spans="1:6" ht="15" customHeight="1" x14ac:dyDescent="0.3">
      <c r="A328" s="86">
        <v>46221</v>
      </c>
      <c r="B328" s="64" t="s">
        <v>509</v>
      </c>
      <c r="C328" s="104" t="s">
        <v>183</v>
      </c>
      <c r="D328" s="64">
        <v>5</v>
      </c>
      <c r="E328" s="40">
        <v>368</v>
      </c>
      <c r="F328" s="104" t="s">
        <v>835</v>
      </c>
    </row>
    <row r="329" spans="1:6" ht="15" customHeight="1" x14ac:dyDescent="0.3">
      <c r="A329" s="85">
        <v>46221</v>
      </c>
      <c r="B329" s="60" t="s">
        <v>510</v>
      </c>
      <c r="C329" s="101" t="s">
        <v>183</v>
      </c>
      <c r="D329" s="60">
        <v>5</v>
      </c>
      <c r="E329" s="35">
        <v>364</v>
      </c>
      <c r="F329" s="101" t="s">
        <v>835</v>
      </c>
    </row>
    <row r="330" spans="1:6" ht="15" customHeight="1" x14ac:dyDescent="0.3">
      <c r="A330" s="86">
        <v>46221</v>
      </c>
      <c r="B330" s="64" t="s">
        <v>511</v>
      </c>
      <c r="C330" s="104" t="s">
        <v>183</v>
      </c>
      <c r="D330" s="64">
        <v>5</v>
      </c>
      <c r="E330" s="40">
        <v>362</v>
      </c>
      <c r="F330" s="104" t="s">
        <v>835</v>
      </c>
    </row>
    <row r="331" spans="1:6" ht="15" customHeight="1" x14ac:dyDescent="0.3">
      <c r="A331" s="85">
        <v>46221</v>
      </c>
      <c r="B331" s="60" t="s">
        <v>512</v>
      </c>
      <c r="C331" s="101" t="s">
        <v>183</v>
      </c>
      <c r="D331" s="60">
        <v>5</v>
      </c>
      <c r="E331" s="35">
        <v>362</v>
      </c>
      <c r="F331" s="101" t="s">
        <v>835</v>
      </c>
    </row>
    <row r="332" spans="1:6" ht="15" customHeight="1" x14ac:dyDescent="0.3">
      <c r="A332" s="86">
        <v>46221</v>
      </c>
      <c r="B332" s="64" t="s">
        <v>513</v>
      </c>
      <c r="C332" s="104" t="s">
        <v>183</v>
      </c>
      <c r="D332" s="64">
        <v>5</v>
      </c>
      <c r="E332" s="40">
        <v>364</v>
      </c>
      <c r="F332" s="104" t="s">
        <v>835</v>
      </c>
    </row>
    <row r="333" spans="1:6" ht="15" customHeight="1" x14ac:dyDescent="0.3">
      <c r="A333" s="85">
        <v>46221</v>
      </c>
      <c r="B333" s="60" t="s">
        <v>514</v>
      </c>
      <c r="C333" s="101" t="s">
        <v>183</v>
      </c>
      <c r="D333" s="60">
        <v>5</v>
      </c>
      <c r="E333" s="35">
        <v>364</v>
      </c>
      <c r="F333" s="101" t="s">
        <v>835</v>
      </c>
    </row>
    <row r="334" spans="1:6" ht="15" customHeight="1" x14ac:dyDescent="0.3">
      <c r="A334" s="86">
        <v>46221</v>
      </c>
      <c r="B334" s="64" t="s">
        <v>515</v>
      </c>
      <c r="C334" s="104" t="s">
        <v>183</v>
      </c>
      <c r="D334" s="64">
        <v>5</v>
      </c>
      <c r="E334" s="40">
        <v>357</v>
      </c>
      <c r="F334" s="104" t="s">
        <v>835</v>
      </c>
    </row>
    <row r="335" spans="1:6" ht="15" customHeight="1" x14ac:dyDescent="0.3">
      <c r="A335" s="85">
        <v>46221</v>
      </c>
      <c r="B335" s="60" t="s">
        <v>516</v>
      </c>
      <c r="C335" s="101" t="s">
        <v>183</v>
      </c>
      <c r="D335" s="60">
        <v>5</v>
      </c>
      <c r="E335" s="35">
        <v>341</v>
      </c>
      <c r="F335" s="101" t="s">
        <v>835</v>
      </c>
    </row>
    <row r="336" spans="1:6" ht="15" customHeight="1" x14ac:dyDescent="0.3">
      <c r="A336" s="86">
        <v>46221</v>
      </c>
      <c r="B336" s="64" t="s">
        <v>517</v>
      </c>
      <c r="C336" s="104" t="s">
        <v>183</v>
      </c>
      <c r="D336" s="64">
        <v>5</v>
      </c>
      <c r="E336" s="40">
        <v>365</v>
      </c>
      <c r="F336" s="104" t="s">
        <v>835</v>
      </c>
    </row>
    <row r="337" spans="1:6" ht="15" customHeight="1" x14ac:dyDescent="0.3">
      <c r="A337" s="85">
        <v>46221</v>
      </c>
      <c r="B337" s="60" t="s">
        <v>518</v>
      </c>
      <c r="C337" s="101" t="s">
        <v>183</v>
      </c>
      <c r="D337" s="60">
        <v>5</v>
      </c>
      <c r="E337" s="35">
        <v>368</v>
      </c>
      <c r="F337" s="101" t="s">
        <v>835</v>
      </c>
    </row>
    <row r="338" spans="1:6" ht="15" customHeight="1" x14ac:dyDescent="0.3">
      <c r="A338" s="86">
        <v>46221</v>
      </c>
      <c r="B338" s="64" t="s">
        <v>519</v>
      </c>
      <c r="C338" s="104" t="s">
        <v>183</v>
      </c>
      <c r="D338" s="64">
        <v>5</v>
      </c>
      <c r="E338" s="40">
        <v>363</v>
      </c>
      <c r="F338" s="104" t="s">
        <v>835</v>
      </c>
    </row>
    <row r="339" spans="1:6" ht="15" customHeight="1" x14ac:dyDescent="0.3">
      <c r="A339" s="85">
        <v>46221</v>
      </c>
      <c r="B339" s="60" t="s">
        <v>520</v>
      </c>
      <c r="C339" s="101" t="s">
        <v>183</v>
      </c>
      <c r="D339" s="60">
        <v>5</v>
      </c>
      <c r="E339" s="35">
        <v>365</v>
      </c>
      <c r="F339" s="101" t="s">
        <v>835</v>
      </c>
    </row>
    <row r="340" spans="1:6" ht="15" customHeight="1" x14ac:dyDescent="0.3">
      <c r="A340" s="86">
        <v>46221</v>
      </c>
      <c r="B340" s="64" t="s">
        <v>521</v>
      </c>
      <c r="C340" s="104" t="s">
        <v>183</v>
      </c>
      <c r="D340" s="64">
        <v>5</v>
      </c>
      <c r="E340" s="40">
        <v>358</v>
      </c>
      <c r="F340" s="104" t="s">
        <v>835</v>
      </c>
    </row>
    <row r="341" spans="1:6" ht="15" customHeight="1" x14ac:dyDescent="0.3">
      <c r="A341" s="85">
        <v>46221</v>
      </c>
      <c r="B341" s="60" t="s">
        <v>522</v>
      </c>
      <c r="C341" s="101" t="s">
        <v>183</v>
      </c>
      <c r="D341" s="60">
        <v>5</v>
      </c>
      <c r="E341" s="35">
        <v>363</v>
      </c>
      <c r="F341" s="101" t="s">
        <v>835</v>
      </c>
    </row>
    <row r="342" spans="1:6" ht="15" customHeight="1" x14ac:dyDescent="0.3">
      <c r="A342" s="86">
        <v>46221</v>
      </c>
      <c r="B342" s="64" t="s">
        <v>523</v>
      </c>
      <c r="C342" s="104" t="s">
        <v>183</v>
      </c>
      <c r="D342" s="64">
        <v>5</v>
      </c>
      <c r="E342" s="40">
        <v>352</v>
      </c>
      <c r="F342" s="104" t="s">
        <v>835</v>
      </c>
    </row>
    <row r="343" spans="1:6" ht="15" customHeight="1" x14ac:dyDescent="0.3">
      <c r="A343" s="85">
        <v>46221</v>
      </c>
      <c r="B343" s="60" t="s">
        <v>524</v>
      </c>
      <c r="C343" s="101" t="s">
        <v>183</v>
      </c>
      <c r="D343" s="60">
        <v>5</v>
      </c>
      <c r="E343" s="35">
        <v>361</v>
      </c>
      <c r="F343" s="101" t="s">
        <v>835</v>
      </c>
    </row>
    <row r="344" spans="1:6" ht="15" customHeight="1" x14ac:dyDescent="0.3">
      <c r="A344" s="86">
        <v>46221</v>
      </c>
      <c r="B344" s="64" t="s">
        <v>525</v>
      </c>
      <c r="C344" s="104" t="s">
        <v>183</v>
      </c>
      <c r="D344" s="64">
        <v>5</v>
      </c>
      <c r="E344" s="40">
        <v>364</v>
      </c>
      <c r="F344" s="104" t="s">
        <v>835</v>
      </c>
    </row>
    <row r="345" spans="1:6" ht="15" customHeight="1" x14ac:dyDescent="0.3">
      <c r="A345" s="85">
        <v>46221</v>
      </c>
      <c r="B345" s="60" t="s">
        <v>526</v>
      </c>
      <c r="C345" s="101" t="s">
        <v>183</v>
      </c>
      <c r="D345" s="60">
        <v>5</v>
      </c>
      <c r="E345" s="35">
        <v>361</v>
      </c>
      <c r="F345" s="101" t="s">
        <v>835</v>
      </c>
    </row>
    <row r="346" spans="1:6" ht="15" customHeight="1" x14ac:dyDescent="0.3">
      <c r="A346" s="86">
        <v>46221</v>
      </c>
      <c r="B346" s="64" t="s">
        <v>527</v>
      </c>
      <c r="C346" s="104" t="s">
        <v>183</v>
      </c>
      <c r="D346" s="64">
        <v>5</v>
      </c>
      <c r="E346" s="40">
        <v>365</v>
      </c>
      <c r="F346" s="104" t="s">
        <v>835</v>
      </c>
    </row>
    <row r="347" spans="1:6" ht="15" customHeight="1" x14ac:dyDescent="0.3">
      <c r="A347" s="85">
        <v>46221</v>
      </c>
      <c r="B347" s="60" t="s">
        <v>528</v>
      </c>
      <c r="C347" s="101" t="s">
        <v>183</v>
      </c>
      <c r="D347" s="60">
        <v>5</v>
      </c>
      <c r="E347" s="35">
        <v>357</v>
      </c>
      <c r="F347" s="101" t="s">
        <v>835</v>
      </c>
    </row>
    <row r="348" spans="1:6" ht="15" customHeight="1" x14ac:dyDescent="0.3">
      <c r="A348" s="86">
        <v>46221</v>
      </c>
      <c r="B348" s="64" t="s">
        <v>529</v>
      </c>
      <c r="C348" s="104" t="s">
        <v>183</v>
      </c>
      <c r="D348" s="64">
        <v>5</v>
      </c>
      <c r="E348" s="40">
        <v>361</v>
      </c>
      <c r="F348" s="104" t="s">
        <v>835</v>
      </c>
    </row>
    <row r="349" spans="1:6" ht="15" customHeight="1" x14ac:dyDescent="0.3">
      <c r="A349" s="85">
        <v>46221</v>
      </c>
      <c r="B349" s="60" t="s">
        <v>530</v>
      </c>
      <c r="C349" s="101" t="s">
        <v>183</v>
      </c>
      <c r="D349" s="60">
        <v>5</v>
      </c>
      <c r="E349" s="35">
        <v>368</v>
      </c>
      <c r="F349" s="101" t="s">
        <v>835</v>
      </c>
    </row>
    <row r="350" spans="1:6" ht="15" customHeight="1" x14ac:dyDescent="0.3">
      <c r="A350" s="86">
        <v>46221</v>
      </c>
      <c r="B350" s="64" t="s">
        <v>531</v>
      </c>
      <c r="C350" s="104" t="s">
        <v>183</v>
      </c>
      <c r="D350" s="64">
        <v>5</v>
      </c>
      <c r="E350" s="40">
        <v>357</v>
      </c>
      <c r="F350" s="104" t="s">
        <v>835</v>
      </c>
    </row>
    <row r="351" spans="1:6" ht="15" customHeight="1" x14ac:dyDescent="0.3">
      <c r="A351" s="85">
        <v>46221</v>
      </c>
      <c r="B351" s="60" t="s">
        <v>532</v>
      </c>
      <c r="C351" s="101" t="s">
        <v>183</v>
      </c>
      <c r="D351" s="60">
        <v>5</v>
      </c>
      <c r="E351" s="35">
        <v>361</v>
      </c>
      <c r="F351" s="101" t="s">
        <v>835</v>
      </c>
    </row>
    <row r="352" spans="1:6" ht="15" customHeight="1" x14ac:dyDescent="0.3">
      <c r="A352" s="86">
        <v>46221</v>
      </c>
      <c r="B352" s="64" t="s">
        <v>533</v>
      </c>
      <c r="C352" s="104" t="s">
        <v>183</v>
      </c>
      <c r="D352" s="64">
        <v>5</v>
      </c>
      <c r="E352" s="40">
        <v>361</v>
      </c>
      <c r="F352" s="104" t="s">
        <v>835</v>
      </c>
    </row>
    <row r="353" spans="1:6" ht="15" customHeight="1" x14ac:dyDescent="0.3">
      <c r="A353" s="85">
        <v>46221</v>
      </c>
      <c r="B353" s="60" t="s">
        <v>534</v>
      </c>
      <c r="C353" s="101" t="s">
        <v>183</v>
      </c>
      <c r="D353" s="60">
        <v>5</v>
      </c>
      <c r="E353" s="35">
        <v>367</v>
      </c>
      <c r="F353" s="101" t="s">
        <v>835</v>
      </c>
    </row>
    <row r="354" spans="1:6" ht="15" customHeight="1" x14ac:dyDescent="0.3">
      <c r="A354" s="86">
        <v>46221</v>
      </c>
      <c r="B354" s="64" t="s">
        <v>535</v>
      </c>
      <c r="C354" s="104" t="s">
        <v>183</v>
      </c>
      <c r="D354" s="64">
        <v>5</v>
      </c>
      <c r="E354" s="40">
        <v>355</v>
      </c>
      <c r="F354" s="104" t="s">
        <v>835</v>
      </c>
    </row>
    <row r="355" spans="1:6" ht="15" customHeight="1" x14ac:dyDescent="0.3">
      <c r="A355" s="85">
        <v>46221</v>
      </c>
      <c r="B355" s="60" t="s">
        <v>536</v>
      </c>
      <c r="C355" s="101" t="s">
        <v>183</v>
      </c>
      <c r="D355" s="60">
        <v>5</v>
      </c>
      <c r="E355" s="35">
        <v>365</v>
      </c>
      <c r="F355" s="101" t="s">
        <v>835</v>
      </c>
    </row>
    <row r="356" spans="1:6" ht="15" customHeight="1" x14ac:dyDescent="0.3">
      <c r="A356" s="86">
        <v>46225</v>
      </c>
      <c r="B356" s="64" t="s">
        <v>537</v>
      </c>
      <c r="C356" s="104" t="s">
        <v>183</v>
      </c>
      <c r="D356" s="64">
        <v>5</v>
      </c>
      <c r="E356" s="40">
        <v>357</v>
      </c>
      <c r="F356" s="104" t="s">
        <v>835</v>
      </c>
    </row>
    <row r="357" spans="1:6" ht="15" customHeight="1" x14ac:dyDescent="0.3">
      <c r="A357" s="85">
        <v>46225</v>
      </c>
      <c r="B357" s="60" t="s">
        <v>538</v>
      </c>
      <c r="C357" s="101" t="s">
        <v>183</v>
      </c>
      <c r="D357" s="60">
        <v>5</v>
      </c>
      <c r="E357" s="35">
        <v>372</v>
      </c>
      <c r="F357" s="101" t="s">
        <v>835</v>
      </c>
    </row>
    <row r="358" spans="1:6" ht="15" customHeight="1" x14ac:dyDescent="0.3">
      <c r="A358" s="86">
        <v>46225</v>
      </c>
      <c r="B358" s="64" t="s">
        <v>539</v>
      </c>
      <c r="C358" s="104" t="s">
        <v>183</v>
      </c>
      <c r="D358" s="64">
        <v>5</v>
      </c>
      <c r="E358" s="40">
        <v>377</v>
      </c>
      <c r="F358" s="104" t="s">
        <v>835</v>
      </c>
    </row>
    <row r="359" spans="1:6" ht="15" customHeight="1" x14ac:dyDescent="0.3">
      <c r="A359" s="85">
        <v>46225</v>
      </c>
      <c r="B359" s="60" t="s">
        <v>540</v>
      </c>
      <c r="C359" s="101" t="s">
        <v>183</v>
      </c>
      <c r="D359" s="60">
        <v>5</v>
      </c>
      <c r="E359" s="35">
        <v>365</v>
      </c>
      <c r="F359" s="101" t="s">
        <v>835</v>
      </c>
    </row>
    <row r="360" spans="1:6" ht="15" customHeight="1" x14ac:dyDescent="0.3">
      <c r="A360" s="86">
        <v>46225</v>
      </c>
      <c r="B360" s="64" t="s">
        <v>541</v>
      </c>
      <c r="C360" s="104" t="s">
        <v>183</v>
      </c>
      <c r="D360" s="64">
        <v>5</v>
      </c>
      <c r="E360" s="40">
        <v>362</v>
      </c>
      <c r="F360" s="104" t="s">
        <v>835</v>
      </c>
    </row>
    <row r="361" spans="1:6" ht="15" customHeight="1" x14ac:dyDescent="0.3">
      <c r="A361" s="85">
        <v>46225</v>
      </c>
      <c r="B361" s="60" t="s">
        <v>542</v>
      </c>
      <c r="C361" s="101" t="s">
        <v>183</v>
      </c>
      <c r="D361" s="60">
        <v>5</v>
      </c>
      <c r="E361" s="35">
        <v>374</v>
      </c>
      <c r="F361" s="101" t="s">
        <v>835</v>
      </c>
    </row>
    <row r="362" spans="1:6" ht="15" customHeight="1" x14ac:dyDescent="0.3">
      <c r="A362" s="86">
        <v>46225</v>
      </c>
      <c r="B362" s="64" t="s">
        <v>543</v>
      </c>
      <c r="C362" s="104" t="s">
        <v>183</v>
      </c>
      <c r="D362" s="64">
        <v>5</v>
      </c>
      <c r="E362" s="40">
        <v>360</v>
      </c>
      <c r="F362" s="104" t="s">
        <v>835</v>
      </c>
    </row>
    <row r="363" spans="1:6" ht="15" customHeight="1" x14ac:dyDescent="0.3">
      <c r="A363" s="85">
        <v>46225</v>
      </c>
      <c r="B363" s="60" t="s">
        <v>544</v>
      </c>
      <c r="C363" s="101" t="s">
        <v>183</v>
      </c>
      <c r="D363" s="60">
        <v>5</v>
      </c>
      <c r="E363" s="35">
        <v>354</v>
      </c>
      <c r="F363" s="101" t="s">
        <v>835</v>
      </c>
    </row>
    <row r="364" spans="1:6" ht="15" customHeight="1" x14ac:dyDescent="0.3">
      <c r="A364" s="86">
        <v>46224</v>
      </c>
      <c r="B364" s="64" t="s">
        <v>545</v>
      </c>
      <c r="C364" s="104" t="s">
        <v>183</v>
      </c>
      <c r="D364" s="64">
        <v>6</v>
      </c>
      <c r="E364" s="40">
        <v>383</v>
      </c>
      <c r="F364" s="104" t="s">
        <v>835</v>
      </c>
    </row>
    <row r="365" spans="1:6" ht="15" customHeight="1" x14ac:dyDescent="0.3">
      <c r="A365" s="85">
        <v>46224</v>
      </c>
      <c r="B365" s="60" t="s">
        <v>546</v>
      </c>
      <c r="C365" s="101" t="s">
        <v>183</v>
      </c>
      <c r="D365" s="60">
        <v>6</v>
      </c>
      <c r="E365" s="35">
        <v>391</v>
      </c>
      <c r="F365" s="101" t="s">
        <v>835</v>
      </c>
    </row>
    <row r="366" spans="1:6" ht="15" customHeight="1" x14ac:dyDescent="0.3">
      <c r="A366" s="86">
        <v>46224</v>
      </c>
      <c r="B366" s="64" t="s">
        <v>547</v>
      </c>
      <c r="C366" s="104" t="s">
        <v>183</v>
      </c>
      <c r="D366" s="64">
        <v>6</v>
      </c>
      <c r="E366" s="40">
        <v>392</v>
      </c>
      <c r="F366" s="104" t="s">
        <v>835</v>
      </c>
    </row>
    <row r="367" spans="1:6" ht="15" customHeight="1" x14ac:dyDescent="0.3">
      <c r="A367" s="85">
        <v>46224</v>
      </c>
      <c r="B367" s="60" t="s">
        <v>548</v>
      </c>
      <c r="C367" s="101" t="s">
        <v>183</v>
      </c>
      <c r="D367" s="60">
        <v>6</v>
      </c>
      <c r="E367" s="35">
        <v>375</v>
      </c>
      <c r="F367" s="101" t="s">
        <v>835</v>
      </c>
    </row>
    <row r="368" spans="1:6" ht="15" customHeight="1" x14ac:dyDescent="0.3">
      <c r="A368" s="86">
        <v>46224</v>
      </c>
      <c r="B368" s="64" t="s">
        <v>549</v>
      </c>
      <c r="C368" s="104" t="s">
        <v>183</v>
      </c>
      <c r="D368" s="64">
        <v>6</v>
      </c>
      <c r="E368" s="40">
        <v>392</v>
      </c>
      <c r="F368" s="104" t="s">
        <v>835</v>
      </c>
    </row>
    <row r="369" spans="1:6" ht="15" customHeight="1" x14ac:dyDescent="0.3">
      <c r="A369" s="85">
        <v>46224</v>
      </c>
      <c r="B369" s="60" t="s">
        <v>550</v>
      </c>
      <c r="C369" s="101" t="s">
        <v>183</v>
      </c>
      <c r="D369" s="60">
        <v>6</v>
      </c>
      <c r="E369" s="35">
        <v>400</v>
      </c>
      <c r="F369" s="101" t="s">
        <v>835</v>
      </c>
    </row>
    <row r="370" spans="1:6" ht="15" customHeight="1" x14ac:dyDescent="0.3">
      <c r="A370" s="86">
        <v>46224</v>
      </c>
      <c r="B370" s="64" t="s">
        <v>551</v>
      </c>
      <c r="C370" s="104" t="s">
        <v>183</v>
      </c>
      <c r="D370" s="64">
        <v>6</v>
      </c>
      <c r="E370" s="40">
        <v>389</v>
      </c>
      <c r="F370" s="104" t="s">
        <v>835</v>
      </c>
    </row>
    <row r="371" spans="1:6" ht="15" customHeight="1" x14ac:dyDescent="0.3">
      <c r="A371" s="85">
        <v>46224</v>
      </c>
      <c r="B371" s="60" t="s">
        <v>552</v>
      </c>
      <c r="C371" s="101" t="s">
        <v>183</v>
      </c>
      <c r="D371" s="60">
        <v>6</v>
      </c>
      <c r="E371" s="35">
        <v>387</v>
      </c>
      <c r="F371" s="101" t="s">
        <v>835</v>
      </c>
    </row>
    <row r="372" spans="1:6" ht="15" customHeight="1" x14ac:dyDescent="0.3">
      <c r="A372" s="86">
        <v>46224</v>
      </c>
      <c r="B372" s="64" t="s">
        <v>553</v>
      </c>
      <c r="C372" s="104" t="s">
        <v>183</v>
      </c>
      <c r="D372" s="64">
        <v>6</v>
      </c>
      <c r="E372" s="40">
        <v>392</v>
      </c>
      <c r="F372" s="104" t="s">
        <v>835</v>
      </c>
    </row>
    <row r="373" spans="1:6" ht="15" customHeight="1" x14ac:dyDescent="0.3">
      <c r="A373" s="85">
        <v>46224</v>
      </c>
      <c r="B373" s="60" t="s">
        <v>554</v>
      </c>
      <c r="C373" s="101" t="s">
        <v>183</v>
      </c>
      <c r="D373" s="60">
        <v>6</v>
      </c>
      <c r="E373" s="35">
        <v>388</v>
      </c>
      <c r="F373" s="101" t="s">
        <v>835</v>
      </c>
    </row>
    <row r="374" spans="1:6" ht="15" customHeight="1" x14ac:dyDescent="0.3">
      <c r="A374" s="86">
        <v>46224</v>
      </c>
      <c r="B374" s="64" t="s">
        <v>555</v>
      </c>
      <c r="C374" s="104" t="s">
        <v>183</v>
      </c>
      <c r="D374" s="64">
        <v>6</v>
      </c>
      <c r="E374" s="40">
        <v>394</v>
      </c>
      <c r="F374" s="104" t="s">
        <v>835</v>
      </c>
    </row>
    <row r="375" spans="1:6" ht="15" customHeight="1" x14ac:dyDescent="0.3">
      <c r="A375" s="85">
        <v>46224</v>
      </c>
      <c r="B375" s="60" t="s">
        <v>556</v>
      </c>
      <c r="C375" s="101" t="s">
        <v>183</v>
      </c>
      <c r="D375" s="60">
        <v>6</v>
      </c>
      <c r="E375" s="35">
        <v>399</v>
      </c>
      <c r="F375" s="101" t="s">
        <v>835</v>
      </c>
    </row>
    <row r="376" spans="1:6" ht="15" customHeight="1" x14ac:dyDescent="0.3">
      <c r="A376" s="86">
        <v>46224</v>
      </c>
      <c r="B376" s="64" t="s">
        <v>557</v>
      </c>
      <c r="C376" s="104" t="s">
        <v>183</v>
      </c>
      <c r="D376" s="64">
        <v>6</v>
      </c>
      <c r="E376" s="40">
        <v>375</v>
      </c>
      <c r="F376" s="104" t="s">
        <v>835</v>
      </c>
    </row>
    <row r="377" spans="1:6" ht="15" customHeight="1" x14ac:dyDescent="0.3">
      <c r="A377" s="85">
        <v>46224</v>
      </c>
      <c r="B377" s="60" t="s">
        <v>558</v>
      </c>
      <c r="C377" s="101" t="s">
        <v>183</v>
      </c>
      <c r="D377" s="60">
        <v>6</v>
      </c>
      <c r="E377" s="35">
        <v>382</v>
      </c>
      <c r="F377" s="101" t="s">
        <v>835</v>
      </c>
    </row>
    <row r="378" spans="1:6" ht="15" customHeight="1" x14ac:dyDescent="0.3">
      <c r="A378" s="86">
        <v>46224</v>
      </c>
      <c r="B378" s="64" t="s">
        <v>559</v>
      </c>
      <c r="C378" s="104" t="s">
        <v>183</v>
      </c>
      <c r="D378" s="64">
        <v>6</v>
      </c>
      <c r="E378" s="40">
        <v>379</v>
      </c>
      <c r="F378" s="104" t="s">
        <v>835</v>
      </c>
    </row>
    <row r="379" spans="1:6" ht="15" customHeight="1" x14ac:dyDescent="0.3">
      <c r="A379" s="85">
        <v>46224</v>
      </c>
      <c r="B379" s="60" t="s">
        <v>560</v>
      </c>
      <c r="C379" s="101" t="s">
        <v>183</v>
      </c>
      <c r="D379" s="60">
        <v>6</v>
      </c>
      <c r="E379" s="35">
        <v>385</v>
      </c>
      <c r="F379" s="101" t="s">
        <v>835</v>
      </c>
    </row>
    <row r="380" spans="1:6" ht="15" customHeight="1" x14ac:dyDescent="0.3">
      <c r="A380" s="86">
        <v>46224</v>
      </c>
      <c r="B380" s="64" t="s">
        <v>561</v>
      </c>
      <c r="C380" s="104" t="s">
        <v>183</v>
      </c>
      <c r="D380" s="64">
        <v>6</v>
      </c>
      <c r="E380" s="40">
        <v>386</v>
      </c>
      <c r="F380" s="104" t="s">
        <v>835</v>
      </c>
    </row>
    <row r="381" spans="1:6" ht="15" customHeight="1" x14ac:dyDescent="0.3">
      <c r="A381" s="85">
        <v>46224</v>
      </c>
      <c r="B381" s="60" t="s">
        <v>562</v>
      </c>
      <c r="C381" s="101" t="s">
        <v>183</v>
      </c>
      <c r="D381" s="60">
        <v>6</v>
      </c>
      <c r="E381" s="35">
        <v>378</v>
      </c>
      <c r="F381" s="101" t="s">
        <v>835</v>
      </c>
    </row>
    <row r="382" spans="1:6" ht="15" customHeight="1" x14ac:dyDescent="0.3">
      <c r="A382" s="86">
        <v>46224</v>
      </c>
      <c r="B382" s="64" t="s">
        <v>563</v>
      </c>
      <c r="C382" s="104" t="s">
        <v>183</v>
      </c>
      <c r="D382" s="64">
        <v>6</v>
      </c>
      <c r="E382" s="40">
        <v>377</v>
      </c>
      <c r="F382" s="104" t="s">
        <v>835</v>
      </c>
    </row>
    <row r="383" spans="1:6" ht="15" customHeight="1" x14ac:dyDescent="0.3">
      <c r="A383" s="85">
        <v>46224</v>
      </c>
      <c r="B383" s="60" t="s">
        <v>564</v>
      </c>
      <c r="C383" s="101" t="s">
        <v>183</v>
      </c>
      <c r="D383" s="60">
        <v>6</v>
      </c>
      <c r="E383" s="35">
        <v>375</v>
      </c>
      <c r="F383" s="101" t="s">
        <v>835</v>
      </c>
    </row>
    <row r="384" spans="1:6" ht="15" customHeight="1" x14ac:dyDescent="0.3">
      <c r="A384" s="86">
        <v>46224</v>
      </c>
      <c r="B384" s="64" t="s">
        <v>565</v>
      </c>
      <c r="C384" s="104" t="s">
        <v>183</v>
      </c>
      <c r="D384" s="64">
        <v>6</v>
      </c>
      <c r="E384" s="40">
        <v>375</v>
      </c>
      <c r="F384" s="104" t="s">
        <v>835</v>
      </c>
    </row>
    <row r="385" spans="1:6" ht="15" customHeight="1" x14ac:dyDescent="0.3">
      <c r="A385" s="85">
        <v>46224</v>
      </c>
      <c r="B385" s="60" t="s">
        <v>566</v>
      </c>
      <c r="C385" s="101" t="s">
        <v>183</v>
      </c>
      <c r="D385" s="60">
        <v>6</v>
      </c>
      <c r="E385" s="35">
        <v>386</v>
      </c>
      <c r="F385" s="101" t="s">
        <v>835</v>
      </c>
    </row>
    <row r="386" spans="1:6" ht="15" customHeight="1" x14ac:dyDescent="0.3">
      <c r="A386" s="86">
        <v>46224</v>
      </c>
      <c r="B386" s="64" t="s">
        <v>567</v>
      </c>
      <c r="C386" s="104" t="s">
        <v>183</v>
      </c>
      <c r="D386" s="64">
        <v>6</v>
      </c>
      <c r="E386" s="40">
        <v>384</v>
      </c>
      <c r="F386" s="104" t="s">
        <v>835</v>
      </c>
    </row>
    <row r="387" spans="1:6" ht="15" customHeight="1" x14ac:dyDescent="0.3">
      <c r="A387" s="85">
        <v>46224</v>
      </c>
      <c r="B387" s="60" t="s">
        <v>568</v>
      </c>
      <c r="C387" s="101" t="s">
        <v>183</v>
      </c>
      <c r="D387" s="60">
        <v>6</v>
      </c>
      <c r="E387" s="35">
        <v>388</v>
      </c>
      <c r="F387" s="101" t="s">
        <v>835</v>
      </c>
    </row>
    <row r="388" spans="1:6" ht="15" customHeight="1" x14ac:dyDescent="0.3">
      <c r="A388" s="86">
        <v>46224</v>
      </c>
      <c r="B388" s="64" t="s">
        <v>569</v>
      </c>
      <c r="C388" s="104" t="s">
        <v>183</v>
      </c>
      <c r="D388" s="64">
        <v>6</v>
      </c>
      <c r="E388" s="40">
        <v>379</v>
      </c>
      <c r="F388" s="104" t="s">
        <v>835</v>
      </c>
    </row>
    <row r="389" spans="1:6" ht="15" customHeight="1" x14ac:dyDescent="0.3">
      <c r="A389" s="85">
        <v>46224</v>
      </c>
      <c r="B389" s="60" t="s">
        <v>570</v>
      </c>
      <c r="C389" s="101" t="s">
        <v>183</v>
      </c>
      <c r="D389" s="60">
        <v>6</v>
      </c>
      <c r="E389" s="35">
        <v>392</v>
      </c>
      <c r="F389" s="101" t="s">
        <v>835</v>
      </c>
    </row>
    <row r="390" spans="1:6" ht="15" customHeight="1" x14ac:dyDescent="0.3">
      <c r="A390" s="86">
        <v>46224</v>
      </c>
      <c r="B390" s="64" t="s">
        <v>571</v>
      </c>
      <c r="C390" s="104" t="s">
        <v>183</v>
      </c>
      <c r="D390" s="64">
        <v>6</v>
      </c>
      <c r="E390" s="40">
        <v>383</v>
      </c>
      <c r="F390" s="104" t="s">
        <v>835</v>
      </c>
    </row>
    <row r="391" spans="1:6" ht="15" customHeight="1" x14ac:dyDescent="0.3">
      <c r="A391" s="85">
        <v>46224</v>
      </c>
      <c r="B391" s="60" t="s">
        <v>572</v>
      </c>
      <c r="C391" s="101" t="s">
        <v>183</v>
      </c>
      <c r="D391" s="60">
        <v>6</v>
      </c>
      <c r="E391" s="35">
        <v>387</v>
      </c>
      <c r="F391" s="101" t="s">
        <v>835</v>
      </c>
    </row>
    <row r="392" spans="1:6" ht="15" customHeight="1" x14ac:dyDescent="0.3">
      <c r="A392" s="86">
        <v>46224</v>
      </c>
      <c r="B392" s="64" t="s">
        <v>573</v>
      </c>
      <c r="C392" s="104" t="s">
        <v>183</v>
      </c>
      <c r="D392" s="64">
        <v>6</v>
      </c>
      <c r="E392" s="40">
        <v>391</v>
      </c>
      <c r="F392" s="104" t="s">
        <v>835</v>
      </c>
    </row>
    <row r="393" spans="1:6" ht="15" customHeight="1" x14ac:dyDescent="0.3">
      <c r="A393" s="85">
        <v>46224</v>
      </c>
      <c r="B393" s="60" t="s">
        <v>574</v>
      </c>
      <c r="C393" s="101" t="s">
        <v>183</v>
      </c>
      <c r="D393" s="60">
        <v>6</v>
      </c>
      <c r="E393" s="35">
        <v>380</v>
      </c>
      <c r="F393" s="101" t="s">
        <v>835</v>
      </c>
    </row>
    <row r="394" spans="1:6" ht="15" customHeight="1" x14ac:dyDescent="0.3">
      <c r="A394" s="86">
        <v>46224</v>
      </c>
      <c r="B394" s="64" t="s">
        <v>575</v>
      </c>
      <c r="C394" s="104" t="s">
        <v>183</v>
      </c>
      <c r="D394" s="64">
        <v>6</v>
      </c>
      <c r="E394" s="40">
        <v>383</v>
      </c>
      <c r="F394" s="104" t="s">
        <v>835</v>
      </c>
    </row>
    <row r="395" spans="1:6" ht="15" customHeight="1" x14ac:dyDescent="0.3">
      <c r="A395" s="85">
        <v>46224</v>
      </c>
      <c r="B395" s="60" t="s">
        <v>576</v>
      </c>
      <c r="C395" s="101" t="s">
        <v>183</v>
      </c>
      <c r="D395" s="60">
        <v>6</v>
      </c>
      <c r="E395" s="35">
        <v>390</v>
      </c>
      <c r="F395" s="101" t="s">
        <v>835</v>
      </c>
    </row>
    <row r="396" spans="1:6" ht="15" customHeight="1" x14ac:dyDescent="0.3">
      <c r="A396" s="86">
        <v>46224</v>
      </c>
      <c r="B396" s="64" t="s">
        <v>577</v>
      </c>
      <c r="C396" s="104" t="s">
        <v>183</v>
      </c>
      <c r="D396" s="64">
        <v>6</v>
      </c>
      <c r="E396" s="40">
        <v>385</v>
      </c>
      <c r="F396" s="104" t="s">
        <v>835</v>
      </c>
    </row>
    <row r="397" spans="1:6" ht="15" customHeight="1" x14ac:dyDescent="0.3">
      <c r="A397" s="85">
        <v>46224</v>
      </c>
      <c r="B397" s="60" t="s">
        <v>578</v>
      </c>
      <c r="C397" s="101" t="s">
        <v>183</v>
      </c>
      <c r="D397" s="60">
        <v>6</v>
      </c>
      <c r="E397" s="35">
        <v>382</v>
      </c>
      <c r="F397" s="101" t="s">
        <v>835</v>
      </c>
    </row>
    <row r="398" spans="1:6" ht="15" customHeight="1" x14ac:dyDescent="0.3">
      <c r="A398" s="86">
        <v>46224</v>
      </c>
      <c r="B398" s="64" t="s">
        <v>579</v>
      </c>
      <c r="C398" s="104" t="s">
        <v>183</v>
      </c>
      <c r="D398" s="64">
        <v>6</v>
      </c>
      <c r="E398" s="40">
        <v>391</v>
      </c>
      <c r="F398" s="104" t="s">
        <v>835</v>
      </c>
    </row>
    <row r="399" spans="1:6" ht="15" customHeight="1" x14ac:dyDescent="0.3">
      <c r="A399" s="85">
        <v>46224</v>
      </c>
      <c r="B399" s="60" t="s">
        <v>580</v>
      </c>
      <c r="C399" s="101" t="s">
        <v>183</v>
      </c>
      <c r="D399" s="60">
        <v>6</v>
      </c>
      <c r="E399" s="35">
        <v>388</v>
      </c>
      <c r="F399" s="101" t="s">
        <v>835</v>
      </c>
    </row>
    <row r="400" spans="1:6" ht="15" customHeight="1" x14ac:dyDescent="0.3">
      <c r="A400" s="86">
        <v>46224</v>
      </c>
      <c r="B400" s="64" t="s">
        <v>581</v>
      </c>
      <c r="C400" s="104" t="s">
        <v>183</v>
      </c>
      <c r="D400" s="64">
        <v>6</v>
      </c>
      <c r="E400" s="40">
        <v>390</v>
      </c>
      <c r="F400" s="104" t="s">
        <v>835</v>
      </c>
    </row>
    <row r="401" spans="1:6" ht="15" customHeight="1" x14ac:dyDescent="0.3">
      <c r="A401" s="85">
        <v>46224</v>
      </c>
      <c r="B401" s="60" t="s">
        <v>582</v>
      </c>
      <c r="C401" s="101" t="s">
        <v>183</v>
      </c>
      <c r="D401" s="60">
        <v>6</v>
      </c>
      <c r="E401" s="35">
        <v>378</v>
      </c>
      <c r="F401" s="101" t="s">
        <v>835</v>
      </c>
    </row>
    <row r="402" spans="1:6" ht="15" customHeight="1" x14ac:dyDescent="0.3">
      <c r="A402" s="86">
        <v>46224</v>
      </c>
      <c r="B402" s="64" t="s">
        <v>583</v>
      </c>
      <c r="C402" s="104" t="s">
        <v>183</v>
      </c>
      <c r="D402" s="64">
        <v>6</v>
      </c>
      <c r="E402" s="40">
        <v>390</v>
      </c>
      <c r="F402" s="104" t="s">
        <v>835</v>
      </c>
    </row>
    <row r="403" spans="1:6" ht="15" customHeight="1" x14ac:dyDescent="0.3">
      <c r="A403" s="85">
        <v>46224</v>
      </c>
      <c r="B403" s="60" t="s">
        <v>584</v>
      </c>
      <c r="C403" s="101" t="s">
        <v>183</v>
      </c>
      <c r="D403" s="60">
        <v>6</v>
      </c>
      <c r="E403" s="35">
        <v>384</v>
      </c>
      <c r="F403" s="101" t="s">
        <v>835</v>
      </c>
    </row>
    <row r="404" spans="1:6" ht="15" customHeight="1" x14ac:dyDescent="0.3">
      <c r="A404" s="86">
        <v>46224</v>
      </c>
      <c r="B404" s="64" t="s">
        <v>585</v>
      </c>
      <c r="C404" s="104" t="s">
        <v>183</v>
      </c>
      <c r="D404" s="64">
        <v>6</v>
      </c>
      <c r="E404" s="40">
        <v>390</v>
      </c>
      <c r="F404" s="104" t="s">
        <v>835</v>
      </c>
    </row>
    <row r="405" spans="1:6" ht="15" customHeight="1" x14ac:dyDescent="0.3">
      <c r="A405" s="85">
        <v>46224</v>
      </c>
      <c r="B405" s="60" t="s">
        <v>586</v>
      </c>
      <c r="C405" s="101" t="s">
        <v>183</v>
      </c>
      <c r="D405" s="60">
        <v>6</v>
      </c>
      <c r="E405" s="35">
        <v>393</v>
      </c>
      <c r="F405" s="101" t="s">
        <v>835</v>
      </c>
    </row>
    <row r="406" spans="1:6" ht="15" customHeight="1" x14ac:dyDescent="0.3">
      <c r="A406" s="86">
        <v>46224</v>
      </c>
      <c r="B406" s="64" t="s">
        <v>587</v>
      </c>
      <c r="C406" s="104" t="s">
        <v>183</v>
      </c>
      <c r="D406" s="64">
        <v>6</v>
      </c>
      <c r="E406" s="40">
        <v>394</v>
      </c>
      <c r="F406" s="104" t="s">
        <v>835</v>
      </c>
    </row>
    <row r="407" spans="1:6" ht="15" customHeight="1" x14ac:dyDescent="0.3">
      <c r="A407" s="85">
        <v>46224</v>
      </c>
      <c r="B407" s="60" t="s">
        <v>588</v>
      </c>
      <c r="C407" s="101" t="s">
        <v>183</v>
      </c>
      <c r="D407" s="60">
        <v>6</v>
      </c>
      <c r="E407" s="35">
        <v>391</v>
      </c>
      <c r="F407" s="101" t="s">
        <v>835</v>
      </c>
    </row>
    <row r="408" spans="1:6" ht="15" customHeight="1" x14ac:dyDescent="0.3">
      <c r="A408" s="86">
        <v>46224</v>
      </c>
      <c r="B408" s="64" t="s">
        <v>589</v>
      </c>
      <c r="C408" s="104" t="s">
        <v>183</v>
      </c>
      <c r="D408" s="64">
        <v>6</v>
      </c>
      <c r="E408" s="40">
        <v>393</v>
      </c>
      <c r="F408" s="104" t="s">
        <v>835</v>
      </c>
    </row>
    <row r="409" spans="1:6" ht="15" customHeight="1" x14ac:dyDescent="0.3">
      <c r="A409" s="85">
        <v>46224</v>
      </c>
      <c r="B409" s="60" t="s">
        <v>590</v>
      </c>
      <c r="C409" s="101" t="s">
        <v>183</v>
      </c>
      <c r="D409" s="60">
        <v>6</v>
      </c>
      <c r="E409" s="35">
        <v>379</v>
      </c>
      <c r="F409" s="101" t="s">
        <v>835</v>
      </c>
    </row>
    <row r="410" spans="1:6" ht="15" customHeight="1" x14ac:dyDescent="0.3">
      <c r="A410" s="86">
        <v>46224</v>
      </c>
      <c r="B410" s="64" t="s">
        <v>591</v>
      </c>
      <c r="C410" s="104" t="s">
        <v>183</v>
      </c>
      <c r="D410" s="64">
        <v>6</v>
      </c>
      <c r="E410" s="40">
        <v>383</v>
      </c>
      <c r="F410" s="104" t="s">
        <v>835</v>
      </c>
    </row>
    <row r="411" spans="1:6" ht="15" customHeight="1" x14ac:dyDescent="0.3">
      <c r="A411" s="85">
        <v>46224</v>
      </c>
      <c r="B411" s="60" t="s">
        <v>592</v>
      </c>
      <c r="C411" s="101" t="s">
        <v>183</v>
      </c>
      <c r="D411" s="60">
        <v>6</v>
      </c>
      <c r="E411" s="35">
        <v>387</v>
      </c>
      <c r="F411" s="101" t="s">
        <v>835</v>
      </c>
    </row>
    <row r="412" spans="1:6" ht="15" customHeight="1" x14ac:dyDescent="0.3">
      <c r="A412" s="86">
        <v>46224</v>
      </c>
      <c r="B412" s="64" t="s">
        <v>593</v>
      </c>
      <c r="C412" s="104" t="s">
        <v>183</v>
      </c>
      <c r="D412" s="64">
        <v>6</v>
      </c>
      <c r="E412" s="40">
        <v>378</v>
      </c>
      <c r="F412" s="104" t="s">
        <v>835</v>
      </c>
    </row>
    <row r="413" spans="1:6" ht="15" customHeight="1" x14ac:dyDescent="0.3">
      <c r="A413" s="85">
        <v>46224</v>
      </c>
      <c r="B413" s="60" t="s">
        <v>594</v>
      </c>
      <c r="C413" s="101" t="s">
        <v>183</v>
      </c>
      <c r="D413" s="60">
        <v>6</v>
      </c>
      <c r="E413" s="35">
        <v>383</v>
      </c>
      <c r="F413" s="101" t="s">
        <v>835</v>
      </c>
    </row>
    <row r="414" spans="1:6" ht="15" customHeight="1" x14ac:dyDescent="0.3">
      <c r="A414" s="86">
        <v>46224</v>
      </c>
      <c r="B414" s="64" t="s">
        <v>595</v>
      </c>
      <c r="C414" s="104" t="s">
        <v>183</v>
      </c>
      <c r="D414" s="64">
        <v>6</v>
      </c>
      <c r="E414" s="40">
        <v>392</v>
      </c>
      <c r="F414" s="104" t="s">
        <v>835</v>
      </c>
    </row>
    <row r="415" spans="1:6" ht="15" customHeight="1" x14ac:dyDescent="0.3">
      <c r="A415" s="85">
        <v>46224</v>
      </c>
      <c r="B415" s="60" t="s">
        <v>596</v>
      </c>
      <c r="C415" s="101" t="s">
        <v>183</v>
      </c>
      <c r="D415" s="60">
        <v>6</v>
      </c>
      <c r="E415" s="35">
        <v>378</v>
      </c>
      <c r="F415" s="101" t="s">
        <v>835</v>
      </c>
    </row>
    <row r="416" spans="1:6" ht="15" customHeight="1" x14ac:dyDescent="0.3">
      <c r="A416" s="86">
        <v>46224</v>
      </c>
      <c r="B416" s="64" t="s">
        <v>597</v>
      </c>
      <c r="C416" s="104" t="s">
        <v>183</v>
      </c>
      <c r="D416" s="64">
        <v>6</v>
      </c>
      <c r="E416" s="40">
        <v>392</v>
      </c>
      <c r="F416" s="104" t="s">
        <v>835</v>
      </c>
    </row>
    <row r="417" spans="1:6" ht="15" customHeight="1" x14ac:dyDescent="0.3">
      <c r="A417" s="85">
        <v>46224</v>
      </c>
      <c r="B417" s="60" t="s">
        <v>598</v>
      </c>
      <c r="C417" s="101" t="s">
        <v>183</v>
      </c>
      <c r="D417" s="60">
        <v>6</v>
      </c>
      <c r="E417" s="35">
        <v>387</v>
      </c>
      <c r="F417" s="101" t="s">
        <v>835</v>
      </c>
    </row>
    <row r="418" spans="1:6" ht="15" customHeight="1" x14ac:dyDescent="0.3">
      <c r="A418" s="86">
        <v>46224</v>
      </c>
      <c r="B418" s="64" t="s">
        <v>599</v>
      </c>
      <c r="C418" s="104" t="s">
        <v>183</v>
      </c>
      <c r="D418" s="64">
        <v>6</v>
      </c>
      <c r="E418" s="40">
        <v>389</v>
      </c>
      <c r="F418" s="104" t="s">
        <v>835</v>
      </c>
    </row>
    <row r="419" spans="1:6" ht="15" customHeight="1" x14ac:dyDescent="0.3">
      <c r="A419" s="85">
        <v>46224</v>
      </c>
      <c r="B419" s="60" t="s">
        <v>600</v>
      </c>
      <c r="C419" s="101" t="s">
        <v>183</v>
      </c>
      <c r="D419" s="60">
        <v>6</v>
      </c>
      <c r="E419" s="35">
        <v>389</v>
      </c>
      <c r="F419" s="101" t="s">
        <v>835</v>
      </c>
    </row>
    <row r="420" spans="1:6" ht="15" customHeight="1" x14ac:dyDescent="0.3">
      <c r="A420" s="86">
        <v>46224</v>
      </c>
      <c r="B420" s="64" t="s">
        <v>601</v>
      </c>
      <c r="C420" s="104" t="s">
        <v>183</v>
      </c>
      <c r="D420" s="64">
        <v>6</v>
      </c>
      <c r="E420" s="40">
        <v>392</v>
      </c>
      <c r="F420" s="104" t="s">
        <v>835</v>
      </c>
    </row>
    <row r="421" spans="1:6" ht="15" customHeight="1" x14ac:dyDescent="0.3">
      <c r="A421" s="85">
        <v>46224</v>
      </c>
      <c r="B421" s="60" t="s">
        <v>602</v>
      </c>
      <c r="C421" s="101" t="s">
        <v>183</v>
      </c>
      <c r="D421" s="60">
        <v>6</v>
      </c>
      <c r="E421" s="35">
        <v>371</v>
      </c>
      <c r="F421" s="101" t="s">
        <v>835</v>
      </c>
    </row>
    <row r="422" spans="1:6" ht="15" customHeight="1" x14ac:dyDescent="0.3">
      <c r="A422" s="86">
        <v>46224</v>
      </c>
      <c r="B422" s="64" t="s">
        <v>603</v>
      </c>
      <c r="C422" s="104" t="s">
        <v>183</v>
      </c>
      <c r="D422" s="64">
        <v>6</v>
      </c>
      <c r="E422" s="40">
        <v>393</v>
      </c>
      <c r="F422" s="104" t="s">
        <v>835</v>
      </c>
    </row>
    <row r="423" spans="1:6" ht="15" customHeight="1" x14ac:dyDescent="0.3">
      <c r="A423" s="85">
        <v>46224</v>
      </c>
      <c r="B423" s="60" t="s">
        <v>604</v>
      </c>
      <c r="C423" s="101" t="s">
        <v>183</v>
      </c>
      <c r="D423" s="60">
        <v>6</v>
      </c>
      <c r="E423" s="35">
        <v>373</v>
      </c>
      <c r="F423" s="101" t="s">
        <v>835</v>
      </c>
    </row>
    <row r="424" spans="1:6" ht="15" customHeight="1" x14ac:dyDescent="0.3">
      <c r="A424" s="86">
        <v>46224</v>
      </c>
      <c r="B424" s="64" t="s">
        <v>605</v>
      </c>
      <c r="C424" s="104" t="s">
        <v>183</v>
      </c>
      <c r="D424" s="64">
        <v>6</v>
      </c>
      <c r="E424" s="40">
        <v>390</v>
      </c>
      <c r="F424" s="104" t="s">
        <v>835</v>
      </c>
    </row>
    <row r="425" spans="1:6" ht="15" customHeight="1" x14ac:dyDescent="0.3">
      <c r="A425" s="85">
        <v>46224</v>
      </c>
      <c r="B425" s="60" t="s">
        <v>606</v>
      </c>
      <c r="C425" s="101" t="s">
        <v>183</v>
      </c>
      <c r="D425" s="60">
        <v>6</v>
      </c>
      <c r="E425" s="35">
        <v>389</v>
      </c>
      <c r="F425" s="101" t="s">
        <v>835</v>
      </c>
    </row>
    <row r="426" spans="1:6" ht="15" customHeight="1" x14ac:dyDescent="0.3">
      <c r="A426" s="86">
        <v>46224</v>
      </c>
      <c r="B426" s="64" t="s">
        <v>607</v>
      </c>
      <c r="C426" s="104" t="s">
        <v>183</v>
      </c>
      <c r="D426" s="64">
        <v>6</v>
      </c>
      <c r="E426" s="40">
        <v>378</v>
      </c>
      <c r="F426" s="104" t="s">
        <v>835</v>
      </c>
    </row>
    <row r="427" spans="1:6" ht="15" customHeight="1" x14ac:dyDescent="0.3">
      <c r="A427" s="85">
        <v>46224</v>
      </c>
      <c r="B427" s="60" t="s">
        <v>608</v>
      </c>
      <c r="C427" s="101" t="s">
        <v>183</v>
      </c>
      <c r="D427" s="60">
        <v>6</v>
      </c>
      <c r="E427" s="35">
        <v>393</v>
      </c>
      <c r="F427" s="101" t="s">
        <v>835</v>
      </c>
    </row>
    <row r="428" spans="1:6" ht="15" customHeight="1" x14ac:dyDescent="0.3">
      <c r="A428" s="86">
        <v>46224</v>
      </c>
      <c r="B428" s="64" t="s">
        <v>609</v>
      </c>
      <c r="C428" s="104" t="s">
        <v>183</v>
      </c>
      <c r="D428" s="64">
        <v>6</v>
      </c>
      <c r="E428" s="40">
        <v>392</v>
      </c>
      <c r="F428" s="104" t="s">
        <v>835</v>
      </c>
    </row>
    <row r="429" spans="1:6" ht="15" customHeight="1" x14ac:dyDescent="0.3">
      <c r="A429" s="85">
        <v>46224</v>
      </c>
      <c r="B429" s="60" t="s">
        <v>610</v>
      </c>
      <c r="C429" s="101" t="s">
        <v>183</v>
      </c>
      <c r="D429" s="60">
        <v>6</v>
      </c>
      <c r="E429" s="35">
        <v>386</v>
      </c>
      <c r="F429" s="101" t="s">
        <v>835</v>
      </c>
    </row>
    <row r="430" spans="1:6" ht="15" customHeight="1" x14ac:dyDescent="0.3">
      <c r="A430" s="86">
        <v>46224</v>
      </c>
      <c r="B430" s="64" t="s">
        <v>611</v>
      </c>
      <c r="C430" s="104" t="s">
        <v>183</v>
      </c>
      <c r="D430" s="64">
        <v>6</v>
      </c>
      <c r="E430" s="40">
        <v>381</v>
      </c>
      <c r="F430" s="104" t="s">
        <v>835</v>
      </c>
    </row>
    <row r="431" spans="1:6" ht="15" customHeight="1" x14ac:dyDescent="0.3">
      <c r="A431" s="85">
        <v>46224</v>
      </c>
      <c r="B431" s="60" t="s">
        <v>612</v>
      </c>
      <c r="C431" s="101" t="s">
        <v>183</v>
      </c>
      <c r="D431" s="60">
        <v>6</v>
      </c>
      <c r="E431" s="35">
        <v>371</v>
      </c>
      <c r="F431" s="101" t="s">
        <v>835</v>
      </c>
    </row>
    <row r="432" spans="1:6" ht="15" customHeight="1" x14ac:dyDescent="0.3">
      <c r="A432" s="86">
        <v>46224</v>
      </c>
      <c r="B432" s="64" t="s">
        <v>613</v>
      </c>
      <c r="C432" s="104" t="s">
        <v>183</v>
      </c>
      <c r="D432" s="64">
        <v>6</v>
      </c>
      <c r="E432" s="40">
        <v>388</v>
      </c>
      <c r="F432" s="104" t="s">
        <v>835</v>
      </c>
    </row>
    <row r="433" spans="1:6" ht="15" customHeight="1" x14ac:dyDescent="0.3">
      <c r="A433" s="85">
        <v>46224</v>
      </c>
      <c r="B433" s="60" t="s">
        <v>614</v>
      </c>
      <c r="C433" s="101" t="s">
        <v>183</v>
      </c>
      <c r="D433" s="60">
        <v>6</v>
      </c>
      <c r="E433" s="35">
        <v>378</v>
      </c>
      <c r="F433" s="101" t="s">
        <v>835</v>
      </c>
    </row>
    <row r="434" spans="1:6" ht="15" customHeight="1" x14ac:dyDescent="0.3">
      <c r="A434" s="86">
        <v>46224</v>
      </c>
      <c r="B434" s="64" t="s">
        <v>615</v>
      </c>
      <c r="C434" s="104" t="s">
        <v>183</v>
      </c>
      <c r="D434" s="64">
        <v>6</v>
      </c>
      <c r="E434" s="40">
        <v>390</v>
      </c>
      <c r="F434" s="104" t="s">
        <v>835</v>
      </c>
    </row>
    <row r="435" spans="1:6" ht="15" customHeight="1" x14ac:dyDescent="0.3">
      <c r="A435" s="85">
        <v>46224</v>
      </c>
      <c r="B435" s="60" t="s">
        <v>616</v>
      </c>
      <c r="C435" s="101" t="s">
        <v>183</v>
      </c>
      <c r="D435" s="60">
        <v>6</v>
      </c>
      <c r="E435" s="35">
        <v>390</v>
      </c>
      <c r="F435" s="101" t="s">
        <v>835</v>
      </c>
    </row>
    <row r="436" spans="1:6" ht="15" customHeight="1" x14ac:dyDescent="0.3">
      <c r="A436" s="86">
        <v>46224</v>
      </c>
      <c r="B436" s="64" t="s">
        <v>617</v>
      </c>
      <c r="C436" s="104" t="s">
        <v>183</v>
      </c>
      <c r="D436" s="64">
        <v>6</v>
      </c>
      <c r="E436" s="40">
        <v>392</v>
      </c>
      <c r="F436" s="104" t="s">
        <v>835</v>
      </c>
    </row>
    <row r="437" spans="1:6" ht="15" customHeight="1" x14ac:dyDescent="0.3">
      <c r="A437" s="85">
        <v>46224</v>
      </c>
      <c r="B437" s="60" t="s">
        <v>618</v>
      </c>
      <c r="C437" s="101" t="s">
        <v>183</v>
      </c>
      <c r="D437" s="60">
        <v>6</v>
      </c>
      <c r="E437" s="35">
        <v>383</v>
      </c>
      <c r="F437" s="101" t="s">
        <v>835</v>
      </c>
    </row>
    <row r="438" spans="1:6" ht="15" customHeight="1" x14ac:dyDescent="0.3">
      <c r="A438" s="86">
        <v>46224</v>
      </c>
      <c r="B438" s="64" t="s">
        <v>619</v>
      </c>
      <c r="C438" s="104" t="s">
        <v>183</v>
      </c>
      <c r="D438" s="64">
        <v>6</v>
      </c>
      <c r="E438" s="40">
        <v>387</v>
      </c>
      <c r="F438" s="104" t="s">
        <v>835</v>
      </c>
    </row>
    <row r="439" spans="1:6" ht="15" customHeight="1" x14ac:dyDescent="0.3">
      <c r="A439" s="85">
        <v>46224</v>
      </c>
      <c r="B439" s="60" t="s">
        <v>620</v>
      </c>
      <c r="C439" s="101" t="s">
        <v>183</v>
      </c>
      <c r="D439" s="60">
        <v>6</v>
      </c>
      <c r="E439" s="35">
        <v>396</v>
      </c>
      <c r="F439" s="101" t="s">
        <v>835</v>
      </c>
    </row>
    <row r="440" spans="1:6" ht="15" customHeight="1" x14ac:dyDescent="0.3">
      <c r="A440" s="86">
        <v>46224</v>
      </c>
      <c r="B440" s="64" t="s">
        <v>621</v>
      </c>
      <c r="C440" s="104" t="s">
        <v>183</v>
      </c>
      <c r="D440" s="64">
        <v>6</v>
      </c>
      <c r="E440" s="40">
        <v>389</v>
      </c>
      <c r="F440" s="104" t="s">
        <v>835</v>
      </c>
    </row>
    <row r="441" spans="1:6" ht="15" customHeight="1" x14ac:dyDescent="0.3">
      <c r="A441" s="85">
        <v>46224</v>
      </c>
      <c r="B441" s="60" t="s">
        <v>622</v>
      </c>
      <c r="C441" s="101" t="s">
        <v>183</v>
      </c>
      <c r="D441" s="60">
        <v>6</v>
      </c>
      <c r="E441" s="35">
        <v>386</v>
      </c>
      <c r="F441" s="101" t="s">
        <v>835</v>
      </c>
    </row>
    <row r="442" spans="1:6" ht="15" customHeight="1" x14ac:dyDescent="0.3">
      <c r="A442" s="86">
        <v>46224</v>
      </c>
      <c r="B442" s="64" t="s">
        <v>623</v>
      </c>
      <c r="C442" s="104" t="s">
        <v>183</v>
      </c>
      <c r="D442" s="64">
        <v>6</v>
      </c>
      <c r="E442" s="40">
        <v>386</v>
      </c>
      <c r="F442" s="104" t="s">
        <v>835</v>
      </c>
    </row>
    <row r="443" spans="1:6" ht="15" customHeight="1" x14ac:dyDescent="0.3">
      <c r="A443" s="85">
        <v>46224</v>
      </c>
      <c r="B443" s="60" t="s">
        <v>624</v>
      </c>
      <c r="C443" s="101" t="s">
        <v>183</v>
      </c>
      <c r="D443" s="60">
        <v>6</v>
      </c>
      <c r="E443" s="35">
        <v>388</v>
      </c>
      <c r="F443" s="101" t="s">
        <v>835</v>
      </c>
    </row>
    <row r="444" spans="1:6" ht="15" customHeight="1" x14ac:dyDescent="0.3">
      <c r="A444" s="86">
        <v>46224</v>
      </c>
      <c r="B444" s="64" t="s">
        <v>625</v>
      </c>
      <c r="C444" s="104" t="s">
        <v>183</v>
      </c>
      <c r="D444" s="64">
        <v>6</v>
      </c>
      <c r="E444" s="40">
        <v>378</v>
      </c>
      <c r="F444" s="104" t="s">
        <v>835</v>
      </c>
    </row>
    <row r="445" spans="1:6" ht="15" customHeight="1" x14ac:dyDescent="0.3">
      <c r="A445" s="85">
        <v>46225</v>
      </c>
      <c r="B445" s="60" t="s">
        <v>626</v>
      </c>
      <c r="C445" s="101" t="s">
        <v>183</v>
      </c>
      <c r="D445" s="60">
        <v>6</v>
      </c>
      <c r="E445" s="35">
        <v>388</v>
      </c>
      <c r="F445" s="101" t="s">
        <v>835</v>
      </c>
    </row>
    <row r="446" spans="1:6" ht="15" customHeight="1" x14ac:dyDescent="0.3">
      <c r="A446" s="86">
        <v>46225</v>
      </c>
      <c r="B446" s="64" t="s">
        <v>627</v>
      </c>
      <c r="C446" s="104" t="s">
        <v>183</v>
      </c>
      <c r="D446" s="64">
        <v>6</v>
      </c>
      <c r="E446" s="40">
        <v>383</v>
      </c>
      <c r="F446" s="104" t="s">
        <v>835</v>
      </c>
    </row>
    <row r="447" spans="1:6" ht="15" customHeight="1" x14ac:dyDescent="0.3">
      <c r="A447" s="85">
        <v>46225</v>
      </c>
      <c r="B447" s="60" t="s">
        <v>628</v>
      </c>
      <c r="C447" s="101" t="s">
        <v>183</v>
      </c>
      <c r="D447" s="60">
        <v>6</v>
      </c>
      <c r="E447" s="35">
        <v>383</v>
      </c>
      <c r="F447" s="101" t="s">
        <v>835</v>
      </c>
    </row>
    <row r="448" spans="1:6" ht="15" customHeight="1" x14ac:dyDescent="0.3">
      <c r="A448" s="86">
        <v>46225</v>
      </c>
      <c r="B448" s="64" t="s">
        <v>629</v>
      </c>
      <c r="C448" s="104" t="s">
        <v>183</v>
      </c>
      <c r="D448" s="64">
        <v>6</v>
      </c>
      <c r="E448" s="40">
        <v>390</v>
      </c>
      <c r="F448" s="104" t="s">
        <v>835</v>
      </c>
    </row>
    <row r="449" spans="1:6" ht="15" customHeight="1" x14ac:dyDescent="0.3">
      <c r="A449" s="85">
        <v>46224</v>
      </c>
      <c r="B449" s="60" t="s">
        <v>630</v>
      </c>
      <c r="C449" s="101" t="s">
        <v>183</v>
      </c>
      <c r="D449" s="60">
        <v>7</v>
      </c>
      <c r="E449" s="35">
        <v>412</v>
      </c>
      <c r="F449" s="101" t="s">
        <v>835</v>
      </c>
    </row>
    <row r="450" spans="1:6" ht="15" customHeight="1" x14ac:dyDescent="0.3">
      <c r="A450" s="86">
        <v>46224</v>
      </c>
      <c r="B450" s="64" t="s">
        <v>631</v>
      </c>
      <c r="C450" s="104" t="s">
        <v>183</v>
      </c>
      <c r="D450" s="64">
        <v>7</v>
      </c>
      <c r="E450" s="40">
        <v>403</v>
      </c>
      <c r="F450" s="104" t="s">
        <v>835</v>
      </c>
    </row>
    <row r="451" spans="1:6" ht="15" customHeight="1" x14ac:dyDescent="0.3">
      <c r="A451" s="85">
        <v>46224</v>
      </c>
      <c r="B451" s="60" t="s">
        <v>632</v>
      </c>
      <c r="C451" s="101" t="s">
        <v>183</v>
      </c>
      <c r="D451" s="60">
        <v>7</v>
      </c>
      <c r="E451" s="35">
        <v>403</v>
      </c>
      <c r="F451" s="101" t="s">
        <v>835</v>
      </c>
    </row>
    <row r="452" spans="1:6" ht="15" customHeight="1" x14ac:dyDescent="0.3">
      <c r="A452" s="86">
        <v>46224</v>
      </c>
      <c r="B452" s="64" t="s">
        <v>633</v>
      </c>
      <c r="C452" s="104" t="s">
        <v>183</v>
      </c>
      <c r="D452" s="64">
        <v>7</v>
      </c>
      <c r="E452" s="40">
        <v>401</v>
      </c>
      <c r="F452" s="104" t="s">
        <v>835</v>
      </c>
    </row>
    <row r="453" spans="1:6" ht="15" customHeight="1" x14ac:dyDescent="0.3">
      <c r="A453" s="85">
        <v>46224</v>
      </c>
      <c r="B453" s="60" t="s">
        <v>634</v>
      </c>
      <c r="C453" s="101" t="s">
        <v>183</v>
      </c>
      <c r="D453" s="60">
        <v>7</v>
      </c>
      <c r="E453" s="35">
        <v>402</v>
      </c>
      <c r="F453" s="101" t="s">
        <v>835</v>
      </c>
    </row>
    <row r="454" spans="1:6" ht="15" customHeight="1" x14ac:dyDescent="0.3">
      <c r="A454" s="86">
        <v>46224</v>
      </c>
      <c r="B454" s="64" t="s">
        <v>635</v>
      </c>
      <c r="C454" s="104" t="s">
        <v>183</v>
      </c>
      <c r="D454" s="64">
        <v>7</v>
      </c>
      <c r="E454" s="40">
        <v>404</v>
      </c>
      <c r="F454" s="104" t="s">
        <v>835</v>
      </c>
    </row>
    <row r="455" spans="1:6" ht="15" customHeight="1" x14ac:dyDescent="0.3">
      <c r="A455" s="85">
        <v>46224</v>
      </c>
      <c r="B455" s="60" t="s">
        <v>636</v>
      </c>
      <c r="C455" s="101" t="s">
        <v>183</v>
      </c>
      <c r="D455" s="60">
        <v>7</v>
      </c>
      <c r="E455" s="35">
        <v>405</v>
      </c>
      <c r="F455" s="101" t="s">
        <v>835</v>
      </c>
    </row>
    <row r="456" spans="1:6" ht="15" customHeight="1" x14ac:dyDescent="0.3">
      <c r="A456" s="86">
        <v>46224</v>
      </c>
      <c r="B456" s="64" t="s">
        <v>637</v>
      </c>
      <c r="C456" s="104" t="s">
        <v>183</v>
      </c>
      <c r="D456" s="64">
        <v>7</v>
      </c>
      <c r="E456" s="40">
        <v>422</v>
      </c>
      <c r="F456" s="104" t="s">
        <v>835</v>
      </c>
    </row>
    <row r="457" spans="1:6" ht="15" customHeight="1" x14ac:dyDescent="0.3">
      <c r="A457" s="85">
        <v>46224</v>
      </c>
      <c r="B457" s="60" t="s">
        <v>638</v>
      </c>
      <c r="C457" s="101" t="s">
        <v>183</v>
      </c>
      <c r="D457" s="60">
        <v>7</v>
      </c>
      <c r="E457" s="35">
        <v>402</v>
      </c>
      <c r="F457" s="101" t="s">
        <v>835</v>
      </c>
    </row>
    <row r="458" spans="1:6" ht="15" customHeight="1" x14ac:dyDescent="0.3">
      <c r="A458" s="86">
        <v>46224</v>
      </c>
      <c r="B458" s="64" t="s">
        <v>639</v>
      </c>
      <c r="C458" s="104" t="s">
        <v>183</v>
      </c>
      <c r="D458" s="64">
        <v>7</v>
      </c>
      <c r="E458" s="40">
        <v>401</v>
      </c>
      <c r="F458" s="104" t="s">
        <v>835</v>
      </c>
    </row>
    <row r="459" spans="1:6" ht="15" customHeight="1" x14ac:dyDescent="0.3">
      <c r="A459" s="85">
        <v>46224</v>
      </c>
      <c r="B459" s="60" t="s">
        <v>640</v>
      </c>
      <c r="C459" s="101" t="s">
        <v>183</v>
      </c>
      <c r="D459" s="60">
        <v>7</v>
      </c>
      <c r="E459" s="35">
        <v>398</v>
      </c>
      <c r="F459" s="101" t="s">
        <v>835</v>
      </c>
    </row>
    <row r="460" spans="1:6" ht="15" customHeight="1" x14ac:dyDescent="0.3">
      <c r="A460" s="86">
        <v>46224</v>
      </c>
      <c r="B460" s="64" t="s">
        <v>641</v>
      </c>
      <c r="C460" s="104" t="s">
        <v>183</v>
      </c>
      <c r="D460" s="64">
        <v>7</v>
      </c>
      <c r="E460" s="40">
        <v>409</v>
      </c>
      <c r="F460" s="104" t="s">
        <v>835</v>
      </c>
    </row>
    <row r="461" spans="1:6" ht="15" customHeight="1" x14ac:dyDescent="0.3">
      <c r="A461" s="85">
        <v>46224</v>
      </c>
      <c r="B461" s="60" t="s">
        <v>642</v>
      </c>
      <c r="C461" s="101" t="s">
        <v>183</v>
      </c>
      <c r="D461" s="60">
        <v>7</v>
      </c>
      <c r="E461" s="35">
        <v>402</v>
      </c>
      <c r="F461" s="101" t="s">
        <v>835</v>
      </c>
    </row>
    <row r="462" spans="1:6" ht="15" customHeight="1" x14ac:dyDescent="0.3">
      <c r="A462" s="86">
        <v>46224</v>
      </c>
      <c r="B462" s="64" t="s">
        <v>643</v>
      </c>
      <c r="C462" s="104" t="s">
        <v>183</v>
      </c>
      <c r="D462" s="64">
        <v>7</v>
      </c>
      <c r="E462" s="40">
        <v>413</v>
      </c>
      <c r="F462" s="104" t="s">
        <v>835</v>
      </c>
    </row>
    <row r="463" spans="1:6" ht="15" customHeight="1" x14ac:dyDescent="0.3">
      <c r="A463" s="85">
        <v>46224</v>
      </c>
      <c r="B463" s="60" t="s">
        <v>644</v>
      </c>
      <c r="C463" s="101" t="s">
        <v>183</v>
      </c>
      <c r="D463" s="60">
        <v>7</v>
      </c>
      <c r="E463" s="35">
        <v>428</v>
      </c>
      <c r="F463" s="101" t="s">
        <v>835</v>
      </c>
    </row>
    <row r="464" spans="1:6" ht="15" customHeight="1" x14ac:dyDescent="0.3">
      <c r="A464" s="86">
        <v>46224</v>
      </c>
      <c r="B464" s="64" t="s">
        <v>645</v>
      </c>
      <c r="C464" s="104" t="s">
        <v>183</v>
      </c>
      <c r="D464" s="64">
        <v>7</v>
      </c>
      <c r="E464" s="40">
        <v>411</v>
      </c>
      <c r="F464" s="104" t="s">
        <v>835</v>
      </c>
    </row>
    <row r="465" spans="1:6" ht="15" customHeight="1" x14ac:dyDescent="0.3">
      <c r="A465" s="85">
        <v>46224</v>
      </c>
      <c r="B465" s="60" t="s">
        <v>646</v>
      </c>
      <c r="C465" s="101" t="s">
        <v>183</v>
      </c>
      <c r="D465" s="60">
        <v>7</v>
      </c>
      <c r="E465" s="35">
        <v>409</v>
      </c>
      <c r="F465" s="101" t="s">
        <v>835</v>
      </c>
    </row>
    <row r="466" spans="1:6" ht="15" customHeight="1" x14ac:dyDescent="0.3">
      <c r="A466" s="86">
        <v>46224</v>
      </c>
      <c r="B466" s="64" t="s">
        <v>647</v>
      </c>
      <c r="C466" s="104" t="s">
        <v>183</v>
      </c>
      <c r="D466" s="64">
        <v>7</v>
      </c>
      <c r="E466" s="40">
        <v>420</v>
      </c>
      <c r="F466" s="104" t="s">
        <v>835</v>
      </c>
    </row>
    <row r="467" spans="1:6" ht="15" customHeight="1" x14ac:dyDescent="0.3">
      <c r="A467" s="85">
        <v>46224</v>
      </c>
      <c r="B467" s="60" t="s">
        <v>648</v>
      </c>
      <c r="C467" s="101" t="s">
        <v>183</v>
      </c>
      <c r="D467" s="60">
        <v>7</v>
      </c>
      <c r="E467" s="35">
        <v>400</v>
      </c>
      <c r="F467" s="101" t="s">
        <v>835</v>
      </c>
    </row>
    <row r="468" spans="1:6" ht="15" customHeight="1" x14ac:dyDescent="0.3">
      <c r="A468" s="86">
        <v>46224</v>
      </c>
      <c r="B468" s="64" t="s">
        <v>649</v>
      </c>
      <c r="C468" s="104" t="s">
        <v>183</v>
      </c>
      <c r="D468" s="64">
        <v>7</v>
      </c>
      <c r="E468" s="40">
        <v>400</v>
      </c>
      <c r="F468" s="104" t="s">
        <v>835</v>
      </c>
    </row>
    <row r="469" spans="1:6" ht="15" customHeight="1" x14ac:dyDescent="0.3">
      <c r="A469" s="85">
        <v>46224</v>
      </c>
      <c r="B469" s="60" t="s">
        <v>650</v>
      </c>
      <c r="C469" s="101" t="s">
        <v>183</v>
      </c>
      <c r="D469" s="60">
        <v>7</v>
      </c>
      <c r="E469" s="35">
        <v>400</v>
      </c>
      <c r="F469" s="101" t="s">
        <v>835</v>
      </c>
    </row>
    <row r="470" spans="1:6" ht="15" customHeight="1" x14ac:dyDescent="0.3">
      <c r="A470" s="86">
        <v>46225</v>
      </c>
      <c r="B470" s="64" t="s">
        <v>651</v>
      </c>
      <c r="C470" s="104" t="s">
        <v>183</v>
      </c>
      <c r="D470" s="64">
        <v>7</v>
      </c>
      <c r="E470" s="40">
        <v>400</v>
      </c>
      <c r="F470" s="104" t="s">
        <v>835</v>
      </c>
    </row>
    <row r="471" spans="1:6" ht="15" customHeight="1" x14ac:dyDescent="0.3">
      <c r="A471" s="85">
        <v>46225</v>
      </c>
      <c r="B471" s="60" t="s">
        <v>652</v>
      </c>
      <c r="C471" s="101" t="s">
        <v>183</v>
      </c>
      <c r="D471" s="60">
        <v>7</v>
      </c>
      <c r="E471" s="35">
        <v>404</v>
      </c>
      <c r="F471" s="101" t="s">
        <v>835</v>
      </c>
    </row>
    <row r="472" spans="1:6" ht="15" customHeight="1" x14ac:dyDescent="0.3">
      <c r="A472" s="86">
        <v>46225</v>
      </c>
      <c r="B472" s="64" t="s">
        <v>653</v>
      </c>
      <c r="C472" s="104" t="s">
        <v>183</v>
      </c>
      <c r="D472" s="64">
        <v>7</v>
      </c>
      <c r="E472" s="40">
        <v>404</v>
      </c>
      <c r="F472" s="104" t="s">
        <v>835</v>
      </c>
    </row>
    <row r="473" spans="1:6" ht="15" customHeight="1" x14ac:dyDescent="0.3">
      <c r="A473" s="85">
        <v>46225</v>
      </c>
      <c r="B473" s="60" t="s">
        <v>654</v>
      </c>
      <c r="C473" s="101" t="s">
        <v>183</v>
      </c>
      <c r="D473" s="60">
        <v>7</v>
      </c>
      <c r="E473" s="35">
        <v>436</v>
      </c>
      <c r="F473" s="101" t="s">
        <v>835</v>
      </c>
    </row>
    <row r="474" spans="1:6" ht="15" customHeight="1" x14ac:dyDescent="0.3">
      <c r="A474" s="86">
        <v>46225</v>
      </c>
      <c r="B474" s="64" t="s">
        <v>655</v>
      </c>
      <c r="C474" s="104" t="s">
        <v>183</v>
      </c>
      <c r="D474" s="64">
        <v>7</v>
      </c>
      <c r="E474" s="40">
        <v>412</v>
      </c>
      <c r="F474" s="104" t="s">
        <v>835</v>
      </c>
    </row>
    <row r="475" spans="1:6" ht="15" customHeight="1" x14ac:dyDescent="0.3">
      <c r="A475" s="85">
        <v>46225</v>
      </c>
      <c r="B475" s="60" t="s">
        <v>656</v>
      </c>
      <c r="C475" s="101" t="s">
        <v>183</v>
      </c>
      <c r="D475" s="60">
        <v>7</v>
      </c>
      <c r="E475" s="35">
        <v>403</v>
      </c>
      <c r="F475" s="101" t="s">
        <v>835</v>
      </c>
    </row>
    <row r="476" spans="1:6" ht="15" customHeight="1" x14ac:dyDescent="0.3">
      <c r="A476" s="86">
        <v>46225</v>
      </c>
      <c r="B476" s="64" t="s">
        <v>657</v>
      </c>
      <c r="C476" s="104" t="s">
        <v>183</v>
      </c>
      <c r="D476" s="64">
        <v>7</v>
      </c>
      <c r="E476" s="40">
        <v>428</v>
      </c>
      <c r="F476" s="104" t="s">
        <v>835</v>
      </c>
    </row>
    <row r="477" spans="1:6" ht="15" customHeight="1" x14ac:dyDescent="0.3">
      <c r="A477" s="85">
        <v>46225</v>
      </c>
      <c r="B477" s="60" t="s">
        <v>658</v>
      </c>
      <c r="C477" s="101" t="s">
        <v>183</v>
      </c>
      <c r="D477" s="60">
        <v>7</v>
      </c>
      <c r="E477" s="35">
        <v>413</v>
      </c>
      <c r="F477" s="101" t="s">
        <v>835</v>
      </c>
    </row>
    <row r="478" spans="1:6" ht="15" customHeight="1" x14ac:dyDescent="0.3">
      <c r="A478" s="86">
        <v>46225</v>
      </c>
      <c r="B478" s="64" t="s">
        <v>659</v>
      </c>
      <c r="C478" s="104" t="s">
        <v>183</v>
      </c>
      <c r="D478" s="64">
        <v>7</v>
      </c>
      <c r="E478" s="40">
        <v>401</v>
      </c>
      <c r="F478" s="104" t="s">
        <v>835</v>
      </c>
    </row>
    <row r="479" spans="1:6" ht="15" customHeight="1" x14ac:dyDescent="0.3">
      <c r="A479" s="85">
        <v>46225</v>
      </c>
      <c r="B479" s="60" t="s">
        <v>660</v>
      </c>
      <c r="C479" s="101" t="s">
        <v>183</v>
      </c>
      <c r="D479" s="60">
        <v>7</v>
      </c>
      <c r="E479" s="35">
        <v>430</v>
      </c>
      <c r="F479" s="101" t="s">
        <v>835</v>
      </c>
    </row>
    <row r="480" spans="1:6" ht="15" customHeight="1" x14ac:dyDescent="0.3">
      <c r="A480" s="86">
        <v>46225</v>
      </c>
      <c r="B480" s="64" t="s">
        <v>661</v>
      </c>
      <c r="C480" s="104" t="s">
        <v>183</v>
      </c>
      <c r="D480" s="64">
        <v>7</v>
      </c>
      <c r="E480" s="40">
        <v>411</v>
      </c>
      <c r="F480" s="104" t="s">
        <v>835</v>
      </c>
    </row>
    <row r="481" spans="1:6" ht="15" customHeight="1" x14ac:dyDescent="0.3">
      <c r="A481" s="85">
        <v>46225</v>
      </c>
      <c r="B481" s="60" t="s">
        <v>662</v>
      </c>
      <c r="C481" s="101" t="s">
        <v>183</v>
      </c>
      <c r="D481" s="60">
        <v>7</v>
      </c>
      <c r="E481" s="35">
        <v>407</v>
      </c>
      <c r="F481" s="101" t="s">
        <v>835</v>
      </c>
    </row>
    <row r="482" spans="1:6" ht="15" customHeight="1" x14ac:dyDescent="0.3">
      <c r="A482" s="86">
        <v>46225</v>
      </c>
      <c r="B482" s="64" t="s">
        <v>663</v>
      </c>
      <c r="C482" s="104" t="s">
        <v>183</v>
      </c>
      <c r="D482" s="64">
        <v>7</v>
      </c>
      <c r="E482" s="40">
        <v>408</v>
      </c>
      <c r="F482" s="104" t="s">
        <v>835</v>
      </c>
    </row>
    <row r="483" spans="1:6" ht="15" customHeight="1" x14ac:dyDescent="0.3">
      <c r="A483" s="85">
        <v>46225</v>
      </c>
      <c r="B483" s="60" t="s">
        <v>664</v>
      </c>
      <c r="C483" s="101" t="s">
        <v>183</v>
      </c>
      <c r="D483" s="60">
        <v>7</v>
      </c>
      <c r="E483" s="35">
        <v>405</v>
      </c>
      <c r="F483" s="101" t="s">
        <v>835</v>
      </c>
    </row>
    <row r="484" spans="1:6" ht="15" customHeight="1" x14ac:dyDescent="0.3">
      <c r="A484" s="86">
        <v>46225</v>
      </c>
      <c r="B484" s="64" t="s">
        <v>665</v>
      </c>
      <c r="C484" s="104" t="s">
        <v>183</v>
      </c>
      <c r="D484" s="64">
        <v>7</v>
      </c>
      <c r="E484" s="40">
        <v>415</v>
      </c>
      <c r="F484" s="104" t="s">
        <v>835</v>
      </c>
    </row>
    <row r="485" spans="1:6" ht="15" customHeight="1" x14ac:dyDescent="0.3">
      <c r="A485" s="85">
        <v>46225</v>
      </c>
      <c r="B485" s="60" t="s">
        <v>666</v>
      </c>
      <c r="C485" s="101" t="s">
        <v>183</v>
      </c>
      <c r="D485" s="60">
        <v>7</v>
      </c>
      <c r="E485" s="35">
        <v>404</v>
      </c>
      <c r="F485" s="101" t="s">
        <v>835</v>
      </c>
    </row>
    <row r="486" spans="1:6" ht="15" customHeight="1" x14ac:dyDescent="0.3">
      <c r="A486" s="86">
        <v>46225</v>
      </c>
      <c r="B486" s="64" t="s">
        <v>667</v>
      </c>
      <c r="C486" s="104" t="s">
        <v>183</v>
      </c>
      <c r="D486" s="64">
        <v>7</v>
      </c>
      <c r="E486" s="40">
        <v>413</v>
      </c>
      <c r="F486" s="104" t="s">
        <v>835</v>
      </c>
    </row>
    <row r="487" spans="1:6" ht="15" customHeight="1" x14ac:dyDescent="0.3">
      <c r="A487" s="85">
        <v>46225</v>
      </c>
      <c r="B487" s="60" t="s">
        <v>668</v>
      </c>
      <c r="C487" s="101" t="s">
        <v>183</v>
      </c>
      <c r="D487" s="60">
        <v>7</v>
      </c>
      <c r="E487" s="35">
        <v>426</v>
      </c>
      <c r="F487" s="101" t="s">
        <v>835</v>
      </c>
    </row>
    <row r="488" spans="1:6" ht="15" customHeight="1" x14ac:dyDescent="0.3">
      <c r="A488" s="86">
        <v>46225</v>
      </c>
      <c r="B488" s="64" t="s">
        <v>669</v>
      </c>
      <c r="C488" s="104" t="s">
        <v>183</v>
      </c>
      <c r="D488" s="64">
        <v>7</v>
      </c>
      <c r="E488" s="40">
        <v>430</v>
      </c>
      <c r="F488" s="104" t="s">
        <v>835</v>
      </c>
    </row>
    <row r="489" spans="1:6" ht="15" customHeight="1" x14ac:dyDescent="0.3">
      <c r="A489" s="85">
        <v>46225</v>
      </c>
      <c r="B489" s="60" t="s">
        <v>670</v>
      </c>
      <c r="C489" s="101" t="s">
        <v>183</v>
      </c>
      <c r="D489" s="60">
        <v>7</v>
      </c>
      <c r="E489" s="35">
        <v>432</v>
      </c>
      <c r="F489" s="101" t="s">
        <v>835</v>
      </c>
    </row>
    <row r="490" spans="1:6" ht="15" customHeight="1" x14ac:dyDescent="0.3">
      <c r="A490" s="86">
        <v>46225</v>
      </c>
      <c r="B490" s="64" t="s">
        <v>671</v>
      </c>
      <c r="C490" s="104" t="s">
        <v>183</v>
      </c>
      <c r="D490" s="64">
        <v>7</v>
      </c>
      <c r="E490" s="40">
        <v>415</v>
      </c>
      <c r="F490" s="104" t="s">
        <v>835</v>
      </c>
    </row>
    <row r="491" spans="1:6" ht="15" customHeight="1" x14ac:dyDescent="0.3">
      <c r="A491" s="85">
        <v>46225</v>
      </c>
      <c r="B491" s="60" t="s">
        <v>672</v>
      </c>
      <c r="C491" s="101" t="s">
        <v>183</v>
      </c>
      <c r="D491" s="60">
        <v>7</v>
      </c>
      <c r="E491" s="35">
        <v>412</v>
      </c>
      <c r="F491" s="101" t="s">
        <v>835</v>
      </c>
    </row>
    <row r="492" spans="1:6" ht="15" customHeight="1" x14ac:dyDescent="0.3">
      <c r="A492" s="86">
        <v>46225</v>
      </c>
      <c r="B492" s="64" t="s">
        <v>673</v>
      </c>
      <c r="C492" s="104" t="s">
        <v>183</v>
      </c>
      <c r="D492" s="64">
        <v>7</v>
      </c>
      <c r="E492" s="40">
        <v>418</v>
      </c>
      <c r="F492" s="104" t="s">
        <v>835</v>
      </c>
    </row>
    <row r="493" spans="1:6" ht="15" customHeight="1" x14ac:dyDescent="0.3">
      <c r="A493" s="85">
        <v>46225</v>
      </c>
      <c r="B493" s="60" t="s">
        <v>674</v>
      </c>
      <c r="C493" s="101" t="s">
        <v>183</v>
      </c>
      <c r="D493" s="60">
        <v>7</v>
      </c>
      <c r="E493" s="35">
        <v>420</v>
      </c>
      <c r="F493" s="101" t="s">
        <v>835</v>
      </c>
    </row>
    <row r="494" spans="1:6" ht="15" customHeight="1" x14ac:dyDescent="0.3">
      <c r="A494" s="86">
        <v>46225</v>
      </c>
      <c r="B494" s="64" t="s">
        <v>675</v>
      </c>
      <c r="C494" s="104" t="s">
        <v>183</v>
      </c>
      <c r="D494" s="64">
        <v>7</v>
      </c>
      <c r="E494" s="40">
        <v>418</v>
      </c>
      <c r="F494" s="104" t="s">
        <v>835</v>
      </c>
    </row>
    <row r="495" spans="1:6" ht="15" customHeight="1" x14ac:dyDescent="0.3">
      <c r="A495" s="85">
        <v>46225</v>
      </c>
      <c r="B495" s="60" t="s">
        <v>676</v>
      </c>
      <c r="C495" s="101" t="s">
        <v>183</v>
      </c>
      <c r="D495" s="60">
        <v>7</v>
      </c>
      <c r="E495" s="35">
        <v>416</v>
      </c>
      <c r="F495" s="101" t="s">
        <v>835</v>
      </c>
    </row>
    <row r="496" spans="1:6" ht="15" customHeight="1" x14ac:dyDescent="0.3">
      <c r="A496" s="86">
        <v>46225</v>
      </c>
      <c r="B496" s="64" t="s">
        <v>677</v>
      </c>
      <c r="C496" s="104" t="s">
        <v>183</v>
      </c>
      <c r="D496" s="64">
        <v>7</v>
      </c>
      <c r="E496" s="40">
        <v>419</v>
      </c>
      <c r="F496" s="104" t="s">
        <v>835</v>
      </c>
    </row>
    <row r="497" spans="1:6" ht="15" customHeight="1" x14ac:dyDescent="0.3">
      <c r="A497" s="85">
        <v>46225</v>
      </c>
      <c r="B497" s="60" t="s">
        <v>678</v>
      </c>
      <c r="C497" s="101" t="s">
        <v>183</v>
      </c>
      <c r="D497" s="60">
        <v>7</v>
      </c>
      <c r="E497" s="35">
        <v>424</v>
      </c>
      <c r="F497" s="101" t="s">
        <v>835</v>
      </c>
    </row>
    <row r="498" spans="1:6" ht="15" customHeight="1" x14ac:dyDescent="0.3">
      <c r="A498" s="86">
        <v>46225</v>
      </c>
      <c r="B498" s="64" t="s">
        <v>679</v>
      </c>
      <c r="C498" s="104" t="s">
        <v>183</v>
      </c>
      <c r="D498" s="64">
        <v>7</v>
      </c>
      <c r="E498" s="40">
        <v>433</v>
      </c>
      <c r="F498" s="104" t="s">
        <v>835</v>
      </c>
    </row>
    <row r="499" spans="1:6" ht="15" customHeight="1" x14ac:dyDescent="0.3">
      <c r="A499" s="85">
        <v>46225</v>
      </c>
      <c r="B499" s="60" t="s">
        <v>680</v>
      </c>
      <c r="C499" s="101" t="s">
        <v>183</v>
      </c>
      <c r="D499" s="60">
        <v>7</v>
      </c>
      <c r="E499" s="35">
        <v>416</v>
      </c>
      <c r="F499" s="101" t="s">
        <v>835</v>
      </c>
    </row>
    <row r="500" spans="1:6" ht="15" customHeight="1" x14ac:dyDescent="0.3">
      <c r="A500" s="86">
        <v>46225</v>
      </c>
      <c r="B500" s="64" t="s">
        <v>681</v>
      </c>
      <c r="C500" s="104" t="s">
        <v>183</v>
      </c>
      <c r="D500" s="64">
        <v>7</v>
      </c>
      <c r="E500" s="40">
        <v>413</v>
      </c>
      <c r="F500" s="104" t="s">
        <v>835</v>
      </c>
    </row>
    <row r="501" spans="1:6" ht="15" customHeight="1" x14ac:dyDescent="0.3">
      <c r="A501" s="85">
        <v>46225</v>
      </c>
      <c r="B501" s="60" t="s">
        <v>682</v>
      </c>
      <c r="C501" s="101" t="s">
        <v>183</v>
      </c>
      <c r="D501" s="60">
        <v>7</v>
      </c>
      <c r="E501" s="35">
        <v>427</v>
      </c>
      <c r="F501" s="101" t="s">
        <v>835</v>
      </c>
    </row>
    <row r="502" spans="1:6" ht="15" customHeight="1" x14ac:dyDescent="0.3">
      <c r="A502" s="86">
        <v>46225</v>
      </c>
      <c r="B502" s="64" t="s">
        <v>683</v>
      </c>
      <c r="C502" s="104" t="s">
        <v>183</v>
      </c>
      <c r="D502" s="64">
        <v>7</v>
      </c>
      <c r="E502" s="40">
        <v>407</v>
      </c>
      <c r="F502" s="104" t="s">
        <v>835</v>
      </c>
    </row>
    <row r="503" spans="1:6" ht="15" customHeight="1" x14ac:dyDescent="0.3">
      <c r="A503" s="85">
        <v>46225</v>
      </c>
      <c r="B503" s="60" t="s">
        <v>684</v>
      </c>
      <c r="C503" s="101" t="s">
        <v>183</v>
      </c>
      <c r="D503" s="60">
        <v>7</v>
      </c>
      <c r="E503" s="35">
        <v>408</v>
      </c>
      <c r="F503" s="101" t="s">
        <v>835</v>
      </c>
    </row>
    <row r="504" spans="1:6" ht="15" customHeight="1" x14ac:dyDescent="0.3">
      <c r="A504" s="86">
        <v>46225</v>
      </c>
      <c r="B504" s="64" t="s">
        <v>685</v>
      </c>
      <c r="C504" s="104" t="s">
        <v>183</v>
      </c>
      <c r="D504" s="64">
        <v>7</v>
      </c>
      <c r="E504" s="40">
        <v>424</v>
      </c>
      <c r="F504" s="104" t="s">
        <v>835</v>
      </c>
    </row>
    <row r="505" spans="1:6" ht="15" customHeight="1" x14ac:dyDescent="0.3">
      <c r="A505" s="85">
        <v>46225</v>
      </c>
      <c r="B505" s="60" t="s">
        <v>686</v>
      </c>
      <c r="C505" s="101" t="s">
        <v>183</v>
      </c>
      <c r="D505" s="60">
        <v>7</v>
      </c>
      <c r="E505" s="35">
        <v>408</v>
      </c>
      <c r="F505" s="101" t="s">
        <v>835</v>
      </c>
    </row>
    <row r="506" spans="1:6" ht="15" customHeight="1" x14ac:dyDescent="0.3">
      <c r="A506" s="86">
        <v>46225</v>
      </c>
      <c r="B506" s="64" t="s">
        <v>687</v>
      </c>
      <c r="C506" s="104" t="s">
        <v>183</v>
      </c>
      <c r="D506" s="64">
        <v>7</v>
      </c>
      <c r="E506" s="40">
        <v>420</v>
      </c>
      <c r="F506" s="104" t="s">
        <v>835</v>
      </c>
    </row>
    <row r="507" spans="1:6" ht="15" customHeight="1" x14ac:dyDescent="0.3">
      <c r="A507" s="85">
        <v>46225</v>
      </c>
      <c r="B507" s="60" t="s">
        <v>688</v>
      </c>
      <c r="C507" s="101" t="s">
        <v>183</v>
      </c>
      <c r="D507" s="60">
        <v>7</v>
      </c>
      <c r="E507" s="35">
        <v>412</v>
      </c>
      <c r="F507" s="101" t="s">
        <v>835</v>
      </c>
    </row>
    <row r="508" spans="1:6" ht="15" customHeight="1" x14ac:dyDescent="0.3">
      <c r="A508" s="86">
        <v>46225</v>
      </c>
      <c r="B508" s="64" t="s">
        <v>689</v>
      </c>
      <c r="C508" s="104" t="s">
        <v>183</v>
      </c>
      <c r="D508" s="64">
        <v>7</v>
      </c>
      <c r="E508" s="40">
        <v>412</v>
      </c>
      <c r="F508" s="104" t="s">
        <v>835</v>
      </c>
    </row>
    <row r="509" spans="1:6" ht="15" customHeight="1" x14ac:dyDescent="0.3">
      <c r="A509" s="85">
        <v>46225</v>
      </c>
      <c r="B509" s="60" t="s">
        <v>690</v>
      </c>
      <c r="C509" s="101" t="s">
        <v>183</v>
      </c>
      <c r="D509" s="60">
        <v>7</v>
      </c>
      <c r="E509" s="35">
        <v>413</v>
      </c>
      <c r="F509" s="101" t="s">
        <v>835</v>
      </c>
    </row>
    <row r="510" spans="1:6" ht="15" customHeight="1" x14ac:dyDescent="0.3">
      <c r="A510" s="86">
        <v>46225</v>
      </c>
      <c r="B510" s="64" t="s">
        <v>691</v>
      </c>
      <c r="C510" s="104" t="s">
        <v>183</v>
      </c>
      <c r="D510" s="64">
        <v>7</v>
      </c>
      <c r="E510" s="40">
        <v>409</v>
      </c>
      <c r="F510" s="104" t="s">
        <v>835</v>
      </c>
    </row>
    <row r="511" spans="1:6" ht="15" customHeight="1" x14ac:dyDescent="0.3">
      <c r="A511" s="85">
        <v>46225</v>
      </c>
      <c r="B511" s="60" t="s">
        <v>692</v>
      </c>
      <c r="C511" s="101" t="s">
        <v>183</v>
      </c>
      <c r="D511" s="60">
        <v>7</v>
      </c>
      <c r="E511" s="35">
        <v>428</v>
      </c>
      <c r="F511" s="101" t="s">
        <v>835</v>
      </c>
    </row>
    <row r="512" spans="1:6" ht="15" customHeight="1" x14ac:dyDescent="0.3">
      <c r="A512" s="86">
        <v>46225</v>
      </c>
      <c r="B512" s="64" t="s">
        <v>693</v>
      </c>
      <c r="C512" s="104" t="s">
        <v>183</v>
      </c>
      <c r="D512" s="64">
        <v>7</v>
      </c>
      <c r="E512" s="40">
        <v>416</v>
      </c>
      <c r="F512" s="104" t="s">
        <v>835</v>
      </c>
    </row>
    <row r="513" spans="1:6" ht="15" customHeight="1" x14ac:dyDescent="0.3">
      <c r="A513" s="85">
        <v>46225</v>
      </c>
      <c r="B513" s="60" t="s">
        <v>694</v>
      </c>
      <c r="C513" s="101" t="s">
        <v>183</v>
      </c>
      <c r="D513" s="60">
        <v>7</v>
      </c>
      <c r="E513" s="35">
        <v>422</v>
      </c>
      <c r="F513" s="101" t="s">
        <v>835</v>
      </c>
    </row>
    <row r="514" spans="1:6" ht="15" customHeight="1" x14ac:dyDescent="0.3">
      <c r="A514" s="86">
        <v>46225</v>
      </c>
      <c r="B514" s="64" t="s">
        <v>695</v>
      </c>
      <c r="C514" s="104" t="s">
        <v>183</v>
      </c>
      <c r="D514" s="64">
        <v>7</v>
      </c>
      <c r="E514" s="40">
        <v>423</v>
      </c>
      <c r="F514" s="104" t="s">
        <v>835</v>
      </c>
    </row>
    <row r="515" spans="1:6" ht="15" customHeight="1" x14ac:dyDescent="0.3">
      <c r="A515" s="85">
        <v>46225</v>
      </c>
      <c r="B515" s="60" t="s">
        <v>696</v>
      </c>
      <c r="C515" s="101" t="s">
        <v>183</v>
      </c>
      <c r="D515" s="60">
        <v>7</v>
      </c>
      <c r="E515" s="35">
        <v>432</v>
      </c>
      <c r="F515" s="101" t="s">
        <v>835</v>
      </c>
    </row>
    <row r="516" spans="1:6" ht="15" customHeight="1" x14ac:dyDescent="0.3">
      <c r="A516" s="86">
        <v>46225</v>
      </c>
      <c r="B516" s="64" t="s">
        <v>697</v>
      </c>
      <c r="C516" s="104" t="s">
        <v>183</v>
      </c>
      <c r="D516" s="64">
        <v>7</v>
      </c>
      <c r="E516" s="40">
        <v>414</v>
      </c>
      <c r="F516" s="104" t="s">
        <v>835</v>
      </c>
    </row>
    <row r="517" spans="1:6" ht="15" customHeight="1" x14ac:dyDescent="0.3">
      <c r="A517" s="85">
        <v>46225</v>
      </c>
      <c r="B517" s="60" t="s">
        <v>698</v>
      </c>
      <c r="C517" s="101" t="s">
        <v>183</v>
      </c>
      <c r="D517" s="60">
        <v>7</v>
      </c>
      <c r="E517" s="35">
        <v>414</v>
      </c>
      <c r="F517" s="101" t="s">
        <v>835</v>
      </c>
    </row>
    <row r="518" spans="1:6" ht="15" customHeight="1" x14ac:dyDescent="0.3">
      <c r="A518" s="86">
        <v>46225</v>
      </c>
      <c r="B518" s="64" t="s">
        <v>699</v>
      </c>
      <c r="C518" s="104" t="s">
        <v>183</v>
      </c>
      <c r="D518" s="64">
        <v>7</v>
      </c>
      <c r="E518" s="40">
        <v>413</v>
      </c>
      <c r="F518" s="104" t="s">
        <v>835</v>
      </c>
    </row>
    <row r="519" spans="1:6" ht="15" customHeight="1" x14ac:dyDescent="0.3">
      <c r="A519" s="85">
        <v>46225</v>
      </c>
      <c r="B519" s="60" t="s">
        <v>700</v>
      </c>
      <c r="C519" s="101" t="s">
        <v>183</v>
      </c>
      <c r="D519" s="60">
        <v>7</v>
      </c>
      <c r="E519" s="35">
        <v>425</v>
      </c>
      <c r="F519" s="101" t="s">
        <v>835</v>
      </c>
    </row>
    <row r="520" spans="1:6" ht="15" customHeight="1" x14ac:dyDescent="0.3">
      <c r="A520" s="86">
        <v>46225</v>
      </c>
      <c r="B520" s="64" t="s">
        <v>701</v>
      </c>
      <c r="C520" s="104" t="s">
        <v>183</v>
      </c>
      <c r="D520" s="64">
        <v>7</v>
      </c>
      <c r="E520" s="40">
        <v>420</v>
      </c>
      <c r="F520" s="104" t="s">
        <v>835</v>
      </c>
    </row>
    <row r="521" spans="1:6" ht="15" customHeight="1" x14ac:dyDescent="0.3">
      <c r="A521" s="85">
        <v>46225</v>
      </c>
      <c r="B521" s="60" t="s">
        <v>702</v>
      </c>
      <c r="C521" s="101" t="s">
        <v>183</v>
      </c>
      <c r="D521" s="60">
        <v>7</v>
      </c>
      <c r="E521" s="35">
        <v>426</v>
      </c>
      <c r="F521" s="101" t="s">
        <v>835</v>
      </c>
    </row>
    <row r="522" spans="1:6" ht="15" customHeight="1" x14ac:dyDescent="0.3">
      <c r="A522" s="86">
        <v>46225</v>
      </c>
      <c r="B522" s="64" t="s">
        <v>703</v>
      </c>
      <c r="C522" s="104" t="s">
        <v>183</v>
      </c>
      <c r="D522" s="64">
        <v>7</v>
      </c>
      <c r="E522" s="40">
        <v>421</v>
      </c>
      <c r="F522" s="104" t="s">
        <v>835</v>
      </c>
    </row>
    <row r="523" spans="1:6" ht="15" customHeight="1" x14ac:dyDescent="0.3">
      <c r="A523" s="85">
        <v>46225</v>
      </c>
      <c r="B523" s="60" t="s">
        <v>704</v>
      </c>
      <c r="C523" s="101" t="s">
        <v>183</v>
      </c>
      <c r="D523" s="60">
        <v>7</v>
      </c>
      <c r="E523" s="35">
        <v>427</v>
      </c>
      <c r="F523" s="101" t="s">
        <v>835</v>
      </c>
    </row>
    <row r="524" spans="1:6" ht="15" customHeight="1" x14ac:dyDescent="0.3">
      <c r="A524" s="86">
        <v>46225</v>
      </c>
      <c r="B524" s="64" t="s">
        <v>705</v>
      </c>
      <c r="C524" s="104" t="s">
        <v>183</v>
      </c>
      <c r="D524" s="64">
        <v>7</v>
      </c>
      <c r="E524" s="40">
        <v>432</v>
      </c>
      <c r="F524" s="104" t="s">
        <v>835</v>
      </c>
    </row>
    <row r="525" spans="1:6" ht="15" customHeight="1" x14ac:dyDescent="0.3">
      <c r="A525" s="85">
        <v>46225</v>
      </c>
      <c r="B525" s="60" t="s">
        <v>706</v>
      </c>
      <c r="C525" s="101" t="s">
        <v>183</v>
      </c>
      <c r="D525" s="60">
        <v>7</v>
      </c>
      <c r="E525" s="35">
        <v>411</v>
      </c>
      <c r="F525" s="101" t="s">
        <v>835</v>
      </c>
    </row>
    <row r="526" spans="1:6" ht="15" customHeight="1" x14ac:dyDescent="0.3">
      <c r="A526" s="86">
        <v>46225</v>
      </c>
      <c r="B526" s="64" t="s">
        <v>707</v>
      </c>
      <c r="C526" s="104" t="s">
        <v>183</v>
      </c>
      <c r="D526" s="64">
        <v>7</v>
      </c>
      <c r="E526" s="40">
        <v>423</v>
      </c>
      <c r="F526" s="104" t="s">
        <v>835</v>
      </c>
    </row>
    <row r="527" spans="1:6" ht="15" customHeight="1" x14ac:dyDescent="0.3">
      <c r="A527" s="85">
        <v>46225</v>
      </c>
      <c r="B527" s="60" t="s">
        <v>708</v>
      </c>
      <c r="C527" s="101" t="s">
        <v>183</v>
      </c>
      <c r="D527" s="60">
        <v>7</v>
      </c>
      <c r="E527" s="35">
        <v>417</v>
      </c>
      <c r="F527" s="101" t="s">
        <v>835</v>
      </c>
    </row>
    <row r="528" spans="1:6" ht="15" customHeight="1" x14ac:dyDescent="0.3">
      <c r="A528" s="86">
        <v>46225</v>
      </c>
      <c r="B528" s="64" t="s">
        <v>709</v>
      </c>
      <c r="C528" s="104" t="s">
        <v>183</v>
      </c>
      <c r="D528" s="64">
        <v>7</v>
      </c>
      <c r="E528" s="40">
        <v>422</v>
      </c>
      <c r="F528" s="104" t="s">
        <v>835</v>
      </c>
    </row>
    <row r="529" spans="1:6" ht="15" customHeight="1" x14ac:dyDescent="0.3">
      <c r="A529" s="85">
        <v>46225</v>
      </c>
      <c r="B529" s="60" t="s">
        <v>710</v>
      </c>
      <c r="C529" s="101" t="s">
        <v>183</v>
      </c>
      <c r="D529" s="60">
        <v>7</v>
      </c>
      <c r="E529" s="35">
        <v>426</v>
      </c>
      <c r="F529" s="101" t="s">
        <v>835</v>
      </c>
    </row>
    <row r="530" spans="1:6" ht="15" customHeight="1" x14ac:dyDescent="0.3">
      <c r="A530" s="86">
        <v>46225</v>
      </c>
      <c r="B530" s="64" t="s">
        <v>711</v>
      </c>
      <c r="C530" s="104" t="s">
        <v>183</v>
      </c>
      <c r="D530" s="64">
        <v>7</v>
      </c>
      <c r="E530" s="40">
        <v>420</v>
      </c>
      <c r="F530" s="104" t="s">
        <v>835</v>
      </c>
    </row>
    <row r="531" spans="1:6" ht="15" customHeight="1" x14ac:dyDescent="0.3">
      <c r="A531" s="85">
        <v>46225</v>
      </c>
      <c r="B531" s="60" t="s">
        <v>712</v>
      </c>
      <c r="C531" s="101" t="s">
        <v>183</v>
      </c>
      <c r="D531" s="60">
        <v>7</v>
      </c>
      <c r="E531" s="35">
        <v>426</v>
      </c>
      <c r="F531" s="101" t="s">
        <v>835</v>
      </c>
    </row>
    <row r="532" spans="1:6" ht="15" customHeight="1" x14ac:dyDescent="0.3">
      <c r="A532" s="86">
        <v>46225</v>
      </c>
      <c r="B532" s="64" t="s">
        <v>713</v>
      </c>
      <c r="C532" s="104" t="s">
        <v>183</v>
      </c>
      <c r="D532" s="64">
        <v>7</v>
      </c>
      <c r="E532" s="40">
        <v>434</v>
      </c>
      <c r="F532" s="104" t="s">
        <v>835</v>
      </c>
    </row>
    <row r="533" spans="1:6" ht="15" customHeight="1" x14ac:dyDescent="0.3">
      <c r="A533" s="85">
        <v>46225</v>
      </c>
      <c r="B533" s="60" t="s">
        <v>714</v>
      </c>
      <c r="C533" s="101" t="s">
        <v>183</v>
      </c>
      <c r="D533" s="60">
        <v>7</v>
      </c>
      <c r="E533" s="35">
        <v>421</v>
      </c>
      <c r="F533" s="101" t="s">
        <v>835</v>
      </c>
    </row>
    <row r="534" spans="1:6" ht="15" customHeight="1" x14ac:dyDescent="0.3">
      <c r="A534" s="86">
        <v>46225</v>
      </c>
      <c r="B534" s="64" t="s">
        <v>715</v>
      </c>
      <c r="C534" s="104" t="s">
        <v>183</v>
      </c>
      <c r="D534" s="64">
        <v>8</v>
      </c>
      <c r="E534" s="40">
        <v>391</v>
      </c>
      <c r="F534" s="104" t="s">
        <v>835</v>
      </c>
    </row>
    <row r="535" spans="1:6" ht="15" customHeight="1" x14ac:dyDescent="0.3">
      <c r="A535" s="85">
        <v>46225</v>
      </c>
      <c r="B535" s="60" t="s">
        <v>716</v>
      </c>
      <c r="C535" s="101" t="s">
        <v>183</v>
      </c>
      <c r="D535" s="60">
        <v>8</v>
      </c>
      <c r="E535" s="35">
        <v>397</v>
      </c>
      <c r="F535" s="101" t="s">
        <v>835</v>
      </c>
    </row>
    <row r="536" spans="1:6" ht="15" customHeight="1" x14ac:dyDescent="0.3">
      <c r="A536" s="86">
        <v>46225</v>
      </c>
      <c r="B536" s="64" t="s">
        <v>717</v>
      </c>
      <c r="C536" s="104" t="s">
        <v>183</v>
      </c>
      <c r="D536" s="64">
        <v>8</v>
      </c>
      <c r="E536" s="40">
        <v>388</v>
      </c>
      <c r="F536" s="104" t="s">
        <v>835</v>
      </c>
    </row>
    <row r="537" spans="1:6" ht="15" customHeight="1" x14ac:dyDescent="0.3">
      <c r="A537" s="85">
        <v>46225</v>
      </c>
      <c r="B537" s="60" t="s">
        <v>718</v>
      </c>
      <c r="C537" s="101" t="s">
        <v>183</v>
      </c>
      <c r="D537" s="60">
        <v>8</v>
      </c>
      <c r="E537" s="35">
        <v>399</v>
      </c>
      <c r="F537" s="101" t="s">
        <v>835</v>
      </c>
    </row>
    <row r="538" spans="1:6" ht="15" customHeight="1" x14ac:dyDescent="0.3">
      <c r="A538" s="86">
        <v>46225</v>
      </c>
      <c r="B538" s="64" t="s">
        <v>719</v>
      </c>
      <c r="C538" s="104" t="s">
        <v>183</v>
      </c>
      <c r="D538" s="64">
        <v>8</v>
      </c>
      <c r="E538" s="40">
        <v>395</v>
      </c>
      <c r="F538" s="104" t="s">
        <v>835</v>
      </c>
    </row>
    <row r="539" spans="1:6" ht="15" customHeight="1" x14ac:dyDescent="0.3">
      <c r="A539" s="85">
        <v>46225</v>
      </c>
      <c r="B539" s="60" t="s">
        <v>720</v>
      </c>
      <c r="C539" s="101" t="s">
        <v>183</v>
      </c>
      <c r="D539" s="60">
        <v>8</v>
      </c>
      <c r="E539" s="35">
        <v>383</v>
      </c>
      <c r="F539" s="101" t="s">
        <v>835</v>
      </c>
    </row>
    <row r="540" spans="1:6" ht="15" customHeight="1" x14ac:dyDescent="0.3">
      <c r="A540" s="86">
        <v>46225</v>
      </c>
      <c r="B540" s="64" t="s">
        <v>721</v>
      </c>
      <c r="C540" s="104" t="s">
        <v>183</v>
      </c>
      <c r="D540" s="64">
        <v>8</v>
      </c>
      <c r="E540" s="40">
        <v>388</v>
      </c>
      <c r="F540" s="104" t="s">
        <v>835</v>
      </c>
    </row>
    <row r="541" spans="1:6" ht="15" customHeight="1" x14ac:dyDescent="0.3">
      <c r="A541" s="85">
        <v>46225</v>
      </c>
      <c r="B541" s="60" t="s">
        <v>722</v>
      </c>
      <c r="C541" s="101" t="s">
        <v>183</v>
      </c>
      <c r="D541" s="60">
        <v>8</v>
      </c>
      <c r="E541" s="35">
        <v>404</v>
      </c>
      <c r="F541" s="101" t="s">
        <v>835</v>
      </c>
    </row>
    <row r="542" spans="1:6" ht="15" customHeight="1" x14ac:dyDescent="0.3">
      <c r="A542" s="86">
        <v>46225</v>
      </c>
      <c r="B542" s="64" t="s">
        <v>723</v>
      </c>
      <c r="C542" s="104" t="s">
        <v>183</v>
      </c>
      <c r="D542" s="64">
        <v>8</v>
      </c>
      <c r="E542" s="40">
        <v>398</v>
      </c>
      <c r="F542" s="104" t="s">
        <v>835</v>
      </c>
    </row>
    <row r="543" spans="1:6" ht="15" customHeight="1" x14ac:dyDescent="0.3">
      <c r="A543" s="85">
        <v>46225</v>
      </c>
      <c r="B543" s="60" t="s">
        <v>724</v>
      </c>
      <c r="C543" s="101" t="s">
        <v>183</v>
      </c>
      <c r="D543" s="60">
        <v>8</v>
      </c>
      <c r="E543" s="35">
        <v>405</v>
      </c>
      <c r="F543" s="101" t="s">
        <v>835</v>
      </c>
    </row>
    <row r="544" spans="1:6" ht="15" customHeight="1" x14ac:dyDescent="0.3">
      <c r="A544" s="86">
        <v>46225</v>
      </c>
      <c r="B544" s="64" t="s">
        <v>725</v>
      </c>
      <c r="C544" s="104" t="s">
        <v>183</v>
      </c>
      <c r="D544" s="64">
        <v>8</v>
      </c>
      <c r="E544" s="40">
        <v>382</v>
      </c>
      <c r="F544" s="104" t="s">
        <v>835</v>
      </c>
    </row>
    <row r="545" spans="1:6" ht="15" customHeight="1" x14ac:dyDescent="0.3">
      <c r="A545" s="85">
        <v>46225</v>
      </c>
      <c r="B545" s="60" t="s">
        <v>726</v>
      </c>
      <c r="C545" s="101" t="s">
        <v>183</v>
      </c>
      <c r="D545" s="60">
        <v>8</v>
      </c>
      <c r="E545" s="35">
        <v>387</v>
      </c>
      <c r="F545" s="101" t="s">
        <v>835</v>
      </c>
    </row>
    <row r="546" spans="1:6" ht="15" customHeight="1" x14ac:dyDescent="0.3">
      <c r="A546" s="86">
        <v>46225</v>
      </c>
      <c r="B546" s="64" t="s">
        <v>727</v>
      </c>
      <c r="C546" s="104" t="s">
        <v>183</v>
      </c>
      <c r="D546" s="64">
        <v>8</v>
      </c>
      <c r="E546" s="40">
        <v>387</v>
      </c>
      <c r="F546" s="104" t="s">
        <v>835</v>
      </c>
    </row>
    <row r="547" spans="1:6" ht="15" customHeight="1" x14ac:dyDescent="0.3">
      <c r="A547" s="85">
        <v>46225</v>
      </c>
      <c r="B547" s="60" t="s">
        <v>728</v>
      </c>
      <c r="C547" s="101" t="s">
        <v>183</v>
      </c>
      <c r="D547" s="60">
        <v>8</v>
      </c>
      <c r="E547" s="35">
        <v>390</v>
      </c>
      <c r="F547" s="101" t="s">
        <v>835</v>
      </c>
    </row>
    <row r="548" spans="1:6" ht="15" customHeight="1" x14ac:dyDescent="0.3">
      <c r="A548" s="86">
        <v>46225</v>
      </c>
      <c r="B548" s="64" t="s">
        <v>729</v>
      </c>
      <c r="C548" s="104" t="s">
        <v>183</v>
      </c>
      <c r="D548" s="64">
        <v>8</v>
      </c>
      <c r="E548" s="40">
        <v>403</v>
      </c>
      <c r="F548" s="104" t="s">
        <v>835</v>
      </c>
    </row>
    <row r="549" spans="1:6" ht="15" customHeight="1" x14ac:dyDescent="0.3">
      <c r="A549" s="85">
        <v>46225</v>
      </c>
      <c r="B549" s="60" t="s">
        <v>730</v>
      </c>
      <c r="C549" s="101" t="s">
        <v>183</v>
      </c>
      <c r="D549" s="60">
        <v>8</v>
      </c>
      <c r="E549" s="35">
        <v>400</v>
      </c>
      <c r="F549" s="101" t="s">
        <v>835</v>
      </c>
    </row>
    <row r="550" spans="1:6" ht="15" customHeight="1" x14ac:dyDescent="0.3">
      <c r="A550" s="86">
        <v>46225</v>
      </c>
      <c r="B550" s="64" t="s">
        <v>731</v>
      </c>
      <c r="C550" s="104" t="s">
        <v>183</v>
      </c>
      <c r="D550" s="64">
        <v>8</v>
      </c>
      <c r="E550" s="40">
        <v>394</v>
      </c>
      <c r="F550" s="104" t="s">
        <v>835</v>
      </c>
    </row>
    <row r="551" spans="1:6" ht="15" customHeight="1" x14ac:dyDescent="0.3">
      <c r="A551" s="85">
        <v>46225</v>
      </c>
      <c r="B551" s="60" t="s">
        <v>732</v>
      </c>
      <c r="C551" s="101" t="s">
        <v>183</v>
      </c>
      <c r="D551" s="60">
        <v>8</v>
      </c>
      <c r="E551" s="35">
        <v>404</v>
      </c>
      <c r="F551" s="101" t="s">
        <v>835</v>
      </c>
    </row>
    <row r="552" spans="1:6" ht="15" customHeight="1" x14ac:dyDescent="0.3">
      <c r="A552" s="86">
        <v>46225</v>
      </c>
      <c r="B552" s="64" t="s">
        <v>733</v>
      </c>
      <c r="C552" s="104" t="s">
        <v>183</v>
      </c>
      <c r="D552" s="64">
        <v>8</v>
      </c>
      <c r="E552" s="40">
        <v>385</v>
      </c>
      <c r="F552" s="104" t="s">
        <v>835</v>
      </c>
    </row>
    <row r="553" spans="1:6" ht="15" customHeight="1" x14ac:dyDescent="0.3">
      <c r="A553" s="85">
        <v>46225</v>
      </c>
      <c r="B553" s="60" t="s">
        <v>734</v>
      </c>
      <c r="C553" s="101" t="s">
        <v>183</v>
      </c>
      <c r="D553" s="60">
        <v>8</v>
      </c>
      <c r="E553" s="35">
        <v>394</v>
      </c>
      <c r="F553" s="101" t="s">
        <v>835</v>
      </c>
    </row>
    <row r="554" spans="1:6" ht="15" customHeight="1" x14ac:dyDescent="0.3">
      <c r="A554" s="86">
        <v>46225</v>
      </c>
      <c r="B554" s="64" t="s">
        <v>735</v>
      </c>
      <c r="C554" s="104" t="s">
        <v>183</v>
      </c>
      <c r="D554" s="64">
        <v>8</v>
      </c>
      <c r="E554" s="40">
        <v>385</v>
      </c>
      <c r="F554" s="104" t="s">
        <v>835</v>
      </c>
    </row>
    <row r="555" spans="1:6" ht="15" customHeight="1" x14ac:dyDescent="0.3">
      <c r="A555" s="85">
        <v>46225</v>
      </c>
      <c r="B555" s="60" t="s">
        <v>736</v>
      </c>
      <c r="C555" s="101" t="s">
        <v>183</v>
      </c>
      <c r="D555" s="60">
        <v>8</v>
      </c>
      <c r="E555" s="35">
        <v>400</v>
      </c>
      <c r="F555" s="101" t="s">
        <v>835</v>
      </c>
    </row>
    <row r="556" spans="1:6" ht="15" customHeight="1" x14ac:dyDescent="0.3">
      <c r="A556" s="86">
        <v>46225</v>
      </c>
      <c r="B556" s="64" t="s">
        <v>737</v>
      </c>
      <c r="C556" s="104" t="s">
        <v>183</v>
      </c>
      <c r="D556" s="64">
        <v>8</v>
      </c>
      <c r="E556" s="40">
        <v>405</v>
      </c>
      <c r="F556" s="104" t="s">
        <v>835</v>
      </c>
    </row>
    <row r="557" spans="1:6" ht="15" customHeight="1" x14ac:dyDescent="0.3">
      <c r="A557" s="85">
        <v>46225</v>
      </c>
      <c r="B557" s="60" t="s">
        <v>738</v>
      </c>
      <c r="C557" s="101" t="s">
        <v>183</v>
      </c>
      <c r="D557" s="60">
        <v>8</v>
      </c>
      <c r="E557" s="35">
        <v>404</v>
      </c>
      <c r="F557" s="101" t="s">
        <v>835</v>
      </c>
    </row>
    <row r="558" spans="1:6" ht="15" customHeight="1" x14ac:dyDescent="0.3">
      <c r="A558" s="86">
        <v>46225</v>
      </c>
      <c r="B558" s="64" t="s">
        <v>739</v>
      </c>
      <c r="C558" s="104" t="s">
        <v>183</v>
      </c>
      <c r="D558" s="64">
        <v>8</v>
      </c>
      <c r="E558" s="40">
        <v>394</v>
      </c>
      <c r="F558" s="104" t="s">
        <v>835</v>
      </c>
    </row>
    <row r="559" spans="1:6" ht="15" customHeight="1" x14ac:dyDescent="0.3">
      <c r="A559" s="85">
        <v>46225</v>
      </c>
      <c r="B559" s="60" t="s">
        <v>740</v>
      </c>
      <c r="C559" s="101" t="s">
        <v>183</v>
      </c>
      <c r="D559" s="60">
        <v>8</v>
      </c>
      <c r="E559" s="35">
        <v>391</v>
      </c>
      <c r="F559" s="101" t="s">
        <v>835</v>
      </c>
    </row>
    <row r="560" spans="1:6" ht="15" customHeight="1" x14ac:dyDescent="0.3">
      <c r="A560" s="86">
        <v>46225</v>
      </c>
      <c r="B560" s="64" t="s">
        <v>741</v>
      </c>
      <c r="C560" s="104" t="s">
        <v>183</v>
      </c>
      <c r="D560" s="64">
        <v>8</v>
      </c>
      <c r="E560" s="40">
        <v>400</v>
      </c>
      <c r="F560" s="104" t="s">
        <v>835</v>
      </c>
    </row>
    <row r="561" spans="1:6" ht="15" customHeight="1" x14ac:dyDescent="0.3">
      <c r="A561" s="85">
        <v>46225</v>
      </c>
      <c r="B561" s="60" t="s">
        <v>742</v>
      </c>
      <c r="C561" s="101" t="s">
        <v>183</v>
      </c>
      <c r="D561" s="60">
        <v>8</v>
      </c>
      <c r="E561" s="35">
        <v>396</v>
      </c>
      <c r="F561" s="101" t="s">
        <v>835</v>
      </c>
    </row>
    <row r="562" spans="1:6" ht="15" customHeight="1" x14ac:dyDescent="0.3">
      <c r="A562" s="86">
        <v>46225</v>
      </c>
      <c r="B562" s="64" t="s">
        <v>743</v>
      </c>
      <c r="C562" s="104" t="s">
        <v>183</v>
      </c>
      <c r="D562" s="64">
        <v>8</v>
      </c>
      <c r="E562" s="40">
        <v>408</v>
      </c>
      <c r="F562" s="104" t="s">
        <v>835</v>
      </c>
    </row>
    <row r="563" spans="1:6" ht="15" customHeight="1" x14ac:dyDescent="0.3">
      <c r="A563" s="85">
        <v>46225</v>
      </c>
      <c r="B563" s="60" t="s">
        <v>744</v>
      </c>
      <c r="C563" s="101" t="s">
        <v>183</v>
      </c>
      <c r="D563" s="60">
        <v>8</v>
      </c>
      <c r="E563" s="35">
        <v>400</v>
      </c>
      <c r="F563" s="101" t="s">
        <v>835</v>
      </c>
    </row>
    <row r="564" spans="1:6" ht="15" customHeight="1" x14ac:dyDescent="0.3">
      <c r="A564" s="86">
        <v>46225</v>
      </c>
      <c r="B564" s="64" t="s">
        <v>745</v>
      </c>
      <c r="C564" s="104" t="s">
        <v>183</v>
      </c>
      <c r="D564" s="64">
        <v>8</v>
      </c>
      <c r="E564" s="40">
        <v>385</v>
      </c>
      <c r="F564" s="104" t="s">
        <v>835</v>
      </c>
    </row>
    <row r="565" spans="1:6" ht="15" customHeight="1" x14ac:dyDescent="0.3">
      <c r="A565" s="85">
        <v>46225</v>
      </c>
      <c r="B565" s="60" t="s">
        <v>746</v>
      </c>
      <c r="C565" s="101" t="s">
        <v>183</v>
      </c>
      <c r="D565" s="60">
        <v>8</v>
      </c>
      <c r="E565" s="35">
        <v>409</v>
      </c>
      <c r="F565" s="101" t="s">
        <v>835</v>
      </c>
    </row>
    <row r="566" spans="1:6" ht="15" customHeight="1" x14ac:dyDescent="0.3">
      <c r="A566" s="86">
        <v>46225</v>
      </c>
      <c r="B566" s="64" t="s">
        <v>747</v>
      </c>
      <c r="C566" s="104" t="s">
        <v>183</v>
      </c>
      <c r="D566" s="64">
        <v>8</v>
      </c>
      <c r="E566" s="40">
        <v>404</v>
      </c>
      <c r="F566" s="104" t="s">
        <v>835</v>
      </c>
    </row>
    <row r="567" spans="1:6" ht="15" customHeight="1" x14ac:dyDescent="0.3">
      <c r="A567" s="85">
        <v>46225</v>
      </c>
      <c r="B567" s="60" t="s">
        <v>748</v>
      </c>
      <c r="C567" s="101" t="s">
        <v>183</v>
      </c>
      <c r="D567" s="60">
        <v>8</v>
      </c>
      <c r="E567" s="35">
        <v>386</v>
      </c>
      <c r="F567" s="101" t="s">
        <v>835</v>
      </c>
    </row>
    <row r="568" spans="1:6" ht="15" customHeight="1" x14ac:dyDescent="0.3">
      <c r="A568" s="86">
        <v>46225</v>
      </c>
      <c r="B568" s="64" t="s">
        <v>749</v>
      </c>
      <c r="C568" s="104" t="s">
        <v>183</v>
      </c>
      <c r="D568" s="64">
        <v>8</v>
      </c>
      <c r="E568" s="40">
        <v>410</v>
      </c>
      <c r="F568" s="104" t="s">
        <v>835</v>
      </c>
    </row>
    <row r="569" spans="1:6" ht="15" customHeight="1" x14ac:dyDescent="0.3">
      <c r="A569" s="85">
        <v>46225</v>
      </c>
      <c r="B569" s="60" t="s">
        <v>750</v>
      </c>
      <c r="C569" s="101" t="s">
        <v>183</v>
      </c>
      <c r="D569" s="60">
        <v>8</v>
      </c>
      <c r="E569" s="35">
        <v>395</v>
      </c>
      <c r="F569" s="101" t="s">
        <v>835</v>
      </c>
    </row>
    <row r="570" spans="1:6" ht="15" customHeight="1" x14ac:dyDescent="0.3">
      <c r="A570" s="86">
        <v>46225</v>
      </c>
      <c r="B570" s="64" t="s">
        <v>751</v>
      </c>
      <c r="C570" s="104" t="s">
        <v>183</v>
      </c>
      <c r="D570" s="64">
        <v>8</v>
      </c>
      <c r="E570" s="40">
        <v>390</v>
      </c>
      <c r="F570" s="104" t="s">
        <v>835</v>
      </c>
    </row>
    <row r="571" spans="1:6" ht="15" customHeight="1" x14ac:dyDescent="0.3">
      <c r="A571" s="85">
        <v>46225</v>
      </c>
      <c r="B571" s="60" t="s">
        <v>752</v>
      </c>
      <c r="C571" s="101" t="s">
        <v>183</v>
      </c>
      <c r="D571" s="60">
        <v>8</v>
      </c>
      <c r="E571" s="35">
        <v>402</v>
      </c>
      <c r="F571" s="101" t="s">
        <v>835</v>
      </c>
    </row>
    <row r="572" spans="1:6" ht="15" customHeight="1" x14ac:dyDescent="0.3">
      <c r="A572" s="86">
        <v>46225</v>
      </c>
      <c r="B572" s="64" t="s">
        <v>753</v>
      </c>
      <c r="C572" s="104" t="s">
        <v>183</v>
      </c>
      <c r="D572" s="64">
        <v>8</v>
      </c>
      <c r="E572" s="40">
        <v>390</v>
      </c>
      <c r="F572" s="104" t="s">
        <v>835</v>
      </c>
    </row>
    <row r="573" spans="1:6" ht="15" customHeight="1" x14ac:dyDescent="0.3">
      <c r="A573" s="85">
        <v>46225</v>
      </c>
      <c r="B573" s="60" t="s">
        <v>754</v>
      </c>
      <c r="C573" s="101" t="s">
        <v>183</v>
      </c>
      <c r="D573" s="60">
        <v>8</v>
      </c>
      <c r="E573" s="35">
        <v>386</v>
      </c>
      <c r="F573" s="101" t="s">
        <v>835</v>
      </c>
    </row>
    <row r="574" spans="1:6" ht="15" customHeight="1" x14ac:dyDescent="0.3">
      <c r="A574" s="86">
        <v>46225</v>
      </c>
      <c r="B574" s="64" t="s">
        <v>755</v>
      </c>
      <c r="C574" s="104" t="s">
        <v>183</v>
      </c>
      <c r="D574" s="64">
        <v>8</v>
      </c>
      <c r="E574" s="40">
        <v>400</v>
      </c>
      <c r="F574" s="104" t="s">
        <v>835</v>
      </c>
    </row>
    <row r="575" spans="1:6" ht="15" customHeight="1" x14ac:dyDescent="0.3">
      <c r="A575" s="85">
        <v>46225</v>
      </c>
      <c r="B575" s="60" t="s">
        <v>756</v>
      </c>
      <c r="C575" s="101" t="s">
        <v>183</v>
      </c>
      <c r="D575" s="60">
        <v>8</v>
      </c>
      <c r="E575" s="35">
        <v>395</v>
      </c>
      <c r="F575" s="101" t="s">
        <v>835</v>
      </c>
    </row>
    <row r="576" spans="1:6" ht="15" customHeight="1" x14ac:dyDescent="0.3">
      <c r="A576" s="86">
        <v>46225</v>
      </c>
      <c r="B576" s="64" t="s">
        <v>757</v>
      </c>
      <c r="C576" s="104" t="s">
        <v>183</v>
      </c>
      <c r="D576" s="64">
        <v>8</v>
      </c>
      <c r="E576" s="40">
        <v>403</v>
      </c>
      <c r="F576" s="104" t="s">
        <v>835</v>
      </c>
    </row>
    <row r="577" spans="1:6" ht="15" customHeight="1" x14ac:dyDescent="0.3">
      <c r="A577" s="85">
        <v>46225</v>
      </c>
      <c r="B577" s="60" t="s">
        <v>758</v>
      </c>
      <c r="C577" s="101" t="s">
        <v>183</v>
      </c>
      <c r="D577" s="60">
        <v>8</v>
      </c>
      <c r="E577" s="35">
        <v>403</v>
      </c>
      <c r="F577" s="101" t="s">
        <v>835</v>
      </c>
    </row>
    <row r="578" spans="1:6" ht="15" customHeight="1" x14ac:dyDescent="0.3">
      <c r="A578" s="86">
        <v>46225</v>
      </c>
      <c r="B578" s="64" t="s">
        <v>759</v>
      </c>
      <c r="C578" s="104" t="s">
        <v>183</v>
      </c>
      <c r="D578" s="64">
        <v>8</v>
      </c>
      <c r="E578" s="40">
        <v>385</v>
      </c>
      <c r="F578" s="104" t="s">
        <v>835</v>
      </c>
    </row>
    <row r="579" spans="1:6" ht="15" customHeight="1" x14ac:dyDescent="0.3">
      <c r="A579" s="85">
        <v>46225</v>
      </c>
      <c r="B579" s="60" t="s">
        <v>760</v>
      </c>
      <c r="C579" s="101" t="s">
        <v>183</v>
      </c>
      <c r="D579" s="60">
        <v>8</v>
      </c>
      <c r="E579" s="35">
        <v>393</v>
      </c>
      <c r="F579" s="101" t="s">
        <v>835</v>
      </c>
    </row>
    <row r="580" spans="1:6" ht="15" customHeight="1" x14ac:dyDescent="0.3">
      <c r="A580" s="86">
        <v>46225</v>
      </c>
      <c r="B580" s="64" t="s">
        <v>761</v>
      </c>
      <c r="C580" s="104" t="s">
        <v>183</v>
      </c>
      <c r="D580" s="64">
        <v>8</v>
      </c>
      <c r="E580" s="40">
        <v>402</v>
      </c>
      <c r="F580" s="104" t="s">
        <v>835</v>
      </c>
    </row>
    <row r="581" spans="1:6" ht="15" customHeight="1" x14ac:dyDescent="0.3">
      <c r="A581" s="85">
        <v>46225</v>
      </c>
      <c r="B581" s="60" t="s">
        <v>762</v>
      </c>
      <c r="C581" s="101" t="s">
        <v>183</v>
      </c>
      <c r="D581" s="60">
        <v>8</v>
      </c>
      <c r="E581" s="35">
        <v>406</v>
      </c>
      <c r="F581" s="101" t="s">
        <v>835</v>
      </c>
    </row>
    <row r="582" spans="1:6" ht="15" customHeight="1" x14ac:dyDescent="0.3">
      <c r="A582" s="86">
        <v>46225</v>
      </c>
      <c r="B582" s="64" t="s">
        <v>763</v>
      </c>
      <c r="C582" s="104" t="s">
        <v>183</v>
      </c>
      <c r="D582" s="64">
        <v>8</v>
      </c>
      <c r="E582" s="40">
        <v>405</v>
      </c>
      <c r="F582" s="104" t="s">
        <v>835</v>
      </c>
    </row>
    <row r="583" spans="1:6" ht="15" customHeight="1" x14ac:dyDescent="0.3">
      <c r="A583" s="85">
        <v>46225</v>
      </c>
      <c r="B583" s="60" t="s">
        <v>764</v>
      </c>
      <c r="C583" s="101" t="s">
        <v>183</v>
      </c>
      <c r="D583" s="60">
        <v>8</v>
      </c>
      <c r="E583" s="35">
        <v>404</v>
      </c>
      <c r="F583" s="101" t="s">
        <v>835</v>
      </c>
    </row>
    <row r="584" spans="1:6" ht="15" customHeight="1" x14ac:dyDescent="0.3">
      <c r="A584" s="86">
        <v>46225</v>
      </c>
      <c r="B584" s="64" t="s">
        <v>765</v>
      </c>
      <c r="C584" s="104" t="s">
        <v>183</v>
      </c>
      <c r="D584" s="64">
        <v>8</v>
      </c>
      <c r="E584" s="40">
        <v>389</v>
      </c>
      <c r="F584" s="104" t="s">
        <v>835</v>
      </c>
    </row>
    <row r="585" spans="1:6" ht="15" customHeight="1" x14ac:dyDescent="0.3">
      <c r="A585" s="85">
        <v>46225</v>
      </c>
      <c r="B585" s="60" t="s">
        <v>766</v>
      </c>
      <c r="C585" s="101" t="s">
        <v>183</v>
      </c>
      <c r="D585" s="60">
        <v>8</v>
      </c>
      <c r="E585" s="35">
        <v>390</v>
      </c>
      <c r="F585" s="101" t="s">
        <v>835</v>
      </c>
    </row>
    <row r="586" spans="1:6" ht="15" customHeight="1" x14ac:dyDescent="0.3">
      <c r="A586" s="86">
        <v>46225</v>
      </c>
      <c r="B586" s="64" t="s">
        <v>767</v>
      </c>
      <c r="C586" s="104" t="s">
        <v>183</v>
      </c>
      <c r="D586" s="64">
        <v>8</v>
      </c>
      <c r="E586" s="40">
        <v>394</v>
      </c>
      <c r="F586" s="104" t="s">
        <v>835</v>
      </c>
    </row>
    <row r="587" spans="1:6" ht="15" customHeight="1" x14ac:dyDescent="0.3">
      <c r="A587" s="85">
        <v>46225</v>
      </c>
      <c r="B587" s="60" t="s">
        <v>768</v>
      </c>
      <c r="C587" s="101" t="s">
        <v>183</v>
      </c>
      <c r="D587" s="60">
        <v>8</v>
      </c>
      <c r="E587" s="35">
        <v>384</v>
      </c>
      <c r="F587" s="101" t="s">
        <v>835</v>
      </c>
    </row>
    <row r="588" spans="1:6" ht="15" customHeight="1" x14ac:dyDescent="0.3">
      <c r="A588" s="86">
        <v>46225</v>
      </c>
      <c r="B588" s="64" t="s">
        <v>769</v>
      </c>
      <c r="C588" s="104" t="s">
        <v>183</v>
      </c>
      <c r="D588" s="64">
        <v>8</v>
      </c>
      <c r="E588" s="40">
        <v>406</v>
      </c>
      <c r="F588" s="104" t="s">
        <v>835</v>
      </c>
    </row>
    <row r="589" spans="1:6" ht="15" customHeight="1" x14ac:dyDescent="0.3">
      <c r="A589" s="85">
        <v>46225</v>
      </c>
      <c r="B589" s="60" t="s">
        <v>770</v>
      </c>
      <c r="C589" s="101" t="s">
        <v>183</v>
      </c>
      <c r="D589" s="60">
        <v>8</v>
      </c>
      <c r="E589" s="35">
        <v>389</v>
      </c>
      <c r="F589" s="101" t="s">
        <v>835</v>
      </c>
    </row>
    <row r="590" spans="1:6" ht="15" customHeight="1" x14ac:dyDescent="0.3">
      <c r="A590" s="86">
        <v>46225</v>
      </c>
      <c r="B590" s="64" t="s">
        <v>771</v>
      </c>
      <c r="C590" s="104" t="s">
        <v>183</v>
      </c>
      <c r="D590" s="64">
        <v>8</v>
      </c>
      <c r="E590" s="40">
        <v>403</v>
      </c>
      <c r="F590" s="104" t="s">
        <v>835</v>
      </c>
    </row>
    <row r="591" spans="1:6" ht="15" customHeight="1" x14ac:dyDescent="0.3">
      <c r="A591" s="85">
        <v>46225</v>
      </c>
      <c r="B591" s="60" t="s">
        <v>772</v>
      </c>
      <c r="C591" s="101" t="s">
        <v>183</v>
      </c>
      <c r="D591" s="60">
        <v>8</v>
      </c>
      <c r="E591" s="35">
        <v>388</v>
      </c>
      <c r="F591" s="101" t="s">
        <v>835</v>
      </c>
    </row>
    <row r="592" spans="1:6" ht="15" customHeight="1" x14ac:dyDescent="0.3">
      <c r="A592" s="86">
        <v>46225</v>
      </c>
      <c r="B592" s="64" t="s">
        <v>773</v>
      </c>
      <c r="C592" s="104" t="s">
        <v>183</v>
      </c>
      <c r="D592" s="64">
        <v>8</v>
      </c>
      <c r="E592" s="40">
        <v>390</v>
      </c>
      <c r="F592" s="104" t="s">
        <v>835</v>
      </c>
    </row>
    <row r="593" spans="1:6" ht="15" customHeight="1" x14ac:dyDescent="0.3">
      <c r="A593" s="85">
        <v>46225</v>
      </c>
      <c r="B593" s="60" t="s">
        <v>774</v>
      </c>
      <c r="C593" s="101" t="s">
        <v>183</v>
      </c>
      <c r="D593" s="60">
        <v>8</v>
      </c>
      <c r="E593" s="35">
        <v>406</v>
      </c>
      <c r="F593" s="101" t="s">
        <v>835</v>
      </c>
    </row>
    <row r="594" spans="1:6" ht="15" customHeight="1" x14ac:dyDescent="0.3">
      <c r="A594" s="86">
        <v>46225</v>
      </c>
      <c r="B594" s="64" t="s">
        <v>775</v>
      </c>
      <c r="C594" s="104" t="s">
        <v>183</v>
      </c>
      <c r="D594" s="64">
        <v>8</v>
      </c>
      <c r="E594" s="40">
        <v>392</v>
      </c>
      <c r="F594" s="104" t="s">
        <v>835</v>
      </c>
    </row>
    <row r="595" spans="1:6" ht="15" customHeight="1" x14ac:dyDescent="0.3">
      <c r="A595" s="85">
        <v>46225</v>
      </c>
      <c r="B595" s="60" t="s">
        <v>776</v>
      </c>
      <c r="C595" s="101" t="s">
        <v>183</v>
      </c>
      <c r="D595" s="60">
        <v>8</v>
      </c>
      <c r="E595" s="35">
        <v>378</v>
      </c>
      <c r="F595" s="101" t="s">
        <v>835</v>
      </c>
    </row>
    <row r="596" spans="1:6" ht="15" customHeight="1" x14ac:dyDescent="0.3">
      <c r="A596" s="86">
        <v>46225</v>
      </c>
      <c r="B596" s="64" t="s">
        <v>777</v>
      </c>
      <c r="C596" s="104" t="s">
        <v>183</v>
      </c>
      <c r="D596" s="64">
        <v>8</v>
      </c>
      <c r="E596" s="40">
        <v>387</v>
      </c>
      <c r="F596" s="104" t="s">
        <v>835</v>
      </c>
    </row>
    <row r="597" spans="1:6" ht="15" customHeight="1" x14ac:dyDescent="0.3">
      <c r="A597" s="85">
        <v>46225</v>
      </c>
      <c r="B597" s="60" t="s">
        <v>778</v>
      </c>
      <c r="C597" s="101" t="s">
        <v>183</v>
      </c>
      <c r="D597" s="60">
        <v>8</v>
      </c>
      <c r="E597" s="35">
        <v>410</v>
      </c>
      <c r="F597" s="101" t="s">
        <v>835</v>
      </c>
    </row>
    <row r="598" spans="1:6" ht="15" customHeight="1" x14ac:dyDescent="0.3">
      <c r="A598" s="86">
        <v>46225</v>
      </c>
      <c r="B598" s="64" t="s">
        <v>779</v>
      </c>
      <c r="C598" s="104" t="s">
        <v>183</v>
      </c>
      <c r="D598" s="64">
        <v>8</v>
      </c>
      <c r="E598" s="40">
        <v>390</v>
      </c>
      <c r="F598" s="104" t="s">
        <v>835</v>
      </c>
    </row>
    <row r="599" spans="1:6" ht="15" customHeight="1" x14ac:dyDescent="0.3">
      <c r="A599" s="85">
        <v>46225</v>
      </c>
      <c r="B599" s="60" t="s">
        <v>780</v>
      </c>
      <c r="C599" s="101" t="s">
        <v>183</v>
      </c>
      <c r="D599" s="60">
        <v>8</v>
      </c>
      <c r="E599" s="35">
        <v>387</v>
      </c>
      <c r="F599" s="101" t="s">
        <v>835</v>
      </c>
    </row>
    <row r="600" spans="1:6" ht="15" customHeight="1" x14ac:dyDescent="0.3">
      <c r="A600" s="86">
        <v>46225</v>
      </c>
      <c r="B600" s="64" t="s">
        <v>781</v>
      </c>
      <c r="C600" s="104" t="s">
        <v>183</v>
      </c>
      <c r="D600" s="64">
        <v>8</v>
      </c>
      <c r="E600" s="40">
        <v>378</v>
      </c>
      <c r="F600" s="104" t="s">
        <v>835</v>
      </c>
    </row>
    <row r="601" spans="1:6" ht="15" customHeight="1" x14ac:dyDescent="0.3">
      <c r="A601" s="85">
        <v>46226</v>
      </c>
      <c r="B601" s="60" t="s">
        <v>782</v>
      </c>
      <c r="C601" s="101" t="s">
        <v>183</v>
      </c>
      <c r="D601" s="60">
        <v>8</v>
      </c>
      <c r="E601" s="35">
        <v>386</v>
      </c>
      <c r="F601" s="101" t="s">
        <v>835</v>
      </c>
    </row>
    <row r="602" spans="1:6" ht="15" customHeight="1" x14ac:dyDescent="0.3">
      <c r="A602" s="86">
        <v>46225</v>
      </c>
      <c r="B602" s="64" t="s">
        <v>783</v>
      </c>
      <c r="C602" s="104" t="s">
        <v>183</v>
      </c>
      <c r="D602" s="64">
        <v>9</v>
      </c>
      <c r="E602" s="40">
        <v>287</v>
      </c>
      <c r="F602" s="104" t="s">
        <v>835</v>
      </c>
    </row>
    <row r="603" spans="1:6" ht="15" customHeight="1" x14ac:dyDescent="0.3">
      <c r="A603" s="85">
        <v>46225</v>
      </c>
      <c r="B603" s="60" t="s">
        <v>784</v>
      </c>
      <c r="C603" s="101" t="s">
        <v>183</v>
      </c>
      <c r="D603" s="60">
        <v>9</v>
      </c>
      <c r="E603" s="35">
        <v>330</v>
      </c>
      <c r="F603" s="101" t="s">
        <v>835</v>
      </c>
    </row>
    <row r="604" spans="1:6" ht="15" customHeight="1" x14ac:dyDescent="0.3">
      <c r="A604" s="86">
        <v>46225</v>
      </c>
      <c r="B604" s="64" t="s">
        <v>785</v>
      </c>
      <c r="C604" s="104" t="s">
        <v>183</v>
      </c>
      <c r="D604" s="64">
        <v>9</v>
      </c>
      <c r="E604" s="40">
        <v>357</v>
      </c>
      <c r="F604" s="104" t="s">
        <v>835</v>
      </c>
    </row>
    <row r="605" spans="1:6" ht="15" customHeight="1" x14ac:dyDescent="0.3">
      <c r="A605" s="85">
        <v>46225</v>
      </c>
      <c r="B605" s="60" t="s">
        <v>786</v>
      </c>
      <c r="C605" s="101" t="s">
        <v>183</v>
      </c>
      <c r="D605" s="60">
        <v>9</v>
      </c>
      <c r="E605" s="35">
        <v>374</v>
      </c>
      <c r="F605" s="101" t="s">
        <v>835</v>
      </c>
    </row>
    <row r="606" spans="1:6" ht="15" customHeight="1" x14ac:dyDescent="0.3">
      <c r="A606" s="86">
        <v>46225</v>
      </c>
      <c r="B606" s="64" t="s">
        <v>787</v>
      </c>
      <c r="C606" s="104" t="s">
        <v>183</v>
      </c>
      <c r="D606" s="64">
        <v>9</v>
      </c>
      <c r="E606" s="40">
        <v>332</v>
      </c>
      <c r="F606" s="104" t="s">
        <v>835</v>
      </c>
    </row>
    <row r="607" spans="1:6" ht="15" customHeight="1" x14ac:dyDescent="0.3">
      <c r="A607" s="85">
        <v>46225</v>
      </c>
      <c r="B607" s="60" t="s">
        <v>788</v>
      </c>
      <c r="C607" s="101" t="s">
        <v>183</v>
      </c>
      <c r="D607" s="60">
        <v>9</v>
      </c>
      <c r="E607" s="35">
        <v>316</v>
      </c>
      <c r="F607" s="101" t="s">
        <v>835</v>
      </c>
    </row>
    <row r="608" spans="1:6" ht="15" customHeight="1" x14ac:dyDescent="0.3">
      <c r="A608" s="86">
        <v>46225</v>
      </c>
      <c r="B608" s="64" t="s">
        <v>789</v>
      </c>
      <c r="C608" s="104" t="s">
        <v>183</v>
      </c>
      <c r="D608" s="64">
        <v>9</v>
      </c>
      <c r="E608" s="40">
        <v>373</v>
      </c>
      <c r="F608" s="104" t="s">
        <v>835</v>
      </c>
    </row>
    <row r="609" spans="1:6" ht="15" customHeight="1" x14ac:dyDescent="0.3">
      <c r="A609" s="85">
        <v>46225</v>
      </c>
      <c r="B609" s="60" t="s">
        <v>790</v>
      </c>
      <c r="C609" s="101" t="s">
        <v>183</v>
      </c>
      <c r="D609" s="60">
        <v>9</v>
      </c>
      <c r="E609" s="35">
        <v>345</v>
      </c>
      <c r="F609" s="101" t="s">
        <v>835</v>
      </c>
    </row>
    <row r="610" spans="1:6" ht="15" customHeight="1" x14ac:dyDescent="0.3">
      <c r="A610" s="86">
        <v>46225</v>
      </c>
      <c r="B610" s="64" t="s">
        <v>791</v>
      </c>
      <c r="C610" s="104" t="s">
        <v>183</v>
      </c>
      <c r="D610" s="64">
        <v>9</v>
      </c>
      <c r="E610" s="40">
        <v>335</v>
      </c>
      <c r="F610" s="104" t="s">
        <v>835</v>
      </c>
    </row>
    <row r="611" spans="1:6" ht="15" customHeight="1" x14ac:dyDescent="0.3">
      <c r="A611" s="85">
        <v>46225</v>
      </c>
      <c r="B611" s="60" t="s">
        <v>792</v>
      </c>
      <c r="C611" s="101" t="s">
        <v>183</v>
      </c>
      <c r="D611" s="60">
        <v>9</v>
      </c>
      <c r="E611" s="35">
        <v>385</v>
      </c>
      <c r="F611" s="101" t="s">
        <v>835</v>
      </c>
    </row>
    <row r="612" spans="1:6" ht="15" customHeight="1" x14ac:dyDescent="0.3">
      <c r="A612" s="86">
        <v>46225</v>
      </c>
      <c r="B612" s="64" t="s">
        <v>793</v>
      </c>
      <c r="C612" s="104" t="s">
        <v>183</v>
      </c>
      <c r="D612" s="64">
        <v>9</v>
      </c>
      <c r="E612" s="40">
        <v>324</v>
      </c>
      <c r="F612" s="104" t="s">
        <v>835</v>
      </c>
    </row>
    <row r="613" spans="1:6" ht="15" customHeight="1" x14ac:dyDescent="0.3">
      <c r="A613" s="85">
        <v>46225</v>
      </c>
      <c r="B613" s="60" t="s">
        <v>794</v>
      </c>
      <c r="C613" s="101" t="s">
        <v>183</v>
      </c>
      <c r="D613" s="60">
        <v>9</v>
      </c>
      <c r="E613" s="35">
        <v>329</v>
      </c>
      <c r="F613" s="101" t="s">
        <v>835</v>
      </c>
    </row>
    <row r="614" spans="1:6" ht="15" customHeight="1" x14ac:dyDescent="0.3">
      <c r="A614" s="86">
        <v>46225</v>
      </c>
      <c r="B614" s="64" t="s">
        <v>795</v>
      </c>
      <c r="C614" s="104" t="s">
        <v>183</v>
      </c>
      <c r="D614" s="64">
        <v>9</v>
      </c>
      <c r="E614" s="40">
        <v>330</v>
      </c>
      <c r="F614" s="104" t="s">
        <v>835</v>
      </c>
    </row>
    <row r="615" spans="1:6" ht="15" customHeight="1" x14ac:dyDescent="0.3">
      <c r="A615" s="85">
        <v>46226</v>
      </c>
      <c r="B615" s="60" t="s">
        <v>796</v>
      </c>
      <c r="C615" s="101" t="s">
        <v>183</v>
      </c>
      <c r="D615" s="60">
        <v>9</v>
      </c>
      <c r="E615" s="35">
        <v>322</v>
      </c>
      <c r="F615" s="101" t="s">
        <v>835</v>
      </c>
    </row>
    <row r="616" spans="1:6" ht="15" customHeight="1" x14ac:dyDescent="0.3">
      <c r="A616" s="86">
        <v>46227</v>
      </c>
      <c r="B616" s="64" t="s">
        <v>797</v>
      </c>
      <c r="C616" s="104" t="s">
        <v>798</v>
      </c>
      <c r="D616" s="64">
        <v>10</v>
      </c>
      <c r="E616" s="40">
        <v>380</v>
      </c>
      <c r="F616" s="104" t="s">
        <v>836</v>
      </c>
    </row>
    <row r="617" spans="1:6" ht="15" customHeight="1" x14ac:dyDescent="0.3">
      <c r="A617" s="85">
        <v>46227</v>
      </c>
      <c r="B617" s="60" t="s">
        <v>800</v>
      </c>
      <c r="C617" s="101" t="s">
        <v>798</v>
      </c>
      <c r="D617" s="60">
        <v>10</v>
      </c>
      <c r="E617" s="35">
        <v>380</v>
      </c>
      <c r="F617" s="101" t="s">
        <v>836</v>
      </c>
    </row>
    <row r="618" spans="1:6" ht="15" customHeight="1" x14ac:dyDescent="0.3">
      <c r="A618" s="86">
        <v>46227</v>
      </c>
      <c r="B618" s="64" t="s">
        <v>801</v>
      </c>
      <c r="C618" s="104" t="s">
        <v>798</v>
      </c>
      <c r="D618" s="64">
        <v>10</v>
      </c>
      <c r="E618" s="40">
        <v>380</v>
      </c>
      <c r="F618" s="104" t="s">
        <v>836</v>
      </c>
    </row>
    <row r="619" spans="1:6" ht="15" customHeight="1" x14ac:dyDescent="0.3">
      <c r="A619" s="85">
        <v>46227</v>
      </c>
      <c r="B619" s="60" t="s">
        <v>802</v>
      </c>
      <c r="C619" s="101" t="s">
        <v>798</v>
      </c>
      <c r="D619" s="60">
        <v>10</v>
      </c>
      <c r="E619" s="35">
        <v>380</v>
      </c>
      <c r="F619" s="101" t="s">
        <v>836</v>
      </c>
    </row>
    <row r="620" spans="1:6" ht="15" customHeight="1" x14ac:dyDescent="0.3">
      <c r="A620" s="86">
        <v>46227</v>
      </c>
      <c r="B620" s="64" t="s">
        <v>803</v>
      </c>
      <c r="C620" s="104" t="s">
        <v>798</v>
      </c>
      <c r="D620" s="64">
        <v>10</v>
      </c>
      <c r="E620" s="40">
        <v>380</v>
      </c>
      <c r="F620" s="104" t="s">
        <v>836</v>
      </c>
    </row>
    <row r="621" spans="1:6" ht="15" customHeight="1" x14ac:dyDescent="0.3">
      <c r="A621" s="85">
        <v>46227</v>
      </c>
      <c r="B621" s="60" t="s">
        <v>804</v>
      </c>
      <c r="C621" s="101" t="s">
        <v>798</v>
      </c>
      <c r="D621" s="60">
        <v>10</v>
      </c>
      <c r="E621" s="35">
        <v>380</v>
      </c>
      <c r="F621" s="101" t="s">
        <v>836</v>
      </c>
    </row>
    <row r="622" spans="1:6" ht="15" customHeight="1" x14ac:dyDescent="0.3">
      <c r="A622" s="86">
        <v>46227</v>
      </c>
      <c r="B622" s="64" t="s">
        <v>805</v>
      </c>
      <c r="C622" s="104" t="s">
        <v>798</v>
      </c>
      <c r="D622" s="64">
        <v>10</v>
      </c>
      <c r="E622" s="40">
        <v>380</v>
      </c>
      <c r="F622" s="104" t="s">
        <v>836</v>
      </c>
    </row>
    <row r="623" spans="1:6" ht="15" customHeight="1" x14ac:dyDescent="0.3">
      <c r="A623" s="85">
        <v>46227</v>
      </c>
      <c r="B623" s="60" t="s">
        <v>806</v>
      </c>
      <c r="C623" s="101" t="s">
        <v>798</v>
      </c>
      <c r="D623" s="60">
        <v>10</v>
      </c>
      <c r="E623" s="35">
        <v>380</v>
      </c>
      <c r="F623" s="101" t="s">
        <v>836</v>
      </c>
    </row>
    <row r="624" spans="1:6" ht="15" customHeight="1" x14ac:dyDescent="0.3">
      <c r="A624" s="86">
        <v>46227</v>
      </c>
      <c r="B624" s="64" t="s">
        <v>807</v>
      </c>
      <c r="C624" s="104" t="s">
        <v>798</v>
      </c>
      <c r="D624" s="64">
        <v>10</v>
      </c>
      <c r="E624" s="40">
        <v>380</v>
      </c>
      <c r="F624" s="104" t="s">
        <v>836</v>
      </c>
    </row>
    <row r="625" spans="1:6" ht="15" customHeight="1" x14ac:dyDescent="0.3">
      <c r="A625" s="85">
        <v>46227</v>
      </c>
      <c r="B625" s="60" t="s">
        <v>808</v>
      </c>
      <c r="C625" s="101" t="s">
        <v>798</v>
      </c>
      <c r="D625" s="60">
        <v>10</v>
      </c>
      <c r="E625" s="35">
        <v>380</v>
      </c>
      <c r="F625" s="101" t="s">
        <v>836</v>
      </c>
    </row>
    <row r="626" spans="1:6" ht="15" customHeight="1" x14ac:dyDescent="0.3">
      <c r="A626" s="86">
        <v>46227</v>
      </c>
      <c r="B626" s="64" t="s">
        <v>809</v>
      </c>
      <c r="C626" s="104" t="s">
        <v>798</v>
      </c>
      <c r="D626" s="64">
        <v>10</v>
      </c>
      <c r="E626" s="40">
        <v>380</v>
      </c>
      <c r="F626" s="104" t="s">
        <v>836</v>
      </c>
    </row>
    <row r="627" spans="1:6" ht="15" customHeight="1" x14ac:dyDescent="0.3">
      <c r="A627" s="85">
        <v>46227</v>
      </c>
      <c r="B627" s="60" t="s">
        <v>810</v>
      </c>
      <c r="C627" s="101" t="s">
        <v>798</v>
      </c>
      <c r="D627" s="60">
        <v>10</v>
      </c>
      <c r="E627" s="35">
        <v>380</v>
      </c>
      <c r="F627" s="101" t="s">
        <v>836</v>
      </c>
    </row>
    <row r="628" spans="1:6" ht="15" customHeight="1" x14ac:dyDescent="0.3">
      <c r="A628" s="86">
        <v>46227</v>
      </c>
      <c r="B628" s="64" t="s">
        <v>811</v>
      </c>
      <c r="C628" s="104" t="s">
        <v>798</v>
      </c>
      <c r="D628" s="64">
        <v>10</v>
      </c>
      <c r="E628" s="40">
        <v>380</v>
      </c>
      <c r="F628" s="104" t="s">
        <v>836</v>
      </c>
    </row>
    <row r="629" spans="1:6" ht="15" customHeight="1" x14ac:dyDescent="0.3">
      <c r="A629" s="85">
        <v>46227</v>
      </c>
      <c r="B629" s="60" t="s">
        <v>812</v>
      </c>
      <c r="C629" s="101" t="s">
        <v>798</v>
      </c>
      <c r="D629" s="60">
        <v>10</v>
      </c>
      <c r="E629" s="35">
        <v>380</v>
      </c>
      <c r="F629" s="101" t="s">
        <v>836</v>
      </c>
    </row>
    <row r="630" spans="1:6" ht="15" customHeight="1" x14ac:dyDescent="0.3">
      <c r="A630" s="86">
        <v>46227</v>
      </c>
      <c r="B630" s="64" t="s">
        <v>813</v>
      </c>
      <c r="C630" s="104" t="s">
        <v>798</v>
      </c>
      <c r="D630" s="64">
        <v>10</v>
      </c>
      <c r="E630" s="40">
        <v>380</v>
      </c>
      <c r="F630" s="104" t="s">
        <v>836</v>
      </c>
    </row>
    <row r="631" spans="1:6" ht="15" customHeight="1" x14ac:dyDescent="0.3">
      <c r="A631" s="85">
        <v>46227</v>
      </c>
      <c r="B631" s="60" t="s">
        <v>814</v>
      </c>
      <c r="C631" s="101" t="s">
        <v>798</v>
      </c>
      <c r="D631" s="60">
        <v>10</v>
      </c>
      <c r="E631" s="35">
        <v>380</v>
      </c>
      <c r="F631" s="101" t="s">
        <v>836</v>
      </c>
    </row>
    <row r="632" spans="1:6" ht="15" customHeight="1" x14ac:dyDescent="0.3">
      <c r="A632" s="86">
        <v>46227</v>
      </c>
      <c r="B632" s="64" t="s">
        <v>815</v>
      </c>
      <c r="C632" s="104" t="s">
        <v>798</v>
      </c>
      <c r="D632" s="64">
        <v>10</v>
      </c>
      <c r="E632" s="40">
        <v>380</v>
      </c>
      <c r="F632" s="104" t="s">
        <v>836</v>
      </c>
    </row>
    <row r="633" spans="1:6" ht="15" customHeight="1" x14ac:dyDescent="0.3">
      <c r="A633" s="85">
        <v>46227</v>
      </c>
      <c r="B633" s="60" t="s">
        <v>816</v>
      </c>
      <c r="C633" s="101" t="s">
        <v>798</v>
      </c>
      <c r="D633" s="60">
        <v>10</v>
      </c>
      <c r="E633" s="35">
        <v>380</v>
      </c>
      <c r="F633" s="101" t="s">
        <v>836</v>
      </c>
    </row>
    <row r="634" spans="1:6" ht="15" customHeight="1" x14ac:dyDescent="0.3">
      <c r="A634" s="86">
        <v>46227</v>
      </c>
      <c r="B634" s="64" t="s">
        <v>817</v>
      </c>
      <c r="C634" s="104" t="s">
        <v>798</v>
      </c>
      <c r="D634" s="64">
        <v>10</v>
      </c>
      <c r="E634" s="40">
        <v>380</v>
      </c>
      <c r="F634" s="104" t="s">
        <v>836</v>
      </c>
    </row>
    <row r="635" spans="1:6" ht="15" customHeight="1" x14ac:dyDescent="0.3">
      <c r="A635" s="85">
        <v>46227</v>
      </c>
      <c r="B635" s="60" t="s">
        <v>818</v>
      </c>
      <c r="C635" s="101" t="s">
        <v>798</v>
      </c>
      <c r="D635" s="60">
        <v>10</v>
      </c>
      <c r="E635" s="35">
        <v>380</v>
      </c>
      <c r="F635" s="101" t="s">
        <v>836</v>
      </c>
    </row>
    <row r="636" spans="1:6" ht="15" customHeight="1" x14ac:dyDescent="0.3">
      <c r="A636" s="86">
        <v>46227</v>
      </c>
      <c r="B636" s="64" t="s">
        <v>819</v>
      </c>
      <c r="C636" s="104" t="s">
        <v>798</v>
      </c>
      <c r="D636" s="64">
        <v>10</v>
      </c>
      <c r="E636" s="40">
        <v>380</v>
      </c>
      <c r="F636" s="104" t="s">
        <v>836</v>
      </c>
    </row>
    <row r="637" spans="1:6" ht="15" customHeight="1" x14ac:dyDescent="0.3">
      <c r="A637" s="85">
        <v>46227</v>
      </c>
      <c r="B637" s="60" t="s">
        <v>820</v>
      </c>
      <c r="C637" s="101" t="s">
        <v>798</v>
      </c>
      <c r="D637" s="60">
        <v>10</v>
      </c>
      <c r="E637" s="35">
        <v>380</v>
      </c>
      <c r="F637" s="101" t="s">
        <v>836</v>
      </c>
    </row>
    <row r="638" spans="1:6" ht="15" customHeight="1" x14ac:dyDescent="0.3">
      <c r="A638" s="86">
        <v>46227</v>
      </c>
      <c r="B638" s="64" t="s">
        <v>821</v>
      </c>
      <c r="C638" s="104" t="s">
        <v>798</v>
      </c>
      <c r="D638" s="64">
        <v>10</v>
      </c>
      <c r="E638" s="40">
        <v>380</v>
      </c>
      <c r="F638" s="104" t="s">
        <v>836</v>
      </c>
    </row>
    <row r="639" spans="1:6" ht="15" customHeight="1" x14ac:dyDescent="0.3">
      <c r="A639" s="85">
        <v>46227</v>
      </c>
      <c r="B639" s="60" t="s">
        <v>822</v>
      </c>
      <c r="C639" s="101" t="s">
        <v>798</v>
      </c>
      <c r="D639" s="60">
        <v>10</v>
      </c>
      <c r="E639" s="35">
        <v>380</v>
      </c>
      <c r="F639" s="101" t="s">
        <v>836</v>
      </c>
    </row>
    <row r="640" spans="1:6" ht="15" customHeight="1" x14ac:dyDescent="0.3">
      <c r="A640" s="86">
        <v>46227</v>
      </c>
      <c r="B640" s="64" t="s">
        <v>823</v>
      </c>
      <c r="C640" s="104" t="s">
        <v>798</v>
      </c>
      <c r="D640" s="64">
        <v>10</v>
      </c>
      <c r="E640" s="40">
        <v>380</v>
      </c>
      <c r="F640" s="104" t="s">
        <v>836</v>
      </c>
    </row>
    <row r="641" spans="1:6" ht="15" customHeight="1" x14ac:dyDescent="0.3">
      <c r="A641" s="85">
        <v>46227</v>
      </c>
      <c r="B641" s="60" t="s">
        <v>824</v>
      </c>
      <c r="C641" s="101" t="s">
        <v>798</v>
      </c>
      <c r="D641" s="60">
        <v>10</v>
      </c>
      <c r="E641" s="35">
        <v>380</v>
      </c>
      <c r="F641" s="101" t="s">
        <v>836</v>
      </c>
    </row>
    <row r="642" spans="1:6" ht="15" customHeight="1" x14ac:dyDescent="0.3">
      <c r="A642" s="86">
        <v>46227</v>
      </c>
      <c r="B642" s="64" t="s">
        <v>825</v>
      </c>
      <c r="C642" s="104" t="s">
        <v>798</v>
      </c>
      <c r="D642" s="64">
        <v>10</v>
      </c>
      <c r="E642" s="40">
        <v>380</v>
      </c>
      <c r="F642" s="104" t="s">
        <v>836</v>
      </c>
    </row>
    <row r="643" spans="1:6" ht="15" customHeight="1" x14ac:dyDescent="0.3">
      <c r="A643" s="85">
        <v>46227</v>
      </c>
      <c r="B643" s="60" t="s">
        <v>826</v>
      </c>
      <c r="C643" s="101" t="s">
        <v>798</v>
      </c>
      <c r="D643" s="60">
        <v>10</v>
      </c>
      <c r="E643" s="35">
        <v>380</v>
      </c>
      <c r="F643" s="101" t="s">
        <v>836</v>
      </c>
    </row>
    <row r="644" spans="1:6" ht="15" customHeight="1" x14ac:dyDescent="0.3">
      <c r="A644" s="86">
        <v>46227</v>
      </c>
      <c r="B644" s="64" t="s">
        <v>827</v>
      </c>
      <c r="C644" s="104" t="s">
        <v>798</v>
      </c>
      <c r="D644" s="64">
        <v>10</v>
      </c>
      <c r="E644" s="40">
        <v>380</v>
      </c>
      <c r="F644" s="104" t="s">
        <v>836</v>
      </c>
    </row>
    <row r="645" spans="1:6" ht="15" customHeight="1" x14ac:dyDescent="0.3">
      <c r="A645" s="85">
        <v>46227</v>
      </c>
      <c r="B645" s="60" t="s">
        <v>828</v>
      </c>
      <c r="C645" s="101" t="s">
        <v>798</v>
      </c>
      <c r="D645" s="60">
        <v>10</v>
      </c>
      <c r="E645" s="35">
        <v>380</v>
      </c>
      <c r="F645" s="101" t="s">
        <v>836</v>
      </c>
    </row>
    <row r="646" spans="1:6" ht="15" customHeight="1" x14ac:dyDescent="0.3">
      <c r="A646" s="86">
        <v>46227</v>
      </c>
      <c r="B646" s="64" t="s">
        <v>829</v>
      </c>
      <c r="C646" s="104" t="s">
        <v>798</v>
      </c>
      <c r="D646" s="64">
        <v>10</v>
      </c>
      <c r="E646" s="40">
        <v>380</v>
      </c>
      <c r="F646" s="104" t="s">
        <v>836</v>
      </c>
    </row>
    <row r="647" spans="1:6" ht="15" customHeight="1" x14ac:dyDescent="0.3">
      <c r="A647" s="85">
        <v>46227</v>
      </c>
      <c r="B647" s="60" t="s">
        <v>830</v>
      </c>
      <c r="C647" s="101" t="s">
        <v>798</v>
      </c>
      <c r="D647" s="60">
        <v>10</v>
      </c>
      <c r="E647" s="35">
        <v>380</v>
      </c>
      <c r="F647" s="101" t="s">
        <v>836</v>
      </c>
    </row>
    <row r="648" spans="1:6" ht="15" customHeight="1" x14ac:dyDescent="0.3">
      <c r="A648" s="86">
        <v>46227</v>
      </c>
      <c r="B648" s="64" t="s">
        <v>831</v>
      </c>
      <c r="C648" s="104" t="s">
        <v>798</v>
      </c>
      <c r="D648" s="64">
        <v>10</v>
      </c>
      <c r="E648" s="40">
        <v>380</v>
      </c>
      <c r="F648" s="104" t="s">
        <v>836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showGridLines="0" zoomScaleNormal="100" workbookViewId="0"/>
  </sheetViews>
  <sheetFormatPr defaultColWidth="8.6640625" defaultRowHeight="14.4" x14ac:dyDescent="0.3"/>
  <cols>
    <col min="1" max="1" width="11" customWidth="1"/>
    <col min="2" max="2" width="32" customWidth="1"/>
    <col min="3" max="3" width="12" customWidth="1"/>
    <col min="4" max="4" width="22" customWidth="1"/>
    <col min="5" max="5" width="20" customWidth="1"/>
    <col min="6" max="6" width="18" customWidth="1"/>
    <col min="7" max="7" width="12" customWidth="1"/>
    <col min="8" max="8" width="18" customWidth="1"/>
    <col min="9" max="9" width="16" customWidth="1"/>
  </cols>
  <sheetData>
    <row r="1" spans="1:9" ht="24" customHeight="1" x14ac:dyDescent="0.3">
      <c r="A1" s="7" t="s">
        <v>837</v>
      </c>
      <c r="B1" s="7"/>
      <c r="C1" s="7"/>
      <c r="D1" s="7"/>
      <c r="E1" s="7"/>
      <c r="F1" s="7"/>
      <c r="G1" s="7"/>
      <c r="H1" s="7"/>
      <c r="I1" s="7"/>
    </row>
    <row r="2" spans="1:9" ht="30" customHeight="1" x14ac:dyDescent="0.3">
      <c r="A2" s="15" t="s">
        <v>100</v>
      </c>
      <c r="B2" s="15" t="s">
        <v>838</v>
      </c>
      <c r="C2" s="15" t="s">
        <v>839</v>
      </c>
      <c r="D2" s="15" t="s">
        <v>840</v>
      </c>
      <c r="E2" s="15" t="s">
        <v>841</v>
      </c>
      <c r="F2" s="15" t="s">
        <v>842</v>
      </c>
      <c r="G2" s="15" t="s">
        <v>843</v>
      </c>
      <c r="H2" s="15" t="s">
        <v>156</v>
      </c>
      <c r="I2" s="15" t="s">
        <v>176</v>
      </c>
    </row>
    <row r="3" spans="1:9" ht="15" customHeight="1" x14ac:dyDescent="0.3">
      <c r="A3" s="64">
        <v>1</v>
      </c>
      <c r="B3" s="29" t="s">
        <v>844</v>
      </c>
      <c r="C3" s="64">
        <f>COUNTIFS(Cadastro_Animais!$E$3:$E$5001,A3)</f>
        <v>76</v>
      </c>
      <c r="D3" s="40">
        <f>IFERROR(AVERAGEIFS(Cadastro_Animais!$G$3:$G$5001,Cadastro_Animais!$E$3:$E$5001,A3),"")</f>
        <v>452.85526315789474</v>
      </c>
      <c r="E3" s="40">
        <f>IFERROR(AVERAGEIFS(Cadastro_Animais!$I$3:$I$5001,Cadastro_Animais!$E$3:$E$5001,A3),"")</f>
        <v>452.85526315789474</v>
      </c>
      <c r="F3" s="40">
        <f>SUMIFS(Cadastro_Animais!$I$3:$I$5001,Cadastro_Animais!$E$3:$E$5001,A3)</f>
        <v>34417</v>
      </c>
      <c r="G3" s="42">
        <f>F3*Parâmetros!$C$8/15</f>
        <v>1216.0673333333334</v>
      </c>
      <c r="H3" s="105" t="str">
        <f>IFERROR(AVERAGEIFS(Cadastro_Animais!$L$3:$L$5001,Cadastro_Animais!$E$3:$E$5001,A3),"")</f>
        <v/>
      </c>
      <c r="I3" s="40">
        <f>SUMIFS(Cadastro_Animais!$K$3:$K$5001,Cadastro_Animais!$E$3:$E$5001,A3)</f>
        <v>0</v>
      </c>
    </row>
    <row r="4" spans="1:9" ht="15" customHeight="1" x14ac:dyDescent="0.3">
      <c r="A4" s="64">
        <v>2</v>
      </c>
      <c r="B4" s="29" t="s">
        <v>844</v>
      </c>
      <c r="C4" s="64">
        <f>COUNTIFS(Cadastro_Animais!$E$3:$E$5001,A4)</f>
        <v>22</v>
      </c>
      <c r="D4" s="40">
        <f>IFERROR(AVERAGEIFS(Cadastro_Animais!$G$3:$G$5001,Cadastro_Animais!$E$3:$E$5001,A4),"")</f>
        <v>501.40909090909093</v>
      </c>
      <c r="E4" s="40">
        <f>IFERROR(AVERAGEIFS(Cadastro_Animais!$I$3:$I$5001,Cadastro_Animais!$E$3:$E$5001,A4),"")</f>
        <v>501.40909090909093</v>
      </c>
      <c r="F4" s="40">
        <f>SUMIFS(Cadastro_Animais!$I$3:$I$5001,Cadastro_Animais!$E$3:$E$5001,A4)</f>
        <v>11031</v>
      </c>
      <c r="G4" s="42">
        <f>F4*Parâmetros!$C$8/15</f>
        <v>389.762</v>
      </c>
      <c r="H4" s="105" t="str">
        <f>IFERROR(AVERAGEIFS(Cadastro_Animais!$L$3:$L$5001,Cadastro_Animais!$E$3:$E$5001,A4),"")</f>
        <v/>
      </c>
      <c r="I4" s="40">
        <f>SUMIFS(Cadastro_Animais!$K$3:$K$5001,Cadastro_Animais!$E$3:$E$5001,A4)</f>
        <v>0</v>
      </c>
    </row>
    <row r="5" spans="1:9" ht="15" customHeight="1" x14ac:dyDescent="0.3">
      <c r="A5" s="64">
        <v>3</v>
      </c>
      <c r="B5" s="29" t="s">
        <v>844</v>
      </c>
      <c r="C5" s="64">
        <f>COUNTIFS(Cadastro_Animais!$E$3:$E$5001,A5)</f>
        <v>85</v>
      </c>
      <c r="D5" s="40">
        <f>IFERROR(AVERAGEIFS(Cadastro_Animais!$G$3:$G$5001,Cadastro_Animais!$E$3:$E$5001,A5),"")</f>
        <v>410.05882352941177</v>
      </c>
      <c r="E5" s="40">
        <f>IFERROR(AVERAGEIFS(Cadastro_Animais!$I$3:$I$5001,Cadastro_Animais!$E$3:$E$5001,A5),"")</f>
        <v>410.05882352941177</v>
      </c>
      <c r="F5" s="40">
        <f>SUMIFS(Cadastro_Animais!$I$3:$I$5001,Cadastro_Animais!$E$3:$E$5001,A5)</f>
        <v>34855</v>
      </c>
      <c r="G5" s="42">
        <f>F5*Parâmetros!$C$8/15</f>
        <v>1231.5433333333335</v>
      </c>
      <c r="H5" s="105" t="str">
        <f>IFERROR(AVERAGEIFS(Cadastro_Animais!$L$3:$L$5001,Cadastro_Animais!$E$3:$E$5001,A5),"")</f>
        <v/>
      </c>
      <c r="I5" s="40">
        <f>SUMIFS(Cadastro_Animais!$K$3:$K$5001,Cadastro_Animais!$E$3:$E$5001,A5)</f>
        <v>0</v>
      </c>
    </row>
    <row r="6" spans="1:9" ht="15" customHeight="1" x14ac:dyDescent="0.3">
      <c r="A6" s="64">
        <v>4</v>
      </c>
      <c r="B6" s="29" t="s">
        <v>844</v>
      </c>
      <c r="C6" s="64">
        <f>COUNTIFS(Cadastro_Animais!$E$3:$E$5001,A6)</f>
        <v>90</v>
      </c>
      <c r="D6" s="40">
        <f>IFERROR(AVERAGEIFS(Cadastro_Animais!$G$3:$G$5001,Cadastro_Animais!$E$3:$E$5001,A6),"")</f>
        <v>381.83333333333331</v>
      </c>
      <c r="E6" s="40">
        <f>IFERROR(AVERAGEIFS(Cadastro_Animais!$I$3:$I$5001,Cadastro_Animais!$E$3:$E$5001,A6),"")</f>
        <v>381.83333333333331</v>
      </c>
      <c r="F6" s="40">
        <f>SUMIFS(Cadastro_Animais!$I$3:$I$5001,Cadastro_Animais!$E$3:$E$5001,A6)</f>
        <v>34365</v>
      </c>
      <c r="G6" s="42">
        <f>F6*Parâmetros!$C$8/15</f>
        <v>1214.23</v>
      </c>
      <c r="H6" s="105" t="str">
        <f>IFERROR(AVERAGEIFS(Cadastro_Animais!$L$3:$L$5001,Cadastro_Animais!$E$3:$E$5001,A6),"")</f>
        <v/>
      </c>
      <c r="I6" s="40">
        <f>SUMIFS(Cadastro_Animais!$K$3:$K$5001,Cadastro_Animais!$E$3:$E$5001,A6)</f>
        <v>0</v>
      </c>
    </row>
    <row r="7" spans="1:9" ht="15" customHeight="1" x14ac:dyDescent="0.3">
      <c r="A7" s="64">
        <v>5</v>
      </c>
      <c r="B7" s="29" t="s">
        <v>844</v>
      </c>
      <c r="C7" s="64">
        <f>COUNTIFS(Cadastro_Animais!$E$3:$E$5001,A7)</f>
        <v>88</v>
      </c>
      <c r="D7" s="40">
        <f>IFERROR(AVERAGEIFS(Cadastro_Animais!$G$3:$G$5001,Cadastro_Animais!$E$3:$E$5001,A7),"")</f>
        <v>361.80681818181819</v>
      </c>
      <c r="E7" s="40">
        <f>IFERROR(AVERAGEIFS(Cadastro_Animais!$I$3:$I$5001,Cadastro_Animais!$E$3:$E$5001,A7),"")</f>
        <v>361.80681818181819</v>
      </c>
      <c r="F7" s="40">
        <f>SUMIFS(Cadastro_Animais!$I$3:$I$5001,Cadastro_Animais!$E$3:$E$5001,A7)</f>
        <v>31839</v>
      </c>
      <c r="G7" s="42">
        <f>F7*Parâmetros!$C$8/15</f>
        <v>1124.9780000000001</v>
      </c>
      <c r="H7" s="105" t="str">
        <f>IFERROR(AVERAGEIFS(Cadastro_Animais!$L$3:$L$5001,Cadastro_Animais!$E$3:$E$5001,A7),"")</f>
        <v/>
      </c>
      <c r="I7" s="40">
        <f>SUMIFS(Cadastro_Animais!$K$3:$K$5001,Cadastro_Animais!$E$3:$E$5001,A7)</f>
        <v>0</v>
      </c>
    </row>
    <row r="8" spans="1:9" ht="15" customHeight="1" x14ac:dyDescent="0.3">
      <c r="A8" s="64">
        <v>6</v>
      </c>
      <c r="B8" s="29" t="s">
        <v>844</v>
      </c>
      <c r="C8" s="64">
        <f>COUNTIFS(Cadastro_Animais!$E$3:$E$5001,A8)</f>
        <v>85</v>
      </c>
      <c r="D8" s="40">
        <f>IFERROR(AVERAGEIFS(Cadastro_Animais!$G$3:$G$5001,Cadastro_Animais!$E$3:$E$5001,A8),"")</f>
        <v>385.96470588235292</v>
      </c>
      <c r="E8" s="40">
        <f>IFERROR(AVERAGEIFS(Cadastro_Animais!$I$3:$I$5001,Cadastro_Animais!$E$3:$E$5001,A8),"")</f>
        <v>385.96470588235292</v>
      </c>
      <c r="F8" s="40">
        <f>SUMIFS(Cadastro_Animais!$I$3:$I$5001,Cadastro_Animais!$E$3:$E$5001,A8)</f>
        <v>32807</v>
      </c>
      <c r="G8" s="42">
        <f>F8*Parâmetros!$C$8/15</f>
        <v>1159.1806666666666</v>
      </c>
      <c r="H8" s="105" t="str">
        <f>IFERROR(AVERAGEIFS(Cadastro_Animais!$L$3:$L$5001,Cadastro_Animais!$E$3:$E$5001,A8),"")</f>
        <v/>
      </c>
      <c r="I8" s="40">
        <f>SUMIFS(Cadastro_Animais!$K$3:$K$5001,Cadastro_Animais!$E$3:$E$5001,A8)</f>
        <v>0</v>
      </c>
    </row>
    <row r="9" spans="1:9" ht="15" customHeight="1" x14ac:dyDescent="0.3">
      <c r="A9" s="64">
        <v>7</v>
      </c>
      <c r="B9" s="29" t="s">
        <v>844</v>
      </c>
      <c r="C9" s="64">
        <f>COUNTIFS(Cadastro_Animais!$E$3:$E$5001,A9)</f>
        <v>85</v>
      </c>
      <c r="D9" s="40">
        <f>IFERROR(AVERAGEIFS(Cadastro_Animais!$G$3:$G$5001,Cadastro_Animais!$E$3:$E$5001,A9),"")</f>
        <v>415.10588235294119</v>
      </c>
      <c r="E9" s="40">
        <f>IFERROR(AVERAGEIFS(Cadastro_Animais!$I$3:$I$5001,Cadastro_Animais!$E$3:$E$5001,A9),"")</f>
        <v>415.10588235294119</v>
      </c>
      <c r="F9" s="40">
        <f>SUMIFS(Cadastro_Animais!$I$3:$I$5001,Cadastro_Animais!$E$3:$E$5001,A9)</f>
        <v>35284</v>
      </c>
      <c r="G9" s="42">
        <f>F9*Parâmetros!$C$8/15</f>
        <v>1246.7013333333334</v>
      </c>
      <c r="H9" s="105" t="str">
        <f>IFERROR(AVERAGEIFS(Cadastro_Animais!$L$3:$L$5001,Cadastro_Animais!$E$3:$E$5001,A9),"")</f>
        <v/>
      </c>
      <c r="I9" s="40">
        <f>SUMIFS(Cadastro_Animais!$K$3:$K$5001,Cadastro_Animais!$E$3:$E$5001,A9)</f>
        <v>0</v>
      </c>
    </row>
    <row r="10" spans="1:9" ht="15" customHeight="1" x14ac:dyDescent="0.3">
      <c r="A10" s="64">
        <v>8</v>
      </c>
      <c r="B10" s="29" t="s">
        <v>844</v>
      </c>
      <c r="C10" s="64">
        <f>COUNTIFS(Cadastro_Animais!$E$3:$E$5001,A10)</f>
        <v>68</v>
      </c>
      <c r="D10" s="40">
        <f>IFERROR(AVERAGEIFS(Cadastro_Animais!$G$3:$G$5001,Cadastro_Animais!$E$3:$E$5001,A10),"")</f>
        <v>394.95588235294116</v>
      </c>
      <c r="E10" s="40">
        <f>IFERROR(AVERAGEIFS(Cadastro_Animais!$I$3:$I$5001,Cadastro_Animais!$E$3:$E$5001,A10),"")</f>
        <v>394.95588235294116</v>
      </c>
      <c r="F10" s="40">
        <f>SUMIFS(Cadastro_Animais!$I$3:$I$5001,Cadastro_Animais!$E$3:$E$5001,A10)</f>
        <v>26857</v>
      </c>
      <c r="G10" s="42">
        <f>F10*Parâmetros!$C$8/15</f>
        <v>948.9473333333334</v>
      </c>
      <c r="H10" s="105" t="str">
        <f>IFERROR(AVERAGEIFS(Cadastro_Animais!$L$3:$L$5001,Cadastro_Animais!$E$3:$E$5001,A10),"")</f>
        <v/>
      </c>
      <c r="I10" s="40">
        <f>SUMIFS(Cadastro_Animais!$K$3:$K$5001,Cadastro_Animais!$E$3:$E$5001,A10)</f>
        <v>0</v>
      </c>
    </row>
    <row r="11" spans="1:9" ht="15" customHeight="1" x14ac:dyDescent="0.3">
      <c r="A11" s="64">
        <v>9</v>
      </c>
      <c r="B11" s="29" t="s">
        <v>844</v>
      </c>
      <c r="C11" s="64">
        <f>COUNTIFS(Cadastro_Animais!$E$3:$E$5001,A11)</f>
        <v>14</v>
      </c>
      <c r="D11" s="40">
        <f>IFERROR(AVERAGEIFS(Cadastro_Animais!$G$3:$G$5001,Cadastro_Animais!$E$3:$E$5001,A11),"")</f>
        <v>338.5</v>
      </c>
      <c r="E11" s="40">
        <f>IFERROR(AVERAGEIFS(Cadastro_Animais!$I$3:$I$5001,Cadastro_Animais!$E$3:$E$5001,A11),"")</f>
        <v>338.5</v>
      </c>
      <c r="F11" s="40">
        <f>SUMIFS(Cadastro_Animais!$I$3:$I$5001,Cadastro_Animais!$E$3:$E$5001,A11)</f>
        <v>4739</v>
      </c>
      <c r="G11" s="42">
        <f>F11*Parâmetros!$C$8/15</f>
        <v>167.44466666666668</v>
      </c>
      <c r="H11" s="105" t="str">
        <f>IFERROR(AVERAGEIFS(Cadastro_Animais!$L$3:$L$5001,Cadastro_Animais!$E$3:$E$5001,A11),"")</f>
        <v/>
      </c>
      <c r="I11" s="40">
        <f>SUMIFS(Cadastro_Animais!$K$3:$K$5001,Cadastro_Animais!$E$3:$E$5001,A11)</f>
        <v>0</v>
      </c>
    </row>
    <row r="12" spans="1:9" ht="15" customHeight="1" x14ac:dyDescent="0.3">
      <c r="A12" s="64">
        <v>10</v>
      </c>
      <c r="B12" s="29" t="s">
        <v>845</v>
      </c>
      <c r="C12" s="64">
        <f>COUNTIFS(Cadastro_Animais!$E$3:$E$5001,A12)</f>
        <v>33</v>
      </c>
      <c r="D12" s="40">
        <f>IFERROR(AVERAGEIFS(Cadastro_Animais!$G$3:$G$5001,Cadastro_Animais!$E$3:$E$5001,A12),"")</f>
        <v>380</v>
      </c>
      <c r="E12" s="40">
        <f>IFERROR(AVERAGEIFS(Cadastro_Animais!$I$3:$I$5001,Cadastro_Animais!$E$3:$E$5001,A12),"")</f>
        <v>380</v>
      </c>
      <c r="F12" s="40">
        <f>SUMIFS(Cadastro_Animais!$I$3:$I$5001,Cadastro_Animais!$E$3:$E$5001,A12)</f>
        <v>12540</v>
      </c>
      <c r="G12" s="42">
        <f>F12*Parâmetros!$C$8/15</f>
        <v>443.08000000000004</v>
      </c>
      <c r="H12" s="105" t="str">
        <f>IFERROR(AVERAGEIFS(Cadastro_Animais!$L$3:$L$5001,Cadastro_Animais!$E$3:$E$5001,A12),"")</f>
        <v/>
      </c>
      <c r="I12" s="40">
        <f>SUMIFS(Cadastro_Animais!$K$3:$K$5001,Cadastro_Animais!$E$3:$E$5001,A12)</f>
        <v>0</v>
      </c>
    </row>
    <row r="13" spans="1:9" ht="15" customHeight="1" x14ac:dyDescent="0.3">
      <c r="B13" s="107" t="s">
        <v>113</v>
      </c>
      <c r="C13" s="41">
        <f>SUM(C3:C12)</f>
        <v>646</v>
      </c>
      <c r="F13" s="41">
        <f>SUM(F3:F12)</f>
        <v>258734</v>
      </c>
      <c r="G13" s="43">
        <f>SUM(G3:G12)</f>
        <v>9141.9346666666661</v>
      </c>
      <c r="I13" s="41">
        <f>SUM(I3:I12)</f>
        <v>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</vt:i4>
      </vt:variant>
    </vt:vector>
  </HeadingPairs>
  <TitlesOfParts>
    <vt:vector size="15" baseType="lpstr">
      <vt:lpstr>Dashboard</vt:lpstr>
      <vt:lpstr>Parâmetros</vt:lpstr>
      <vt:lpstr>Precos_Insumos</vt:lpstr>
      <vt:lpstr>Estoque_Insumos</vt:lpstr>
      <vt:lpstr>Ingredientes_Dieta</vt:lpstr>
      <vt:lpstr>Calculadora_Trato</vt:lpstr>
      <vt:lpstr>Trato_Diario</vt:lpstr>
      <vt:lpstr>Custo_Nutricao_Lote</vt:lpstr>
      <vt:lpstr>Custo_Diario_Cab</vt:lpstr>
      <vt:lpstr>Historico_KPIs</vt:lpstr>
      <vt:lpstr>Cadastro_Animais</vt:lpstr>
      <vt:lpstr>Pesagens</vt:lpstr>
      <vt:lpstr>Currais</vt:lpstr>
      <vt:lpstr>Custo_Nutricao_Lote!Area_de_impressao</vt:lpstr>
      <vt:lpstr>Ingredientes_Dieta!Area_de_impressao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Vitor Neira Miras</cp:lastModifiedBy>
  <cp:revision>0</cp:revision>
  <cp:lastPrinted>2026-08-04T14:44:14Z</cp:lastPrinted>
  <dcterms:created xsi:type="dcterms:W3CDTF">2026-08-04T14:00:13Z</dcterms:created>
  <dcterms:modified xsi:type="dcterms:W3CDTF">2026-08-12T17:23:29Z</dcterms:modified>
  <dc:language>en-US</dc:language>
</cp:coreProperties>
</file>