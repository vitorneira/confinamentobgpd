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6d263c7d248ff7d/Área de Trabalho/CLAUDE/CONFINAMENTO PD/"/>
    </mc:Choice>
  </mc:AlternateContent>
  <xr:revisionPtr revIDLastSave="101" documentId="11_BD6549F35D411CD0FF5375D18555E1F4932082FA" xr6:coauthVersionLast="47" xr6:coauthVersionMax="47" xr10:uidLastSave="{52729D5A-02D6-452E-90F2-EE558A9B2174}"/>
  <bookViews>
    <workbookView xWindow="-108" yWindow="-108" windowWidth="23256" windowHeight="12456" tabRatio="500" activeTab="2" xr2:uid="{00000000-000D-0000-FFFF-FFFF00000000}"/>
  </bookViews>
  <sheets>
    <sheet name="AJUSTE" sheetId="1" r:id="rId1"/>
    <sheet name="SIMULADOR" sheetId="2" r:id="rId2"/>
    <sheet name="IMPRESSÃO" sheetId="3" r:id="rId3"/>
  </sheets>
  <definedNames>
    <definedName name="_xlnm.Print_Area" localSheetId="2">IMPRESSÃO!$B$2:$E$26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F14" i="1"/>
  <c r="C18" i="3"/>
  <c r="S27" i="2"/>
  <c r="V27" i="2" s="1"/>
  <c r="R27" i="2"/>
  <c r="Q27" i="2"/>
  <c r="S26" i="2"/>
  <c r="R26" i="2"/>
  <c r="V26" i="2" s="1"/>
  <c r="S25" i="2"/>
  <c r="C16" i="2"/>
  <c r="D15" i="2"/>
  <c r="C15" i="2"/>
  <c r="E14" i="2"/>
  <c r="D14" i="2"/>
  <c r="C14" i="2"/>
  <c r="F13" i="2"/>
  <c r="E13" i="2"/>
  <c r="V13" i="2" s="1"/>
  <c r="D13" i="2"/>
  <c r="C13" i="2"/>
  <c r="G12" i="2"/>
  <c r="F12" i="2"/>
  <c r="E12" i="2"/>
  <c r="D12" i="2"/>
  <c r="V12" i="2" s="1"/>
  <c r="C12" i="2"/>
  <c r="H11" i="2"/>
  <c r="G11" i="2"/>
  <c r="F11" i="2"/>
  <c r="E11" i="2"/>
  <c r="D11" i="2"/>
  <c r="C11" i="2"/>
  <c r="C40" i="1"/>
  <c r="D39" i="1"/>
  <c r="D38" i="1"/>
  <c r="C22" i="3" s="1"/>
  <c r="D37" i="1"/>
  <c r="C21" i="3" s="1"/>
  <c r="D36" i="1"/>
  <c r="C20" i="3" s="1"/>
  <c r="D35" i="1"/>
  <c r="C19" i="3" s="1"/>
  <c r="C24" i="1"/>
  <c r="F23" i="1"/>
  <c r="F22" i="1"/>
  <c r="F21" i="1"/>
  <c r="F20" i="1"/>
  <c r="F19" i="1"/>
  <c r="F18" i="1"/>
  <c r="F17" i="1"/>
  <c r="F16" i="1"/>
  <c r="F15" i="1"/>
  <c r="D11" i="1"/>
  <c r="G14" i="1" l="1"/>
  <c r="I14" i="1"/>
  <c r="V11" i="2"/>
  <c r="C23" i="3"/>
  <c r="D40" i="1"/>
  <c r="I23" i="1"/>
  <c r="H23" i="1"/>
  <c r="D12" i="3" s="1"/>
  <c r="G23" i="1"/>
  <c r="C12" i="3" s="1"/>
  <c r="I22" i="1"/>
  <c r="H22" i="1"/>
  <c r="D11" i="3" s="1"/>
  <c r="G22" i="1"/>
  <c r="C11" i="3" s="1"/>
  <c r="I21" i="1"/>
  <c r="G21" i="1"/>
  <c r="C10" i="3" s="1"/>
  <c r="H21" i="1"/>
  <c r="D10" i="3" s="1"/>
  <c r="H20" i="1"/>
  <c r="D9" i="3" s="1"/>
  <c r="I20" i="1"/>
  <c r="G20" i="1"/>
  <c r="C9" i="3" s="1"/>
  <c r="G19" i="1"/>
  <c r="C8" i="3" s="1"/>
  <c r="I19" i="1"/>
  <c r="H19" i="1"/>
  <c r="D8" i="3" s="1"/>
  <c r="I18" i="1"/>
  <c r="H18" i="1"/>
  <c r="D7" i="3" s="1"/>
  <c r="G18" i="1"/>
  <c r="C7" i="3" s="1"/>
  <c r="I17" i="1"/>
  <c r="H17" i="1"/>
  <c r="D6" i="3" s="1"/>
  <c r="G17" i="1"/>
  <c r="C6" i="3" s="1"/>
  <c r="I16" i="1"/>
  <c r="H16" i="1"/>
  <c r="D5" i="3" s="1"/>
  <c r="G16" i="1"/>
  <c r="C5" i="3" s="1"/>
  <c r="H15" i="1"/>
  <c r="D4" i="3" s="1"/>
  <c r="I15" i="1"/>
  <c r="G15" i="1"/>
  <c r="C4" i="3" s="1"/>
  <c r="H14" i="1"/>
  <c r="F24" i="1"/>
  <c r="C5" i="2" s="1"/>
  <c r="D3" i="3" l="1"/>
  <c r="H24" i="1"/>
  <c r="C29" i="1" s="1"/>
  <c r="C3" i="3"/>
  <c r="G24" i="1"/>
  <c r="C28" i="1" s="1"/>
  <c r="I11" i="2"/>
  <c r="J11" i="2"/>
  <c r="K11" i="2"/>
  <c r="L11" i="2"/>
  <c r="M11" i="2"/>
  <c r="N11" i="2"/>
  <c r="O11" i="2"/>
  <c r="P11" i="2"/>
  <c r="Q11" i="2"/>
  <c r="R11" i="2"/>
  <c r="S11" i="2"/>
  <c r="H12" i="2"/>
  <c r="I12" i="2"/>
  <c r="J12" i="2"/>
  <c r="K12" i="2"/>
  <c r="L12" i="2"/>
  <c r="M12" i="2"/>
  <c r="N12" i="2"/>
  <c r="O12" i="2"/>
  <c r="P12" i="2"/>
  <c r="Q12" i="2"/>
  <c r="R12" i="2"/>
  <c r="S12" i="2"/>
  <c r="G13" i="2"/>
  <c r="H13" i="2"/>
  <c r="I13" i="2"/>
  <c r="J13" i="2"/>
  <c r="K13" i="2"/>
  <c r="L13" i="2"/>
  <c r="M13" i="2"/>
  <c r="N13" i="2"/>
  <c r="O13" i="2"/>
  <c r="E15" i="2"/>
  <c r="Q13" i="2"/>
  <c r="S13" i="2"/>
  <c r="G14" i="2"/>
  <c r="I14" i="2"/>
  <c r="K14" i="2"/>
  <c r="N14" i="2"/>
  <c r="O16" i="2"/>
  <c r="D18" i="2"/>
  <c r="P13" i="2"/>
  <c r="R13" i="2"/>
  <c r="F14" i="2"/>
  <c r="H14" i="2"/>
  <c r="J14" i="2"/>
  <c r="L14" i="2"/>
  <c r="M14" i="2"/>
  <c r="O14" i="2"/>
  <c r="P14" i="2"/>
  <c r="Q14" i="2"/>
  <c r="R14" i="2"/>
  <c r="S14" i="2"/>
  <c r="F15" i="2"/>
  <c r="G15" i="2"/>
  <c r="V15" i="2" s="1"/>
  <c r="H15" i="2"/>
  <c r="I15" i="2"/>
  <c r="J15" i="2"/>
  <c r="K15" i="2"/>
  <c r="L15" i="2"/>
  <c r="M15" i="2"/>
  <c r="N15" i="2"/>
  <c r="O15" i="2"/>
  <c r="P15" i="2"/>
  <c r="Q15" i="2"/>
  <c r="R15" i="2"/>
  <c r="S15" i="2"/>
  <c r="D16" i="2"/>
  <c r="E16" i="2"/>
  <c r="F16" i="2"/>
  <c r="G16" i="2"/>
  <c r="H16" i="2"/>
  <c r="V16" i="2" s="1"/>
  <c r="I16" i="2"/>
  <c r="J16" i="2"/>
  <c r="K16" i="2"/>
  <c r="L16" i="2"/>
  <c r="M16" i="2"/>
  <c r="N16" i="2"/>
  <c r="P16" i="2"/>
  <c r="Q16" i="2"/>
  <c r="R16" i="2"/>
  <c r="S16" i="2"/>
  <c r="C17" i="2"/>
  <c r="D17" i="2"/>
  <c r="E17" i="2"/>
  <c r="F17" i="2"/>
  <c r="G17" i="2"/>
  <c r="H17" i="2"/>
  <c r="I17" i="2"/>
  <c r="V17" i="2" s="1"/>
  <c r="J17" i="2"/>
  <c r="K17" i="2"/>
  <c r="L17" i="2"/>
  <c r="M17" i="2"/>
  <c r="N17" i="2"/>
  <c r="O17" i="2"/>
  <c r="P17" i="2"/>
  <c r="Q17" i="2"/>
  <c r="R17" i="2"/>
  <c r="S17" i="2"/>
  <c r="C18" i="2"/>
  <c r="E18" i="2"/>
  <c r="F18" i="2"/>
  <c r="G18" i="2"/>
  <c r="H18" i="2"/>
  <c r="I18" i="2"/>
  <c r="J18" i="2"/>
  <c r="V18" i="2" s="1"/>
  <c r="K18" i="2"/>
  <c r="L18" i="2"/>
  <c r="M18" i="2"/>
  <c r="N18" i="2"/>
  <c r="O18" i="2"/>
  <c r="P18" i="2"/>
  <c r="Q18" i="2"/>
  <c r="R18" i="2"/>
  <c r="S18" i="2"/>
  <c r="C19" i="2"/>
  <c r="D19" i="2"/>
  <c r="E19" i="2"/>
  <c r="F19" i="2"/>
  <c r="G19" i="2"/>
  <c r="H19" i="2"/>
  <c r="I19" i="2"/>
  <c r="J19" i="2"/>
  <c r="K19" i="2"/>
  <c r="V19" i="2" s="1"/>
  <c r="L19" i="2"/>
  <c r="M19" i="2"/>
  <c r="N19" i="2"/>
  <c r="C21" i="2"/>
  <c r="D21" i="2"/>
  <c r="N22" i="2"/>
  <c r="V22" i="2" s="1"/>
  <c r="P19" i="2"/>
  <c r="Q19" i="2"/>
  <c r="R19" i="2"/>
  <c r="C20" i="2"/>
  <c r="E20" i="2"/>
  <c r="F20" i="2"/>
  <c r="H20" i="2"/>
  <c r="I20" i="2"/>
  <c r="J20" i="2"/>
  <c r="L20" i="2"/>
  <c r="V20" i="2" s="1"/>
  <c r="M20" i="2"/>
  <c r="O20" i="2"/>
  <c r="P20" i="2"/>
  <c r="Q20" i="2"/>
  <c r="S20" i="2"/>
  <c r="E21" i="2"/>
  <c r="G21" i="2"/>
  <c r="H21" i="2"/>
  <c r="I21" i="2"/>
  <c r="J21" i="2"/>
  <c r="K21" i="2"/>
  <c r="L21" i="2"/>
  <c r="M21" i="2"/>
  <c r="V21" i="2" s="1"/>
  <c r="N21" i="2"/>
  <c r="O21" i="2"/>
  <c r="P21" i="2"/>
  <c r="R21" i="2"/>
  <c r="S21" i="2"/>
  <c r="D22" i="2"/>
  <c r="E22" i="2"/>
  <c r="F22" i="2"/>
  <c r="H22" i="2"/>
  <c r="I22" i="2"/>
  <c r="K22" i="2"/>
  <c r="L22" i="2"/>
  <c r="M22" i="2"/>
  <c r="O22" i="2"/>
  <c r="P22" i="2"/>
  <c r="Q22" i="2"/>
  <c r="R22" i="2"/>
  <c r="S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V23" i="2" s="1"/>
  <c r="P23" i="2"/>
  <c r="Q23" i="2"/>
  <c r="R23" i="2"/>
  <c r="S23" i="2"/>
  <c r="C24" i="2"/>
  <c r="M25" i="2"/>
  <c r="C27" i="2"/>
  <c r="O19" i="2"/>
  <c r="S19" i="2"/>
  <c r="D20" i="2"/>
  <c r="G20" i="2"/>
  <c r="K20" i="2"/>
  <c r="N20" i="2"/>
  <c r="R20" i="2"/>
  <c r="F21" i="2"/>
  <c r="Q21" i="2"/>
  <c r="C22" i="2"/>
  <c r="G22" i="2"/>
  <c r="J22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V24" i="2" s="1"/>
  <c r="Q24" i="2"/>
  <c r="R24" i="2"/>
  <c r="S24" i="2"/>
  <c r="C25" i="2"/>
  <c r="D25" i="2"/>
  <c r="E25" i="2"/>
  <c r="F25" i="2"/>
  <c r="G25" i="2"/>
  <c r="H25" i="2"/>
  <c r="I25" i="2"/>
  <c r="J25" i="2"/>
  <c r="K25" i="2"/>
  <c r="L25" i="2"/>
  <c r="N25" i="2"/>
  <c r="O25" i="2"/>
  <c r="P25" i="2"/>
  <c r="Q25" i="2"/>
  <c r="V25" i="2" s="1"/>
  <c r="R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I24" i="1"/>
  <c r="C30" i="1" s="1"/>
  <c r="U25" i="2" l="1"/>
  <c r="D29" i="1"/>
  <c r="E29" i="1" s="1"/>
  <c r="D28" i="1"/>
  <c r="E28" i="1" s="1"/>
  <c r="C31" i="1"/>
  <c r="U11" i="2"/>
  <c r="F9" i="2"/>
  <c r="U14" i="2"/>
  <c r="V14" i="2"/>
  <c r="D30" i="1"/>
  <c r="E30" i="1" s="1"/>
  <c r="F30" i="1" s="1"/>
  <c r="G30" i="1" s="1"/>
  <c r="U12" i="2"/>
  <c r="U13" i="2"/>
  <c r="U15" i="2"/>
  <c r="U17" i="2"/>
  <c r="U18" i="2"/>
  <c r="U19" i="2"/>
  <c r="U21" i="2"/>
  <c r="U20" i="2"/>
  <c r="U22" i="2"/>
  <c r="U23" i="2"/>
  <c r="U24" i="2"/>
  <c r="U27" i="2"/>
  <c r="U26" i="2"/>
  <c r="U16" i="2"/>
  <c r="G9" i="2" l="1"/>
  <c r="I7" i="2"/>
  <c r="F29" i="1"/>
  <c r="G29" i="1" s="1"/>
  <c r="B26" i="3"/>
  <c r="F35" i="1"/>
  <c r="F36" i="1"/>
  <c r="E20" i="3" s="1"/>
  <c r="F37" i="1"/>
  <c r="E21" i="3" s="1"/>
  <c r="F38" i="1"/>
  <c r="E22" i="3" s="1"/>
  <c r="F39" i="1"/>
  <c r="E23" i="3" s="1"/>
  <c r="E18" i="3"/>
  <c r="F28" i="1"/>
  <c r="B25" i="3"/>
  <c r="E35" i="1"/>
  <c r="E36" i="1"/>
  <c r="D20" i="3" s="1"/>
  <c r="E37" i="1"/>
  <c r="D21" i="3" s="1"/>
  <c r="E38" i="1"/>
  <c r="D22" i="3" s="1"/>
  <c r="E39" i="1"/>
  <c r="D23" i="3" s="1"/>
  <c r="D18" i="3"/>
  <c r="W25" i="2"/>
  <c r="W23" i="2"/>
  <c r="W21" i="2"/>
  <c r="W17" i="2"/>
  <c r="W16" i="2"/>
  <c r="W24" i="2"/>
  <c r="W20" i="2"/>
  <c r="W22" i="2"/>
  <c r="W19" i="2"/>
  <c r="W18" i="2"/>
  <c r="W15" i="2"/>
  <c r="W11" i="2"/>
  <c r="W27" i="2"/>
  <c r="W26" i="2"/>
  <c r="W13" i="2"/>
  <c r="W12" i="2"/>
  <c r="W14" i="2"/>
  <c r="G35" i="1"/>
  <c r="G36" i="1"/>
  <c r="G37" i="1"/>
  <c r="G38" i="1"/>
  <c r="G39" i="1"/>
  <c r="G40" i="1" l="1"/>
  <c r="F40" i="1"/>
  <c r="E19" i="3"/>
  <c r="G28" i="1"/>
  <c r="F31" i="1"/>
  <c r="G31" i="1" s="1"/>
  <c r="E40" i="1"/>
  <c r="D19" i="3"/>
</calcChain>
</file>

<file path=xl/sharedStrings.xml><?xml version="1.0" encoding="utf-8"?>
<sst xmlns="http://schemas.openxmlformats.org/spreadsheetml/2006/main" count="67" uniqueCount="62">
  <si>
    <t>AJUSTE DE TRATO E VAGÃO — PAU D'ARCO</t>
  </si>
  <si>
    <t>Edite as células AMARELAS. Base = TOTAL por dia de cada curral; o SPLIT divide em manhã/almoço/tarde (as 3 são livres). Use a aba SIMULADOR para achar o split com MENOS batidas.</t>
  </si>
  <si>
    <t>Capacidade do vagão (kg):</t>
  </si>
  <si>
    <t>Ajuste GERAL % (todos):</t>
  </si>
  <si>
    <t>Ajuste GERAL +kg (todos):</t>
  </si>
  <si>
    <t>Split Manhã %:</t>
  </si>
  <si>
    <t>Split Almoço %:</t>
  </si>
  <si>
    <t>Split Tarde %:</t>
  </si>
  <si>
    <t>Soma do split (tem que dar 100%):</t>
  </si>
  <si>
    <t>Curral</t>
  </si>
  <si>
    <t>Base Total/dia (kg)</t>
  </si>
  <si>
    <t>Ajuste %</t>
  </si>
  <si>
    <t>Ajuste +kg</t>
  </si>
  <si>
    <t>Total/dia AJUSTADO</t>
  </si>
  <si>
    <t>Manhã</t>
  </si>
  <si>
    <t>Almoço</t>
  </si>
  <si>
    <t>Tarde</t>
  </si>
  <si>
    <t>TOTAL</t>
  </si>
  <si>
    <t>VAGÕES POR HORÁRIO (menos batidas = melhor)</t>
  </si>
  <si>
    <t>Horário</t>
  </si>
  <si>
    <t>Total (kg)</t>
  </si>
  <si>
    <t>Vagões CHEIOS</t>
  </si>
  <si>
    <t>Vagão MENOR (kg)</t>
  </si>
  <si>
    <t>Nº de BATIDAS</t>
  </si>
  <si>
    <t>Aproveitamento</t>
  </si>
  <si>
    <t>TOTAL NO DIA</t>
  </si>
  <si>
    <t>← enchimentos/dia</t>
  </si>
  <si>
    <t>RECEITA DE CADA VAGÃO (kg de cada ingrediente)</t>
  </si>
  <si>
    <t>Ingrediente</t>
  </si>
  <si>
    <t>% dieta</t>
  </si>
  <si>
    <t>Vagão CHEIO</t>
  </si>
  <si>
    <t>Menor Manhã</t>
  </si>
  <si>
    <t>Menor Almoço</t>
  </si>
  <si>
    <t>Menor Tarde</t>
  </si>
  <si>
    <t>Silagem de capim</t>
  </si>
  <si>
    <t>Farelo de soja</t>
  </si>
  <si>
    <t>Milho moído</t>
  </si>
  <si>
    <t>Ureia</t>
  </si>
  <si>
    <t>Núcleo (Flex)</t>
  </si>
  <si>
    <t>➡ Para achar o melhor split com MANHÃ e TARDE diferentes, use a aba SIMULADOR e copie os % pro SPLIT acima.</t>
  </si>
  <si>
    <t>SIMULADOR DE SPLIT — MANHÃ × TARDE (independentes)</t>
  </si>
  <si>
    <t>Cada célula = nº de batidas/dia daquela combinação. Almoço % = 100% − manhã − tarde. VERDE = menos batidas. Copie o melhor manhã/almoço/tarde pro SPLIT na aba AJUSTE.</t>
  </si>
  <si>
    <t>Total/dia (kg):</t>
  </si>
  <si>
    <t>Capacidade vagão:</t>
  </si>
  <si>
    <t>SUGESTÃO (manhã=tarde) →</t>
  </si>
  <si>
    <t>Manhã=Tarde</t>
  </si>
  <si>
    <t>Batidas</t>
  </si>
  <si>
    <t>BATIDAS/DIA (mínimo):</t>
  </si>
  <si>
    <t>Manhã↓ Tarde→</t>
  </si>
  <si>
    <t>(aux)</t>
  </si>
  <si>
    <t>(diag)</t>
  </si>
  <si>
    <t>CURRAL</t>
  </si>
  <si>
    <t>MANHÃ/TARDE</t>
  </si>
  <si>
    <t>ALMOÇO</t>
  </si>
  <si>
    <t>KG POR CURRAL POR TRATO</t>
  </si>
  <si>
    <t>TRATO DA MANHÃ É IGUAL O DA TARDE. ALMOÇO É MENOS.</t>
  </si>
  <si>
    <t>INGREDIENTE</t>
  </si>
  <si>
    <t>SILAGEM</t>
  </si>
  <si>
    <t>FARELO DE SOJA</t>
  </si>
  <si>
    <t>MILHO MOÍDO</t>
  </si>
  <si>
    <t>UREIA</t>
  </si>
  <si>
    <t>NÚCLEO FLEX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</si>
</sst>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9"/>
      <color rgb="FF7A7A7A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b/>
      <sz val="11"/>
      <color rgb="FF006100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sz val="11"/>
      <name val="Arial"/>
      <charset val="1"/>
    </font>
    <font>
      <b/>
      <sz val="12"/>
      <color rgb="FFFFFFFF"/>
      <name val="Arial"/>
      <charset val="1"/>
    </font>
    <font>
      <b/>
      <sz val="11"/>
      <color rgb="FF7A4E00"/>
      <name val="Arial"/>
      <charset val="1"/>
    </font>
    <font>
      <b/>
      <sz val="13"/>
      <color rgb="FF7A4E00"/>
      <name val="Arial"/>
      <charset val="1"/>
    </font>
    <font>
      <sz val="9"/>
      <color rgb="FF7A4E00"/>
      <name val="Arial"/>
      <charset val="1"/>
    </font>
    <font>
      <b/>
      <sz val="10"/>
      <color rgb="FFFFFFFF"/>
      <name val="Arial"/>
      <charset val="1"/>
    </font>
    <font>
      <b/>
      <sz val="10"/>
      <color rgb="FF7A4E00"/>
      <name val="Arial"/>
      <charset val="1"/>
    </font>
    <font>
      <b/>
      <sz val="15"/>
      <color rgb="FFFFFFFF"/>
      <name val="Arial"/>
      <charset val="1"/>
    </font>
    <font>
      <b/>
      <sz val="9"/>
      <color rgb="FFFFFFFF"/>
      <name val="Arial"/>
      <charset val="1"/>
    </font>
    <font>
      <b/>
      <sz val="11"/>
      <color rgb="FF14351F"/>
      <name val="Arial"/>
      <charset val="1"/>
    </font>
    <font>
      <b/>
      <sz val="13"/>
      <color rgb="FF14351F"/>
      <name val="Arial"/>
      <charset val="1"/>
    </font>
    <font>
      <b/>
      <sz val="14"/>
      <color rgb="FF7A4E00"/>
      <name val="Arial"/>
      <charset val="1"/>
    </font>
    <font>
      <sz val="8"/>
      <color rgb="FF7A4E00"/>
      <name val="Arial"/>
      <charset val="1"/>
    </font>
    <font>
      <b/>
      <sz val="8"/>
      <color rgb="FFFFFFFF"/>
      <name val="Arial"/>
      <charset val="1"/>
    </font>
    <font>
      <sz val="8"/>
      <color rgb="FFBBBBBB"/>
      <name val="Arial"/>
      <charset val="1"/>
    </font>
    <font>
      <sz val="9"/>
      <name val="Arial"/>
      <charset val="1"/>
    </font>
    <font>
      <sz val="8"/>
      <color rgb="FFCCCCCC"/>
      <name val="Arial"/>
      <charset val="1"/>
    </font>
    <font>
      <b/>
      <sz val="13"/>
      <color rgb="FF000000"/>
      <name val="Arial"/>
      <charset val="1"/>
    </font>
    <font>
      <b/>
      <sz val="16"/>
      <color rgb="FF000000"/>
      <name val="Arial"/>
      <charset val="1"/>
    </font>
    <font>
      <sz val="18"/>
      <color rgb="FF000000"/>
      <name val="Arial"/>
      <charset val="1"/>
    </font>
    <font>
      <b/>
      <sz val="12"/>
      <color rgb="FF000000"/>
      <name val="Arial"/>
      <charset val="1"/>
    </font>
    <font>
      <b/>
      <sz val="10"/>
      <color rgb="FF000000"/>
      <name val="Arial"/>
      <charset val="1"/>
    </font>
    <font>
      <sz val="16"/>
      <color rgb="FF000000"/>
      <name val="Arial"/>
      <charset val="1"/>
    </font>
    <font>
      <sz val="15"/>
      <color rgb="FF000000"/>
      <name val="Arial"/>
      <charset val="1"/>
    </font>
    <font>
      <b/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4351F"/>
        <bgColor rgb="FF333300"/>
      </patternFill>
    </fill>
    <fill>
      <patternFill patternType="solid">
        <fgColor rgb="FFFFF2CC"/>
        <bgColor rgb="FFFCE9C8"/>
      </patternFill>
    </fill>
    <fill>
      <patternFill patternType="solid">
        <fgColor rgb="FF1F4E2E"/>
        <bgColor rgb="FF14351F"/>
      </patternFill>
    </fill>
    <fill>
      <patternFill patternType="solid">
        <fgColor rgb="FFF2F7F3"/>
        <bgColor rgb="FFFFFFFF"/>
      </patternFill>
    </fill>
    <fill>
      <patternFill patternType="solid">
        <fgColor rgb="FFFCE9C8"/>
        <bgColor rgb="FFFFF2CC"/>
      </patternFill>
    </fill>
    <fill>
      <patternFill patternType="solid">
        <fgColor rgb="FF9BD3AD"/>
        <bgColor rgb="FFB9CDBF"/>
      </patternFill>
    </fill>
  </fills>
  <borders count="7">
    <border>
      <left/>
      <right/>
      <top/>
      <bottom/>
      <diagonal/>
    </border>
    <border>
      <left style="thin">
        <color rgb="FFB9CDBF"/>
      </left>
      <right style="thin">
        <color rgb="FFB9CDBF"/>
      </right>
      <top style="thin">
        <color rgb="FFB9CDBF"/>
      </top>
      <bottom style="thin">
        <color rgb="FFB9CD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B9CDBF"/>
      </right>
      <top style="thin">
        <color rgb="FFB9CDBF"/>
      </top>
      <bottom style="thin">
        <color rgb="FFB9CDBF"/>
      </bottom>
      <diagonal/>
    </border>
    <border>
      <left/>
      <right/>
      <top style="thin">
        <color rgb="FFB9CDBF"/>
      </top>
      <bottom style="thin">
        <color rgb="FFB9CDB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 applyAlignment="1">
      <alignment horizontal="right" vertical="center"/>
    </xf>
    <xf numFmtId="3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center" vertical="center"/>
    </xf>
    <xf numFmtId="0" fontId="10" fillId="6" borderId="1" xfId="0" applyFont="1" applyFill="1" applyBorder="1" applyAlignment="1">
      <alignment horizontal="right" vertical="center"/>
    </xf>
    <xf numFmtId="3" fontId="10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9" fontId="10" fillId="6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164" fontId="17" fillId="7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9" fillId="6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9" fontId="16" fillId="4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/>
    </xf>
    <xf numFmtId="0" fontId="25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/>
    </xf>
    <xf numFmtId="0" fontId="32" fillId="0" borderId="2" xfId="0" applyFont="1" applyBorder="1" applyAlignment="1">
      <alignment horizontal="center" vertical="center" wrapText="1"/>
    </xf>
    <xf numFmtId="3" fontId="30" fillId="0" borderId="2" xfId="0" applyNumberFormat="1" applyFont="1" applyBorder="1" applyAlignment="1">
      <alignment horizontal="center" vertical="center"/>
    </xf>
    <xf numFmtId="3" fontId="3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28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10" fillId="6" borderId="1" xfId="0" applyFont="1" applyFill="1" applyBorder="1" applyAlignment="1">
      <alignment horizontal="right" vertical="center"/>
    </xf>
    <xf numFmtId="0" fontId="0" fillId="0" borderId="4" xfId="0" applyBorder="1"/>
    <xf numFmtId="0" fontId="0" fillId="0" borderId="3" xfId="0" applyBorder="1"/>
    <xf numFmtId="0" fontId="6" fillId="4" borderId="1" xfId="0" applyFont="1" applyFill="1" applyBorder="1" applyAlignment="1">
      <alignment horizontal="right" vertical="center"/>
    </xf>
    <xf numFmtId="0" fontId="15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</cellXfs>
  <cellStyles count="1">
    <cellStyle name="Normal" xfId="0" builtinId="0"/>
  </cellStyles>
  <dxfs count="1">
    <dxf>
      <font>
        <b/>
        <color rgb="FF14351F"/>
      </font>
      <fill>
        <patternFill>
          <bgColor rgb="FF9BD3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BBBBB"/>
      <rgbColor rgb="FF7A7A7A"/>
      <rgbColor rgb="FF9999FF"/>
      <rgbColor rgb="FF993366"/>
      <rgbColor rgb="FFFFF2CC"/>
      <rgbColor rgb="FFF2F7F3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BD3AD"/>
      <rgbColor rgb="FFFCE9C8"/>
      <rgbColor rgb="FFB9CD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4351F"/>
      <rgbColor rgb="FF333300"/>
      <rgbColor rgb="FF7A4E00"/>
      <rgbColor rgb="FF993366"/>
      <rgbColor rgb="FF333399"/>
      <rgbColor rgb="FF1F4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2"/>
  <sheetViews>
    <sheetView showGridLines="0" topLeftCell="B3" zoomScale="175" zoomScaleNormal="175" workbookViewId="0">
      <selection activeCell="D6" sqref="D6"/>
    </sheetView>
  </sheetViews>
  <sheetFormatPr defaultColWidth="8.6640625" defaultRowHeight="14.4" x14ac:dyDescent="0.3"/>
  <cols>
    <col min="1" max="1" width="2" customWidth="1"/>
    <col min="2" max="2" width="20" customWidth="1"/>
    <col min="3" max="3" width="14" customWidth="1"/>
    <col min="4" max="4" width="15" customWidth="1"/>
    <col min="5" max="6" width="14" customWidth="1"/>
    <col min="7" max="7" width="17.33203125" customWidth="1"/>
    <col min="8" max="9" width="13" customWidth="1"/>
  </cols>
  <sheetData>
    <row r="2" spans="2:9" ht="25.5" customHeight="1" x14ac:dyDescent="0.3">
      <c r="B2" s="51" t="s">
        <v>0</v>
      </c>
      <c r="C2" s="52"/>
      <c r="D2" s="52"/>
      <c r="E2" s="52"/>
      <c r="F2" s="52"/>
      <c r="G2" s="52"/>
      <c r="H2" s="52"/>
      <c r="I2" s="52"/>
    </row>
    <row r="3" spans="2:9" ht="30" customHeight="1" x14ac:dyDescent="0.3">
      <c r="B3" s="55" t="s">
        <v>1</v>
      </c>
      <c r="C3" s="52"/>
      <c r="D3" s="52"/>
      <c r="E3" s="52"/>
      <c r="F3" s="52"/>
      <c r="G3" s="52"/>
      <c r="H3" s="52"/>
      <c r="I3" s="52"/>
    </row>
    <row r="5" spans="2:9" ht="15" customHeight="1" x14ac:dyDescent="0.3">
      <c r="B5" s="53" t="s">
        <v>2</v>
      </c>
      <c r="C5" s="52"/>
      <c r="D5" s="2">
        <v>2200</v>
      </c>
    </row>
    <row r="6" spans="2:9" ht="15" customHeight="1" x14ac:dyDescent="0.3">
      <c r="B6" s="53" t="s">
        <v>3</v>
      </c>
      <c r="C6" s="52"/>
      <c r="D6" s="3">
        <v>0</v>
      </c>
    </row>
    <row r="7" spans="2:9" ht="15" customHeight="1" x14ac:dyDescent="0.3">
      <c r="B7" s="53" t="s">
        <v>4</v>
      </c>
      <c r="C7" s="52"/>
      <c r="D7" s="2">
        <v>0</v>
      </c>
    </row>
    <row r="8" spans="2:9" ht="15" customHeight="1" x14ac:dyDescent="0.3">
      <c r="B8" s="53" t="s">
        <v>5</v>
      </c>
      <c r="C8" s="52"/>
      <c r="D8" s="3">
        <v>0.41</v>
      </c>
    </row>
    <row r="9" spans="2:9" ht="15" customHeight="1" x14ac:dyDescent="0.3">
      <c r="B9" s="53" t="s">
        <v>6</v>
      </c>
      <c r="C9" s="52"/>
      <c r="D9" s="3">
        <v>0.18</v>
      </c>
    </row>
    <row r="10" spans="2:9" ht="15" customHeight="1" x14ac:dyDescent="0.3">
      <c r="B10" s="53" t="s">
        <v>7</v>
      </c>
      <c r="C10" s="52"/>
      <c r="D10" s="3">
        <v>0.41</v>
      </c>
    </row>
    <row r="11" spans="2:9" ht="15" customHeight="1" x14ac:dyDescent="0.3">
      <c r="B11" s="53" t="s">
        <v>8</v>
      </c>
      <c r="C11" s="52"/>
      <c r="D11" s="4">
        <f>D8+D9+D10</f>
        <v>1</v>
      </c>
    </row>
    <row r="13" spans="2:9" ht="31.5" customHeight="1" x14ac:dyDescent="0.3">
      <c r="B13" s="5" t="s">
        <v>9</v>
      </c>
      <c r="C13" s="5" t="s">
        <v>10</v>
      </c>
      <c r="D13" s="5" t="s">
        <v>11</v>
      </c>
      <c r="E13" s="5" t="s">
        <v>12</v>
      </c>
      <c r="F13" s="5" t="s">
        <v>13</v>
      </c>
      <c r="G13" s="5" t="s">
        <v>14</v>
      </c>
      <c r="H13" s="5" t="s">
        <v>15</v>
      </c>
      <c r="I13" s="5" t="s">
        <v>16</v>
      </c>
    </row>
    <row r="14" spans="2:9" ht="15" customHeight="1" x14ac:dyDescent="0.3">
      <c r="B14" s="6">
        <v>1</v>
      </c>
      <c r="C14" s="7">
        <v>1598</v>
      </c>
      <c r="D14" s="8">
        <v>0</v>
      </c>
      <c r="E14" s="7">
        <v>0</v>
      </c>
      <c r="F14" s="9">
        <f>ROUND(C14*(1+$D$6+D14)+($D$7+E14),0)</f>
        <v>1598</v>
      </c>
      <c r="G14" s="10">
        <f>ROUND(F14*$D$8,0)</f>
        <v>655</v>
      </c>
      <c r="H14" s="10">
        <f t="shared" ref="H14:H23" si="0">ROUND(F14*$D$9,0)</f>
        <v>288</v>
      </c>
      <c r="I14" s="10">
        <f>ROUND(F14*$D$10,0)</f>
        <v>655</v>
      </c>
    </row>
    <row r="15" spans="2:9" ht="15" customHeight="1" x14ac:dyDescent="0.3">
      <c r="B15" s="11">
        <v>2</v>
      </c>
      <c r="C15" s="7">
        <v>487</v>
      </c>
      <c r="D15" s="8">
        <v>0</v>
      </c>
      <c r="E15" s="7">
        <v>0</v>
      </c>
      <c r="F15" s="12">
        <f t="shared" ref="F14:F23" si="1">ROUND(C15*(1+$D$6+D15)+($D$7+E15),0)</f>
        <v>487</v>
      </c>
      <c r="G15" s="13">
        <f t="shared" ref="G14:G23" si="2">ROUND(F15*$D$8,0)</f>
        <v>200</v>
      </c>
      <c r="H15" s="13">
        <f t="shared" si="0"/>
        <v>88</v>
      </c>
      <c r="I15" s="13">
        <f t="shared" ref="I14:I23" si="3">ROUND(F15*$D$10,0)</f>
        <v>200</v>
      </c>
    </row>
    <row r="16" spans="2:9" ht="15" customHeight="1" x14ac:dyDescent="0.3">
      <c r="B16" s="6">
        <v>3</v>
      </c>
      <c r="C16" s="7">
        <v>1618</v>
      </c>
      <c r="D16" s="8">
        <v>0</v>
      </c>
      <c r="E16" s="7">
        <v>0</v>
      </c>
      <c r="F16" s="9">
        <f t="shared" si="1"/>
        <v>1618</v>
      </c>
      <c r="G16" s="10">
        <f t="shared" si="2"/>
        <v>663</v>
      </c>
      <c r="H16" s="10">
        <f t="shared" si="0"/>
        <v>291</v>
      </c>
      <c r="I16" s="10">
        <f t="shared" si="3"/>
        <v>663</v>
      </c>
    </row>
    <row r="17" spans="2:9" ht="15" customHeight="1" x14ac:dyDescent="0.3">
      <c r="B17" s="11">
        <v>4</v>
      </c>
      <c r="C17" s="7">
        <v>1596</v>
      </c>
      <c r="D17" s="8">
        <v>0.05</v>
      </c>
      <c r="E17" s="7">
        <v>0</v>
      </c>
      <c r="F17" s="12">
        <f t="shared" si="1"/>
        <v>1676</v>
      </c>
      <c r="G17" s="13">
        <f t="shared" si="2"/>
        <v>687</v>
      </c>
      <c r="H17" s="13">
        <f t="shared" si="0"/>
        <v>302</v>
      </c>
      <c r="I17" s="13">
        <f t="shared" si="3"/>
        <v>687</v>
      </c>
    </row>
    <row r="18" spans="2:9" ht="15" customHeight="1" x14ac:dyDescent="0.3">
      <c r="B18" s="6">
        <v>5</v>
      </c>
      <c r="C18" s="7">
        <v>1477</v>
      </c>
      <c r="D18" s="8">
        <v>0.05</v>
      </c>
      <c r="E18" s="7">
        <v>0</v>
      </c>
      <c r="F18" s="9">
        <f t="shared" si="1"/>
        <v>1551</v>
      </c>
      <c r="G18" s="10">
        <f t="shared" si="2"/>
        <v>636</v>
      </c>
      <c r="H18" s="10">
        <f t="shared" si="0"/>
        <v>279</v>
      </c>
      <c r="I18" s="10">
        <f t="shared" si="3"/>
        <v>636</v>
      </c>
    </row>
    <row r="19" spans="2:9" ht="15" customHeight="1" x14ac:dyDescent="0.3">
      <c r="B19" s="11">
        <v>6</v>
      </c>
      <c r="C19" s="7">
        <v>1451</v>
      </c>
      <c r="D19" s="8">
        <v>0</v>
      </c>
      <c r="E19" s="7">
        <v>0</v>
      </c>
      <c r="F19" s="12">
        <f t="shared" si="1"/>
        <v>1451</v>
      </c>
      <c r="G19" s="13">
        <f t="shared" si="2"/>
        <v>595</v>
      </c>
      <c r="H19" s="13">
        <f t="shared" si="0"/>
        <v>261</v>
      </c>
      <c r="I19" s="13">
        <f t="shared" si="3"/>
        <v>595</v>
      </c>
    </row>
    <row r="20" spans="2:9" ht="15" customHeight="1" x14ac:dyDescent="0.3">
      <c r="B20" s="6">
        <v>7</v>
      </c>
      <c r="C20" s="7">
        <v>1560</v>
      </c>
      <c r="D20" s="8">
        <v>0</v>
      </c>
      <c r="E20" s="7">
        <v>0</v>
      </c>
      <c r="F20" s="9">
        <f t="shared" si="1"/>
        <v>1560</v>
      </c>
      <c r="G20" s="10">
        <f t="shared" si="2"/>
        <v>640</v>
      </c>
      <c r="H20" s="10">
        <f t="shared" si="0"/>
        <v>281</v>
      </c>
      <c r="I20" s="10">
        <f t="shared" si="3"/>
        <v>640</v>
      </c>
    </row>
    <row r="21" spans="2:9" ht="15" customHeight="1" x14ac:dyDescent="0.3">
      <c r="B21" s="11">
        <v>8</v>
      </c>
      <c r="C21" s="7">
        <v>1247</v>
      </c>
      <c r="D21" s="8">
        <v>0</v>
      </c>
      <c r="E21" s="7">
        <v>0</v>
      </c>
      <c r="F21" s="12">
        <f t="shared" si="1"/>
        <v>1247</v>
      </c>
      <c r="G21" s="13">
        <f t="shared" si="2"/>
        <v>511</v>
      </c>
      <c r="H21" s="13">
        <f t="shared" si="0"/>
        <v>224</v>
      </c>
      <c r="I21" s="13">
        <f t="shared" si="3"/>
        <v>511</v>
      </c>
    </row>
    <row r="22" spans="2:9" ht="15" customHeight="1" x14ac:dyDescent="0.3">
      <c r="B22" s="6">
        <v>9</v>
      </c>
      <c r="C22" s="7">
        <v>211</v>
      </c>
      <c r="D22" s="8">
        <v>0</v>
      </c>
      <c r="E22" s="7">
        <v>0</v>
      </c>
      <c r="F22" s="9">
        <f t="shared" si="1"/>
        <v>211</v>
      </c>
      <c r="G22" s="10">
        <f t="shared" si="2"/>
        <v>87</v>
      </c>
      <c r="H22" s="10">
        <f t="shared" si="0"/>
        <v>38</v>
      </c>
      <c r="I22" s="10">
        <f t="shared" si="3"/>
        <v>87</v>
      </c>
    </row>
    <row r="23" spans="2:9" ht="15" customHeight="1" x14ac:dyDescent="0.3">
      <c r="B23" s="11">
        <v>10</v>
      </c>
      <c r="C23" s="7">
        <v>555</v>
      </c>
      <c r="D23" s="8">
        <v>0</v>
      </c>
      <c r="E23" s="7">
        <v>0</v>
      </c>
      <c r="F23" s="12">
        <f t="shared" si="1"/>
        <v>555</v>
      </c>
      <c r="G23" s="13">
        <f t="shared" si="2"/>
        <v>228</v>
      </c>
      <c r="H23" s="13">
        <f t="shared" si="0"/>
        <v>100</v>
      </c>
      <c r="I23" s="13">
        <f t="shared" si="3"/>
        <v>228</v>
      </c>
    </row>
    <row r="24" spans="2:9" ht="15" customHeight="1" x14ac:dyDescent="0.3">
      <c r="B24" s="14" t="s">
        <v>17</v>
      </c>
      <c r="C24" s="15">
        <f>SUM(C14:C23)</f>
        <v>11800</v>
      </c>
      <c r="D24" s="16"/>
      <c r="E24" s="16"/>
      <c r="F24" s="15">
        <f>SUM(F14:F23)</f>
        <v>11954</v>
      </c>
      <c r="G24" s="15">
        <f>SUM(G14:G23)</f>
        <v>4902</v>
      </c>
      <c r="H24" s="15">
        <f>SUM(H14:H23)</f>
        <v>2152</v>
      </c>
      <c r="I24" s="15">
        <f>SUM(I14:I23)</f>
        <v>4902</v>
      </c>
    </row>
    <row r="26" spans="2:9" ht="21.75" customHeight="1" x14ac:dyDescent="0.3">
      <c r="B26" s="57" t="s">
        <v>18</v>
      </c>
      <c r="C26" s="52"/>
      <c r="D26" s="52"/>
      <c r="E26" s="52"/>
      <c r="F26" s="52"/>
      <c r="G26" s="52"/>
      <c r="H26" s="52"/>
      <c r="I26" s="52"/>
    </row>
    <row r="27" spans="2:9" ht="30" customHeight="1" x14ac:dyDescent="0.3">
      <c r="B27" s="5" t="s">
        <v>19</v>
      </c>
      <c r="C27" s="5" t="s">
        <v>20</v>
      </c>
      <c r="D27" s="5" t="s">
        <v>21</v>
      </c>
      <c r="E27" s="5" t="s">
        <v>22</v>
      </c>
      <c r="F27" s="5" t="s">
        <v>23</v>
      </c>
      <c r="G27" s="5" t="s">
        <v>24</v>
      </c>
    </row>
    <row r="28" spans="2:9" ht="15" customHeight="1" x14ac:dyDescent="0.3">
      <c r="B28" s="17" t="s">
        <v>14</v>
      </c>
      <c r="C28" s="13">
        <f>G24</f>
        <v>4902</v>
      </c>
      <c r="D28" s="13">
        <f>INT(C28/$D$5)</f>
        <v>2</v>
      </c>
      <c r="E28" s="13">
        <f>C28-D28*$D$5</f>
        <v>502</v>
      </c>
      <c r="F28" s="12">
        <f>D28+IF(E28&gt;0,1,0)</f>
        <v>3</v>
      </c>
      <c r="G28" s="18">
        <f>IFERROR(C28/(F28*$D$5),"")</f>
        <v>0.74272727272727268</v>
      </c>
    </row>
    <row r="29" spans="2:9" ht="15" customHeight="1" x14ac:dyDescent="0.3">
      <c r="B29" s="17" t="s">
        <v>15</v>
      </c>
      <c r="C29" s="13">
        <f>H24</f>
        <v>2152</v>
      </c>
      <c r="D29" s="13">
        <f>INT(C29/$D$5)</f>
        <v>0</v>
      </c>
      <c r="E29" s="13">
        <f>C29-D29*$D$5</f>
        <v>2152</v>
      </c>
      <c r="F29" s="12">
        <f>D29+IF(E29&gt;0,1,0)</f>
        <v>1</v>
      </c>
      <c r="G29" s="18">
        <f>IFERROR(C29/(F29*$D$5),"")</f>
        <v>0.97818181818181815</v>
      </c>
    </row>
    <row r="30" spans="2:9" ht="15" customHeight="1" x14ac:dyDescent="0.3">
      <c r="B30" s="17" t="s">
        <v>16</v>
      </c>
      <c r="C30" s="13">
        <f>I24</f>
        <v>4902</v>
      </c>
      <c r="D30" s="13">
        <f>INT(C30/$D$5)</f>
        <v>2</v>
      </c>
      <c r="E30" s="13">
        <f>C30-D30*$D$5</f>
        <v>502</v>
      </c>
      <c r="F30" s="12">
        <f>D30+IF(E30&gt;0,1,0)</f>
        <v>3</v>
      </c>
      <c r="G30" s="18">
        <f>IFERROR(C30/(F30*$D$5),"")</f>
        <v>0.74272727272727268</v>
      </c>
    </row>
    <row r="31" spans="2:9" ht="15.75" customHeight="1" x14ac:dyDescent="0.3">
      <c r="B31" s="19" t="s">
        <v>25</v>
      </c>
      <c r="C31" s="20">
        <f>C28+C29+C30</f>
        <v>11956</v>
      </c>
      <c r="D31" s="21"/>
      <c r="E31" s="21"/>
      <c r="F31" s="22">
        <f>F28+F29+F30</f>
        <v>7</v>
      </c>
      <c r="G31" s="23">
        <f>IFERROR(C31/(F31*$D$5),"")</f>
        <v>0.77636363636363637</v>
      </c>
      <c r="H31" s="56" t="s">
        <v>26</v>
      </c>
      <c r="I31" s="52"/>
    </row>
    <row r="33" spans="2:9" ht="21.75" customHeight="1" x14ac:dyDescent="0.3">
      <c r="B33" s="57" t="s">
        <v>27</v>
      </c>
      <c r="C33" s="52"/>
      <c r="D33" s="52"/>
      <c r="E33" s="52"/>
      <c r="F33" s="52"/>
      <c r="G33" s="52"/>
      <c r="H33" s="52"/>
      <c r="I33" s="52"/>
    </row>
    <row r="34" spans="2:9" ht="30" customHeight="1" x14ac:dyDescent="0.3">
      <c r="B34" s="24" t="s">
        <v>28</v>
      </c>
      <c r="C34" s="24" t="s">
        <v>29</v>
      </c>
      <c r="D34" s="24" t="s">
        <v>30</v>
      </c>
      <c r="E34" s="24" t="s">
        <v>31</v>
      </c>
      <c r="F34" s="24" t="s">
        <v>32</v>
      </c>
      <c r="G34" s="24" t="s">
        <v>33</v>
      </c>
    </row>
    <row r="35" spans="2:9" ht="15" customHeight="1" x14ac:dyDescent="0.3">
      <c r="B35" s="25" t="s">
        <v>34</v>
      </c>
      <c r="C35" s="8">
        <v>0.5</v>
      </c>
      <c r="D35" s="9">
        <f>ROUND($D$5*C35,1)</f>
        <v>1100</v>
      </c>
      <c r="E35" s="10">
        <f>ROUND($E$28*C35,1)</f>
        <v>251</v>
      </c>
      <c r="F35" s="10">
        <f>ROUND($E$29*C35,1)</f>
        <v>1076</v>
      </c>
      <c r="G35" s="10">
        <f>ROUND($E$30*C35,1)</f>
        <v>251</v>
      </c>
    </row>
    <row r="36" spans="2:9" ht="15" customHeight="1" x14ac:dyDescent="0.3">
      <c r="B36" s="26" t="s">
        <v>35</v>
      </c>
      <c r="C36" s="8">
        <v>0.12</v>
      </c>
      <c r="D36" s="12">
        <f>ROUND($D$5*C36,1)</f>
        <v>264</v>
      </c>
      <c r="E36" s="13">
        <f>ROUND($E$28*C36,1)</f>
        <v>60.2</v>
      </c>
      <c r="F36" s="13">
        <f>ROUND($E$29*C36,1)</f>
        <v>258.2</v>
      </c>
      <c r="G36" s="13">
        <f>ROUND($E$30*C36,1)</f>
        <v>60.2</v>
      </c>
    </row>
    <row r="37" spans="2:9" ht="15" customHeight="1" x14ac:dyDescent="0.3">
      <c r="B37" s="25" t="s">
        <v>36</v>
      </c>
      <c r="C37" s="8">
        <v>0.36299999999999999</v>
      </c>
      <c r="D37" s="9">
        <f>ROUND($D$5*C37,1)</f>
        <v>798.6</v>
      </c>
      <c r="E37" s="10">
        <f>ROUND($E$28*C37,1)</f>
        <v>182.2</v>
      </c>
      <c r="F37" s="10">
        <f>ROUND($E$29*C37,1)</f>
        <v>781.2</v>
      </c>
      <c r="G37" s="10">
        <f>ROUND($E$30*C37,1)</f>
        <v>182.2</v>
      </c>
    </row>
    <row r="38" spans="2:9" ht="15" customHeight="1" x14ac:dyDescent="0.3">
      <c r="B38" s="26" t="s">
        <v>37</v>
      </c>
      <c r="C38" s="8">
        <v>7.0000000000000001E-3</v>
      </c>
      <c r="D38" s="12">
        <f>ROUND($D$5*C38,1)</f>
        <v>15.4</v>
      </c>
      <c r="E38" s="13">
        <f>ROUND($E$28*C38,1)</f>
        <v>3.5</v>
      </c>
      <c r="F38" s="13">
        <f>ROUND($E$29*C38,1)</f>
        <v>15.1</v>
      </c>
      <c r="G38" s="13">
        <f>ROUND($E$30*C38,1)</f>
        <v>3.5</v>
      </c>
    </row>
    <row r="39" spans="2:9" ht="15" customHeight="1" x14ac:dyDescent="0.3">
      <c r="B39" s="25" t="s">
        <v>38</v>
      </c>
      <c r="C39" s="8">
        <v>0.01</v>
      </c>
      <c r="D39" s="9">
        <f>ROUND($D$5*C39,1)</f>
        <v>22</v>
      </c>
      <c r="E39" s="10">
        <f>ROUND($E$28*C39,1)</f>
        <v>5</v>
      </c>
      <c r="F39" s="10">
        <f>ROUND($E$29*C39,1)</f>
        <v>21.5</v>
      </c>
      <c r="G39" s="10">
        <f>ROUND($E$30*C39,1)</f>
        <v>5</v>
      </c>
    </row>
    <row r="40" spans="2:9" ht="15" customHeight="1" x14ac:dyDescent="0.3">
      <c r="B40" s="14" t="s">
        <v>17</v>
      </c>
      <c r="C40" s="27">
        <f>SUM(C35:C39)</f>
        <v>1</v>
      </c>
      <c r="D40" s="15">
        <f>SUM(D35:D39)</f>
        <v>2200</v>
      </c>
      <c r="E40" s="15">
        <f>SUM(E35:E39)</f>
        <v>501.9</v>
      </c>
      <c r="F40" s="15">
        <f>SUM(F35:F39)</f>
        <v>2152</v>
      </c>
      <c r="G40" s="15">
        <f>SUM(G35:G39)</f>
        <v>501.9</v>
      </c>
    </row>
    <row r="42" spans="2:9" ht="25.5" customHeight="1" x14ac:dyDescent="0.3">
      <c r="B42" s="54" t="s">
        <v>39</v>
      </c>
      <c r="C42" s="52"/>
      <c r="D42" s="52"/>
      <c r="E42" s="52"/>
      <c r="F42" s="52"/>
      <c r="G42" s="52"/>
      <c r="H42" s="52"/>
      <c r="I42" s="52"/>
    </row>
  </sheetData>
  <mergeCells count="13">
    <mergeCell ref="B2:I2"/>
    <mergeCell ref="B10:C10"/>
    <mergeCell ref="B42:I42"/>
    <mergeCell ref="B3:I3"/>
    <mergeCell ref="H31:I31"/>
    <mergeCell ref="B9:C9"/>
    <mergeCell ref="B8:C8"/>
    <mergeCell ref="B26:I26"/>
    <mergeCell ref="B6:C6"/>
    <mergeCell ref="B7:C7"/>
    <mergeCell ref="B11:C11"/>
    <mergeCell ref="B33:I33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W27"/>
  <sheetViews>
    <sheetView showGridLines="0" topLeftCell="A3" zoomScale="145" zoomScaleNormal="145" workbookViewId="0">
      <selection activeCell="G6" sqref="G6"/>
    </sheetView>
  </sheetViews>
  <sheetFormatPr defaultColWidth="8.6640625" defaultRowHeight="14.4" x14ac:dyDescent="0.3"/>
  <cols>
    <col min="1" max="1" width="2" customWidth="1"/>
    <col min="2" max="2" width="13" customWidth="1"/>
    <col min="3" max="3" width="9" customWidth="1"/>
    <col min="4" max="4" width="15.21875" customWidth="1"/>
    <col min="5" max="5" width="12.21875" customWidth="1"/>
    <col min="6" max="6" width="9.21875" customWidth="1"/>
    <col min="7" max="7" width="6.5546875" customWidth="1"/>
    <col min="8" max="8" width="10.6640625" customWidth="1"/>
    <col min="9" max="19" width="6.5546875" customWidth="1"/>
    <col min="21" max="21" width="10" customWidth="1"/>
    <col min="22" max="23" width="8" customWidth="1"/>
  </cols>
  <sheetData>
    <row r="2" spans="2:23" ht="24" customHeight="1" x14ac:dyDescent="0.3">
      <c r="B2" s="62" t="s">
        <v>40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</row>
    <row r="3" spans="2:23" ht="27.75" customHeight="1" x14ac:dyDescent="0.3">
      <c r="B3" s="55" t="s">
        <v>41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</row>
    <row r="5" spans="2:23" ht="15" customHeight="1" x14ac:dyDescent="0.3">
      <c r="B5" s="1" t="s">
        <v>42</v>
      </c>
      <c r="C5" s="20">
        <f>AJUSTE!F24</f>
        <v>11954</v>
      </c>
      <c r="E5" s="53" t="s">
        <v>43</v>
      </c>
      <c r="F5" s="52"/>
      <c r="G5" s="20">
        <v>2200</v>
      </c>
    </row>
    <row r="7" spans="2:23" ht="15" customHeight="1" x14ac:dyDescent="0.3">
      <c r="B7" s="61" t="s">
        <v>44</v>
      </c>
      <c r="C7" s="60"/>
      <c r="D7" s="28" t="s">
        <v>45</v>
      </c>
      <c r="E7" s="29">
        <v>0.41</v>
      </c>
      <c r="F7" s="30" t="s">
        <v>15</v>
      </c>
      <c r="G7" s="29">
        <f>1-2*E7</f>
        <v>0.18000000000000005</v>
      </c>
      <c r="H7" s="30" t="s">
        <v>46</v>
      </c>
      <c r="I7" s="31">
        <f>MIN(V11:V27)</f>
        <v>6</v>
      </c>
    </row>
    <row r="9" spans="2:23" ht="17.25" customHeight="1" x14ac:dyDescent="0.3">
      <c r="B9" s="58" t="s">
        <v>47</v>
      </c>
      <c r="C9" s="59"/>
      <c r="D9" s="59"/>
      <c r="E9" s="60"/>
      <c r="F9" s="32">
        <f>MIN(C11:S27)</f>
        <v>6</v>
      </c>
      <c r="G9" s="63" t="str">
        <f>IF(MIN(C11:S27)=MIN(V11:V27),"= mesmo nº da sugestão. Qualquer célula VERDE serve (manhã≠tarde).","Há combinações manhã≠tarde melhores: use uma célula VERDE.")</f>
        <v>= mesmo nº da sugestão. Qualquer célula VERDE serve (manhã≠tarde).</v>
      </c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</row>
    <row r="10" spans="2:23" ht="15" customHeight="1" x14ac:dyDescent="0.3">
      <c r="B10" s="33" t="s">
        <v>48</v>
      </c>
      <c r="C10" s="34">
        <v>0.3</v>
      </c>
      <c r="D10" s="34">
        <v>0.31</v>
      </c>
      <c r="E10" s="34">
        <v>0.32</v>
      </c>
      <c r="F10" s="34">
        <v>0.33</v>
      </c>
      <c r="G10" s="34">
        <v>0.34</v>
      </c>
      <c r="H10" s="34">
        <v>0.35</v>
      </c>
      <c r="I10" s="34">
        <v>0.36</v>
      </c>
      <c r="J10" s="34">
        <v>0.37</v>
      </c>
      <c r="K10" s="34">
        <v>0.38</v>
      </c>
      <c r="L10" s="34">
        <v>0.39</v>
      </c>
      <c r="M10" s="34">
        <v>0.4</v>
      </c>
      <c r="N10" s="34">
        <v>0.41</v>
      </c>
      <c r="O10" s="34">
        <v>0.42</v>
      </c>
      <c r="P10" s="34">
        <v>0.43</v>
      </c>
      <c r="Q10" s="34">
        <v>0.44</v>
      </c>
      <c r="R10" s="34">
        <v>0.45</v>
      </c>
      <c r="S10" s="34">
        <v>0.46</v>
      </c>
      <c r="U10" s="35" t="s">
        <v>49</v>
      </c>
      <c r="V10" s="35" t="s">
        <v>50</v>
      </c>
    </row>
    <row r="11" spans="2:23" ht="15" customHeight="1" x14ac:dyDescent="0.3">
      <c r="B11" s="34">
        <v>0.3</v>
      </c>
      <c r="C11" s="36" t="str">
        <f t="shared" ref="C11:L20" si="0">IF(OR((1-$B11-C$10)&lt;=0.1,(1-$B11-C$10)&gt;=0.35),"",ROUNDUP($C$5*$B11/$G$5,0)+ROUNDUP($C$5*C$10/$G$5,0)+ROUNDUP($C$5*(1-$B11-C$10)/$G$5,0))</f>
        <v/>
      </c>
      <c r="D11" s="36" t="str">
        <f t="shared" si="0"/>
        <v/>
      </c>
      <c r="E11" s="36" t="str">
        <f t="shared" si="0"/>
        <v/>
      </c>
      <c r="F11" s="36" t="str">
        <f t="shared" si="0"/>
        <v/>
      </c>
      <c r="G11" s="36" t="str">
        <f t="shared" si="0"/>
        <v/>
      </c>
      <c r="H11" s="36" t="str">
        <f t="shared" si="0"/>
        <v/>
      </c>
      <c r="I11" s="36">
        <f t="shared" si="0"/>
        <v>6</v>
      </c>
      <c r="J11" s="36">
        <f t="shared" si="0"/>
        <v>7</v>
      </c>
      <c r="K11" s="36">
        <f t="shared" si="0"/>
        <v>7</v>
      </c>
      <c r="L11" s="36">
        <f t="shared" si="0"/>
        <v>7</v>
      </c>
      <c r="M11" s="36">
        <f t="shared" ref="M11:S20" si="1">IF(OR((1-$B11-M$10)&lt;=0.1,(1-$B11-M$10)&gt;=0.35),"",ROUNDUP($C$5*$B11/$G$5,0)+ROUNDUP($C$5*M$10/$G$5,0)+ROUNDUP($C$5*(1-$B11-M$10)/$G$5,0))</f>
        <v>7</v>
      </c>
      <c r="N11" s="36">
        <f t="shared" si="1"/>
        <v>7</v>
      </c>
      <c r="O11" s="36">
        <f t="shared" si="1"/>
        <v>7</v>
      </c>
      <c r="P11" s="36">
        <f t="shared" si="1"/>
        <v>7</v>
      </c>
      <c r="Q11" s="36">
        <f t="shared" si="1"/>
        <v>7</v>
      </c>
      <c r="R11" s="36">
        <f t="shared" si="1"/>
        <v>7</v>
      </c>
      <c r="S11" s="36">
        <f t="shared" si="1"/>
        <v>7</v>
      </c>
      <c r="U11" s="37">
        <f t="shared" ref="U11:U27" si="2">IF(COUNT(C11:S11)=0,"",MIN(C11:S11))</f>
        <v>6</v>
      </c>
      <c r="V11" s="38" t="str">
        <f>C11</f>
        <v/>
      </c>
      <c r="W11" s="39" t="str">
        <f t="shared" ref="W11:W27" si="3">IF(V11=MIN($V$11:$V$27),B11,"")</f>
        <v/>
      </c>
    </row>
    <row r="12" spans="2:23" ht="15" customHeight="1" x14ac:dyDescent="0.3">
      <c r="B12" s="34">
        <v>0.31</v>
      </c>
      <c r="C12" s="36" t="str">
        <f t="shared" si="0"/>
        <v/>
      </c>
      <c r="D12" s="36" t="str">
        <f t="shared" si="0"/>
        <v/>
      </c>
      <c r="E12" s="36" t="str">
        <f t="shared" si="0"/>
        <v/>
      </c>
      <c r="F12" s="36" t="str">
        <f t="shared" si="0"/>
        <v/>
      </c>
      <c r="G12" s="36" t="str">
        <f t="shared" si="0"/>
        <v/>
      </c>
      <c r="H12" s="36">
        <f t="shared" si="0"/>
        <v>6</v>
      </c>
      <c r="I12" s="36">
        <f t="shared" si="0"/>
        <v>6</v>
      </c>
      <c r="J12" s="36">
        <f t="shared" si="0"/>
        <v>7</v>
      </c>
      <c r="K12" s="36">
        <f t="shared" si="0"/>
        <v>7</v>
      </c>
      <c r="L12" s="36">
        <f t="shared" si="0"/>
        <v>7</v>
      </c>
      <c r="M12" s="36">
        <f t="shared" si="1"/>
        <v>7</v>
      </c>
      <c r="N12" s="36">
        <f t="shared" si="1"/>
        <v>7</v>
      </c>
      <c r="O12" s="36">
        <f t="shared" si="1"/>
        <v>7</v>
      </c>
      <c r="P12" s="36">
        <f t="shared" si="1"/>
        <v>7</v>
      </c>
      <c r="Q12" s="36">
        <f t="shared" si="1"/>
        <v>7</v>
      </c>
      <c r="R12" s="36">
        <f t="shared" si="1"/>
        <v>7</v>
      </c>
      <c r="S12" s="36">
        <f t="shared" si="1"/>
        <v>7</v>
      </c>
      <c r="U12" s="37">
        <f t="shared" si="2"/>
        <v>6</v>
      </c>
      <c r="V12" s="38" t="str">
        <f>D12</f>
        <v/>
      </c>
      <c r="W12" s="39" t="str">
        <f t="shared" si="3"/>
        <v/>
      </c>
    </row>
    <row r="13" spans="2:23" ht="15" customHeight="1" x14ac:dyDescent="0.3">
      <c r="B13" s="34">
        <v>0.32</v>
      </c>
      <c r="C13" s="36" t="str">
        <f t="shared" si="0"/>
        <v/>
      </c>
      <c r="D13" s="36" t="str">
        <f t="shared" si="0"/>
        <v/>
      </c>
      <c r="E13" s="36" t="str">
        <f t="shared" si="0"/>
        <v/>
      </c>
      <c r="F13" s="36" t="str">
        <f t="shared" si="0"/>
        <v/>
      </c>
      <c r="G13" s="36">
        <f t="shared" si="0"/>
        <v>6</v>
      </c>
      <c r="H13" s="36">
        <f t="shared" si="0"/>
        <v>6</v>
      </c>
      <c r="I13" s="36">
        <f t="shared" si="0"/>
        <v>6</v>
      </c>
      <c r="J13" s="36">
        <f t="shared" si="0"/>
        <v>7</v>
      </c>
      <c r="K13" s="36">
        <f t="shared" si="0"/>
        <v>7</v>
      </c>
      <c r="L13" s="36">
        <f t="shared" si="0"/>
        <v>7</v>
      </c>
      <c r="M13" s="36">
        <f t="shared" si="1"/>
        <v>7</v>
      </c>
      <c r="N13" s="36">
        <f t="shared" si="1"/>
        <v>7</v>
      </c>
      <c r="O13" s="36">
        <f t="shared" si="1"/>
        <v>7</v>
      </c>
      <c r="P13" s="36">
        <f t="shared" si="1"/>
        <v>7</v>
      </c>
      <c r="Q13" s="36">
        <f t="shared" si="1"/>
        <v>7</v>
      </c>
      <c r="R13" s="36">
        <f t="shared" si="1"/>
        <v>7</v>
      </c>
      <c r="S13" s="36">
        <f t="shared" si="1"/>
        <v>7</v>
      </c>
      <c r="U13" s="37">
        <f t="shared" si="2"/>
        <v>6</v>
      </c>
      <c r="V13" s="38" t="str">
        <f>E13</f>
        <v/>
      </c>
      <c r="W13" s="39" t="str">
        <f t="shared" si="3"/>
        <v/>
      </c>
    </row>
    <row r="14" spans="2:23" ht="15" customHeight="1" x14ac:dyDescent="0.3">
      <c r="B14" s="34">
        <v>0.33</v>
      </c>
      <c r="C14" s="36" t="str">
        <f t="shared" si="0"/>
        <v/>
      </c>
      <c r="D14" s="36" t="str">
        <f t="shared" si="0"/>
        <v/>
      </c>
      <c r="E14" s="36" t="str">
        <f t="shared" si="0"/>
        <v/>
      </c>
      <c r="F14" s="36">
        <f t="shared" si="0"/>
        <v>6</v>
      </c>
      <c r="G14" s="36">
        <f t="shared" si="0"/>
        <v>6</v>
      </c>
      <c r="H14" s="36">
        <f t="shared" si="0"/>
        <v>6</v>
      </c>
      <c r="I14" s="36">
        <f t="shared" si="0"/>
        <v>6</v>
      </c>
      <c r="J14" s="36">
        <f t="shared" si="0"/>
        <v>7</v>
      </c>
      <c r="K14" s="36">
        <f t="shared" si="0"/>
        <v>7</v>
      </c>
      <c r="L14" s="36">
        <f t="shared" si="0"/>
        <v>7</v>
      </c>
      <c r="M14" s="36">
        <f t="shared" si="1"/>
        <v>7</v>
      </c>
      <c r="N14" s="36">
        <f t="shared" si="1"/>
        <v>7</v>
      </c>
      <c r="O14" s="36">
        <f t="shared" si="1"/>
        <v>7</v>
      </c>
      <c r="P14" s="36">
        <f t="shared" si="1"/>
        <v>7</v>
      </c>
      <c r="Q14" s="36">
        <f t="shared" si="1"/>
        <v>7</v>
      </c>
      <c r="R14" s="36">
        <f t="shared" si="1"/>
        <v>7</v>
      </c>
      <c r="S14" s="36">
        <f t="shared" si="1"/>
        <v>7</v>
      </c>
      <c r="U14" s="37">
        <f t="shared" si="2"/>
        <v>6</v>
      </c>
      <c r="V14" s="38">
        <f>F14</f>
        <v>6</v>
      </c>
      <c r="W14" s="39">
        <f t="shared" si="3"/>
        <v>0.33</v>
      </c>
    </row>
    <row r="15" spans="2:23" ht="15" customHeight="1" x14ac:dyDescent="0.3">
      <c r="B15" s="34">
        <v>0.34</v>
      </c>
      <c r="C15" s="36" t="str">
        <f t="shared" si="0"/>
        <v/>
      </c>
      <c r="D15" s="36" t="str">
        <f t="shared" si="0"/>
        <v/>
      </c>
      <c r="E15" s="36">
        <f t="shared" si="0"/>
        <v>6</v>
      </c>
      <c r="F15" s="36">
        <f t="shared" si="0"/>
        <v>6</v>
      </c>
      <c r="G15" s="36">
        <f t="shared" si="0"/>
        <v>6</v>
      </c>
      <c r="H15" s="36">
        <f t="shared" si="0"/>
        <v>6</v>
      </c>
      <c r="I15" s="36">
        <f t="shared" si="0"/>
        <v>6</v>
      </c>
      <c r="J15" s="36">
        <f t="shared" si="0"/>
        <v>7</v>
      </c>
      <c r="K15" s="36">
        <f t="shared" si="0"/>
        <v>7</v>
      </c>
      <c r="L15" s="36">
        <f t="shared" si="0"/>
        <v>7</v>
      </c>
      <c r="M15" s="36">
        <f t="shared" si="1"/>
        <v>7</v>
      </c>
      <c r="N15" s="36">
        <f t="shared" si="1"/>
        <v>7</v>
      </c>
      <c r="O15" s="36">
        <f t="shared" si="1"/>
        <v>7</v>
      </c>
      <c r="P15" s="36">
        <f t="shared" si="1"/>
        <v>7</v>
      </c>
      <c r="Q15" s="36">
        <f t="shared" si="1"/>
        <v>7</v>
      </c>
      <c r="R15" s="36">
        <f t="shared" si="1"/>
        <v>7</v>
      </c>
      <c r="S15" s="36">
        <f t="shared" si="1"/>
        <v>7</v>
      </c>
      <c r="U15" s="37">
        <f t="shared" si="2"/>
        <v>6</v>
      </c>
      <c r="V15" s="38">
        <f>G15</f>
        <v>6</v>
      </c>
      <c r="W15" s="39">
        <f t="shared" si="3"/>
        <v>0.34</v>
      </c>
    </row>
    <row r="16" spans="2:23" ht="15" customHeight="1" x14ac:dyDescent="0.3">
      <c r="B16" s="34">
        <v>0.35</v>
      </c>
      <c r="C16" s="36" t="str">
        <f t="shared" si="0"/>
        <v/>
      </c>
      <c r="D16" s="36">
        <f t="shared" si="0"/>
        <v>6</v>
      </c>
      <c r="E16" s="36">
        <f t="shared" si="0"/>
        <v>6</v>
      </c>
      <c r="F16" s="36">
        <f t="shared" si="0"/>
        <v>6</v>
      </c>
      <c r="G16" s="36">
        <f t="shared" si="0"/>
        <v>6</v>
      </c>
      <c r="H16" s="36">
        <f t="shared" si="0"/>
        <v>6</v>
      </c>
      <c r="I16" s="36">
        <f t="shared" si="0"/>
        <v>6</v>
      </c>
      <c r="J16" s="36">
        <f t="shared" si="0"/>
        <v>7</v>
      </c>
      <c r="K16" s="36">
        <f t="shared" si="0"/>
        <v>7</v>
      </c>
      <c r="L16" s="36">
        <f t="shared" si="0"/>
        <v>7</v>
      </c>
      <c r="M16" s="36">
        <f t="shared" si="1"/>
        <v>7</v>
      </c>
      <c r="N16" s="36">
        <f t="shared" si="1"/>
        <v>7</v>
      </c>
      <c r="O16" s="36">
        <f t="shared" si="1"/>
        <v>7</v>
      </c>
      <c r="P16" s="36">
        <f t="shared" si="1"/>
        <v>7</v>
      </c>
      <c r="Q16" s="36">
        <f t="shared" si="1"/>
        <v>7</v>
      </c>
      <c r="R16" s="36">
        <f t="shared" si="1"/>
        <v>7</v>
      </c>
      <c r="S16" s="36">
        <f t="shared" si="1"/>
        <v>7</v>
      </c>
      <c r="U16" s="37">
        <f t="shared" si="2"/>
        <v>6</v>
      </c>
      <c r="V16" s="38">
        <f>H16</f>
        <v>6</v>
      </c>
      <c r="W16" s="39">
        <f t="shared" si="3"/>
        <v>0.35</v>
      </c>
    </row>
    <row r="17" spans="2:23" ht="15" customHeight="1" x14ac:dyDescent="0.3">
      <c r="B17" s="34">
        <v>0.36</v>
      </c>
      <c r="C17" s="36">
        <f t="shared" si="0"/>
        <v>6</v>
      </c>
      <c r="D17" s="36">
        <f t="shared" si="0"/>
        <v>6</v>
      </c>
      <c r="E17" s="36">
        <f t="shared" si="0"/>
        <v>6</v>
      </c>
      <c r="F17" s="36">
        <f t="shared" si="0"/>
        <v>6</v>
      </c>
      <c r="G17" s="36">
        <f t="shared" si="0"/>
        <v>6</v>
      </c>
      <c r="H17" s="36">
        <f t="shared" si="0"/>
        <v>6</v>
      </c>
      <c r="I17" s="36">
        <f t="shared" si="0"/>
        <v>6</v>
      </c>
      <c r="J17" s="36">
        <f t="shared" si="0"/>
        <v>7</v>
      </c>
      <c r="K17" s="36">
        <f t="shared" si="0"/>
        <v>7</v>
      </c>
      <c r="L17" s="36">
        <f t="shared" si="0"/>
        <v>7</v>
      </c>
      <c r="M17" s="36">
        <f t="shared" si="1"/>
        <v>7</v>
      </c>
      <c r="N17" s="36">
        <f t="shared" si="1"/>
        <v>7</v>
      </c>
      <c r="O17" s="36">
        <f t="shared" si="1"/>
        <v>7</v>
      </c>
      <c r="P17" s="36">
        <f t="shared" si="1"/>
        <v>7</v>
      </c>
      <c r="Q17" s="36">
        <f t="shared" si="1"/>
        <v>7</v>
      </c>
      <c r="R17" s="36">
        <f t="shared" si="1"/>
        <v>7</v>
      </c>
      <c r="S17" s="36">
        <f t="shared" si="1"/>
        <v>6</v>
      </c>
      <c r="U17" s="37">
        <f t="shared" si="2"/>
        <v>6</v>
      </c>
      <c r="V17" s="38">
        <f>I17</f>
        <v>6</v>
      </c>
      <c r="W17" s="39">
        <f t="shared" si="3"/>
        <v>0.36</v>
      </c>
    </row>
    <row r="18" spans="2:23" ht="15" customHeight="1" x14ac:dyDescent="0.3">
      <c r="B18" s="34">
        <v>0.37</v>
      </c>
      <c r="C18" s="36">
        <f t="shared" si="0"/>
        <v>7</v>
      </c>
      <c r="D18" s="36">
        <f t="shared" si="0"/>
        <v>7</v>
      </c>
      <c r="E18" s="36">
        <f t="shared" si="0"/>
        <v>7</v>
      </c>
      <c r="F18" s="36">
        <f t="shared" si="0"/>
        <v>7</v>
      </c>
      <c r="G18" s="36">
        <f t="shared" si="0"/>
        <v>7</v>
      </c>
      <c r="H18" s="36">
        <f t="shared" si="0"/>
        <v>7</v>
      </c>
      <c r="I18" s="36">
        <f t="shared" si="0"/>
        <v>7</v>
      </c>
      <c r="J18" s="36">
        <f t="shared" si="0"/>
        <v>8</v>
      </c>
      <c r="K18" s="36">
        <f t="shared" si="0"/>
        <v>8</v>
      </c>
      <c r="L18" s="36">
        <f t="shared" si="0"/>
        <v>8</v>
      </c>
      <c r="M18" s="36">
        <f t="shared" si="1"/>
        <v>8</v>
      </c>
      <c r="N18" s="36">
        <f t="shared" si="1"/>
        <v>8</v>
      </c>
      <c r="O18" s="36">
        <f t="shared" si="1"/>
        <v>8</v>
      </c>
      <c r="P18" s="36">
        <f t="shared" si="1"/>
        <v>8</v>
      </c>
      <c r="Q18" s="36">
        <f t="shared" si="1"/>
        <v>8</v>
      </c>
      <c r="R18" s="36">
        <f t="shared" si="1"/>
        <v>7</v>
      </c>
      <c r="S18" s="36">
        <f t="shared" si="1"/>
        <v>7</v>
      </c>
      <c r="U18" s="37">
        <f t="shared" si="2"/>
        <v>7</v>
      </c>
      <c r="V18" s="38">
        <f>J18</f>
        <v>8</v>
      </c>
      <c r="W18" s="39" t="str">
        <f t="shared" si="3"/>
        <v/>
      </c>
    </row>
    <row r="19" spans="2:23" ht="15" customHeight="1" x14ac:dyDescent="0.3">
      <c r="B19" s="34">
        <v>0.38</v>
      </c>
      <c r="C19" s="36">
        <f t="shared" si="0"/>
        <v>7</v>
      </c>
      <c r="D19" s="36">
        <f t="shared" si="0"/>
        <v>7</v>
      </c>
      <c r="E19" s="36">
        <f t="shared" si="0"/>
        <v>7</v>
      </c>
      <c r="F19" s="36">
        <f t="shared" si="0"/>
        <v>7</v>
      </c>
      <c r="G19" s="36">
        <f t="shared" si="0"/>
        <v>7</v>
      </c>
      <c r="H19" s="36">
        <f t="shared" si="0"/>
        <v>7</v>
      </c>
      <c r="I19" s="36">
        <f t="shared" si="0"/>
        <v>7</v>
      </c>
      <c r="J19" s="36">
        <f t="shared" si="0"/>
        <v>8</v>
      </c>
      <c r="K19" s="36">
        <f t="shared" si="0"/>
        <v>8</v>
      </c>
      <c r="L19" s="36">
        <f t="shared" si="0"/>
        <v>8</v>
      </c>
      <c r="M19" s="36">
        <f t="shared" si="1"/>
        <v>8</v>
      </c>
      <c r="N19" s="36">
        <f t="shared" si="1"/>
        <v>8</v>
      </c>
      <c r="O19" s="36">
        <f t="shared" si="1"/>
        <v>8</v>
      </c>
      <c r="P19" s="36">
        <f t="shared" si="1"/>
        <v>8</v>
      </c>
      <c r="Q19" s="36">
        <f t="shared" si="1"/>
        <v>7</v>
      </c>
      <c r="R19" s="36">
        <f t="shared" si="1"/>
        <v>7</v>
      </c>
      <c r="S19" s="36">
        <f t="shared" si="1"/>
        <v>7</v>
      </c>
      <c r="U19" s="37">
        <f t="shared" si="2"/>
        <v>7</v>
      </c>
      <c r="V19" s="38">
        <f>K19</f>
        <v>8</v>
      </c>
      <c r="W19" s="39" t="str">
        <f t="shared" si="3"/>
        <v/>
      </c>
    </row>
    <row r="20" spans="2:23" ht="15" customHeight="1" x14ac:dyDescent="0.3">
      <c r="B20" s="34">
        <v>0.39</v>
      </c>
      <c r="C20" s="36">
        <f t="shared" si="0"/>
        <v>7</v>
      </c>
      <c r="D20" s="36">
        <f t="shared" si="0"/>
        <v>7</v>
      </c>
      <c r="E20" s="36">
        <f t="shared" si="0"/>
        <v>7</v>
      </c>
      <c r="F20" s="36">
        <f t="shared" si="0"/>
        <v>7</v>
      </c>
      <c r="G20" s="36">
        <f t="shared" si="0"/>
        <v>7</v>
      </c>
      <c r="H20" s="36">
        <f t="shared" si="0"/>
        <v>7</v>
      </c>
      <c r="I20" s="36">
        <f t="shared" si="0"/>
        <v>7</v>
      </c>
      <c r="J20" s="36">
        <f t="shared" si="0"/>
        <v>8</v>
      </c>
      <c r="K20" s="36">
        <f t="shared" si="0"/>
        <v>8</v>
      </c>
      <c r="L20" s="36">
        <f t="shared" si="0"/>
        <v>8</v>
      </c>
      <c r="M20" s="36">
        <f t="shared" si="1"/>
        <v>8</v>
      </c>
      <c r="N20" s="36">
        <f t="shared" si="1"/>
        <v>8</v>
      </c>
      <c r="O20" s="36">
        <f t="shared" si="1"/>
        <v>8</v>
      </c>
      <c r="P20" s="36">
        <f t="shared" si="1"/>
        <v>7</v>
      </c>
      <c r="Q20" s="36">
        <f t="shared" si="1"/>
        <v>7</v>
      </c>
      <c r="R20" s="36">
        <f t="shared" si="1"/>
        <v>7</v>
      </c>
      <c r="S20" s="36">
        <f t="shared" si="1"/>
        <v>7</v>
      </c>
      <c r="U20" s="37">
        <f t="shared" si="2"/>
        <v>7</v>
      </c>
      <c r="V20" s="38">
        <f>L20</f>
        <v>8</v>
      </c>
      <c r="W20" s="39" t="str">
        <f t="shared" si="3"/>
        <v/>
      </c>
    </row>
    <row r="21" spans="2:23" ht="15" customHeight="1" x14ac:dyDescent="0.3">
      <c r="B21" s="34">
        <v>0.4</v>
      </c>
      <c r="C21" s="36">
        <f t="shared" ref="C21:L27" si="4">IF(OR((1-$B21-C$10)&lt;=0.1,(1-$B21-C$10)&gt;=0.35),"",ROUNDUP($C$5*$B21/$G$5,0)+ROUNDUP($C$5*C$10/$G$5,0)+ROUNDUP($C$5*(1-$B21-C$10)/$G$5,0))</f>
        <v>7</v>
      </c>
      <c r="D21" s="36">
        <f t="shared" si="4"/>
        <v>7</v>
      </c>
      <c r="E21" s="36">
        <f t="shared" si="4"/>
        <v>7</v>
      </c>
      <c r="F21" s="36">
        <f t="shared" si="4"/>
        <v>7</v>
      </c>
      <c r="G21" s="36">
        <f t="shared" si="4"/>
        <v>7</v>
      </c>
      <c r="H21" s="36">
        <f t="shared" si="4"/>
        <v>7</v>
      </c>
      <c r="I21" s="36">
        <f t="shared" si="4"/>
        <v>7</v>
      </c>
      <c r="J21" s="36">
        <f t="shared" si="4"/>
        <v>8</v>
      </c>
      <c r="K21" s="36">
        <f t="shared" si="4"/>
        <v>8</v>
      </c>
      <c r="L21" s="36">
        <f t="shared" si="4"/>
        <v>8</v>
      </c>
      <c r="M21" s="36">
        <f t="shared" ref="M21:S27" si="5">IF(OR((1-$B21-M$10)&lt;=0.1,(1-$B21-M$10)&gt;=0.35),"",ROUNDUP($C$5*$B21/$G$5,0)+ROUNDUP($C$5*M$10/$G$5,0)+ROUNDUP($C$5*(1-$B21-M$10)/$G$5,0))</f>
        <v>8</v>
      </c>
      <c r="N21" s="36">
        <f t="shared" si="5"/>
        <v>8</v>
      </c>
      <c r="O21" s="36">
        <f t="shared" si="5"/>
        <v>7</v>
      </c>
      <c r="P21" s="36">
        <f t="shared" si="5"/>
        <v>7</v>
      </c>
      <c r="Q21" s="36">
        <f t="shared" si="5"/>
        <v>7</v>
      </c>
      <c r="R21" s="36">
        <f t="shared" si="5"/>
        <v>7</v>
      </c>
      <c r="S21" s="36">
        <f t="shared" si="5"/>
        <v>7</v>
      </c>
      <c r="U21" s="37">
        <f t="shared" si="2"/>
        <v>7</v>
      </c>
      <c r="V21" s="38">
        <f>M21</f>
        <v>8</v>
      </c>
      <c r="W21" s="39" t="str">
        <f t="shared" si="3"/>
        <v/>
      </c>
    </row>
    <row r="22" spans="2:23" ht="15" customHeight="1" x14ac:dyDescent="0.3">
      <c r="B22" s="34">
        <v>0.41</v>
      </c>
      <c r="C22" s="36">
        <f t="shared" si="4"/>
        <v>7</v>
      </c>
      <c r="D22" s="36">
        <f t="shared" si="4"/>
        <v>7</v>
      </c>
      <c r="E22" s="36">
        <f t="shared" si="4"/>
        <v>7</v>
      </c>
      <c r="F22" s="36">
        <f t="shared" si="4"/>
        <v>7</v>
      </c>
      <c r="G22" s="36">
        <f t="shared" si="4"/>
        <v>7</v>
      </c>
      <c r="H22" s="36">
        <f t="shared" si="4"/>
        <v>7</v>
      </c>
      <c r="I22" s="36">
        <f t="shared" si="4"/>
        <v>7</v>
      </c>
      <c r="J22" s="36">
        <f t="shared" si="4"/>
        <v>8</v>
      </c>
      <c r="K22" s="36">
        <f t="shared" si="4"/>
        <v>8</v>
      </c>
      <c r="L22" s="36">
        <f t="shared" si="4"/>
        <v>8</v>
      </c>
      <c r="M22" s="36">
        <f t="shared" si="5"/>
        <v>8</v>
      </c>
      <c r="N22" s="36">
        <f t="shared" si="5"/>
        <v>7</v>
      </c>
      <c r="O22" s="36">
        <f t="shared" si="5"/>
        <v>7</v>
      </c>
      <c r="P22" s="36">
        <f t="shared" si="5"/>
        <v>7</v>
      </c>
      <c r="Q22" s="36">
        <f t="shared" si="5"/>
        <v>7</v>
      </c>
      <c r="R22" s="36">
        <f t="shared" si="5"/>
        <v>7</v>
      </c>
      <c r="S22" s="36">
        <f t="shared" si="5"/>
        <v>7</v>
      </c>
      <c r="U22" s="37">
        <f t="shared" si="2"/>
        <v>7</v>
      </c>
      <c r="V22" s="38">
        <f>N22</f>
        <v>7</v>
      </c>
      <c r="W22" s="39" t="str">
        <f t="shared" si="3"/>
        <v/>
      </c>
    </row>
    <row r="23" spans="2:23" ht="15" customHeight="1" x14ac:dyDescent="0.3">
      <c r="B23" s="34">
        <v>0.42</v>
      </c>
      <c r="C23" s="36">
        <f t="shared" si="4"/>
        <v>7</v>
      </c>
      <c r="D23" s="36">
        <f t="shared" si="4"/>
        <v>7</v>
      </c>
      <c r="E23" s="36">
        <f t="shared" si="4"/>
        <v>7</v>
      </c>
      <c r="F23" s="36">
        <f t="shared" si="4"/>
        <v>7</v>
      </c>
      <c r="G23" s="36">
        <f t="shared" si="4"/>
        <v>7</v>
      </c>
      <c r="H23" s="36">
        <f t="shared" si="4"/>
        <v>7</v>
      </c>
      <c r="I23" s="36">
        <f t="shared" si="4"/>
        <v>7</v>
      </c>
      <c r="J23" s="36">
        <f t="shared" si="4"/>
        <v>8</v>
      </c>
      <c r="K23" s="36">
        <f t="shared" si="4"/>
        <v>8</v>
      </c>
      <c r="L23" s="36">
        <f t="shared" si="4"/>
        <v>8</v>
      </c>
      <c r="M23" s="36">
        <f t="shared" si="5"/>
        <v>7</v>
      </c>
      <c r="N23" s="36">
        <f t="shared" si="5"/>
        <v>7</v>
      </c>
      <c r="O23" s="36">
        <f t="shared" si="5"/>
        <v>7</v>
      </c>
      <c r="P23" s="36">
        <f t="shared" si="5"/>
        <v>7</v>
      </c>
      <c r="Q23" s="36">
        <f t="shared" si="5"/>
        <v>7</v>
      </c>
      <c r="R23" s="36">
        <f t="shared" si="5"/>
        <v>7</v>
      </c>
      <c r="S23" s="36">
        <f t="shared" si="5"/>
        <v>7</v>
      </c>
      <c r="U23" s="37">
        <f t="shared" si="2"/>
        <v>7</v>
      </c>
      <c r="V23" s="38">
        <f>O23</f>
        <v>7</v>
      </c>
      <c r="W23" s="39" t="str">
        <f t="shared" si="3"/>
        <v/>
      </c>
    </row>
    <row r="24" spans="2:23" ht="15" customHeight="1" x14ac:dyDescent="0.3">
      <c r="B24" s="34">
        <v>0.43</v>
      </c>
      <c r="C24" s="36">
        <f t="shared" si="4"/>
        <v>7</v>
      </c>
      <c r="D24" s="36">
        <f t="shared" si="4"/>
        <v>7</v>
      </c>
      <c r="E24" s="36">
        <f t="shared" si="4"/>
        <v>7</v>
      </c>
      <c r="F24" s="36">
        <f t="shared" si="4"/>
        <v>7</v>
      </c>
      <c r="G24" s="36">
        <f t="shared" si="4"/>
        <v>7</v>
      </c>
      <c r="H24" s="36">
        <f t="shared" si="4"/>
        <v>7</v>
      </c>
      <c r="I24" s="36">
        <f t="shared" si="4"/>
        <v>7</v>
      </c>
      <c r="J24" s="36">
        <f t="shared" si="4"/>
        <v>8</v>
      </c>
      <c r="K24" s="36">
        <f t="shared" si="4"/>
        <v>8</v>
      </c>
      <c r="L24" s="36">
        <f t="shared" si="4"/>
        <v>7</v>
      </c>
      <c r="M24" s="36">
        <f t="shared" si="5"/>
        <v>7</v>
      </c>
      <c r="N24" s="36">
        <f t="shared" si="5"/>
        <v>7</v>
      </c>
      <c r="O24" s="36">
        <f t="shared" si="5"/>
        <v>7</v>
      </c>
      <c r="P24" s="36">
        <f t="shared" si="5"/>
        <v>7</v>
      </c>
      <c r="Q24" s="36">
        <f t="shared" si="5"/>
        <v>7</v>
      </c>
      <c r="R24" s="36">
        <f t="shared" si="5"/>
        <v>7</v>
      </c>
      <c r="S24" s="36">
        <f t="shared" si="5"/>
        <v>7</v>
      </c>
      <c r="U24" s="37">
        <f t="shared" si="2"/>
        <v>7</v>
      </c>
      <c r="V24" s="38">
        <f>P24</f>
        <v>7</v>
      </c>
      <c r="W24" s="39" t="str">
        <f t="shared" si="3"/>
        <v/>
      </c>
    </row>
    <row r="25" spans="2:23" ht="15" customHeight="1" x14ac:dyDescent="0.3">
      <c r="B25" s="34">
        <v>0.44</v>
      </c>
      <c r="C25" s="36">
        <f t="shared" si="4"/>
        <v>7</v>
      </c>
      <c r="D25" s="36">
        <f t="shared" si="4"/>
        <v>7</v>
      </c>
      <c r="E25" s="36">
        <f t="shared" si="4"/>
        <v>7</v>
      </c>
      <c r="F25" s="36">
        <f t="shared" si="4"/>
        <v>7</v>
      </c>
      <c r="G25" s="36">
        <f t="shared" si="4"/>
        <v>7</v>
      </c>
      <c r="H25" s="36">
        <f t="shared" si="4"/>
        <v>7</v>
      </c>
      <c r="I25" s="36">
        <f t="shared" si="4"/>
        <v>7</v>
      </c>
      <c r="J25" s="36">
        <f t="shared" si="4"/>
        <v>8</v>
      </c>
      <c r="K25" s="36">
        <f t="shared" si="4"/>
        <v>7</v>
      </c>
      <c r="L25" s="36">
        <f t="shared" si="4"/>
        <v>7</v>
      </c>
      <c r="M25" s="36">
        <f t="shared" si="5"/>
        <v>7</v>
      </c>
      <c r="N25" s="36">
        <f t="shared" si="5"/>
        <v>7</v>
      </c>
      <c r="O25" s="36">
        <f t="shared" si="5"/>
        <v>7</v>
      </c>
      <c r="P25" s="36">
        <f t="shared" si="5"/>
        <v>7</v>
      </c>
      <c r="Q25" s="36">
        <f t="shared" si="5"/>
        <v>7</v>
      </c>
      <c r="R25" s="36">
        <f t="shared" si="5"/>
        <v>7</v>
      </c>
      <c r="S25" s="36" t="str">
        <f t="shared" si="5"/>
        <v/>
      </c>
      <c r="U25" s="37">
        <f t="shared" si="2"/>
        <v>7</v>
      </c>
      <c r="V25" s="38">
        <f>Q25</f>
        <v>7</v>
      </c>
      <c r="W25" s="39" t="str">
        <f t="shared" si="3"/>
        <v/>
      </c>
    </row>
    <row r="26" spans="2:23" ht="15" customHeight="1" x14ac:dyDescent="0.3">
      <c r="B26" s="34">
        <v>0.45</v>
      </c>
      <c r="C26" s="36">
        <f t="shared" si="4"/>
        <v>7</v>
      </c>
      <c r="D26" s="36">
        <f t="shared" si="4"/>
        <v>7</v>
      </c>
      <c r="E26" s="36">
        <f t="shared" si="4"/>
        <v>7</v>
      </c>
      <c r="F26" s="36">
        <f t="shared" si="4"/>
        <v>7</v>
      </c>
      <c r="G26" s="36">
        <f t="shared" si="4"/>
        <v>7</v>
      </c>
      <c r="H26" s="36">
        <f t="shared" si="4"/>
        <v>7</v>
      </c>
      <c r="I26" s="36">
        <f t="shared" si="4"/>
        <v>7</v>
      </c>
      <c r="J26" s="36">
        <f t="shared" si="4"/>
        <v>7</v>
      </c>
      <c r="K26" s="36">
        <f t="shared" si="4"/>
        <v>7</v>
      </c>
      <c r="L26" s="36">
        <f t="shared" si="4"/>
        <v>7</v>
      </c>
      <c r="M26" s="36">
        <f t="shared" si="5"/>
        <v>7</v>
      </c>
      <c r="N26" s="36">
        <f t="shared" si="5"/>
        <v>7</v>
      </c>
      <c r="O26" s="36">
        <f t="shared" si="5"/>
        <v>7</v>
      </c>
      <c r="P26" s="36">
        <f t="shared" si="5"/>
        <v>7</v>
      </c>
      <c r="Q26" s="36">
        <f t="shared" si="5"/>
        <v>7</v>
      </c>
      <c r="R26" s="36" t="str">
        <f t="shared" si="5"/>
        <v/>
      </c>
      <c r="S26" s="36" t="str">
        <f t="shared" si="5"/>
        <v/>
      </c>
      <c r="U26" s="37">
        <f t="shared" si="2"/>
        <v>7</v>
      </c>
      <c r="V26" s="38" t="str">
        <f>R26</f>
        <v/>
      </c>
      <c r="W26" s="39" t="str">
        <f t="shared" si="3"/>
        <v/>
      </c>
    </row>
    <row r="27" spans="2:23" ht="15" customHeight="1" x14ac:dyDescent="0.3">
      <c r="B27" s="34">
        <v>0.46</v>
      </c>
      <c r="C27" s="36">
        <f t="shared" si="4"/>
        <v>7</v>
      </c>
      <c r="D27" s="36">
        <f t="shared" si="4"/>
        <v>7</v>
      </c>
      <c r="E27" s="36">
        <f t="shared" si="4"/>
        <v>7</v>
      </c>
      <c r="F27" s="36">
        <f t="shared" si="4"/>
        <v>7</v>
      </c>
      <c r="G27" s="36">
        <f t="shared" si="4"/>
        <v>7</v>
      </c>
      <c r="H27" s="36">
        <f t="shared" si="4"/>
        <v>7</v>
      </c>
      <c r="I27" s="36">
        <f t="shared" si="4"/>
        <v>6</v>
      </c>
      <c r="J27" s="36">
        <f t="shared" si="4"/>
        <v>7</v>
      </c>
      <c r="K27" s="36">
        <f t="shared" si="4"/>
        <v>7</v>
      </c>
      <c r="L27" s="36">
        <f t="shared" si="4"/>
        <v>7</v>
      </c>
      <c r="M27" s="36">
        <f t="shared" si="5"/>
        <v>7</v>
      </c>
      <c r="N27" s="36">
        <f t="shared" si="5"/>
        <v>7</v>
      </c>
      <c r="O27" s="36">
        <f t="shared" si="5"/>
        <v>7</v>
      </c>
      <c r="P27" s="36">
        <f t="shared" si="5"/>
        <v>7</v>
      </c>
      <c r="Q27" s="36" t="str">
        <f t="shared" si="5"/>
        <v/>
      </c>
      <c r="R27" s="36" t="str">
        <f t="shared" si="5"/>
        <v/>
      </c>
      <c r="S27" s="36" t="str">
        <f t="shared" si="5"/>
        <v/>
      </c>
      <c r="U27" s="37">
        <f t="shared" si="2"/>
        <v>6</v>
      </c>
      <c r="V27" s="38" t="str">
        <f>S27</f>
        <v/>
      </c>
      <c r="W27" s="39" t="str">
        <f t="shared" si="3"/>
        <v/>
      </c>
    </row>
  </sheetData>
  <mergeCells count="6">
    <mergeCell ref="B9:E9"/>
    <mergeCell ref="B7:C7"/>
    <mergeCell ref="B3:S3"/>
    <mergeCell ref="B2:S2"/>
    <mergeCell ref="G9:S9"/>
    <mergeCell ref="E5:F5"/>
  </mergeCells>
  <conditionalFormatting sqref="C11:S27">
    <cfRule type="expression" dxfId="0" priority="2">
      <formula>AND(ISNUMBER(C11),C11=$F$9)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E26"/>
  <sheetViews>
    <sheetView showGridLines="0" tabSelected="1" topLeftCell="A17" zoomScale="130" zoomScaleNormal="130" workbookViewId="0">
      <selection activeCell="C21" sqref="C21"/>
    </sheetView>
  </sheetViews>
  <sheetFormatPr defaultColWidth="8.6640625" defaultRowHeight="14.4" x14ac:dyDescent="0.3"/>
  <cols>
    <col min="1" max="1" width="3" customWidth="1"/>
    <col min="2" max="2" width="20.88671875" customWidth="1"/>
    <col min="3" max="3" width="22.44140625" customWidth="1"/>
    <col min="4" max="5" width="17" customWidth="1"/>
  </cols>
  <sheetData>
    <row r="2" spans="2:4" ht="25.5" customHeight="1" x14ac:dyDescent="0.3">
      <c r="B2" s="40" t="s">
        <v>51</v>
      </c>
      <c r="C2" s="40" t="s">
        <v>52</v>
      </c>
      <c r="D2" s="40" t="s">
        <v>53</v>
      </c>
    </row>
    <row r="3" spans="2:4" ht="27" customHeight="1" x14ac:dyDescent="0.3">
      <c r="B3" s="41">
        <v>1</v>
      </c>
      <c r="C3" s="42">
        <f>AJUSTE!G14</f>
        <v>655</v>
      </c>
      <c r="D3" s="42">
        <f>AJUSTE!H14</f>
        <v>288</v>
      </c>
    </row>
    <row r="4" spans="2:4" ht="27" customHeight="1" x14ac:dyDescent="0.3">
      <c r="B4" s="41">
        <v>2</v>
      </c>
      <c r="C4" s="42">
        <f>AJUSTE!G15</f>
        <v>200</v>
      </c>
      <c r="D4" s="42">
        <f>AJUSTE!H15</f>
        <v>88</v>
      </c>
    </row>
    <row r="5" spans="2:4" ht="27" customHeight="1" x14ac:dyDescent="0.3">
      <c r="B5" s="41">
        <v>3</v>
      </c>
      <c r="C5" s="42">
        <f>AJUSTE!G16</f>
        <v>663</v>
      </c>
      <c r="D5" s="42">
        <f>AJUSTE!H16</f>
        <v>291</v>
      </c>
    </row>
    <row r="6" spans="2:4" ht="27" customHeight="1" x14ac:dyDescent="0.3">
      <c r="B6" s="41">
        <v>4</v>
      </c>
      <c r="C6" s="42">
        <f>AJUSTE!G17</f>
        <v>687</v>
      </c>
      <c r="D6" s="42">
        <f>AJUSTE!H17</f>
        <v>302</v>
      </c>
    </row>
    <row r="7" spans="2:4" ht="27" customHeight="1" x14ac:dyDescent="0.3">
      <c r="B7" s="41">
        <v>5</v>
      </c>
      <c r="C7" s="42">
        <f>AJUSTE!G18</f>
        <v>636</v>
      </c>
      <c r="D7" s="42">
        <f>AJUSTE!H18</f>
        <v>279</v>
      </c>
    </row>
    <row r="8" spans="2:4" ht="27" customHeight="1" x14ac:dyDescent="0.3">
      <c r="B8" s="41">
        <v>6</v>
      </c>
      <c r="C8" s="42">
        <f>AJUSTE!G19</f>
        <v>595</v>
      </c>
      <c r="D8" s="42">
        <f>AJUSTE!H19</f>
        <v>261</v>
      </c>
    </row>
    <row r="9" spans="2:4" ht="27" customHeight="1" x14ac:dyDescent="0.3">
      <c r="B9" s="41">
        <v>7</v>
      </c>
      <c r="C9" s="42">
        <f>AJUSTE!G20</f>
        <v>640</v>
      </c>
      <c r="D9" s="42">
        <f>AJUSTE!H20</f>
        <v>281</v>
      </c>
    </row>
    <row r="10" spans="2:4" ht="27" customHeight="1" x14ac:dyDescent="0.3">
      <c r="B10" s="41">
        <v>8</v>
      </c>
      <c r="C10" s="42">
        <f>AJUSTE!G21</f>
        <v>511</v>
      </c>
      <c r="D10" s="42">
        <f>AJUSTE!H21</f>
        <v>224</v>
      </c>
    </row>
    <row r="11" spans="2:4" ht="27" customHeight="1" x14ac:dyDescent="0.3">
      <c r="B11" s="41">
        <v>9</v>
      </c>
      <c r="C11" s="42">
        <f>AJUSTE!G22</f>
        <v>87</v>
      </c>
      <c r="D11" s="42">
        <f>AJUSTE!H22</f>
        <v>38</v>
      </c>
    </row>
    <row r="12" spans="2:4" ht="27" customHeight="1" x14ac:dyDescent="0.3">
      <c r="B12" s="41">
        <v>10</v>
      </c>
      <c r="C12" s="42">
        <f>AJUSTE!G23</f>
        <v>228</v>
      </c>
      <c r="D12" s="42">
        <f>AJUSTE!H23</f>
        <v>100</v>
      </c>
    </row>
    <row r="14" spans="2:4" ht="22.5" customHeight="1" x14ac:dyDescent="0.3">
      <c r="B14" s="50" t="s">
        <v>54</v>
      </c>
      <c r="C14" s="48"/>
      <c r="D14" s="49"/>
    </row>
    <row r="15" spans="2:4" ht="21.75" customHeight="1" x14ac:dyDescent="0.3">
      <c r="B15" s="47" t="s">
        <v>55</v>
      </c>
      <c r="C15" s="48"/>
      <c r="D15" s="49"/>
    </row>
    <row r="18" spans="2:5" ht="58.05" customHeight="1" x14ac:dyDescent="0.3">
      <c r="B18" s="44" t="s">
        <v>56</v>
      </c>
      <c r="C18" s="44" t="str">
        <f>"VAGÃO GRANDE"&amp;CHAR(10)&amp;"("&amp;TEXT(AJUSTE!D5,"#,##0")&amp;" kg)"</f>
        <v>VAGÃO GRANDE
(2200,0 kg)</v>
      </c>
      <c r="D18" s="44" t="str">
        <f>"VAGÃO PEQUENO"&amp;CHAR(10)&amp;"MANHÃ/TARDE ("&amp;TEXT(AJUSTE!E28,"0")&amp;" kg)"</f>
        <v>VAGÃO PEQUENO
MANHÃ/TARDE (502 kg)</v>
      </c>
      <c r="E18" s="44" t="str">
        <f>"VAGÃO PEQUENO"&amp;CHAR(10)&amp;"ALMOÇO — MENOR ("&amp;TEXT(AJUSTE!E29,"0")&amp;" kg)"</f>
        <v>VAGÃO PEQUENO
ALMOÇO — MENOR (2152 kg)</v>
      </c>
    </row>
    <row r="19" spans="2:5" ht="24.75" customHeight="1" x14ac:dyDescent="0.3">
      <c r="B19" s="43" t="s">
        <v>57</v>
      </c>
      <c r="C19" s="45">
        <f>AJUSTE!D35</f>
        <v>1100</v>
      </c>
      <c r="D19" s="46">
        <f>AJUSTE!E35</f>
        <v>251</v>
      </c>
      <c r="E19" s="46">
        <f>AJUSTE!F35</f>
        <v>1076</v>
      </c>
    </row>
    <row r="20" spans="2:5" ht="24.75" customHeight="1" x14ac:dyDescent="0.3">
      <c r="B20" s="43" t="s">
        <v>58</v>
      </c>
      <c r="C20" s="45">
        <f>AJUSTE!D36</f>
        <v>264</v>
      </c>
      <c r="D20" s="46">
        <f>AJUSTE!E36</f>
        <v>60.2</v>
      </c>
      <c r="E20" s="46">
        <f>AJUSTE!F36</f>
        <v>258.2</v>
      </c>
    </row>
    <row r="21" spans="2:5" ht="24.75" customHeight="1" x14ac:dyDescent="0.3">
      <c r="B21" s="43" t="s">
        <v>59</v>
      </c>
      <c r="C21" s="45">
        <f>AJUSTE!D37</f>
        <v>798.6</v>
      </c>
      <c r="D21" s="46">
        <f>AJUSTE!E37</f>
        <v>182.2</v>
      </c>
      <c r="E21" s="46">
        <f>AJUSTE!F37</f>
        <v>781.2</v>
      </c>
    </row>
    <row r="22" spans="2:5" ht="24.75" customHeight="1" x14ac:dyDescent="0.3">
      <c r="B22" s="43" t="s">
        <v>60</v>
      </c>
      <c r="C22" s="45">
        <f>AJUSTE!D38</f>
        <v>15.4</v>
      </c>
      <c r="D22" s="46">
        <f>AJUSTE!E38</f>
        <v>3.5</v>
      </c>
      <c r="E22" s="46">
        <f>AJUSTE!F38</f>
        <v>15.1</v>
      </c>
    </row>
    <row r="23" spans="2:5" ht="24.75" customHeight="1" x14ac:dyDescent="0.3">
      <c r="B23" s="43" t="s">
        <v>61</v>
      </c>
      <c r="C23" s="45">
        <f>AJUSTE!D39</f>
        <v>22</v>
      </c>
      <c r="D23" s="46">
        <f>AJUSTE!E39</f>
        <v>5</v>
      </c>
      <c r="E23" s="46">
        <f>AJUSTE!F39</f>
        <v>21.5</v>
      </c>
    </row>
    <row r="25" spans="2:5" ht="22.5" customHeight="1" x14ac:dyDescent="0.3">
      <c r="B25" s="50" t="str">
        <f>"MANHÃ E TARDE: "&amp;AJUSTE!D28&amp;" VAGÃO GRANDE"&amp;IF(AJUSTE!E28&gt;0," + 1 PEQUENO","")</f>
        <v>MANHÃ E TARDE: 2 VAGÃO GRANDE + 1 PEQUENO</v>
      </c>
      <c r="C25" s="48"/>
      <c r="D25" s="48"/>
      <c r="E25" s="49"/>
    </row>
    <row r="26" spans="2:5" ht="22.5" customHeight="1" x14ac:dyDescent="0.3">
      <c r="B26" s="50" t="str">
        <f>"ALMOÇO: "&amp;AJUSTE!D29&amp;" VAGÃO GRANDE"&amp;IF(AJUSTE!E29&gt;0," + 1 PEQUENO (MENOR)","")</f>
        <v>ALMOÇO: 0 VAGÃO GRANDE + 1 PEQUENO (MENOR)</v>
      </c>
      <c r="C26" s="48"/>
      <c r="D26" s="48"/>
      <c r="E26" s="49"/>
    </row>
  </sheetData>
  <mergeCells count="4">
    <mergeCell ref="B15:D15"/>
    <mergeCell ref="B26:E26"/>
    <mergeCell ref="B25:E25"/>
    <mergeCell ref="B14:D14"/>
  </mergeCells>
  <pageMargins left="0.4" right="0.4" top="0.5" bottom="0.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AJUSTE</vt:lpstr>
      <vt:lpstr>SIMULADOR</vt:lpstr>
      <vt:lpstr>IMPRESSÃO</vt:lpstr>
      <vt:lpstr>IMPRESSÃO!Area_de_impressao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 Neira Miras</cp:lastModifiedBy>
  <cp:revision>0</cp:revision>
  <cp:lastPrinted>2026-08-10T12:09:05Z</cp:lastPrinted>
  <dcterms:created xsi:type="dcterms:W3CDTF">2026-08-07T17:42:33Z</dcterms:created>
  <dcterms:modified xsi:type="dcterms:W3CDTF">2026-08-14T18:55:39Z</dcterms:modified>
  <dc:language>en-US</dc:language>
</cp:coreProperties>
</file>