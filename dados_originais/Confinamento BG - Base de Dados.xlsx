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6d263c7d248ff7d/Área de Trabalho/CLAUDE/CONFINAMENTO BG/"/>
    </mc:Choice>
  </mc:AlternateContent>
  <xr:revisionPtr revIDLastSave="6" documentId="11_7F47EFCC85294A3C30A8C2EC05542E89C334E89B" xr6:coauthVersionLast="47" xr6:coauthVersionMax="47" xr10:uidLastSave="{B2A7D17C-D6B4-41B6-ADFE-A1E37BE93695}"/>
  <bookViews>
    <workbookView xWindow="-108" yWindow="-108" windowWidth="23256" windowHeight="12456" tabRatio="500" activeTab="1" xr2:uid="{00000000-000D-0000-FFFF-FFFF00000000}"/>
  </bookViews>
  <sheets>
    <sheet name="Dashboard" sheetId="1" r:id="rId1"/>
    <sheet name="Venda_Nelore" sheetId="2" r:id="rId2"/>
    <sheet name="Parâmetros" sheetId="3" r:id="rId3"/>
    <sheet name="Precos_Insumos" sheetId="4" r:id="rId4"/>
    <sheet name="Estoque_Insumos" sheetId="5" r:id="rId5"/>
    <sheet name="Ingredientes_Dieta" sheetId="6" r:id="rId6"/>
    <sheet name="Calculadora_Trato" sheetId="7" r:id="rId7"/>
    <sheet name="Trato_Diario" sheetId="8" r:id="rId8"/>
    <sheet name="Custo_Nutricao_Lote" sheetId="9" r:id="rId9"/>
    <sheet name="Custo_Diario_Cab" sheetId="10" r:id="rId10"/>
    <sheet name="Historico_KPIs" sheetId="11" r:id="rId11"/>
    <sheet name="Cadastro_Animais" sheetId="12" r:id="rId12"/>
    <sheet name="Pesagens" sheetId="13" r:id="rId13"/>
    <sheet name="Currais" sheetId="14" r:id="rId14"/>
  </sheets>
  <definedNames>
    <definedName name="_xlnm.Print_Area" localSheetId="11">Cadastro_Animais!$B$87:$P$115</definedName>
    <definedName name="_xlnm.Print_Titles" localSheetId="11">Cadastro_Animais!$2:$2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4" l="1"/>
  <c r="O8" i="14"/>
  <c r="N8" i="14"/>
  <c r="M8" i="14"/>
  <c r="L8" i="14"/>
  <c r="D8" i="14"/>
  <c r="C8" i="14"/>
  <c r="C13" i="7" s="1"/>
  <c r="P7" i="14"/>
  <c r="O7" i="14"/>
  <c r="N7" i="14"/>
  <c r="M7" i="14"/>
  <c r="L7" i="14"/>
  <c r="D7" i="14"/>
  <c r="C7" i="14"/>
  <c r="C12" i="7" s="1"/>
  <c r="P6" i="14"/>
  <c r="O6" i="14"/>
  <c r="N6" i="14"/>
  <c r="M6" i="14"/>
  <c r="L6" i="14"/>
  <c r="D6" i="14"/>
  <c r="C6" i="14"/>
  <c r="P5" i="14"/>
  <c r="O5" i="14"/>
  <c r="N5" i="14"/>
  <c r="M5" i="14"/>
  <c r="L5" i="14"/>
  <c r="D5" i="14"/>
  <c r="C5" i="14"/>
  <c r="P4" i="14"/>
  <c r="O4" i="14"/>
  <c r="N4" i="14"/>
  <c r="M4" i="14"/>
  <c r="L4" i="14"/>
  <c r="D4" i="14"/>
  <c r="C4" i="14"/>
  <c r="P3" i="14"/>
  <c r="O3" i="14"/>
  <c r="N3" i="14"/>
  <c r="M3" i="14"/>
  <c r="L3" i="14"/>
  <c r="D3" i="14"/>
  <c r="C3" i="14"/>
  <c r="J387" i="12"/>
  <c r="H387" i="12"/>
  <c r="I387" i="12" s="1"/>
  <c r="J386" i="12"/>
  <c r="H386" i="12"/>
  <c r="I386" i="12" s="1"/>
  <c r="J385" i="12"/>
  <c r="H385" i="12"/>
  <c r="I385" i="12" s="1"/>
  <c r="J384" i="12"/>
  <c r="H384" i="12"/>
  <c r="I384" i="12" s="1"/>
  <c r="J383" i="12"/>
  <c r="H383" i="12"/>
  <c r="I383" i="12" s="1"/>
  <c r="J382" i="12"/>
  <c r="H382" i="12"/>
  <c r="I382" i="12" s="1"/>
  <c r="J381" i="12"/>
  <c r="H381" i="12"/>
  <c r="I381" i="12" s="1"/>
  <c r="J380" i="12"/>
  <c r="H380" i="12"/>
  <c r="I380" i="12" s="1"/>
  <c r="J379" i="12"/>
  <c r="H379" i="12"/>
  <c r="I379" i="12" s="1"/>
  <c r="J378" i="12"/>
  <c r="H378" i="12"/>
  <c r="I378" i="12" s="1"/>
  <c r="J377" i="12"/>
  <c r="H377" i="12"/>
  <c r="I377" i="12" s="1"/>
  <c r="J376" i="12"/>
  <c r="H376" i="12"/>
  <c r="I376" i="12" s="1"/>
  <c r="J375" i="12"/>
  <c r="H375" i="12"/>
  <c r="I375" i="12" s="1"/>
  <c r="J374" i="12"/>
  <c r="H374" i="12"/>
  <c r="I374" i="12" s="1"/>
  <c r="J373" i="12"/>
  <c r="H373" i="12"/>
  <c r="I373" i="12" s="1"/>
  <c r="J372" i="12"/>
  <c r="H372" i="12"/>
  <c r="I372" i="12" s="1"/>
  <c r="J371" i="12"/>
  <c r="H371" i="12"/>
  <c r="I371" i="12" s="1"/>
  <c r="J370" i="12"/>
  <c r="H370" i="12"/>
  <c r="I370" i="12" s="1"/>
  <c r="J369" i="12"/>
  <c r="H369" i="12"/>
  <c r="I369" i="12" s="1"/>
  <c r="J368" i="12"/>
  <c r="H368" i="12"/>
  <c r="I368" i="12" s="1"/>
  <c r="J367" i="12"/>
  <c r="H367" i="12"/>
  <c r="I367" i="12" s="1"/>
  <c r="J366" i="12"/>
  <c r="H366" i="12"/>
  <c r="I366" i="12" s="1"/>
  <c r="J365" i="12"/>
  <c r="H365" i="12"/>
  <c r="I365" i="12" s="1"/>
  <c r="J364" i="12"/>
  <c r="H364" i="12"/>
  <c r="I364" i="12" s="1"/>
  <c r="J363" i="12"/>
  <c r="H363" i="12"/>
  <c r="I363" i="12" s="1"/>
  <c r="J362" i="12"/>
  <c r="H362" i="12"/>
  <c r="I362" i="12" s="1"/>
  <c r="J361" i="12"/>
  <c r="H361" i="12"/>
  <c r="I361" i="12" s="1"/>
  <c r="J360" i="12"/>
  <c r="H360" i="12"/>
  <c r="I360" i="12" s="1"/>
  <c r="J359" i="12"/>
  <c r="H359" i="12"/>
  <c r="I359" i="12" s="1"/>
  <c r="J358" i="12"/>
  <c r="H358" i="12"/>
  <c r="I358" i="12" s="1"/>
  <c r="J357" i="12"/>
  <c r="H357" i="12"/>
  <c r="I357" i="12" s="1"/>
  <c r="J356" i="12"/>
  <c r="H356" i="12"/>
  <c r="I356" i="12" s="1"/>
  <c r="J355" i="12"/>
  <c r="H355" i="12"/>
  <c r="I355" i="12" s="1"/>
  <c r="J354" i="12"/>
  <c r="H354" i="12"/>
  <c r="I354" i="12" s="1"/>
  <c r="J353" i="12"/>
  <c r="H353" i="12"/>
  <c r="I353" i="12" s="1"/>
  <c r="J352" i="12"/>
  <c r="H352" i="12"/>
  <c r="I352" i="12" s="1"/>
  <c r="J351" i="12"/>
  <c r="H351" i="12"/>
  <c r="I351" i="12" s="1"/>
  <c r="J350" i="12"/>
  <c r="H350" i="12"/>
  <c r="I350" i="12" s="1"/>
  <c r="J349" i="12"/>
  <c r="H349" i="12"/>
  <c r="I349" i="12" s="1"/>
  <c r="J348" i="12"/>
  <c r="H348" i="12"/>
  <c r="I348" i="12" s="1"/>
  <c r="J347" i="12"/>
  <c r="H347" i="12"/>
  <c r="I347" i="12" s="1"/>
  <c r="J346" i="12"/>
  <c r="H346" i="12"/>
  <c r="I346" i="12" s="1"/>
  <c r="J345" i="12"/>
  <c r="H345" i="12"/>
  <c r="I345" i="12" s="1"/>
  <c r="J344" i="12"/>
  <c r="H344" i="12"/>
  <c r="I344" i="12" s="1"/>
  <c r="J343" i="12"/>
  <c r="H343" i="12"/>
  <c r="I343" i="12" s="1"/>
  <c r="J342" i="12"/>
  <c r="H342" i="12"/>
  <c r="I342" i="12" s="1"/>
  <c r="J341" i="12"/>
  <c r="H341" i="12"/>
  <c r="I341" i="12" s="1"/>
  <c r="J340" i="12"/>
  <c r="H340" i="12"/>
  <c r="I340" i="12" s="1"/>
  <c r="J339" i="12"/>
  <c r="H339" i="12"/>
  <c r="I339" i="12" s="1"/>
  <c r="J338" i="12"/>
  <c r="H338" i="12"/>
  <c r="I338" i="12" s="1"/>
  <c r="J337" i="12"/>
  <c r="H337" i="12"/>
  <c r="I337" i="12" s="1"/>
  <c r="J336" i="12"/>
  <c r="H336" i="12"/>
  <c r="I336" i="12" s="1"/>
  <c r="J335" i="12"/>
  <c r="H335" i="12"/>
  <c r="I335" i="12" s="1"/>
  <c r="J334" i="12"/>
  <c r="H334" i="12"/>
  <c r="I334" i="12" s="1"/>
  <c r="J333" i="12"/>
  <c r="H333" i="12"/>
  <c r="I333" i="12" s="1"/>
  <c r="J332" i="12"/>
  <c r="H332" i="12"/>
  <c r="I332" i="12" s="1"/>
  <c r="J331" i="12"/>
  <c r="H331" i="12"/>
  <c r="I331" i="12" s="1"/>
  <c r="J330" i="12"/>
  <c r="H330" i="12"/>
  <c r="I330" i="12" s="1"/>
  <c r="J329" i="12"/>
  <c r="H329" i="12"/>
  <c r="I329" i="12" s="1"/>
  <c r="J328" i="12"/>
  <c r="H328" i="12"/>
  <c r="I328" i="12" s="1"/>
  <c r="J327" i="12"/>
  <c r="H327" i="12"/>
  <c r="I327" i="12" s="1"/>
  <c r="J326" i="12"/>
  <c r="H326" i="12"/>
  <c r="I326" i="12" s="1"/>
  <c r="J325" i="12"/>
  <c r="H325" i="12"/>
  <c r="I325" i="12" s="1"/>
  <c r="J324" i="12"/>
  <c r="H324" i="12"/>
  <c r="I324" i="12" s="1"/>
  <c r="J323" i="12"/>
  <c r="H323" i="12"/>
  <c r="I323" i="12" s="1"/>
  <c r="J322" i="12"/>
  <c r="H322" i="12"/>
  <c r="I322" i="12" s="1"/>
  <c r="J321" i="12"/>
  <c r="H321" i="12"/>
  <c r="I321" i="12" s="1"/>
  <c r="J320" i="12"/>
  <c r="H320" i="12"/>
  <c r="I320" i="12" s="1"/>
  <c r="J319" i="12"/>
  <c r="H319" i="12"/>
  <c r="I319" i="12" s="1"/>
  <c r="J318" i="12"/>
  <c r="H318" i="12"/>
  <c r="I318" i="12" s="1"/>
  <c r="J317" i="12"/>
  <c r="H317" i="12"/>
  <c r="I317" i="12" s="1"/>
  <c r="J316" i="12"/>
  <c r="H316" i="12"/>
  <c r="I316" i="12" s="1"/>
  <c r="J315" i="12"/>
  <c r="H315" i="12"/>
  <c r="I315" i="12" s="1"/>
  <c r="J314" i="12"/>
  <c r="H314" i="12"/>
  <c r="I314" i="12" s="1"/>
  <c r="J313" i="12"/>
  <c r="H313" i="12"/>
  <c r="I313" i="12" s="1"/>
  <c r="J312" i="12"/>
  <c r="H312" i="12"/>
  <c r="I312" i="12" s="1"/>
  <c r="J311" i="12"/>
  <c r="H311" i="12"/>
  <c r="I311" i="12" s="1"/>
  <c r="J310" i="12"/>
  <c r="H310" i="12"/>
  <c r="I310" i="12" s="1"/>
  <c r="J309" i="12"/>
  <c r="H309" i="12"/>
  <c r="I309" i="12" s="1"/>
  <c r="J308" i="12"/>
  <c r="H308" i="12"/>
  <c r="I308" i="12" s="1"/>
  <c r="J307" i="12"/>
  <c r="H307" i="12"/>
  <c r="I307" i="12" s="1"/>
  <c r="J306" i="12"/>
  <c r="H306" i="12"/>
  <c r="I306" i="12" s="1"/>
  <c r="J305" i="12"/>
  <c r="H305" i="12"/>
  <c r="I305" i="12" s="1"/>
  <c r="J304" i="12"/>
  <c r="H304" i="12"/>
  <c r="I304" i="12" s="1"/>
  <c r="J303" i="12"/>
  <c r="H303" i="12"/>
  <c r="I303" i="12" s="1"/>
  <c r="J302" i="12"/>
  <c r="H302" i="12"/>
  <c r="I302" i="12" s="1"/>
  <c r="J301" i="12"/>
  <c r="H301" i="12"/>
  <c r="I301" i="12" s="1"/>
  <c r="J300" i="12"/>
  <c r="H300" i="12"/>
  <c r="I300" i="12" s="1"/>
  <c r="J299" i="12"/>
  <c r="H299" i="12"/>
  <c r="I299" i="12" s="1"/>
  <c r="J298" i="12"/>
  <c r="H298" i="12"/>
  <c r="I298" i="12" s="1"/>
  <c r="J297" i="12"/>
  <c r="H297" i="12"/>
  <c r="I297" i="12" s="1"/>
  <c r="J296" i="12"/>
  <c r="H296" i="12"/>
  <c r="I296" i="12" s="1"/>
  <c r="J295" i="12"/>
  <c r="H295" i="12"/>
  <c r="I295" i="12" s="1"/>
  <c r="J294" i="12"/>
  <c r="H294" i="12"/>
  <c r="I294" i="12" s="1"/>
  <c r="J293" i="12"/>
  <c r="H293" i="12"/>
  <c r="I293" i="12" s="1"/>
  <c r="J292" i="12"/>
  <c r="H292" i="12"/>
  <c r="I292" i="12" s="1"/>
  <c r="J291" i="12"/>
  <c r="H291" i="12"/>
  <c r="I291" i="12" s="1"/>
  <c r="J290" i="12"/>
  <c r="H290" i="12"/>
  <c r="I290" i="12" s="1"/>
  <c r="J289" i="12"/>
  <c r="H289" i="12"/>
  <c r="I289" i="12" s="1"/>
  <c r="J288" i="12"/>
  <c r="H288" i="12"/>
  <c r="I288" i="12" s="1"/>
  <c r="J287" i="12"/>
  <c r="H287" i="12"/>
  <c r="I287" i="12" s="1"/>
  <c r="J286" i="12"/>
  <c r="H286" i="12"/>
  <c r="I286" i="12" s="1"/>
  <c r="J285" i="12"/>
  <c r="H285" i="12"/>
  <c r="I285" i="12" s="1"/>
  <c r="J284" i="12"/>
  <c r="H284" i="12"/>
  <c r="I284" i="12" s="1"/>
  <c r="J283" i="12"/>
  <c r="H283" i="12"/>
  <c r="I283" i="12" s="1"/>
  <c r="J282" i="12"/>
  <c r="H282" i="12"/>
  <c r="I282" i="12" s="1"/>
  <c r="J281" i="12"/>
  <c r="H281" i="12"/>
  <c r="I281" i="12" s="1"/>
  <c r="J280" i="12"/>
  <c r="H280" i="12"/>
  <c r="I280" i="12" s="1"/>
  <c r="J279" i="12"/>
  <c r="H279" i="12"/>
  <c r="I279" i="12" s="1"/>
  <c r="J278" i="12"/>
  <c r="H278" i="12"/>
  <c r="I278" i="12" s="1"/>
  <c r="J277" i="12"/>
  <c r="H277" i="12"/>
  <c r="I277" i="12" s="1"/>
  <c r="J276" i="12"/>
  <c r="H276" i="12"/>
  <c r="I276" i="12" s="1"/>
  <c r="J275" i="12"/>
  <c r="H275" i="12"/>
  <c r="I275" i="12" s="1"/>
  <c r="J274" i="12"/>
  <c r="H274" i="12"/>
  <c r="I274" i="12" s="1"/>
  <c r="J273" i="12"/>
  <c r="H273" i="12"/>
  <c r="I273" i="12" s="1"/>
  <c r="J272" i="12"/>
  <c r="H272" i="12"/>
  <c r="I272" i="12" s="1"/>
  <c r="J271" i="12"/>
  <c r="H271" i="12"/>
  <c r="I271" i="12" s="1"/>
  <c r="J270" i="12"/>
  <c r="H270" i="12"/>
  <c r="I270" i="12" s="1"/>
  <c r="J269" i="12"/>
  <c r="H269" i="12"/>
  <c r="I269" i="12" s="1"/>
  <c r="J268" i="12"/>
  <c r="H268" i="12"/>
  <c r="I268" i="12" s="1"/>
  <c r="J267" i="12"/>
  <c r="H267" i="12"/>
  <c r="I267" i="12" s="1"/>
  <c r="J266" i="12"/>
  <c r="H266" i="12"/>
  <c r="I266" i="12" s="1"/>
  <c r="J265" i="12"/>
  <c r="H265" i="12"/>
  <c r="I265" i="12" s="1"/>
  <c r="J264" i="12"/>
  <c r="H264" i="12"/>
  <c r="I264" i="12" s="1"/>
  <c r="J263" i="12"/>
  <c r="H263" i="12"/>
  <c r="I263" i="12" s="1"/>
  <c r="J262" i="12"/>
  <c r="H262" i="12"/>
  <c r="I262" i="12" s="1"/>
  <c r="J261" i="12"/>
  <c r="H261" i="12"/>
  <c r="I261" i="12" s="1"/>
  <c r="J260" i="12"/>
  <c r="H260" i="12"/>
  <c r="I260" i="12" s="1"/>
  <c r="J259" i="12"/>
  <c r="H259" i="12"/>
  <c r="I259" i="12" s="1"/>
  <c r="J258" i="12"/>
  <c r="H258" i="12"/>
  <c r="I258" i="12" s="1"/>
  <c r="J257" i="12"/>
  <c r="H257" i="12"/>
  <c r="I257" i="12" s="1"/>
  <c r="J256" i="12"/>
  <c r="H256" i="12"/>
  <c r="I256" i="12" s="1"/>
  <c r="J255" i="12"/>
  <c r="H255" i="12"/>
  <c r="I255" i="12" s="1"/>
  <c r="J254" i="12"/>
  <c r="H254" i="12"/>
  <c r="I254" i="12" s="1"/>
  <c r="J253" i="12"/>
  <c r="H253" i="12"/>
  <c r="I253" i="12" s="1"/>
  <c r="J252" i="12"/>
  <c r="H252" i="12"/>
  <c r="I252" i="12" s="1"/>
  <c r="J251" i="12"/>
  <c r="H251" i="12"/>
  <c r="I251" i="12" s="1"/>
  <c r="J250" i="12"/>
  <c r="H250" i="12"/>
  <c r="I250" i="12" s="1"/>
  <c r="J249" i="12"/>
  <c r="H249" i="12"/>
  <c r="I249" i="12" s="1"/>
  <c r="J248" i="12"/>
  <c r="H248" i="12"/>
  <c r="I248" i="12" s="1"/>
  <c r="J247" i="12"/>
  <c r="H247" i="12"/>
  <c r="I247" i="12" s="1"/>
  <c r="J246" i="12"/>
  <c r="H246" i="12"/>
  <c r="I246" i="12" s="1"/>
  <c r="J245" i="12"/>
  <c r="H245" i="12"/>
  <c r="I245" i="12" s="1"/>
  <c r="J244" i="12"/>
  <c r="H244" i="12"/>
  <c r="I244" i="12" s="1"/>
  <c r="J243" i="12"/>
  <c r="H243" i="12"/>
  <c r="I243" i="12" s="1"/>
  <c r="J242" i="12"/>
  <c r="H242" i="12"/>
  <c r="I242" i="12" s="1"/>
  <c r="J241" i="12"/>
  <c r="H241" i="12"/>
  <c r="I241" i="12" s="1"/>
  <c r="J240" i="12"/>
  <c r="H240" i="12"/>
  <c r="I240" i="12" s="1"/>
  <c r="J239" i="12"/>
  <c r="H239" i="12"/>
  <c r="I239" i="12" s="1"/>
  <c r="J238" i="12"/>
  <c r="H238" i="12"/>
  <c r="I238" i="12" s="1"/>
  <c r="J237" i="12"/>
  <c r="H237" i="12"/>
  <c r="I237" i="12" s="1"/>
  <c r="J236" i="12"/>
  <c r="H236" i="12"/>
  <c r="I236" i="12" s="1"/>
  <c r="J235" i="12"/>
  <c r="H235" i="12"/>
  <c r="I235" i="12" s="1"/>
  <c r="J234" i="12"/>
  <c r="H234" i="12"/>
  <c r="I234" i="12" s="1"/>
  <c r="J233" i="12"/>
  <c r="H233" i="12"/>
  <c r="I233" i="12" s="1"/>
  <c r="J232" i="12"/>
  <c r="H232" i="12"/>
  <c r="I232" i="12" s="1"/>
  <c r="J231" i="12"/>
  <c r="H231" i="12"/>
  <c r="I231" i="12" s="1"/>
  <c r="J230" i="12"/>
  <c r="H230" i="12"/>
  <c r="I230" i="12" s="1"/>
  <c r="J229" i="12"/>
  <c r="H229" i="12"/>
  <c r="I229" i="12" s="1"/>
  <c r="J228" i="12"/>
  <c r="H228" i="12"/>
  <c r="I228" i="12" s="1"/>
  <c r="J227" i="12"/>
  <c r="H227" i="12"/>
  <c r="I227" i="12" s="1"/>
  <c r="J226" i="12"/>
  <c r="H226" i="12"/>
  <c r="I226" i="12" s="1"/>
  <c r="J225" i="12"/>
  <c r="H225" i="12"/>
  <c r="I225" i="12" s="1"/>
  <c r="J224" i="12"/>
  <c r="H224" i="12"/>
  <c r="I224" i="12" s="1"/>
  <c r="J223" i="12"/>
  <c r="H223" i="12"/>
  <c r="I223" i="12" s="1"/>
  <c r="J222" i="12"/>
  <c r="H222" i="12"/>
  <c r="I222" i="12" s="1"/>
  <c r="J221" i="12"/>
  <c r="H221" i="12"/>
  <c r="I221" i="12" s="1"/>
  <c r="J220" i="12"/>
  <c r="H220" i="12"/>
  <c r="I220" i="12" s="1"/>
  <c r="J219" i="12"/>
  <c r="H219" i="12"/>
  <c r="I219" i="12" s="1"/>
  <c r="J218" i="12"/>
  <c r="H218" i="12"/>
  <c r="I218" i="12" s="1"/>
  <c r="J217" i="12"/>
  <c r="H217" i="12"/>
  <c r="I217" i="12" s="1"/>
  <c r="J216" i="12"/>
  <c r="H216" i="12"/>
  <c r="I216" i="12" s="1"/>
  <c r="J215" i="12"/>
  <c r="H215" i="12"/>
  <c r="I215" i="12" s="1"/>
  <c r="J214" i="12"/>
  <c r="H214" i="12"/>
  <c r="I214" i="12" s="1"/>
  <c r="J213" i="12"/>
  <c r="H213" i="12"/>
  <c r="I213" i="12" s="1"/>
  <c r="J212" i="12"/>
  <c r="H212" i="12"/>
  <c r="I212" i="12" s="1"/>
  <c r="J211" i="12"/>
  <c r="H211" i="12"/>
  <c r="I211" i="12" s="1"/>
  <c r="J210" i="12"/>
  <c r="H210" i="12"/>
  <c r="I210" i="12" s="1"/>
  <c r="J209" i="12"/>
  <c r="H209" i="12"/>
  <c r="I209" i="12" s="1"/>
  <c r="J208" i="12"/>
  <c r="H208" i="12"/>
  <c r="I208" i="12" s="1"/>
  <c r="J207" i="12"/>
  <c r="H207" i="12"/>
  <c r="I207" i="12" s="1"/>
  <c r="J206" i="12"/>
  <c r="H206" i="12"/>
  <c r="I206" i="12" s="1"/>
  <c r="J205" i="12"/>
  <c r="H205" i="12"/>
  <c r="I205" i="12" s="1"/>
  <c r="J204" i="12"/>
  <c r="H204" i="12"/>
  <c r="I204" i="12" s="1"/>
  <c r="J203" i="12"/>
  <c r="H203" i="12"/>
  <c r="I203" i="12" s="1"/>
  <c r="J202" i="12"/>
  <c r="H202" i="12"/>
  <c r="I202" i="12" s="1"/>
  <c r="J201" i="12"/>
  <c r="H201" i="12"/>
  <c r="I201" i="12" s="1"/>
  <c r="J200" i="12"/>
  <c r="H200" i="12"/>
  <c r="I200" i="12" s="1"/>
  <c r="J199" i="12"/>
  <c r="H199" i="12"/>
  <c r="I199" i="12" s="1"/>
  <c r="J198" i="12"/>
  <c r="H198" i="12"/>
  <c r="I198" i="12" s="1"/>
  <c r="J197" i="12"/>
  <c r="H197" i="12"/>
  <c r="I197" i="12" s="1"/>
  <c r="J196" i="12"/>
  <c r="H196" i="12"/>
  <c r="I196" i="12" s="1"/>
  <c r="J195" i="12"/>
  <c r="H195" i="12"/>
  <c r="I195" i="12" s="1"/>
  <c r="J194" i="12"/>
  <c r="H194" i="12"/>
  <c r="I194" i="12" s="1"/>
  <c r="J193" i="12"/>
  <c r="H193" i="12"/>
  <c r="I193" i="12" s="1"/>
  <c r="J192" i="12"/>
  <c r="H192" i="12"/>
  <c r="I192" i="12" s="1"/>
  <c r="J191" i="12"/>
  <c r="H191" i="12"/>
  <c r="I191" i="12" s="1"/>
  <c r="J190" i="12"/>
  <c r="H190" i="12"/>
  <c r="I190" i="12" s="1"/>
  <c r="J189" i="12"/>
  <c r="H189" i="12"/>
  <c r="I189" i="12" s="1"/>
  <c r="J188" i="12"/>
  <c r="H188" i="12"/>
  <c r="I188" i="12" s="1"/>
  <c r="J187" i="12"/>
  <c r="H187" i="12"/>
  <c r="I187" i="12" s="1"/>
  <c r="J186" i="12"/>
  <c r="H186" i="12"/>
  <c r="I186" i="12" s="1"/>
  <c r="J185" i="12"/>
  <c r="H185" i="12"/>
  <c r="I185" i="12" s="1"/>
  <c r="J184" i="12"/>
  <c r="H184" i="12"/>
  <c r="I184" i="12" s="1"/>
  <c r="J183" i="12"/>
  <c r="H183" i="12"/>
  <c r="I183" i="12" s="1"/>
  <c r="J182" i="12"/>
  <c r="H182" i="12"/>
  <c r="I182" i="12" s="1"/>
  <c r="J181" i="12"/>
  <c r="H181" i="12"/>
  <c r="I181" i="12" s="1"/>
  <c r="J180" i="12"/>
  <c r="H180" i="12"/>
  <c r="I180" i="12" s="1"/>
  <c r="J179" i="12"/>
  <c r="H179" i="12"/>
  <c r="I179" i="12" s="1"/>
  <c r="J178" i="12"/>
  <c r="H178" i="12"/>
  <c r="I178" i="12" s="1"/>
  <c r="J177" i="12"/>
  <c r="H177" i="12"/>
  <c r="I177" i="12" s="1"/>
  <c r="J176" i="12"/>
  <c r="H176" i="12"/>
  <c r="I176" i="12" s="1"/>
  <c r="J175" i="12"/>
  <c r="H175" i="12"/>
  <c r="I175" i="12" s="1"/>
  <c r="J174" i="12"/>
  <c r="H174" i="12"/>
  <c r="I174" i="12" s="1"/>
  <c r="J173" i="12"/>
  <c r="H173" i="12"/>
  <c r="I173" i="12" s="1"/>
  <c r="J172" i="12"/>
  <c r="H172" i="12"/>
  <c r="I172" i="12" s="1"/>
  <c r="J171" i="12"/>
  <c r="H171" i="12"/>
  <c r="I171" i="12" s="1"/>
  <c r="J170" i="12"/>
  <c r="H170" i="12"/>
  <c r="I170" i="12" s="1"/>
  <c r="J169" i="12"/>
  <c r="H169" i="12"/>
  <c r="I169" i="12" s="1"/>
  <c r="J168" i="12"/>
  <c r="H168" i="12"/>
  <c r="I168" i="12" s="1"/>
  <c r="J167" i="12"/>
  <c r="H167" i="12"/>
  <c r="I167" i="12" s="1"/>
  <c r="J166" i="12"/>
  <c r="H166" i="12"/>
  <c r="I166" i="12" s="1"/>
  <c r="J165" i="12"/>
  <c r="H165" i="12"/>
  <c r="I165" i="12" s="1"/>
  <c r="J164" i="12"/>
  <c r="H164" i="12"/>
  <c r="I164" i="12" s="1"/>
  <c r="J163" i="12"/>
  <c r="H163" i="12"/>
  <c r="I163" i="12" s="1"/>
  <c r="J162" i="12"/>
  <c r="H162" i="12"/>
  <c r="I162" i="12" s="1"/>
  <c r="J161" i="12"/>
  <c r="H161" i="12"/>
  <c r="I161" i="12" s="1"/>
  <c r="J160" i="12"/>
  <c r="H160" i="12"/>
  <c r="I160" i="12" s="1"/>
  <c r="J159" i="12"/>
  <c r="H159" i="12"/>
  <c r="I159" i="12" s="1"/>
  <c r="J158" i="12"/>
  <c r="H158" i="12"/>
  <c r="I158" i="12" s="1"/>
  <c r="J157" i="12"/>
  <c r="H157" i="12"/>
  <c r="I157" i="12" s="1"/>
  <c r="J156" i="12"/>
  <c r="H156" i="12"/>
  <c r="I156" i="12" s="1"/>
  <c r="J155" i="12"/>
  <c r="H155" i="12"/>
  <c r="I155" i="12" s="1"/>
  <c r="J154" i="12"/>
  <c r="H154" i="12"/>
  <c r="I154" i="12" s="1"/>
  <c r="J153" i="12"/>
  <c r="H153" i="12"/>
  <c r="I153" i="12" s="1"/>
  <c r="J152" i="12"/>
  <c r="H152" i="12"/>
  <c r="I152" i="12" s="1"/>
  <c r="J151" i="12"/>
  <c r="H151" i="12"/>
  <c r="I151" i="12" s="1"/>
  <c r="J150" i="12"/>
  <c r="H150" i="12"/>
  <c r="I150" i="12" s="1"/>
  <c r="J149" i="12"/>
  <c r="H149" i="12"/>
  <c r="I149" i="12" s="1"/>
  <c r="J148" i="12"/>
  <c r="H148" i="12"/>
  <c r="I148" i="12" s="1"/>
  <c r="J147" i="12"/>
  <c r="H147" i="12"/>
  <c r="I147" i="12" s="1"/>
  <c r="J146" i="12"/>
  <c r="H146" i="12"/>
  <c r="I146" i="12" s="1"/>
  <c r="J145" i="12"/>
  <c r="H145" i="12"/>
  <c r="I145" i="12" s="1"/>
  <c r="J144" i="12"/>
  <c r="H144" i="12"/>
  <c r="I144" i="12" s="1"/>
  <c r="J143" i="12"/>
  <c r="H143" i="12"/>
  <c r="I143" i="12" s="1"/>
  <c r="J142" i="12"/>
  <c r="H142" i="12"/>
  <c r="I142" i="12" s="1"/>
  <c r="J141" i="12"/>
  <c r="H141" i="12"/>
  <c r="I141" i="12" s="1"/>
  <c r="J140" i="12"/>
  <c r="H140" i="12"/>
  <c r="I140" i="12" s="1"/>
  <c r="J139" i="12"/>
  <c r="H139" i="12"/>
  <c r="I139" i="12" s="1"/>
  <c r="J138" i="12"/>
  <c r="H138" i="12"/>
  <c r="I138" i="12" s="1"/>
  <c r="J137" i="12"/>
  <c r="H137" i="12"/>
  <c r="I137" i="12" s="1"/>
  <c r="J136" i="12"/>
  <c r="H136" i="12"/>
  <c r="I136" i="12" s="1"/>
  <c r="J135" i="12"/>
  <c r="H135" i="12"/>
  <c r="I135" i="12" s="1"/>
  <c r="J134" i="12"/>
  <c r="H134" i="12"/>
  <c r="I134" i="12" s="1"/>
  <c r="J133" i="12"/>
  <c r="H133" i="12"/>
  <c r="I133" i="12" s="1"/>
  <c r="J132" i="12"/>
  <c r="H132" i="12"/>
  <c r="I132" i="12" s="1"/>
  <c r="J131" i="12"/>
  <c r="H131" i="12"/>
  <c r="I131" i="12" s="1"/>
  <c r="J130" i="12"/>
  <c r="H130" i="12"/>
  <c r="I130" i="12" s="1"/>
  <c r="J129" i="12"/>
  <c r="H129" i="12"/>
  <c r="I129" i="12" s="1"/>
  <c r="J128" i="12"/>
  <c r="H128" i="12"/>
  <c r="I128" i="12" s="1"/>
  <c r="J127" i="12"/>
  <c r="H127" i="12"/>
  <c r="I127" i="12" s="1"/>
  <c r="J126" i="12"/>
  <c r="H126" i="12"/>
  <c r="I126" i="12" s="1"/>
  <c r="J125" i="12"/>
  <c r="H125" i="12"/>
  <c r="I125" i="12" s="1"/>
  <c r="J124" i="12"/>
  <c r="H124" i="12"/>
  <c r="I124" i="12" s="1"/>
  <c r="J123" i="12"/>
  <c r="H123" i="12"/>
  <c r="I123" i="12" s="1"/>
  <c r="J122" i="12"/>
  <c r="H122" i="12"/>
  <c r="I122" i="12" s="1"/>
  <c r="J121" i="12"/>
  <c r="H121" i="12"/>
  <c r="I121" i="12" s="1"/>
  <c r="J120" i="12"/>
  <c r="H120" i="12"/>
  <c r="I120" i="12" s="1"/>
  <c r="J119" i="12"/>
  <c r="H119" i="12"/>
  <c r="I119" i="12" s="1"/>
  <c r="J118" i="12"/>
  <c r="H118" i="12"/>
  <c r="I118" i="12" s="1"/>
  <c r="J117" i="12"/>
  <c r="H117" i="12"/>
  <c r="I117" i="12" s="1"/>
  <c r="J116" i="12"/>
  <c r="H116" i="12"/>
  <c r="I116" i="12" s="1"/>
  <c r="J115" i="12"/>
  <c r="H115" i="12"/>
  <c r="I115" i="12" s="1"/>
  <c r="J114" i="12"/>
  <c r="H114" i="12"/>
  <c r="I114" i="12" s="1"/>
  <c r="J113" i="12"/>
  <c r="H113" i="12"/>
  <c r="I113" i="12" s="1"/>
  <c r="J112" i="12"/>
  <c r="H112" i="12"/>
  <c r="I112" i="12" s="1"/>
  <c r="J111" i="12"/>
  <c r="H111" i="12"/>
  <c r="I111" i="12" s="1"/>
  <c r="J110" i="12"/>
  <c r="H110" i="12"/>
  <c r="I110" i="12" s="1"/>
  <c r="J109" i="12"/>
  <c r="H109" i="12"/>
  <c r="I109" i="12" s="1"/>
  <c r="J108" i="12"/>
  <c r="H108" i="12"/>
  <c r="I108" i="12" s="1"/>
  <c r="J107" i="12"/>
  <c r="H107" i="12"/>
  <c r="I107" i="12" s="1"/>
  <c r="J106" i="12"/>
  <c r="H106" i="12"/>
  <c r="I106" i="12" s="1"/>
  <c r="J105" i="12"/>
  <c r="H105" i="12"/>
  <c r="I105" i="12" s="1"/>
  <c r="J104" i="12"/>
  <c r="H104" i="12"/>
  <c r="I104" i="12" s="1"/>
  <c r="J103" i="12"/>
  <c r="H103" i="12"/>
  <c r="I103" i="12" s="1"/>
  <c r="J102" i="12"/>
  <c r="H102" i="12"/>
  <c r="I102" i="12" s="1"/>
  <c r="J101" i="12"/>
  <c r="H101" i="12"/>
  <c r="I101" i="12" s="1"/>
  <c r="J100" i="12"/>
  <c r="H100" i="12"/>
  <c r="I100" i="12" s="1"/>
  <c r="J99" i="12"/>
  <c r="H99" i="12"/>
  <c r="I99" i="12" s="1"/>
  <c r="J98" i="12"/>
  <c r="H98" i="12"/>
  <c r="I98" i="12" s="1"/>
  <c r="J97" i="12"/>
  <c r="H97" i="12"/>
  <c r="I97" i="12" s="1"/>
  <c r="J96" i="12"/>
  <c r="H96" i="12"/>
  <c r="I96" i="12" s="1"/>
  <c r="J95" i="12"/>
  <c r="H95" i="12"/>
  <c r="I95" i="12" s="1"/>
  <c r="J94" i="12"/>
  <c r="H94" i="12"/>
  <c r="I94" i="12" s="1"/>
  <c r="J93" i="12"/>
  <c r="H93" i="12"/>
  <c r="I93" i="12" s="1"/>
  <c r="J92" i="12"/>
  <c r="H92" i="12"/>
  <c r="I92" i="12" s="1"/>
  <c r="J91" i="12"/>
  <c r="H91" i="12"/>
  <c r="I91" i="12" s="1"/>
  <c r="J90" i="12"/>
  <c r="H90" i="12"/>
  <c r="I90" i="12" s="1"/>
  <c r="J89" i="12"/>
  <c r="H89" i="12"/>
  <c r="I89" i="12" s="1"/>
  <c r="J88" i="12"/>
  <c r="H88" i="12"/>
  <c r="I88" i="12" s="1"/>
  <c r="J87" i="12"/>
  <c r="H87" i="12"/>
  <c r="I87" i="12" s="1"/>
  <c r="J86" i="12"/>
  <c r="H86" i="12"/>
  <c r="I86" i="12" s="1"/>
  <c r="J85" i="12"/>
  <c r="H85" i="12"/>
  <c r="I85" i="12" s="1"/>
  <c r="J84" i="12"/>
  <c r="H84" i="12"/>
  <c r="I84" i="12" s="1"/>
  <c r="J83" i="12"/>
  <c r="H83" i="12"/>
  <c r="I83" i="12" s="1"/>
  <c r="J82" i="12"/>
  <c r="H82" i="12"/>
  <c r="I82" i="12" s="1"/>
  <c r="J81" i="12"/>
  <c r="H81" i="12"/>
  <c r="I81" i="12" s="1"/>
  <c r="J80" i="12"/>
  <c r="H80" i="12"/>
  <c r="I80" i="12" s="1"/>
  <c r="J79" i="12"/>
  <c r="H79" i="12"/>
  <c r="I79" i="12" s="1"/>
  <c r="J78" i="12"/>
  <c r="H78" i="12"/>
  <c r="I78" i="12" s="1"/>
  <c r="J77" i="12"/>
  <c r="H77" i="12"/>
  <c r="I77" i="12" s="1"/>
  <c r="J76" i="12"/>
  <c r="H76" i="12"/>
  <c r="I76" i="12" s="1"/>
  <c r="J75" i="12"/>
  <c r="H75" i="12"/>
  <c r="I75" i="12" s="1"/>
  <c r="J74" i="12"/>
  <c r="H74" i="12"/>
  <c r="I74" i="12" s="1"/>
  <c r="J73" i="12"/>
  <c r="H73" i="12"/>
  <c r="I73" i="12" s="1"/>
  <c r="J72" i="12"/>
  <c r="H72" i="12"/>
  <c r="I72" i="12" s="1"/>
  <c r="J71" i="12"/>
  <c r="H71" i="12"/>
  <c r="I71" i="12" s="1"/>
  <c r="J70" i="12"/>
  <c r="H70" i="12"/>
  <c r="I70" i="12" s="1"/>
  <c r="J69" i="12"/>
  <c r="H69" i="12"/>
  <c r="I69" i="12" s="1"/>
  <c r="J68" i="12"/>
  <c r="H68" i="12"/>
  <c r="I68" i="12" s="1"/>
  <c r="J67" i="12"/>
  <c r="H67" i="12"/>
  <c r="I67" i="12" s="1"/>
  <c r="J66" i="12"/>
  <c r="H66" i="12"/>
  <c r="I66" i="12" s="1"/>
  <c r="J65" i="12"/>
  <c r="H65" i="12"/>
  <c r="I65" i="12" s="1"/>
  <c r="J64" i="12"/>
  <c r="H64" i="12"/>
  <c r="I64" i="12" s="1"/>
  <c r="J63" i="12"/>
  <c r="H63" i="12"/>
  <c r="I63" i="12" s="1"/>
  <c r="J62" i="12"/>
  <c r="H62" i="12"/>
  <c r="I62" i="12" s="1"/>
  <c r="J61" i="12"/>
  <c r="H61" i="12"/>
  <c r="I61" i="12" s="1"/>
  <c r="J60" i="12"/>
  <c r="H60" i="12"/>
  <c r="I60" i="12" s="1"/>
  <c r="J59" i="12"/>
  <c r="H59" i="12"/>
  <c r="I59" i="12" s="1"/>
  <c r="J58" i="12"/>
  <c r="H58" i="12"/>
  <c r="I58" i="12" s="1"/>
  <c r="J57" i="12"/>
  <c r="H57" i="12"/>
  <c r="I57" i="12" s="1"/>
  <c r="J56" i="12"/>
  <c r="H56" i="12"/>
  <c r="I56" i="12" s="1"/>
  <c r="J55" i="12"/>
  <c r="H55" i="12"/>
  <c r="I55" i="12" s="1"/>
  <c r="J54" i="12"/>
  <c r="H54" i="12"/>
  <c r="I54" i="12" s="1"/>
  <c r="J53" i="12"/>
  <c r="H53" i="12"/>
  <c r="I53" i="12" s="1"/>
  <c r="J52" i="12"/>
  <c r="H52" i="12"/>
  <c r="I52" i="12" s="1"/>
  <c r="J51" i="12"/>
  <c r="H51" i="12"/>
  <c r="I51" i="12" s="1"/>
  <c r="J50" i="12"/>
  <c r="H50" i="12"/>
  <c r="I50" i="12" s="1"/>
  <c r="J49" i="12"/>
  <c r="H49" i="12"/>
  <c r="I49" i="12" s="1"/>
  <c r="J48" i="12"/>
  <c r="H48" i="12"/>
  <c r="I48" i="12" s="1"/>
  <c r="J47" i="12"/>
  <c r="H47" i="12"/>
  <c r="I47" i="12" s="1"/>
  <c r="J46" i="12"/>
  <c r="H46" i="12"/>
  <c r="I46" i="12" s="1"/>
  <c r="J45" i="12"/>
  <c r="H45" i="12"/>
  <c r="I45" i="12" s="1"/>
  <c r="J44" i="12"/>
  <c r="H44" i="12"/>
  <c r="I44" i="12" s="1"/>
  <c r="J43" i="12"/>
  <c r="H43" i="12"/>
  <c r="I43" i="12" s="1"/>
  <c r="J42" i="12"/>
  <c r="H42" i="12"/>
  <c r="I42" i="12" s="1"/>
  <c r="J41" i="12"/>
  <c r="H41" i="12"/>
  <c r="I41" i="12" s="1"/>
  <c r="J40" i="12"/>
  <c r="H40" i="12"/>
  <c r="I40" i="12" s="1"/>
  <c r="J39" i="12"/>
  <c r="H39" i="12"/>
  <c r="I39" i="12" s="1"/>
  <c r="J38" i="12"/>
  <c r="H38" i="12"/>
  <c r="I38" i="12" s="1"/>
  <c r="J37" i="12"/>
  <c r="H37" i="12"/>
  <c r="I37" i="12" s="1"/>
  <c r="J36" i="12"/>
  <c r="H36" i="12"/>
  <c r="I36" i="12" s="1"/>
  <c r="J35" i="12"/>
  <c r="H35" i="12"/>
  <c r="I35" i="12" s="1"/>
  <c r="J34" i="12"/>
  <c r="H34" i="12"/>
  <c r="I34" i="12" s="1"/>
  <c r="J33" i="12"/>
  <c r="H33" i="12"/>
  <c r="I33" i="12" s="1"/>
  <c r="J32" i="12"/>
  <c r="H32" i="12"/>
  <c r="I32" i="12" s="1"/>
  <c r="J31" i="12"/>
  <c r="H31" i="12"/>
  <c r="I31" i="12" s="1"/>
  <c r="J30" i="12"/>
  <c r="H30" i="12"/>
  <c r="I30" i="12" s="1"/>
  <c r="J29" i="12"/>
  <c r="H29" i="12"/>
  <c r="I29" i="12" s="1"/>
  <c r="J28" i="12"/>
  <c r="H28" i="12"/>
  <c r="I28" i="12" s="1"/>
  <c r="J27" i="12"/>
  <c r="H27" i="12"/>
  <c r="I27" i="12" s="1"/>
  <c r="J26" i="12"/>
  <c r="H26" i="12"/>
  <c r="I26" i="12" s="1"/>
  <c r="J25" i="12"/>
  <c r="H25" i="12"/>
  <c r="I25" i="12" s="1"/>
  <c r="J24" i="12"/>
  <c r="H24" i="12"/>
  <c r="I24" i="12" s="1"/>
  <c r="J23" i="12"/>
  <c r="H23" i="12"/>
  <c r="I23" i="12" s="1"/>
  <c r="J22" i="12"/>
  <c r="H22" i="12"/>
  <c r="I22" i="12" s="1"/>
  <c r="J21" i="12"/>
  <c r="H21" i="12"/>
  <c r="I21" i="12" s="1"/>
  <c r="J20" i="12"/>
  <c r="H20" i="12"/>
  <c r="I20" i="12" s="1"/>
  <c r="J19" i="12"/>
  <c r="H19" i="12"/>
  <c r="I19" i="12" s="1"/>
  <c r="J18" i="12"/>
  <c r="H18" i="12"/>
  <c r="I18" i="12" s="1"/>
  <c r="J17" i="12"/>
  <c r="H17" i="12"/>
  <c r="I17" i="12" s="1"/>
  <c r="J16" i="12"/>
  <c r="H16" i="12"/>
  <c r="I16" i="12" s="1"/>
  <c r="J15" i="12"/>
  <c r="H15" i="12"/>
  <c r="I15" i="12" s="1"/>
  <c r="J14" i="12"/>
  <c r="H14" i="12"/>
  <c r="I14" i="12" s="1"/>
  <c r="J13" i="12"/>
  <c r="H13" i="12"/>
  <c r="I13" i="12" s="1"/>
  <c r="J12" i="12"/>
  <c r="H12" i="12"/>
  <c r="I12" i="12" s="1"/>
  <c r="J11" i="12"/>
  <c r="H11" i="12"/>
  <c r="I11" i="12" s="1"/>
  <c r="J10" i="12"/>
  <c r="H10" i="12"/>
  <c r="I10" i="12" s="1"/>
  <c r="J9" i="12"/>
  <c r="H9" i="12"/>
  <c r="I9" i="12" s="1"/>
  <c r="J8" i="12"/>
  <c r="H8" i="12"/>
  <c r="I8" i="12" s="1"/>
  <c r="J7" i="12"/>
  <c r="H7" i="12"/>
  <c r="I7" i="12" s="1"/>
  <c r="J6" i="12"/>
  <c r="H6" i="12"/>
  <c r="I6" i="12" s="1"/>
  <c r="J5" i="12"/>
  <c r="H5" i="12"/>
  <c r="I5" i="12" s="1"/>
  <c r="J4" i="12"/>
  <c r="H4" i="12"/>
  <c r="I4" i="12" s="1"/>
  <c r="J3" i="12"/>
  <c r="H3" i="12"/>
  <c r="I3" i="12" s="1"/>
  <c r="M4" i="11"/>
  <c r="B4" i="11"/>
  <c r="A4" i="11"/>
  <c r="H201" i="10"/>
  <c r="G201" i="10"/>
  <c r="F201" i="10"/>
  <c r="E201" i="10"/>
  <c r="D201" i="10"/>
  <c r="C201" i="10"/>
  <c r="B201" i="10"/>
  <c r="H200" i="10"/>
  <c r="G200" i="10"/>
  <c r="F200" i="10"/>
  <c r="E200" i="10"/>
  <c r="D200" i="10"/>
  <c r="C200" i="10"/>
  <c r="B200" i="10"/>
  <c r="H199" i="10"/>
  <c r="G199" i="10"/>
  <c r="F199" i="10"/>
  <c r="E199" i="10"/>
  <c r="D199" i="10"/>
  <c r="C199" i="10"/>
  <c r="B199" i="10"/>
  <c r="H198" i="10"/>
  <c r="G198" i="10"/>
  <c r="F198" i="10"/>
  <c r="E198" i="10"/>
  <c r="D198" i="10"/>
  <c r="C198" i="10"/>
  <c r="B198" i="10"/>
  <c r="H197" i="10"/>
  <c r="G197" i="10"/>
  <c r="F197" i="10"/>
  <c r="E197" i="10"/>
  <c r="D197" i="10"/>
  <c r="C197" i="10"/>
  <c r="B197" i="10"/>
  <c r="H196" i="10"/>
  <c r="G196" i="10"/>
  <c r="F196" i="10"/>
  <c r="E196" i="10"/>
  <c r="D196" i="10"/>
  <c r="C196" i="10"/>
  <c r="B196" i="10"/>
  <c r="H195" i="10"/>
  <c r="G195" i="10"/>
  <c r="F195" i="10"/>
  <c r="E195" i="10"/>
  <c r="D195" i="10"/>
  <c r="C195" i="10"/>
  <c r="B195" i="10"/>
  <c r="H194" i="10"/>
  <c r="G194" i="10"/>
  <c r="F194" i="10"/>
  <c r="E194" i="10"/>
  <c r="D194" i="10"/>
  <c r="C194" i="10"/>
  <c r="B194" i="10"/>
  <c r="H193" i="10"/>
  <c r="G193" i="10"/>
  <c r="F193" i="10"/>
  <c r="E193" i="10"/>
  <c r="D193" i="10"/>
  <c r="C193" i="10"/>
  <c r="B193" i="10"/>
  <c r="H192" i="10"/>
  <c r="G192" i="10"/>
  <c r="F192" i="10"/>
  <c r="E192" i="10"/>
  <c r="D192" i="10"/>
  <c r="C192" i="10"/>
  <c r="B192" i="10"/>
  <c r="H191" i="10"/>
  <c r="G191" i="10"/>
  <c r="F191" i="10"/>
  <c r="E191" i="10"/>
  <c r="D191" i="10"/>
  <c r="C191" i="10"/>
  <c r="B191" i="10"/>
  <c r="H190" i="10"/>
  <c r="G190" i="10"/>
  <c r="F190" i="10"/>
  <c r="E190" i="10"/>
  <c r="D190" i="10"/>
  <c r="C190" i="10"/>
  <c r="B190" i="10"/>
  <c r="H189" i="10"/>
  <c r="G189" i="10"/>
  <c r="F189" i="10"/>
  <c r="E189" i="10"/>
  <c r="D189" i="10"/>
  <c r="C189" i="10"/>
  <c r="B189" i="10"/>
  <c r="H188" i="10"/>
  <c r="G188" i="10"/>
  <c r="F188" i="10"/>
  <c r="E188" i="10"/>
  <c r="D188" i="10"/>
  <c r="C188" i="10"/>
  <c r="B188" i="10"/>
  <c r="H187" i="10"/>
  <c r="G187" i="10"/>
  <c r="F187" i="10"/>
  <c r="E187" i="10"/>
  <c r="D187" i="10"/>
  <c r="C187" i="10"/>
  <c r="B187" i="10"/>
  <c r="H186" i="10"/>
  <c r="G186" i="10"/>
  <c r="F186" i="10"/>
  <c r="E186" i="10"/>
  <c r="D186" i="10"/>
  <c r="C186" i="10"/>
  <c r="B186" i="10"/>
  <c r="H185" i="10"/>
  <c r="G185" i="10"/>
  <c r="F185" i="10"/>
  <c r="E185" i="10"/>
  <c r="D185" i="10"/>
  <c r="C185" i="10"/>
  <c r="B185" i="10"/>
  <c r="H184" i="10"/>
  <c r="G184" i="10"/>
  <c r="F184" i="10"/>
  <c r="E184" i="10"/>
  <c r="D184" i="10"/>
  <c r="C184" i="10"/>
  <c r="B184" i="10"/>
  <c r="H183" i="10"/>
  <c r="G183" i="10"/>
  <c r="F183" i="10"/>
  <c r="E183" i="10"/>
  <c r="D183" i="10"/>
  <c r="C183" i="10"/>
  <c r="B183" i="10"/>
  <c r="H182" i="10"/>
  <c r="G182" i="10"/>
  <c r="F182" i="10"/>
  <c r="E182" i="10"/>
  <c r="D182" i="10"/>
  <c r="C182" i="10"/>
  <c r="B182" i="10"/>
  <c r="H181" i="10"/>
  <c r="G181" i="10"/>
  <c r="F181" i="10"/>
  <c r="E181" i="10"/>
  <c r="D181" i="10"/>
  <c r="C181" i="10"/>
  <c r="B181" i="10"/>
  <c r="H180" i="10"/>
  <c r="G180" i="10"/>
  <c r="F180" i="10"/>
  <c r="E180" i="10"/>
  <c r="D180" i="10"/>
  <c r="C180" i="10"/>
  <c r="B180" i="10"/>
  <c r="H179" i="10"/>
  <c r="G179" i="10"/>
  <c r="F179" i="10"/>
  <c r="E179" i="10"/>
  <c r="D179" i="10"/>
  <c r="C179" i="10"/>
  <c r="B179" i="10"/>
  <c r="H178" i="10"/>
  <c r="G178" i="10"/>
  <c r="F178" i="10"/>
  <c r="E178" i="10"/>
  <c r="D178" i="10"/>
  <c r="C178" i="10"/>
  <c r="B178" i="10"/>
  <c r="H177" i="10"/>
  <c r="G177" i="10"/>
  <c r="F177" i="10"/>
  <c r="E177" i="10"/>
  <c r="D177" i="10"/>
  <c r="C177" i="10"/>
  <c r="B177" i="10"/>
  <c r="H176" i="10"/>
  <c r="G176" i="10"/>
  <c r="F176" i="10"/>
  <c r="E176" i="10"/>
  <c r="D176" i="10"/>
  <c r="C176" i="10"/>
  <c r="B176" i="10"/>
  <c r="H175" i="10"/>
  <c r="G175" i="10"/>
  <c r="F175" i="10"/>
  <c r="E175" i="10"/>
  <c r="D175" i="10"/>
  <c r="C175" i="10"/>
  <c r="B175" i="10"/>
  <c r="H174" i="10"/>
  <c r="G174" i="10"/>
  <c r="F174" i="10"/>
  <c r="E174" i="10"/>
  <c r="D174" i="10"/>
  <c r="C174" i="10"/>
  <c r="B174" i="10"/>
  <c r="H173" i="10"/>
  <c r="G173" i="10"/>
  <c r="F173" i="10"/>
  <c r="E173" i="10"/>
  <c r="D173" i="10"/>
  <c r="C173" i="10"/>
  <c r="B173" i="10"/>
  <c r="H172" i="10"/>
  <c r="G172" i="10"/>
  <c r="F172" i="10"/>
  <c r="E172" i="10"/>
  <c r="D172" i="10"/>
  <c r="C172" i="10"/>
  <c r="B172" i="10"/>
  <c r="H171" i="10"/>
  <c r="G171" i="10"/>
  <c r="F171" i="10"/>
  <c r="E171" i="10"/>
  <c r="D171" i="10"/>
  <c r="C171" i="10"/>
  <c r="B171" i="10"/>
  <c r="H170" i="10"/>
  <c r="G170" i="10"/>
  <c r="F170" i="10"/>
  <c r="E170" i="10"/>
  <c r="D170" i="10"/>
  <c r="C170" i="10"/>
  <c r="B170" i="10"/>
  <c r="H169" i="10"/>
  <c r="G169" i="10"/>
  <c r="F169" i="10"/>
  <c r="E169" i="10"/>
  <c r="D169" i="10"/>
  <c r="C169" i="10"/>
  <c r="B169" i="10"/>
  <c r="H168" i="10"/>
  <c r="G168" i="10"/>
  <c r="F168" i="10"/>
  <c r="E168" i="10"/>
  <c r="D168" i="10"/>
  <c r="C168" i="10"/>
  <c r="B168" i="10"/>
  <c r="H167" i="10"/>
  <c r="G167" i="10"/>
  <c r="F167" i="10"/>
  <c r="E167" i="10"/>
  <c r="D167" i="10"/>
  <c r="C167" i="10"/>
  <c r="B167" i="10"/>
  <c r="H166" i="10"/>
  <c r="G166" i="10"/>
  <c r="F166" i="10"/>
  <c r="E166" i="10"/>
  <c r="D166" i="10"/>
  <c r="C166" i="10"/>
  <c r="B166" i="10"/>
  <c r="H165" i="10"/>
  <c r="G165" i="10"/>
  <c r="F165" i="10"/>
  <c r="E165" i="10"/>
  <c r="D165" i="10"/>
  <c r="C165" i="10"/>
  <c r="B165" i="10"/>
  <c r="H164" i="10"/>
  <c r="G164" i="10"/>
  <c r="F164" i="10"/>
  <c r="E164" i="10"/>
  <c r="D164" i="10"/>
  <c r="C164" i="10"/>
  <c r="B164" i="10"/>
  <c r="H163" i="10"/>
  <c r="G163" i="10"/>
  <c r="F163" i="10"/>
  <c r="E163" i="10"/>
  <c r="D163" i="10"/>
  <c r="C163" i="10"/>
  <c r="B163" i="10"/>
  <c r="H162" i="10"/>
  <c r="G162" i="10"/>
  <c r="F162" i="10"/>
  <c r="E162" i="10"/>
  <c r="D162" i="10"/>
  <c r="C162" i="10"/>
  <c r="B162" i="10"/>
  <c r="H161" i="10"/>
  <c r="G161" i="10"/>
  <c r="F161" i="10"/>
  <c r="E161" i="10"/>
  <c r="D161" i="10"/>
  <c r="C161" i="10"/>
  <c r="B161" i="10"/>
  <c r="H160" i="10"/>
  <c r="G160" i="10"/>
  <c r="F160" i="10"/>
  <c r="E160" i="10"/>
  <c r="D160" i="10"/>
  <c r="C160" i="10"/>
  <c r="B160" i="10"/>
  <c r="H159" i="10"/>
  <c r="G159" i="10"/>
  <c r="F159" i="10"/>
  <c r="E159" i="10"/>
  <c r="D159" i="10"/>
  <c r="C159" i="10"/>
  <c r="B159" i="10"/>
  <c r="H158" i="10"/>
  <c r="G158" i="10"/>
  <c r="F158" i="10"/>
  <c r="E158" i="10"/>
  <c r="D158" i="10"/>
  <c r="C158" i="10"/>
  <c r="B158" i="10"/>
  <c r="H157" i="10"/>
  <c r="G157" i="10"/>
  <c r="F157" i="10"/>
  <c r="E157" i="10"/>
  <c r="D157" i="10"/>
  <c r="C157" i="10"/>
  <c r="B157" i="10"/>
  <c r="H156" i="10"/>
  <c r="G156" i="10"/>
  <c r="F156" i="10"/>
  <c r="E156" i="10"/>
  <c r="D156" i="10"/>
  <c r="C156" i="10"/>
  <c r="B156" i="10"/>
  <c r="H155" i="10"/>
  <c r="G155" i="10"/>
  <c r="F155" i="10"/>
  <c r="E155" i="10"/>
  <c r="D155" i="10"/>
  <c r="C155" i="10"/>
  <c r="B155" i="10"/>
  <c r="H154" i="10"/>
  <c r="G154" i="10"/>
  <c r="F154" i="10"/>
  <c r="E154" i="10"/>
  <c r="D154" i="10"/>
  <c r="C154" i="10"/>
  <c r="B154" i="10"/>
  <c r="H153" i="10"/>
  <c r="G153" i="10"/>
  <c r="F153" i="10"/>
  <c r="E153" i="10"/>
  <c r="D153" i="10"/>
  <c r="C153" i="10"/>
  <c r="B153" i="10"/>
  <c r="H152" i="10"/>
  <c r="G152" i="10"/>
  <c r="F152" i="10"/>
  <c r="E152" i="10"/>
  <c r="D152" i="10"/>
  <c r="C152" i="10"/>
  <c r="B152" i="10"/>
  <c r="H151" i="10"/>
  <c r="G151" i="10"/>
  <c r="F151" i="10"/>
  <c r="E151" i="10"/>
  <c r="D151" i="10"/>
  <c r="C151" i="10"/>
  <c r="B151" i="10"/>
  <c r="H150" i="10"/>
  <c r="G150" i="10"/>
  <c r="F150" i="10"/>
  <c r="E150" i="10"/>
  <c r="D150" i="10"/>
  <c r="C150" i="10"/>
  <c r="B150" i="10"/>
  <c r="H149" i="10"/>
  <c r="G149" i="10"/>
  <c r="F149" i="10"/>
  <c r="E149" i="10"/>
  <c r="D149" i="10"/>
  <c r="C149" i="10"/>
  <c r="B149" i="10"/>
  <c r="H148" i="10"/>
  <c r="G148" i="10"/>
  <c r="F148" i="10"/>
  <c r="E148" i="10"/>
  <c r="D148" i="10"/>
  <c r="C148" i="10"/>
  <c r="B148" i="10"/>
  <c r="H147" i="10"/>
  <c r="G147" i="10"/>
  <c r="F147" i="10"/>
  <c r="E147" i="10"/>
  <c r="D147" i="10"/>
  <c r="C147" i="10"/>
  <c r="B147" i="10"/>
  <c r="H146" i="10"/>
  <c r="G146" i="10"/>
  <c r="F146" i="10"/>
  <c r="E146" i="10"/>
  <c r="D146" i="10"/>
  <c r="C146" i="10"/>
  <c r="B146" i="10"/>
  <c r="H145" i="10"/>
  <c r="G145" i="10"/>
  <c r="F145" i="10"/>
  <c r="E145" i="10"/>
  <c r="D145" i="10"/>
  <c r="C145" i="10"/>
  <c r="B145" i="10"/>
  <c r="H144" i="10"/>
  <c r="G144" i="10"/>
  <c r="F144" i="10"/>
  <c r="E144" i="10"/>
  <c r="D144" i="10"/>
  <c r="C144" i="10"/>
  <c r="B144" i="10"/>
  <c r="H143" i="10"/>
  <c r="G143" i="10"/>
  <c r="F143" i="10"/>
  <c r="E143" i="10"/>
  <c r="D143" i="10"/>
  <c r="C143" i="10"/>
  <c r="B143" i="10"/>
  <c r="H142" i="10"/>
  <c r="G142" i="10"/>
  <c r="F142" i="10"/>
  <c r="E142" i="10"/>
  <c r="D142" i="10"/>
  <c r="C142" i="10"/>
  <c r="B142" i="10"/>
  <c r="H141" i="10"/>
  <c r="G141" i="10"/>
  <c r="F141" i="10"/>
  <c r="E141" i="10"/>
  <c r="D141" i="10"/>
  <c r="C141" i="10"/>
  <c r="B141" i="10"/>
  <c r="H140" i="10"/>
  <c r="G140" i="10"/>
  <c r="F140" i="10"/>
  <c r="E140" i="10"/>
  <c r="D140" i="10"/>
  <c r="C140" i="10"/>
  <c r="B140" i="10"/>
  <c r="H139" i="10"/>
  <c r="G139" i="10"/>
  <c r="F139" i="10"/>
  <c r="E139" i="10"/>
  <c r="D139" i="10"/>
  <c r="C139" i="10"/>
  <c r="B139" i="10"/>
  <c r="H138" i="10"/>
  <c r="G138" i="10"/>
  <c r="F138" i="10"/>
  <c r="E138" i="10"/>
  <c r="D138" i="10"/>
  <c r="C138" i="10"/>
  <c r="B138" i="10"/>
  <c r="H137" i="10"/>
  <c r="G137" i="10"/>
  <c r="F137" i="10"/>
  <c r="E137" i="10"/>
  <c r="D137" i="10"/>
  <c r="C137" i="10"/>
  <c r="B137" i="10"/>
  <c r="H136" i="10"/>
  <c r="G136" i="10"/>
  <c r="F136" i="10"/>
  <c r="E136" i="10"/>
  <c r="D136" i="10"/>
  <c r="C136" i="10"/>
  <c r="B136" i="10"/>
  <c r="H135" i="10"/>
  <c r="G135" i="10"/>
  <c r="F135" i="10"/>
  <c r="E135" i="10"/>
  <c r="D135" i="10"/>
  <c r="C135" i="10"/>
  <c r="B135" i="10"/>
  <c r="H134" i="10"/>
  <c r="G134" i="10"/>
  <c r="F134" i="10"/>
  <c r="E134" i="10"/>
  <c r="D134" i="10"/>
  <c r="C134" i="10"/>
  <c r="B134" i="10"/>
  <c r="H133" i="10"/>
  <c r="G133" i="10"/>
  <c r="F133" i="10"/>
  <c r="E133" i="10"/>
  <c r="D133" i="10"/>
  <c r="C133" i="10"/>
  <c r="B133" i="10"/>
  <c r="H132" i="10"/>
  <c r="G132" i="10"/>
  <c r="F132" i="10"/>
  <c r="E132" i="10"/>
  <c r="D132" i="10"/>
  <c r="C132" i="10"/>
  <c r="B132" i="10"/>
  <c r="H131" i="10"/>
  <c r="G131" i="10"/>
  <c r="F131" i="10"/>
  <c r="E131" i="10"/>
  <c r="D131" i="10"/>
  <c r="C131" i="10"/>
  <c r="B131" i="10"/>
  <c r="H130" i="10"/>
  <c r="G130" i="10"/>
  <c r="F130" i="10"/>
  <c r="E130" i="10"/>
  <c r="D130" i="10"/>
  <c r="C130" i="10"/>
  <c r="B130" i="10"/>
  <c r="H129" i="10"/>
  <c r="G129" i="10"/>
  <c r="F129" i="10"/>
  <c r="E129" i="10"/>
  <c r="D129" i="10"/>
  <c r="C129" i="10"/>
  <c r="B129" i="10"/>
  <c r="H128" i="10"/>
  <c r="G128" i="10"/>
  <c r="F128" i="10"/>
  <c r="E128" i="10"/>
  <c r="D128" i="10"/>
  <c r="C128" i="10"/>
  <c r="B128" i="10"/>
  <c r="H127" i="10"/>
  <c r="G127" i="10"/>
  <c r="F127" i="10"/>
  <c r="E127" i="10"/>
  <c r="D127" i="10"/>
  <c r="C127" i="10"/>
  <c r="B127" i="10"/>
  <c r="H126" i="10"/>
  <c r="G126" i="10"/>
  <c r="F126" i="10"/>
  <c r="E126" i="10"/>
  <c r="D126" i="10"/>
  <c r="C126" i="10"/>
  <c r="B126" i="10"/>
  <c r="H125" i="10"/>
  <c r="G125" i="10"/>
  <c r="F125" i="10"/>
  <c r="E125" i="10"/>
  <c r="D125" i="10"/>
  <c r="C125" i="10"/>
  <c r="B125" i="10"/>
  <c r="H124" i="10"/>
  <c r="G124" i="10"/>
  <c r="F124" i="10"/>
  <c r="E124" i="10"/>
  <c r="D124" i="10"/>
  <c r="C124" i="10"/>
  <c r="B124" i="10"/>
  <c r="H123" i="10"/>
  <c r="G123" i="10"/>
  <c r="F123" i="10"/>
  <c r="E123" i="10"/>
  <c r="D123" i="10"/>
  <c r="C123" i="10"/>
  <c r="B123" i="10"/>
  <c r="H122" i="10"/>
  <c r="G122" i="10"/>
  <c r="F122" i="10"/>
  <c r="E122" i="10"/>
  <c r="D122" i="10"/>
  <c r="C122" i="10"/>
  <c r="B122" i="10"/>
  <c r="H121" i="10"/>
  <c r="G121" i="10"/>
  <c r="F121" i="10"/>
  <c r="E121" i="10"/>
  <c r="D121" i="10"/>
  <c r="C121" i="10"/>
  <c r="B121" i="10"/>
  <c r="H120" i="10"/>
  <c r="G120" i="10"/>
  <c r="F120" i="10"/>
  <c r="E120" i="10"/>
  <c r="D120" i="10"/>
  <c r="C120" i="10"/>
  <c r="B120" i="10"/>
  <c r="H119" i="10"/>
  <c r="G119" i="10"/>
  <c r="F119" i="10"/>
  <c r="E119" i="10"/>
  <c r="D119" i="10"/>
  <c r="C119" i="10"/>
  <c r="B119" i="10"/>
  <c r="H118" i="10"/>
  <c r="G118" i="10"/>
  <c r="F118" i="10"/>
  <c r="E118" i="10"/>
  <c r="D118" i="10"/>
  <c r="C118" i="10"/>
  <c r="B118" i="10"/>
  <c r="H117" i="10"/>
  <c r="G117" i="10"/>
  <c r="F117" i="10"/>
  <c r="E117" i="10"/>
  <c r="D117" i="10"/>
  <c r="C117" i="10"/>
  <c r="B117" i="10"/>
  <c r="H116" i="10"/>
  <c r="G116" i="10"/>
  <c r="F116" i="10"/>
  <c r="E116" i="10"/>
  <c r="D116" i="10"/>
  <c r="C116" i="10"/>
  <c r="B116" i="10"/>
  <c r="H115" i="10"/>
  <c r="G115" i="10"/>
  <c r="F115" i="10"/>
  <c r="E115" i="10"/>
  <c r="D115" i="10"/>
  <c r="C115" i="10"/>
  <c r="B115" i="10"/>
  <c r="H114" i="10"/>
  <c r="G114" i="10"/>
  <c r="F114" i="10"/>
  <c r="E114" i="10"/>
  <c r="D114" i="10"/>
  <c r="C114" i="10"/>
  <c r="B114" i="10"/>
  <c r="H113" i="10"/>
  <c r="G113" i="10"/>
  <c r="F113" i="10"/>
  <c r="E113" i="10"/>
  <c r="D113" i="10"/>
  <c r="C113" i="10"/>
  <c r="B113" i="10"/>
  <c r="H112" i="10"/>
  <c r="G112" i="10"/>
  <c r="F112" i="10"/>
  <c r="E112" i="10"/>
  <c r="D112" i="10"/>
  <c r="C112" i="10"/>
  <c r="B112" i="10"/>
  <c r="H111" i="10"/>
  <c r="G111" i="10"/>
  <c r="F111" i="10"/>
  <c r="E111" i="10"/>
  <c r="D111" i="10"/>
  <c r="C111" i="10"/>
  <c r="B111" i="10"/>
  <c r="H110" i="10"/>
  <c r="G110" i="10"/>
  <c r="F110" i="10"/>
  <c r="E110" i="10"/>
  <c r="D110" i="10"/>
  <c r="C110" i="10"/>
  <c r="B110" i="10"/>
  <c r="H109" i="10"/>
  <c r="G109" i="10"/>
  <c r="F109" i="10"/>
  <c r="E109" i="10"/>
  <c r="D109" i="10"/>
  <c r="C109" i="10"/>
  <c r="B109" i="10"/>
  <c r="H108" i="10"/>
  <c r="G108" i="10"/>
  <c r="F108" i="10"/>
  <c r="E108" i="10"/>
  <c r="D108" i="10"/>
  <c r="C108" i="10"/>
  <c r="B108" i="10"/>
  <c r="H107" i="10"/>
  <c r="G107" i="10"/>
  <c r="F107" i="10"/>
  <c r="E107" i="10"/>
  <c r="D107" i="10"/>
  <c r="C107" i="10"/>
  <c r="B107" i="10"/>
  <c r="H106" i="10"/>
  <c r="G106" i="10"/>
  <c r="F106" i="10"/>
  <c r="E106" i="10"/>
  <c r="D106" i="10"/>
  <c r="C106" i="10"/>
  <c r="B106" i="10"/>
  <c r="H105" i="10"/>
  <c r="G105" i="10"/>
  <c r="F105" i="10"/>
  <c r="E105" i="10"/>
  <c r="D105" i="10"/>
  <c r="C105" i="10"/>
  <c r="B105" i="10"/>
  <c r="H104" i="10"/>
  <c r="G104" i="10"/>
  <c r="F104" i="10"/>
  <c r="E104" i="10"/>
  <c r="D104" i="10"/>
  <c r="C104" i="10"/>
  <c r="B104" i="10"/>
  <c r="H103" i="10"/>
  <c r="G103" i="10"/>
  <c r="F103" i="10"/>
  <c r="E103" i="10"/>
  <c r="D103" i="10"/>
  <c r="C103" i="10"/>
  <c r="B103" i="10"/>
  <c r="H102" i="10"/>
  <c r="G102" i="10"/>
  <c r="F102" i="10"/>
  <c r="E102" i="10"/>
  <c r="D102" i="10"/>
  <c r="C102" i="10"/>
  <c r="B102" i="10"/>
  <c r="H101" i="10"/>
  <c r="G101" i="10"/>
  <c r="F101" i="10"/>
  <c r="E101" i="10"/>
  <c r="D101" i="10"/>
  <c r="C101" i="10"/>
  <c r="B101" i="10"/>
  <c r="H100" i="10"/>
  <c r="G100" i="10"/>
  <c r="F100" i="10"/>
  <c r="E100" i="10"/>
  <c r="D100" i="10"/>
  <c r="C100" i="10"/>
  <c r="B100" i="10"/>
  <c r="H99" i="10"/>
  <c r="G99" i="10"/>
  <c r="F99" i="10"/>
  <c r="E99" i="10"/>
  <c r="D99" i="10"/>
  <c r="C99" i="10"/>
  <c r="B99" i="10"/>
  <c r="H98" i="10"/>
  <c r="G98" i="10"/>
  <c r="F98" i="10"/>
  <c r="E98" i="10"/>
  <c r="D98" i="10"/>
  <c r="C98" i="10"/>
  <c r="B98" i="10"/>
  <c r="H97" i="10"/>
  <c r="G97" i="10"/>
  <c r="F97" i="10"/>
  <c r="E97" i="10"/>
  <c r="D97" i="10"/>
  <c r="C97" i="10"/>
  <c r="B97" i="10"/>
  <c r="H96" i="10"/>
  <c r="G96" i="10"/>
  <c r="F96" i="10"/>
  <c r="E96" i="10"/>
  <c r="D96" i="10"/>
  <c r="C96" i="10"/>
  <c r="B96" i="10"/>
  <c r="H95" i="10"/>
  <c r="G95" i="10"/>
  <c r="F95" i="10"/>
  <c r="E95" i="10"/>
  <c r="D95" i="10"/>
  <c r="C95" i="10"/>
  <c r="B95" i="10"/>
  <c r="H94" i="10"/>
  <c r="G94" i="10"/>
  <c r="F94" i="10"/>
  <c r="E94" i="10"/>
  <c r="D94" i="10"/>
  <c r="C94" i="10"/>
  <c r="B94" i="10"/>
  <c r="H93" i="10"/>
  <c r="G93" i="10"/>
  <c r="F93" i="10"/>
  <c r="E93" i="10"/>
  <c r="D93" i="10"/>
  <c r="C93" i="10"/>
  <c r="B93" i="10"/>
  <c r="H92" i="10"/>
  <c r="G92" i="10"/>
  <c r="F92" i="10"/>
  <c r="E92" i="10"/>
  <c r="D92" i="10"/>
  <c r="C92" i="10"/>
  <c r="B92" i="10"/>
  <c r="H91" i="10"/>
  <c r="G91" i="10"/>
  <c r="F91" i="10"/>
  <c r="E91" i="10"/>
  <c r="D91" i="10"/>
  <c r="C91" i="10"/>
  <c r="B91" i="10"/>
  <c r="H90" i="10"/>
  <c r="G90" i="10"/>
  <c r="F90" i="10"/>
  <c r="E90" i="10"/>
  <c r="D90" i="10"/>
  <c r="C90" i="10"/>
  <c r="B90" i="10"/>
  <c r="H89" i="10"/>
  <c r="G89" i="10"/>
  <c r="F89" i="10"/>
  <c r="E89" i="10"/>
  <c r="D89" i="10"/>
  <c r="C89" i="10"/>
  <c r="B89" i="10"/>
  <c r="H88" i="10"/>
  <c r="G88" i="10"/>
  <c r="F88" i="10"/>
  <c r="E88" i="10"/>
  <c r="D88" i="10"/>
  <c r="C88" i="10"/>
  <c r="B88" i="10"/>
  <c r="H87" i="10"/>
  <c r="G87" i="10"/>
  <c r="F87" i="10"/>
  <c r="E87" i="10"/>
  <c r="D87" i="10"/>
  <c r="C87" i="10"/>
  <c r="B87" i="10"/>
  <c r="H86" i="10"/>
  <c r="G86" i="10"/>
  <c r="F86" i="10"/>
  <c r="E86" i="10"/>
  <c r="D86" i="10"/>
  <c r="C86" i="10"/>
  <c r="B86" i="10"/>
  <c r="H85" i="10"/>
  <c r="G85" i="10"/>
  <c r="F85" i="10"/>
  <c r="E85" i="10"/>
  <c r="D85" i="10"/>
  <c r="C85" i="10"/>
  <c r="B85" i="10"/>
  <c r="H84" i="10"/>
  <c r="G84" i="10"/>
  <c r="F84" i="10"/>
  <c r="E84" i="10"/>
  <c r="D84" i="10"/>
  <c r="C84" i="10"/>
  <c r="B84" i="10"/>
  <c r="H83" i="10"/>
  <c r="G83" i="10"/>
  <c r="F83" i="10"/>
  <c r="E83" i="10"/>
  <c r="D83" i="10"/>
  <c r="C83" i="10"/>
  <c r="B83" i="10"/>
  <c r="H82" i="10"/>
  <c r="G82" i="10"/>
  <c r="F82" i="10"/>
  <c r="E82" i="10"/>
  <c r="D82" i="10"/>
  <c r="C82" i="10"/>
  <c r="B82" i="10"/>
  <c r="H81" i="10"/>
  <c r="G81" i="10"/>
  <c r="F81" i="10"/>
  <c r="E81" i="10"/>
  <c r="D81" i="10"/>
  <c r="C81" i="10"/>
  <c r="B81" i="10"/>
  <c r="H80" i="10"/>
  <c r="G80" i="10"/>
  <c r="F80" i="10"/>
  <c r="E80" i="10"/>
  <c r="D80" i="10"/>
  <c r="C80" i="10"/>
  <c r="B80" i="10"/>
  <c r="H79" i="10"/>
  <c r="G79" i="10"/>
  <c r="F79" i="10"/>
  <c r="E79" i="10"/>
  <c r="D79" i="10"/>
  <c r="C79" i="10"/>
  <c r="B79" i="10"/>
  <c r="H78" i="10"/>
  <c r="G78" i="10"/>
  <c r="F78" i="10"/>
  <c r="E78" i="10"/>
  <c r="D78" i="10"/>
  <c r="C78" i="10"/>
  <c r="B78" i="10"/>
  <c r="H77" i="10"/>
  <c r="G77" i="10"/>
  <c r="F77" i="10"/>
  <c r="E77" i="10"/>
  <c r="D77" i="10"/>
  <c r="C77" i="10"/>
  <c r="B77" i="10"/>
  <c r="H76" i="10"/>
  <c r="G76" i="10"/>
  <c r="F76" i="10"/>
  <c r="E76" i="10"/>
  <c r="D76" i="10"/>
  <c r="C76" i="10"/>
  <c r="B76" i="10"/>
  <c r="H75" i="10"/>
  <c r="G75" i="10"/>
  <c r="F75" i="10"/>
  <c r="E75" i="10"/>
  <c r="D75" i="10"/>
  <c r="C75" i="10"/>
  <c r="B75" i="10"/>
  <c r="H74" i="10"/>
  <c r="G74" i="10"/>
  <c r="F74" i="10"/>
  <c r="E74" i="10"/>
  <c r="D74" i="10"/>
  <c r="C74" i="10"/>
  <c r="B74" i="10"/>
  <c r="H73" i="10"/>
  <c r="G73" i="10"/>
  <c r="F73" i="10"/>
  <c r="E73" i="10"/>
  <c r="D73" i="10"/>
  <c r="C73" i="10"/>
  <c r="B73" i="10"/>
  <c r="H72" i="10"/>
  <c r="G72" i="10"/>
  <c r="F72" i="10"/>
  <c r="E72" i="10"/>
  <c r="D72" i="10"/>
  <c r="C72" i="10"/>
  <c r="B72" i="10"/>
  <c r="H71" i="10"/>
  <c r="G71" i="10"/>
  <c r="F71" i="10"/>
  <c r="E71" i="10"/>
  <c r="D71" i="10"/>
  <c r="C71" i="10"/>
  <c r="B71" i="10"/>
  <c r="H70" i="10"/>
  <c r="G70" i="10"/>
  <c r="F70" i="10"/>
  <c r="E70" i="10"/>
  <c r="D70" i="10"/>
  <c r="C70" i="10"/>
  <c r="B70" i="10"/>
  <c r="H69" i="10"/>
  <c r="G69" i="10"/>
  <c r="F69" i="10"/>
  <c r="E69" i="10"/>
  <c r="D69" i="10"/>
  <c r="C69" i="10"/>
  <c r="B69" i="10"/>
  <c r="H68" i="10"/>
  <c r="G68" i="10"/>
  <c r="F68" i="10"/>
  <c r="E68" i="10"/>
  <c r="D68" i="10"/>
  <c r="C68" i="10"/>
  <c r="B68" i="10"/>
  <c r="H67" i="10"/>
  <c r="G67" i="10"/>
  <c r="F67" i="10"/>
  <c r="E67" i="10"/>
  <c r="D67" i="10"/>
  <c r="C67" i="10"/>
  <c r="B67" i="10"/>
  <c r="H66" i="10"/>
  <c r="G66" i="10"/>
  <c r="F66" i="10"/>
  <c r="E66" i="10"/>
  <c r="D66" i="10"/>
  <c r="C66" i="10"/>
  <c r="B66" i="10"/>
  <c r="H65" i="10"/>
  <c r="G65" i="10"/>
  <c r="F65" i="10"/>
  <c r="E65" i="10"/>
  <c r="D65" i="10"/>
  <c r="C65" i="10"/>
  <c r="B65" i="10"/>
  <c r="H64" i="10"/>
  <c r="G64" i="10"/>
  <c r="F64" i="10"/>
  <c r="E64" i="10"/>
  <c r="D64" i="10"/>
  <c r="C64" i="10"/>
  <c r="B64" i="10"/>
  <c r="H63" i="10"/>
  <c r="G63" i="10"/>
  <c r="F63" i="10"/>
  <c r="E63" i="10"/>
  <c r="D63" i="10"/>
  <c r="C63" i="10"/>
  <c r="B63" i="10"/>
  <c r="H62" i="10"/>
  <c r="G62" i="10"/>
  <c r="F62" i="10"/>
  <c r="E62" i="10"/>
  <c r="D62" i="10"/>
  <c r="C62" i="10"/>
  <c r="B62" i="10"/>
  <c r="H61" i="10"/>
  <c r="G61" i="10"/>
  <c r="F61" i="10"/>
  <c r="E61" i="10"/>
  <c r="D61" i="10"/>
  <c r="C61" i="10"/>
  <c r="B61" i="10"/>
  <c r="H60" i="10"/>
  <c r="G60" i="10"/>
  <c r="F60" i="10"/>
  <c r="E60" i="10"/>
  <c r="D60" i="10"/>
  <c r="C60" i="10"/>
  <c r="B60" i="10"/>
  <c r="H59" i="10"/>
  <c r="G59" i="10"/>
  <c r="F59" i="10"/>
  <c r="E59" i="10"/>
  <c r="D59" i="10"/>
  <c r="C59" i="10"/>
  <c r="B59" i="10"/>
  <c r="G58" i="10"/>
  <c r="F58" i="10"/>
  <c r="D58" i="10"/>
  <c r="C58" i="10"/>
  <c r="B58" i="10"/>
  <c r="G57" i="10"/>
  <c r="F57" i="10"/>
  <c r="D57" i="10"/>
  <c r="C57" i="10"/>
  <c r="B57" i="10"/>
  <c r="G56" i="10"/>
  <c r="F56" i="10"/>
  <c r="D56" i="10"/>
  <c r="C56" i="10"/>
  <c r="B56" i="10"/>
  <c r="G55" i="10"/>
  <c r="F55" i="10"/>
  <c r="D55" i="10"/>
  <c r="C55" i="10"/>
  <c r="B55" i="10"/>
  <c r="G54" i="10"/>
  <c r="F54" i="10"/>
  <c r="D54" i="10"/>
  <c r="C54" i="10"/>
  <c r="B54" i="10"/>
  <c r="G53" i="10"/>
  <c r="F53" i="10"/>
  <c r="D53" i="10"/>
  <c r="C53" i="10"/>
  <c r="B53" i="10"/>
  <c r="G52" i="10"/>
  <c r="F52" i="10"/>
  <c r="D52" i="10"/>
  <c r="C52" i="10"/>
  <c r="B52" i="10"/>
  <c r="G51" i="10"/>
  <c r="F51" i="10"/>
  <c r="D51" i="10"/>
  <c r="C51" i="10"/>
  <c r="B51" i="10"/>
  <c r="G50" i="10"/>
  <c r="F50" i="10"/>
  <c r="G49" i="10"/>
  <c r="F49" i="10"/>
  <c r="G48" i="10"/>
  <c r="F48" i="10"/>
  <c r="G47" i="10"/>
  <c r="F47" i="10"/>
  <c r="G46" i="10"/>
  <c r="F46" i="10"/>
  <c r="G45" i="10"/>
  <c r="F45" i="10"/>
  <c r="G44" i="10"/>
  <c r="F44" i="10"/>
  <c r="G43" i="10"/>
  <c r="F43" i="10"/>
  <c r="G42" i="10"/>
  <c r="F42" i="10"/>
  <c r="G41" i="10"/>
  <c r="F41" i="10"/>
  <c r="G40" i="10"/>
  <c r="F40" i="10"/>
  <c r="G39" i="10"/>
  <c r="F39" i="10"/>
  <c r="G38" i="10"/>
  <c r="F38" i="10"/>
  <c r="G37" i="10"/>
  <c r="F37" i="10"/>
  <c r="G36" i="10"/>
  <c r="F36" i="10"/>
  <c r="G35" i="10"/>
  <c r="F35" i="10"/>
  <c r="G34" i="10"/>
  <c r="F34" i="10"/>
  <c r="G33" i="10"/>
  <c r="F33" i="10"/>
  <c r="G32" i="10"/>
  <c r="F32" i="10"/>
  <c r="G31" i="10"/>
  <c r="F31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E15" i="10"/>
  <c r="C15" i="10"/>
  <c r="B15" i="10"/>
  <c r="G14" i="10"/>
  <c r="F14" i="10"/>
  <c r="E14" i="10"/>
  <c r="C14" i="10"/>
  <c r="B14" i="10"/>
  <c r="G13" i="10"/>
  <c r="F13" i="10"/>
  <c r="E13" i="10"/>
  <c r="C13" i="10"/>
  <c r="B13" i="10"/>
  <c r="G12" i="10"/>
  <c r="F12" i="10"/>
  <c r="E12" i="10"/>
  <c r="C12" i="10"/>
  <c r="B12" i="10"/>
  <c r="G8" i="10"/>
  <c r="F8" i="10"/>
  <c r="G7" i="10"/>
  <c r="F7" i="10"/>
  <c r="E7" i="10"/>
  <c r="D7" i="10"/>
  <c r="C7" i="10"/>
  <c r="B7" i="10"/>
  <c r="G6" i="10"/>
  <c r="F6" i="10"/>
  <c r="E6" i="10"/>
  <c r="D6" i="10"/>
  <c r="C6" i="10"/>
  <c r="B6" i="10"/>
  <c r="H6" i="10" s="1"/>
  <c r="J11" i="9"/>
  <c r="D11" i="9"/>
  <c r="C11" i="9"/>
  <c r="J10" i="9"/>
  <c r="D10" i="9"/>
  <c r="C10" i="9"/>
  <c r="D9" i="9"/>
  <c r="C9" i="9"/>
  <c r="D8" i="9"/>
  <c r="C8" i="9"/>
  <c r="D7" i="9"/>
  <c r="C7" i="9"/>
  <c r="D6" i="9"/>
  <c r="C6" i="9"/>
  <c r="G203" i="8"/>
  <c r="F203" i="8"/>
  <c r="G202" i="8"/>
  <c r="F202" i="8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J172" i="8"/>
  <c r="I172" i="8"/>
  <c r="H172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9" i="8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E13" i="7"/>
  <c r="E12" i="7"/>
  <c r="E11" i="7"/>
  <c r="E10" i="7"/>
  <c r="E9" i="7"/>
  <c r="E8" i="7"/>
  <c r="H13" i="6"/>
  <c r="G13" i="6"/>
  <c r="F13" i="6"/>
  <c r="E13" i="6"/>
  <c r="D10" i="6"/>
  <c r="C10" i="6" s="1"/>
  <c r="D9" i="6"/>
  <c r="C9" i="6" s="1"/>
  <c r="D8" i="6"/>
  <c r="C8" i="6" s="1"/>
  <c r="D7" i="6"/>
  <c r="C7" i="6" s="1"/>
  <c r="D6" i="6"/>
  <c r="C6" i="6"/>
  <c r="G10" i="5"/>
  <c r="F10" i="5"/>
  <c r="E10" i="5"/>
  <c r="G9" i="5"/>
  <c r="F9" i="5"/>
  <c r="E9" i="5"/>
  <c r="G8" i="5"/>
  <c r="F8" i="5"/>
  <c r="E8" i="5"/>
  <c r="G7" i="5"/>
  <c r="F7" i="5"/>
  <c r="E7" i="5"/>
  <c r="G6" i="5"/>
  <c r="F6" i="5"/>
  <c r="E6" i="5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C17" i="1"/>
  <c r="C10" i="1"/>
  <c r="C9" i="1"/>
  <c r="C8" i="1"/>
  <c r="C7" i="1"/>
  <c r="C6" i="1"/>
  <c r="F5" i="1"/>
  <c r="C5" i="1"/>
  <c r="G146" i="8" l="1"/>
  <c r="G149" i="8"/>
  <c r="G138" i="8"/>
  <c r="G127" i="8"/>
  <c r="G126" i="8"/>
  <c r="G128" i="8"/>
  <c r="G125" i="8"/>
  <c r="G124" i="8"/>
  <c r="H124" i="8" s="1"/>
  <c r="G123" i="8"/>
  <c r="H123" i="8" s="1"/>
  <c r="G129" i="8"/>
  <c r="H129" i="8" s="1"/>
  <c r="G122" i="8"/>
  <c r="H122" i="8" s="1"/>
  <c r="G121" i="8"/>
  <c r="H121" i="8" s="1"/>
  <c r="G120" i="8"/>
  <c r="H120" i="8" s="1"/>
  <c r="G136" i="8"/>
  <c r="H136" i="8" s="1"/>
  <c r="G119" i="8"/>
  <c r="H119" i="8" s="1"/>
  <c r="G118" i="8"/>
  <c r="H118" i="8" s="1"/>
  <c r="G117" i="8"/>
  <c r="H117" i="8" s="1"/>
  <c r="G131" i="8"/>
  <c r="H131" i="8" s="1"/>
  <c r="G116" i="8"/>
  <c r="H116" i="8" s="1"/>
  <c r="G115" i="8"/>
  <c r="H115" i="8" s="1"/>
  <c r="G132" i="8"/>
  <c r="H132" i="8" s="1"/>
  <c r="G113" i="8"/>
  <c r="H113" i="8" s="1"/>
  <c r="G144" i="8"/>
  <c r="G153" i="8"/>
  <c r="G135" i="8"/>
  <c r="H135" i="8" s="1"/>
  <c r="G148" i="8"/>
  <c r="G133" i="8"/>
  <c r="H133" i="8" s="1"/>
  <c r="G152" i="8"/>
  <c r="C11" i="7"/>
  <c r="G145" i="8"/>
  <c r="G140" i="8"/>
  <c r="G151" i="8"/>
  <c r="G134" i="8"/>
  <c r="H134" i="8" s="1"/>
  <c r="G137" i="8"/>
  <c r="H137" i="8" s="1"/>
  <c r="G147" i="8"/>
  <c r="G150" i="8"/>
  <c r="H150" i="8" s="1"/>
  <c r="G139" i="8"/>
  <c r="G141" i="8"/>
  <c r="H141" i="8" s="1"/>
  <c r="G114" i="8"/>
  <c r="H114" i="8" s="1"/>
  <c r="G130" i="8"/>
  <c r="H130" i="8" s="1"/>
  <c r="G142" i="8"/>
  <c r="H142" i="8" s="1"/>
  <c r="G143" i="8"/>
  <c r="H143" i="8" s="1"/>
  <c r="G154" i="8"/>
  <c r="H154" i="8" s="1"/>
  <c r="G155" i="8"/>
  <c r="H155" i="8" s="1"/>
  <c r="G109" i="8"/>
  <c r="H109" i="8" s="1"/>
  <c r="G108" i="8"/>
  <c r="H108" i="8" s="1"/>
  <c r="G107" i="8"/>
  <c r="H107" i="8" s="1"/>
  <c r="G106" i="8"/>
  <c r="H106" i="8" s="1"/>
  <c r="G105" i="8"/>
  <c r="H105" i="8" s="1"/>
  <c r="G104" i="8"/>
  <c r="H104" i="8" s="1"/>
  <c r="G103" i="8"/>
  <c r="H103" i="8" s="1"/>
  <c r="G102" i="8"/>
  <c r="H102" i="8" s="1"/>
  <c r="G101" i="8"/>
  <c r="H101" i="8" s="1"/>
  <c r="G99" i="8"/>
  <c r="H99" i="8" s="1"/>
  <c r="G98" i="8"/>
  <c r="H98" i="8" s="1"/>
  <c r="G97" i="8"/>
  <c r="H97" i="8" s="1"/>
  <c r="G96" i="8"/>
  <c r="H96" i="8" s="1"/>
  <c r="G95" i="8"/>
  <c r="H95" i="8" s="1"/>
  <c r="G94" i="8"/>
  <c r="H94" i="8" s="1"/>
  <c r="G100" i="8"/>
  <c r="H100" i="8" s="1"/>
  <c r="C10" i="7"/>
  <c r="G93" i="8"/>
  <c r="G110" i="8"/>
  <c r="H110" i="8" s="1"/>
  <c r="G92" i="8"/>
  <c r="H92" i="8" s="1"/>
  <c r="G112" i="8"/>
  <c r="H112" i="8" s="1"/>
  <c r="G91" i="8"/>
  <c r="H91" i="8" s="1"/>
  <c r="G90" i="8"/>
  <c r="H90" i="8" s="1"/>
  <c r="G89" i="8"/>
  <c r="H89" i="8" s="1"/>
  <c r="G111" i="8"/>
  <c r="H111" i="8" s="1"/>
  <c r="G88" i="8"/>
  <c r="H88" i="8" s="1"/>
  <c r="G87" i="8"/>
  <c r="H87" i="8" s="1"/>
  <c r="G86" i="8"/>
  <c r="H86" i="8" s="1"/>
  <c r="G85" i="8"/>
  <c r="H85" i="8" s="1"/>
  <c r="G84" i="8"/>
  <c r="H84" i="8" s="1"/>
  <c r="G83" i="8"/>
  <c r="H83" i="8" s="1"/>
  <c r="G82" i="8"/>
  <c r="H82" i="8" s="1"/>
  <c r="G81" i="8"/>
  <c r="H81" i="8" s="1"/>
  <c r="G80" i="8"/>
  <c r="H80" i="8" s="1"/>
  <c r="G79" i="8"/>
  <c r="G78" i="8"/>
  <c r="H78" i="8" s="1"/>
  <c r="G77" i="8"/>
  <c r="H77" i="8" s="1"/>
  <c r="G76" i="8"/>
  <c r="H76" i="8" s="1"/>
  <c r="G75" i="8"/>
  <c r="H75" i="8" s="1"/>
  <c r="G74" i="8"/>
  <c r="H74" i="8" s="1"/>
  <c r="G46" i="8"/>
  <c r="H46" i="8" s="1"/>
  <c r="G43" i="8"/>
  <c r="H43" i="8" s="1"/>
  <c r="G49" i="8"/>
  <c r="H49" i="8" s="1"/>
  <c r="G41" i="8"/>
  <c r="H41" i="8" s="1"/>
  <c r="G55" i="8"/>
  <c r="H55" i="8" s="1"/>
  <c r="G40" i="8"/>
  <c r="H40" i="8" s="1"/>
  <c r="G59" i="8"/>
  <c r="H59" i="8" s="1"/>
  <c r="C9" i="7"/>
  <c r="G44" i="8"/>
  <c r="H44" i="8" s="1"/>
  <c r="G39" i="8"/>
  <c r="H39" i="8" s="1"/>
  <c r="G42" i="8"/>
  <c r="H42" i="8" s="1"/>
  <c r="G51" i="8"/>
  <c r="H51" i="8" s="1"/>
  <c r="G73" i="8"/>
  <c r="H73" i="8" s="1"/>
  <c r="G72" i="8"/>
  <c r="H72" i="8" s="1"/>
  <c r="G71" i="8"/>
  <c r="H71" i="8" s="1"/>
  <c r="G70" i="8"/>
  <c r="H70" i="8" s="1"/>
  <c r="G69" i="8"/>
  <c r="H69" i="8" s="1"/>
  <c r="G68" i="8"/>
  <c r="H68" i="8" s="1"/>
  <c r="G67" i="8"/>
  <c r="H67" i="8" s="1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H60" i="8" s="1"/>
  <c r="G58" i="8"/>
  <c r="H58" i="8" s="1"/>
  <c r="G57" i="8"/>
  <c r="H57" i="8" s="1"/>
  <c r="G56" i="8"/>
  <c r="H56" i="8" s="1"/>
  <c r="G54" i="8"/>
  <c r="H54" i="8" s="1"/>
  <c r="G53" i="8"/>
  <c r="H53" i="8" s="1"/>
  <c r="G52" i="8"/>
  <c r="H52" i="8" s="1"/>
  <c r="G50" i="8"/>
  <c r="H50" i="8" s="1"/>
  <c r="G48" i="8"/>
  <c r="H48" i="8" s="1"/>
  <c r="G47" i="8"/>
  <c r="H47" i="8" s="1"/>
  <c r="G45" i="8"/>
  <c r="H45" i="8" s="1"/>
  <c r="C9" i="14"/>
  <c r="G35" i="8"/>
  <c r="H35" i="8" s="1"/>
  <c r="G37" i="8"/>
  <c r="H37" i="8" s="1"/>
  <c r="G38" i="8"/>
  <c r="H38" i="8" s="1"/>
  <c r="G36" i="8"/>
  <c r="H36" i="8" s="1"/>
  <c r="G4" i="8"/>
  <c r="H4" i="8" s="1"/>
  <c r="G5" i="8"/>
  <c r="H5" i="8" s="1"/>
  <c r="G7" i="8"/>
  <c r="H7" i="8" s="1"/>
  <c r="G14" i="8"/>
  <c r="G15" i="8"/>
  <c r="H15" i="8" s="1"/>
  <c r="G18" i="8"/>
  <c r="H18" i="8" s="1"/>
  <c r="G20" i="8"/>
  <c r="H20" i="8" s="1"/>
  <c r="G21" i="8"/>
  <c r="H21" i="8" s="1"/>
  <c r="G23" i="8"/>
  <c r="H23" i="8" s="1"/>
  <c r="G26" i="8"/>
  <c r="H26" i="8" s="1"/>
  <c r="G27" i="8"/>
  <c r="H27" i="8" s="1"/>
  <c r="G29" i="8"/>
  <c r="H29" i="8" s="1"/>
  <c r="G34" i="8"/>
  <c r="H34" i="8" s="1"/>
  <c r="G30" i="8"/>
  <c r="H30" i="8" s="1"/>
  <c r="G6" i="8"/>
  <c r="H6" i="8" s="1"/>
  <c r="G10" i="8"/>
  <c r="H10" i="8" s="1"/>
  <c r="G11" i="8"/>
  <c r="H11" i="8" s="1"/>
  <c r="G12" i="8"/>
  <c r="H12" i="8" s="1"/>
  <c r="G13" i="8"/>
  <c r="H13" i="8" s="1"/>
  <c r="C8" i="7"/>
  <c r="G8" i="8"/>
  <c r="H8" i="8" s="1"/>
  <c r="G9" i="8"/>
  <c r="H9" i="8" s="1"/>
  <c r="G16" i="8"/>
  <c r="H16" i="8" s="1"/>
  <c r="G17" i="8"/>
  <c r="H17" i="8" s="1"/>
  <c r="G19" i="8"/>
  <c r="H19" i="8" s="1"/>
  <c r="G22" i="8"/>
  <c r="H22" i="8" s="1"/>
  <c r="G24" i="8"/>
  <c r="H24" i="8" s="1"/>
  <c r="G25" i="8"/>
  <c r="H25" i="8" s="1"/>
  <c r="G28" i="8"/>
  <c r="H28" i="8" s="1"/>
  <c r="G31" i="8"/>
  <c r="H31" i="8" s="1"/>
  <c r="G32" i="8"/>
  <c r="H32" i="8" s="1"/>
  <c r="G33" i="8"/>
  <c r="H33" i="8" s="1"/>
  <c r="K387" i="12"/>
  <c r="N387" i="12" s="1"/>
  <c r="L387" i="12"/>
  <c r="P387" i="12" s="1"/>
  <c r="M387" i="12"/>
  <c r="O387" i="12" s="1"/>
  <c r="K386" i="12"/>
  <c r="N386" i="12" s="1"/>
  <c r="L386" i="12"/>
  <c r="P386" i="12" s="1"/>
  <c r="M386" i="12"/>
  <c r="O386" i="12" s="1"/>
  <c r="K385" i="12"/>
  <c r="N385" i="12" s="1"/>
  <c r="L385" i="12"/>
  <c r="P385" i="12" s="1"/>
  <c r="M385" i="12"/>
  <c r="O385" i="12" s="1"/>
  <c r="K384" i="12"/>
  <c r="N384" i="12" s="1"/>
  <c r="L384" i="12"/>
  <c r="P384" i="12" s="1"/>
  <c r="M384" i="12"/>
  <c r="O384" i="12" s="1"/>
  <c r="K383" i="12"/>
  <c r="N383" i="12" s="1"/>
  <c r="L383" i="12"/>
  <c r="P383" i="12" s="1"/>
  <c r="M383" i="12"/>
  <c r="O383" i="12" s="1"/>
  <c r="K382" i="12"/>
  <c r="N382" i="12" s="1"/>
  <c r="L382" i="12"/>
  <c r="P382" i="12" s="1"/>
  <c r="M382" i="12"/>
  <c r="O382" i="12" s="1"/>
  <c r="K381" i="12"/>
  <c r="N381" i="12" s="1"/>
  <c r="L381" i="12"/>
  <c r="P381" i="12" s="1"/>
  <c r="M381" i="12"/>
  <c r="O381" i="12" s="1"/>
  <c r="K380" i="12"/>
  <c r="N380" i="12" s="1"/>
  <c r="L380" i="12"/>
  <c r="P380" i="12" s="1"/>
  <c r="M380" i="12"/>
  <c r="O380" i="12" s="1"/>
  <c r="K379" i="12"/>
  <c r="N379" i="12" s="1"/>
  <c r="L379" i="12"/>
  <c r="P379" i="12" s="1"/>
  <c r="M379" i="12"/>
  <c r="O379" i="12" s="1"/>
  <c r="K378" i="12"/>
  <c r="N378" i="12" s="1"/>
  <c r="L378" i="12"/>
  <c r="P378" i="12" s="1"/>
  <c r="M378" i="12"/>
  <c r="O378" i="12" s="1"/>
  <c r="K377" i="12"/>
  <c r="N377" i="12" s="1"/>
  <c r="L377" i="12"/>
  <c r="P377" i="12" s="1"/>
  <c r="M377" i="12"/>
  <c r="O377" i="12" s="1"/>
  <c r="K376" i="12"/>
  <c r="N376" i="12" s="1"/>
  <c r="L376" i="12"/>
  <c r="P376" i="12" s="1"/>
  <c r="M376" i="12"/>
  <c r="O376" i="12" s="1"/>
  <c r="K375" i="12"/>
  <c r="N375" i="12" s="1"/>
  <c r="L375" i="12"/>
  <c r="P375" i="12" s="1"/>
  <c r="M375" i="12"/>
  <c r="O375" i="12" s="1"/>
  <c r="K374" i="12"/>
  <c r="N374" i="12" s="1"/>
  <c r="L374" i="12"/>
  <c r="P374" i="12" s="1"/>
  <c r="M374" i="12"/>
  <c r="O374" i="12" s="1"/>
  <c r="K373" i="12"/>
  <c r="N373" i="12" s="1"/>
  <c r="L373" i="12"/>
  <c r="P373" i="12" s="1"/>
  <c r="M373" i="12"/>
  <c r="O373" i="12" s="1"/>
  <c r="K372" i="12"/>
  <c r="N372" i="12" s="1"/>
  <c r="L372" i="12"/>
  <c r="P372" i="12" s="1"/>
  <c r="M372" i="12"/>
  <c r="O372" i="12" s="1"/>
  <c r="K371" i="12"/>
  <c r="N371" i="12" s="1"/>
  <c r="L371" i="12"/>
  <c r="P371" i="12" s="1"/>
  <c r="M371" i="12"/>
  <c r="O371" i="12" s="1"/>
  <c r="K370" i="12"/>
  <c r="N370" i="12" s="1"/>
  <c r="L370" i="12"/>
  <c r="P370" i="12" s="1"/>
  <c r="M370" i="12"/>
  <c r="O370" i="12" s="1"/>
  <c r="K369" i="12"/>
  <c r="N369" i="12" s="1"/>
  <c r="L369" i="12"/>
  <c r="P369" i="12" s="1"/>
  <c r="M369" i="12"/>
  <c r="O369" i="12" s="1"/>
  <c r="K368" i="12"/>
  <c r="N368" i="12" s="1"/>
  <c r="L368" i="12"/>
  <c r="P368" i="12" s="1"/>
  <c r="M368" i="12"/>
  <c r="O368" i="12" s="1"/>
  <c r="K367" i="12"/>
  <c r="N367" i="12" s="1"/>
  <c r="L367" i="12"/>
  <c r="P367" i="12" s="1"/>
  <c r="M367" i="12"/>
  <c r="O367" i="12" s="1"/>
  <c r="K366" i="12"/>
  <c r="N366" i="12" s="1"/>
  <c r="L366" i="12"/>
  <c r="P366" i="12" s="1"/>
  <c r="M366" i="12"/>
  <c r="O366" i="12" s="1"/>
  <c r="K365" i="12"/>
  <c r="N365" i="12" s="1"/>
  <c r="L365" i="12"/>
  <c r="P365" i="12" s="1"/>
  <c r="M365" i="12"/>
  <c r="O365" i="12" s="1"/>
  <c r="K364" i="12"/>
  <c r="N364" i="12" s="1"/>
  <c r="L364" i="12"/>
  <c r="P364" i="12" s="1"/>
  <c r="M364" i="12"/>
  <c r="O364" i="12" s="1"/>
  <c r="K363" i="12"/>
  <c r="N363" i="12" s="1"/>
  <c r="L363" i="12"/>
  <c r="P363" i="12" s="1"/>
  <c r="M363" i="12"/>
  <c r="O363" i="12" s="1"/>
  <c r="K362" i="12"/>
  <c r="N362" i="12" s="1"/>
  <c r="L362" i="12"/>
  <c r="P362" i="12" s="1"/>
  <c r="M362" i="12"/>
  <c r="O362" i="12" s="1"/>
  <c r="K361" i="12"/>
  <c r="N361" i="12" s="1"/>
  <c r="L361" i="12"/>
  <c r="P361" i="12" s="1"/>
  <c r="M361" i="12"/>
  <c r="O361" i="12" s="1"/>
  <c r="K360" i="12"/>
  <c r="N360" i="12" s="1"/>
  <c r="L360" i="12"/>
  <c r="P360" i="12" s="1"/>
  <c r="M360" i="12"/>
  <c r="O360" i="12" s="1"/>
  <c r="K359" i="12"/>
  <c r="N359" i="12" s="1"/>
  <c r="L359" i="12"/>
  <c r="P359" i="12" s="1"/>
  <c r="M359" i="12"/>
  <c r="O359" i="12" s="1"/>
  <c r="K358" i="12"/>
  <c r="N358" i="12" s="1"/>
  <c r="L358" i="12"/>
  <c r="P358" i="12" s="1"/>
  <c r="M358" i="12"/>
  <c r="O358" i="12" s="1"/>
  <c r="K357" i="12"/>
  <c r="N357" i="12" s="1"/>
  <c r="L357" i="12"/>
  <c r="P357" i="12" s="1"/>
  <c r="M357" i="12"/>
  <c r="O357" i="12" s="1"/>
  <c r="K356" i="12"/>
  <c r="N356" i="12" s="1"/>
  <c r="L356" i="12"/>
  <c r="P356" i="12" s="1"/>
  <c r="M356" i="12"/>
  <c r="O356" i="12" s="1"/>
  <c r="K355" i="12"/>
  <c r="N355" i="12" s="1"/>
  <c r="L355" i="12"/>
  <c r="P355" i="12" s="1"/>
  <c r="M355" i="12"/>
  <c r="O355" i="12" s="1"/>
  <c r="K354" i="12"/>
  <c r="N354" i="12" s="1"/>
  <c r="L354" i="12"/>
  <c r="P354" i="12" s="1"/>
  <c r="M354" i="12"/>
  <c r="O354" i="12" s="1"/>
  <c r="K353" i="12"/>
  <c r="N353" i="12" s="1"/>
  <c r="L353" i="12"/>
  <c r="P353" i="12" s="1"/>
  <c r="M353" i="12"/>
  <c r="O353" i="12" s="1"/>
  <c r="K352" i="12"/>
  <c r="N352" i="12" s="1"/>
  <c r="L352" i="12"/>
  <c r="P352" i="12" s="1"/>
  <c r="M352" i="12"/>
  <c r="O352" i="12" s="1"/>
  <c r="K351" i="12"/>
  <c r="L351" i="12"/>
  <c r="M351" i="12"/>
  <c r="O351" i="12" s="1"/>
  <c r="F8" i="14"/>
  <c r="G8" i="14" s="1"/>
  <c r="E8" i="14"/>
  <c r="D13" i="7" s="1"/>
  <c r="G13" i="7" s="1"/>
  <c r="I13" i="7" s="1"/>
  <c r="J13" i="7" s="1"/>
  <c r="K350" i="12"/>
  <c r="N350" i="12" s="1"/>
  <c r="L350" i="12"/>
  <c r="P350" i="12" s="1"/>
  <c r="M350" i="12"/>
  <c r="O350" i="12" s="1"/>
  <c r="K349" i="12"/>
  <c r="N349" i="12" s="1"/>
  <c r="L349" i="12"/>
  <c r="P349" i="12" s="1"/>
  <c r="M349" i="12"/>
  <c r="O349" i="12" s="1"/>
  <c r="K348" i="12"/>
  <c r="N348" i="12" s="1"/>
  <c r="L348" i="12"/>
  <c r="P348" i="12" s="1"/>
  <c r="M348" i="12"/>
  <c r="O348" i="12" s="1"/>
  <c r="K347" i="12"/>
  <c r="N347" i="12" s="1"/>
  <c r="L347" i="12"/>
  <c r="P347" i="12" s="1"/>
  <c r="M347" i="12"/>
  <c r="O347" i="12" s="1"/>
  <c r="K346" i="12"/>
  <c r="N346" i="12" s="1"/>
  <c r="L346" i="12"/>
  <c r="P346" i="12" s="1"/>
  <c r="M346" i="12"/>
  <c r="O346" i="12" s="1"/>
  <c r="K345" i="12"/>
  <c r="N345" i="12" s="1"/>
  <c r="L345" i="12"/>
  <c r="P345" i="12" s="1"/>
  <c r="M345" i="12"/>
  <c r="O345" i="12" s="1"/>
  <c r="K344" i="12"/>
  <c r="N344" i="12" s="1"/>
  <c r="L344" i="12"/>
  <c r="P344" i="12" s="1"/>
  <c r="M344" i="12"/>
  <c r="O344" i="12" s="1"/>
  <c r="K343" i="12"/>
  <c r="N343" i="12" s="1"/>
  <c r="L343" i="12"/>
  <c r="P343" i="12" s="1"/>
  <c r="M343" i="12"/>
  <c r="O343" i="12" s="1"/>
  <c r="K342" i="12"/>
  <c r="N342" i="12" s="1"/>
  <c r="L342" i="12"/>
  <c r="P342" i="12" s="1"/>
  <c r="M342" i="12"/>
  <c r="O342" i="12" s="1"/>
  <c r="K341" i="12"/>
  <c r="N341" i="12" s="1"/>
  <c r="L341" i="12"/>
  <c r="P341" i="12" s="1"/>
  <c r="M341" i="12"/>
  <c r="O341" i="12" s="1"/>
  <c r="K340" i="12"/>
  <c r="N340" i="12" s="1"/>
  <c r="L340" i="12"/>
  <c r="P340" i="12" s="1"/>
  <c r="M340" i="12"/>
  <c r="O340" i="12" s="1"/>
  <c r="K339" i="12"/>
  <c r="N339" i="12" s="1"/>
  <c r="L339" i="12"/>
  <c r="P339" i="12" s="1"/>
  <c r="M339" i="12"/>
  <c r="O339" i="12" s="1"/>
  <c r="K338" i="12"/>
  <c r="N338" i="12" s="1"/>
  <c r="L338" i="12"/>
  <c r="P338" i="12" s="1"/>
  <c r="M338" i="12"/>
  <c r="O338" i="12" s="1"/>
  <c r="K337" i="12"/>
  <c r="N337" i="12" s="1"/>
  <c r="L337" i="12"/>
  <c r="P337" i="12" s="1"/>
  <c r="M337" i="12"/>
  <c r="O337" i="12" s="1"/>
  <c r="K336" i="12"/>
  <c r="N336" i="12" s="1"/>
  <c r="L336" i="12"/>
  <c r="P336" i="12" s="1"/>
  <c r="M336" i="12"/>
  <c r="O336" i="12" s="1"/>
  <c r="K335" i="12"/>
  <c r="N335" i="12" s="1"/>
  <c r="L335" i="12"/>
  <c r="P335" i="12" s="1"/>
  <c r="M335" i="12"/>
  <c r="O335" i="12" s="1"/>
  <c r="K334" i="12"/>
  <c r="N334" i="12" s="1"/>
  <c r="L334" i="12"/>
  <c r="P334" i="12" s="1"/>
  <c r="M334" i="12"/>
  <c r="O334" i="12" s="1"/>
  <c r="K333" i="12"/>
  <c r="N333" i="12" s="1"/>
  <c r="L333" i="12"/>
  <c r="P333" i="12" s="1"/>
  <c r="M333" i="12"/>
  <c r="O333" i="12" s="1"/>
  <c r="K332" i="12"/>
  <c r="N332" i="12" s="1"/>
  <c r="L332" i="12"/>
  <c r="P332" i="12" s="1"/>
  <c r="M332" i="12"/>
  <c r="O332" i="12" s="1"/>
  <c r="K331" i="12"/>
  <c r="N331" i="12" s="1"/>
  <c r="L331" i="12"/>
  <c r="P331" i="12" s="1"/>
  <c r="M331" i="12"/>
  <c r="O331" i="12" s="1"/>
  <c r="K330" i="12"/>
  <c r="N330" i="12" s="1"/>
  <c r="L330" i="12"/>
  <c r="P330" i="12" s="1"/>
  <c r="M330" i="12"/>
  <c r="O330" i="12" s="1"/>
  <c r="K329" i="12"/>
  <c r="N329" i="12" s="1"/>
  <c r="L329" i="12"/>
  <c r="P329" i="12" s="1"/>
  <c r="M329" i="12"/>
  <c r="O329" i="12" s="1"/>
  <c r="K328" i="12"/>
  <c r="N328" i="12" s="1"/>
  <c r="L328" i="12"/>
  <c r="P328" i="12" s="1"/>
  <c r="M328" i="12"/>
  <c r="O328" i="12" s="1"/>
  <c r="K327" i="12"/>
  <c r="N327" i="12" s="1"/>
  <c r="L327" i="12"/>
  <c r="P327" i="12" s="1"/>
  <c r="M327" i="12"/>
  <c r="O327" i="12" s="1"/>
  <c r="K326" i="12"/>
  <c r="N326" i="12" s="1"/>
  <c r="L326" i="12"/>
  <c r="P326" i="12" s="1"/>
  <c r="M326" i="12"/>
  <c r="O326" i="12" s="1"/>
  <c r="K325" i="12"/>
  <c r="N325" i="12" s="1"/>
  <c r="L325" i="12"/>
  <c r="P325" i="12" s="1"/>
  <c r="M325" i="12"/>
  <c r="O325" i="12" s="1"/>
  <c r="K324" i="12"/>
  <c r="N324" i="12" s="1"/>
  <c r="L324" i="12"/>
  <c r="P324" i="12" s="1"/>
  <c r="M324" i="12"/>
  <c r="O324" i="12" s="1"/>
  <c r="K323" i="12"/>
  <c r="N323" i="12" s="1"/>
  <c r="L323" i="12"/>
  <c r="P323" i="12" s="1"/>
  <c r="M323" i="12"/>
  <c r="O323" i="12" s="1"/>
  <c r="K322" i="12"/>
  <c r="N322" i="12" s="1"/>
  <c r="L322" i="12"/>
  <c r="P322" i="12" s="1"/>
  <c r="M322" i="12"/>
  <c r="O322" i="12" s="1"/>
  <c r="K321" i="12"/>
  <c r="N321" i="12" s="1"/>
  <c r="L321" i="12"/>
  <c r="P321" i="12" s="1"/>
  <c r="M321" i="12"/>
  <c r="O321" i="12" s="1"/>
  <c r="K320" i="12"/>
  <c r="N320" i="12" s="1"/>
  <c r="L320" i="12"/>
  <c r="P320" i="12" s="1"/>
  <c r="M320" i="12"/>
  <c r="O320" i="12" s="1"/>
  <c r="K319" i="12"/>
  <c r="N319" i="12" s="1"/>
  <c r="L319" i="12"/>
  <c r="P319" i="12" s="1"/>
  <c r="M319" i="12"/>
  <c r="O319" i="12" s="1"/>
  <c r="K318" i="12"/>
  <c r="N318" i="12" s="1"/>
  <c r="L318" i="12"/>
  <c r="P318" i="12" s="1"/>
  <c r="M318" i="12"/>
  <c r="O318" i="12" s="1"/>
  <c r="K317" i="12"/>
  <c r="N317" i="12" s="1"/>
  <c r="L317" i="12"/>
  <c r="P317" i="12" s="1"/>
  <c r="M317" i="12"/>
  <c r="O317" i="12" s="1"/>
  <c r="K316" i="12"/>
  <c r="N316" i="12" s="1"/>
  <c r="M316" i="12"/>
  <c r="O316" i="12" s="1"/>
  <c r="L316" i="12"/>
  <c r="P316" i="12" s="1"/>
  <c r="K315" i="12"/>
  <c r="N315" i="12" s="1"/>
  <c r="L315" i="12"/>
  <c r="P315" i="12" s="1"/>
  <c r="M315" i="12"/>
  <c r="O315" i="12" s="1"/>
  <c r="K314" i="12"/>
  <c r="N314" i="12" s="1"/>
  <c r="L314" i="12"/>
  <c r="P314" i="12" s="1"/>
  <c r="M314" i="12"/>
  <c r="O314" i="12" s="1"/>
  <c r="K313" i="12"/>
  <c r="N313" i="12" s="1"/>
  <c r="L313" i="12"/>
  <c r="P313" i="12" s="1"/>
  <c r="M313" i="12"/>
  <c r="O313" i="12" s="1"/>
  <c r="K312" i="12"/>
  <c r="N312" i="12" s="1"/>
  <c r="L312" i="12"/>
  <c r="P312" i="12" s="1"/>
  <c r="M312" i="12"/>
  <c r="O312" i="12" s="1"/>
  <c r="K311" i="12"/>
  <c r="N311" i="12" s="1"/>
  <c r="M311" i="12"/>
  <c r="O311" i="12" s="1"/>
  <c r="L311" i="12"/>
  <c r="P311" i="12" s="1"/>
  <c r="K310" i="12"/>
  <c r="N310" i="12" s="1"/>
  <c r="L310" i="12"/>
  <c r="P310" i="12" s="1"/>
  <c r="M310" i="12"/>
  <c r="O310" i="12" s="1"/>
  <c r="K309" i="12"/>
  <c r="N309" i="12" s="1"/>
  <c r="L309" i="12"/>
  <c r="P309" i="12" s="1"/>
  <c r="M309" i="12"/>
  <c r="O309" i="12" s="1"/>
  <c r="K308" i="12"/>
  <c r="N308" i="12" s="1"/>
  <c r="L308" i="12"/>
  <c r="P308" i="12" s="1"/>
  <c r="M308" i="12"/>
  <c r="O308" i="12" s="1"/>
  <c r="K307" i="12"/>
  <c r="N307" i="12" s="1"/>
  <c r="L307" i="12"/>
  <c r="P307" i="12" s="1"/>
  <c r="M307" i="12"/>
  <c r="O307" i="12" s="1"/>
  <c r="K306" i="12"/>
  <c r="N306" i="12" s="1"/>
  <c r="L306" i="12"/>
  <c r="P306" i="12" s="1"/>
  <c r="M306" i="12"/>
  <c r="O306" i="12" s="1"/>
  <c r="K305" i="12"/>
  <c r="N305" i="12" s="1"/>
  <c r="L305" i="12"/>
  <c r="P305" i="12" s="1"/>
  <c r="M305" i="12"/>
  <c r="O305" i="12" s="1"/>
  <c r="K304" i="12"/>
  <c r="N304" i="12" s="1"/>
  <c r="L304" i="12"/>
  <c r="P304" i="12" s="1"/>
  <c r="M304" i="12"/>
  <c r="O304" i="12" s="1"/>
  <c r="K303" i="12"/>
  <c r="N303" i="12" s="1"/>
  <c r="L303" i="12"/>
  <c r="P303" i="12" s="1"/>
  <c r="M303" i="12"/>
  <c r="O303" i="12" s="1"/>
  <c r="K302" i="12"/>
  <c r="N302" i="12" s="1"/>
  <c r="L302" i="12"/>
  <c r="P302" i="12" s="1"/>
  <c r="M302" i="12"/>
  <c r="O302" i="12" s="1"/>
  <c r="K301" i="12"/>
  <c r="N301" i="12" s="1"/>
  <c r="L301" i="12"/>
  <c r="P301" i="12" s="1"/>
  <c r="M301" i="12"/>
  <c r="O301" i="12" s="1"/>
  <c r="K300" i="12"/>
  <c r="N300" i="12" s="1"/>
  <c r="L300" i="12"/>
  <c r="P300" i="12" s="1"/>
  <c r="M300" i="12"/>
  <c r="O300" i="12" s="1"/>
  <c r="K299" i="12"/>
  <c r="N299" i="12" s="1"/>
  <c r="L299" i="12"/>
  <c r="P299" i="12" s="1"/>
  <c r="M299" i="12"/>
  <c r="O299" i="12" s="1"/>
  <c r="K298" i="12"/>
  <c r="N298" i="12" s="1"/>
  <c r="L298" i="12"/>
  <c r="P298" i="12" s="1"/>
  <c r="M298" i="12"/>
  <c r="O298" i="12" s="1"/>
  <c r="K297" i="12"/>
  <c r="N297" i="12" s="1"/>
  <c r="L297" i="12"/>
  <c r="P297" i="12" s="1"/>
  <c r="M297" i="12"/>
  <c r="O297" i="12" s="1"/>
  <c r="K296" i="12"/>
  <c r="N296" i="12" s="1"/>
  <c r="L296" i="12"/>
  <c r="P296" i="12" s="1"/>
  <c r="M296" i="12"/>
  <c r="O296" i="12" s="1"/>
  <c r="K295" i="12"/>
  <c r="N295" i="12" s="1"/>
  <c r="L295" i="12"/>
  <c r="P295" i="12" s="1"/>
  <c r="M295" i="12"/>
  <c r="O295" i="12" s="1"/>
  <c r="L294" i="12"/>
  <c r="P294" i="12" s="1"/>
  <c r="K294" i="12"/>
  <c r="N294" i="12" s="1"/>
  <c r="M294" i="12"/>
  <c r="O294" i="12" s="1"/>
  <c r="K293" i="12"/>
  <c r="N293" i="12" s="1"/>
  <c r="M293" i="12"/>
  <c r="O293" i="12" s="1"/>
  <c r="L293" i="12"/>
  <c r="P293" i="12" s="1"/>
  <c r="K292" i="12"/>
  <c r="N292" i="12" s="1"/>
  <c r="L292" i="12"/>
  <c r="P292" i="12" s="1"/>
  <c r="M292" i="12"/>
  <c r="O292" i="12" s="1"/>
  <c r="K291" i="12"/>
  <c r="N291" i="12" s="1"/>
  <c r="L291" i="12"/>
  <c r="P291" i="12" s="1"/>
  <c r="M291" i="12"/>
  <c r="O291" i="12" s="1"/>
  <c r="K290" i="12"/>
  <c r="N290" i="12" s="1"/>
  <c r="L290" i="12"/>
  <c r="P290" i="12" s="1"/>
  <c r="M290" i="12"/>
  <c r="O290" i="12" s="1"/>
  <c r="K289" i="12"/>
  <c r="N289" i="12" s="1"/>
  <c r="L289" i="12"/>
  <c r="P289" i="12" s="1"/>
  <c r="M289" i="12"/>
  <c r="O289" i="12" s="1"/>
  <c r="K288" i="12"/>
  <c r="N288" i="12" s="1"/>
  <c r="L288" i="12"/>
  <c r="P288" i="12" s="1"/>
  <c r="M288" i="12"/>
  <c r="O288" i="12" s="1"/>
  <c r="K287" i="12"/>
  <c r="N287" i="12" s="1"/>
  <c r="L287" i="12"/>
  <c r="P287" i="12" s="1"/>
  <c r="M287" i="12"/>
  <c r="O287" i="12" s="1"/>
  <c r="K286" i="12"/>
  <c r="N286" i="12" s="1"/>
  <c r="L286" i="12"/>
  <c r="P286" i="12" s="1"/>
  <c r="M286" i="12"/>
  <c r="O286" i="12" s="1"/>
  <c r="K285" i="12"/>
  <c r="N285" i="12" s="1"/>
  <c r="L285" i="12"/>
  <c r="P285" i="12" s="1"/>
  <c r="M285" i="12"/>
  <c r="O285" i="12" s="1"/>
  <c r="K284" i="12"/>
  <c r="N284" i="12" s="1"/>
  <c r="L284" i="12"/>
  <c r="P284" i="12" s="1"/>
  <c r="M284" i="12"/>
  <c r="O284" i="12" s="1"/>
  <c r="K283" i="12"/>
  <c r="N283" i="12" s="1"/>
  <c r="L283" i="12"/>
  <c r="P283" i="12" s="1"/>
  <c r="M283" i="12"/>
  <c r="O283" i="12" s="1"/>
  <c r="K282" i="12"/>
  <c r="N282" i="12" s="1"/>
  <c r="M282" i="12"/>
  <c r="O282" i="12" s="1"/>
  <c r="L282" i="12"/>
  <c r="P282" i="12" s="1"/>
  <c r="E7" i="14"/>
  <c r="D12" i="7" s="1"/>
  <c r="G12" i="7" s="1"/>
  <c r="I12" i="7" s="1"/>
  <c r="J12" i="7" s="1"/>
  <c r="F7" i="14"/>
  <c r="G7" i="14" s="1"/>
  <c r="K281" i="12"/>
  <c r="L281" i="12"/>
  <c r="M281" i="12"/>
  <c r="O281" i="12" s="1"/>
  <c r="K280" i="12"/>
  <c r="N280" i="12" s="1"/>
  <c r="L280" i="12"/>
  <c r="P280" i="12" s="1"/>
  <c r="M280" i="12"/>
  <c r="O280" i="12" s="1"/>
  <c r="L279" i="12"/>
  <c r="P279" i="12" s="1"/>
  <c r="K279" i="12"/>
  <c r="N279" i="12" s="1"/>
  <c r="M279" i="12"/>
  <c r="O279" i="12" s="1"/>
  <c r="L278" i="12"/>
  <c r="P278" i="12" s="1"/>
  <c r="K278" i="12"/>
  <c r="N278" i="12" s="1"/>
  <c r="M278" i="12"/>
  <c r="O278" i="12" s="1"/>
  <c r="K277" i="12"/>
  <c r="N277" i="12" s="1"/>
  <c r="M277" i="12"/>
  <c r="O277" i="12" s="1"/>
  <c r="L277" i="12"/>
  <c r="P277" i="12" s="1"/>
  <c r="K276" i="12"/>
  <c r="N276" i="12" s="1"/>
  <c r="L276" i="12"/>
  <c r="P276" i="12" s="1"/>
  <c r="M276" i="12"/>
  <c r="O276" i="12" s="1"/>
  <c r="K275" i="12"/>
  <c r="N275" i="12" s="1"/>
  <c r="L275" i="12"/>
  <c r="P275" i="12" s="1"/>
  <c r="M275" i="12"/>
  <c r="O275" i="12" s="1"/>
  <c r="K274" i="12"/>
  <c r="N274" i="12" s="1"/>
  <c r="L274" i="12"/>
  <c r="P274" i="12" s="1"/>
  <c r="M274" i="12"/>
  <c r="O274" i="12" s="1"/>
  <c r="K273" i="12"/>
  <c r="N273" i="12" s="1"/>
  <c r="L273" i="12"/>
  <c r="P273" i="12" s="1"/>
  <c r="M273" i="12"/>
  <c r="O273" i="12" s="1"/>
  <c r="K272" i="12"/>
  <c r="N272" i="12" s="1"/>
  <c r="M272" i="12"/>
  <c r="O272" i="12" s="1"/>
  <c r="L272" i="12"/>
  <c r="P272" i="12" s="1"/>
  <c r="K271" i="12"/>
  <c r="N271" i="12" s="1"/>
  <c r="L271" i="12"/>
  <c r="P271" i="12" s="1"/>
  <c r="M271" i="12"/>
  <c r="O271" i="12" s="1"/>
  <c r="K270" i="12"/>
  <c r="N270" i="12" s="1"/>
  <c r="M270" i="12"/>
  <c r="O270" i="12" s="1"/>
  <c r="L270" i="12"/>
  <c r="P270" i="12" s="1"/>
  <c r="K269" i="12"/>
  <c r="N269" i="12" s="1"/>
  <c r="L269" i="12"/>
  <c r="P269" i="12" s="1"/>
  <c r="M269" i="12"/>
  <c r="O269" i="12" s="1"/>
  <c r="K268" i="12"/>
  <c r="N268" i="12" s="1"/>
  <c r="L268" i="12"/>
  <c r="P268" i="12" s="1"/>
  <c r="M268" i="12"/>
  <c r="O268" i="12" s="1"/>
  <c r="K267" i="12"/>
  <c r="N267" i="12" s="1"/>
  <c r="M267" i="12"/>
  <c r="O267" i="12" s="1"/>
  <c r="L267" i="12"/>
  <c r="P267" i="12" s="1"/>
  <c r="K266" i="12"/>
  <c r="N266" i="12" s="1"/>
  <c r="M266" i="12"/>
  <c r="O266" i="12" s="1"/>
  <c r="L266" i="12"/>
  <c r="P266" i="12" s="1"/>
  <c r="K265" i="12"/>
  <c r="N265" i="12" s="1"/>
  <c r="L265" i="12"/>
  <c r="P265" i="12" s="1"/>
  <c r="M265" i="12"/>
  <c r="O265" i="12" s="1"/>
  <c r="K264" i="12"/>
  <c r="N264" i="12" s="1"/>
  <c r="L264" i="12"/>
  <c r="P264" i="12" s="1"/>
  <c r="M264" i="12"/>
  <c r="O264" i="12" s="1"/>
  <c r="K263" i="12"/>
  <c r="N263" i="12" s="1"/>
  <c r="L263" i="12"/>
  <c r="P263" i="12" s="1"/>
  <c r="M263" i="12"/>
  <c r="O263" i="12" s="1"/>
  <c r="K262" i="12"/>
  <c r="N262" i="12" s="1"/>
  <c r="L262" i="12"/>
  <c r="P262" i="12" s="1"/>
  <c r="M262" i="12"/>
  <c r="O262" i="12" s="1"/>
  <c r="K261" i="12"/>
  <c r="N261" i="12" s="1"/>
  <c r="L261" i="12"/>
  <c r="P261" i="12" s="1"/>
  <c r="M261" i="12"/>
  <c r="O261" i="12" s="1"/>
  <c r="K260" i="12"/>
  <c r="N260" i="12" s="1"/>
  <c r="L260" i="12"/>
  <c r="P260" i="12" s="1"/>
  <c r="M260" i="12"/>
  <c r="O260" i="12" s="1"/>
  <c r="K259" i="12"/>
  <c r="N259" i="12" s="1"/>
  <c r="L259" i="12"/>
  <c r="P259" i="12" s="1"/>
  <c r="M259" i="12"/>
  <c r="O259" i="12" s="1"/>
  <c r="K258" i="12"/>
  <c r="N258" i="12" s="1"/>
  <c r="L258" i="12"/>
  <c r="P258" i="12" s="1"/>
  <c r="M258" i="12"/>
  <c r="O258" i="12" s="1"/>
  <c r="K257" i="12"/>
  <c r="N257" i="12" s="1"/>
  <c r="L257" i="12"/>
  <c r="P257" i="12" s="1"/>
  <c r="M257" i="12"/>
  <c r="O257" i="12" s="1"/>
  <c r="K256" i="12"/>
  <c r="N256" i="12" s="1"/>
  <c r="L256" i="12"/>
  <c r="P256" i="12" s="1"/>
  <c r="M256" i="12"/>
  <c r="O256" i="12" s="1"/>
  <c r="K255" i="12"/>
  <c r="N255" i="12" s="1"/>
  <c r="L255" i="12"/>
  <c r="P255" i="12" s="1"/>
  <c r="M255" i="12"/>
  <c r="O255" i="12" s="1"/>
  <c r="K254" i="12"/>
  <c r="N254" i="12" s="1"/>
  <c r="L254" i="12"/>
  <c r="P254" i="12" s="1"/>
  <c r="M254" i="12"/>
  <c r="O254" i="12" s="1"/>
  <c r="K253" i="12"/>
  <c r="N253" i="12" s="1"/>
  <c r="L253" i="12"/>
  <c r="P253" i="12" s="1"/>
  <c r="M253" i="12"/>
  <c r="O253" i="12" s="1"/>
  <c r="K252" i="12"/>
  <c r="N252" i="12" s="1"/>
  <c r="M252" i="12"/>
  <c r="O252" i="12" s="1"/>
  <c r="L252" i="12"/>
  <c r="P252" i="12" s="1"/>
  <c r="K251" i="12"/>
  <c r="N251" i="12" s="1"/>
  <c r="L251" i="12"/>
  <c r="P251" i="12" s="1"/>
  <c r="M251" i="12"/>
  <c r="O251" i="12" s="1"/>
  <c r="K250" i="12"/>
  <c r="N250" i="12" s="1"/>
  <c r="M250" i="12"/>
  <c r="O250" i="12" s="1"/>
  <c r="L250" i="12"/>
  <c r="P250" i="12" s="1"/>
  <c r="K249" i="12"/>
  <c r="N249" i="12" s="1"/>
  <c r="M249" i="12"/>
  <c r="O249" i="12" s="1"/>
  <c r="L249" i="12"/>
  <c r="P249" i="12" s="1"/>
  <c r="K248" i="12"/>
  <c r="N248" i="12" s="1"/>
  <c r="M248" i="12"/>
  <c r="O248" i="12" s="1"/>
  <c r="L248" i="12"/>
  <c r="P248" i="12" s="1"/>
  <c r="K247" i="12"/>
  <c r="N247" i="12" s="1"/>
  <c r="M247" i="12"/>
  <c r="O247" i="12" s="1"/>
  <c r="L247" i="12"/>
  <c r="P247" i="12" s="1"/>
  <c r="L246" i="12"/>
  <c r="P246" i="12" s="1"/>
  <c r="K246" i="12"/>
  <c r="N246" i="12" s="1"/>
  <c r="M246" i="12"/>
  <c r="O246" i="12" s="1"/>
  <c r="K245" i="12"/>
  <c r="N245" i="12" s="1"/>
  <c r="M245" i="12"/>
  <c r="O245" i="12" s="1"/>
  <c r="L245" i="12"/>
  <c r="P245" i="12" s="1"/>
  <c r="K244" i="12"/>
  <c r="N244" i="12" s="1"/>
  <c r="L244" i="12"/>
  <c r="P244" i="12" s="1"/>
  <c r="M244" i="12"/>
  <c r="O244" i="12" s="1"/>
  <c r="K243" i="12"/>
  <c r="N243" i="12" s="1"/>
  <c r="L243" i="12"/>
  <c r="P243" i="12" s="1"/>
  <c r="M243" i="12"/>
  <c r="O243" i="12" s="1"/>
  <c r="K242" i="12"/>
  <c r="N242" i="12" s="1"/>
  <c r="L242" i="12"/>
  <c r="P242" i="12" s="1"/>
  <c r="M242" i="12"/>
  <c r="O242" i="12" s="1"/>
  <c r="K241" i="12"/>
  <c r="N241" i="12" s="1"/>
  <c r="L241" i="12"/>
  <c r="P241" i="12" s="1"/>
  <c r="M241" i="12"/>
  <c r="O241" i="12" s="1"/>
  <c r="L240" i="12"/>
  <c r="P240" i="12" s="1"/>
  <c r="K240" i="12"/>
  <c r="N240" i="12" s="1"/>
  <c r="M240" i="12"/>
  <c r="O240" i="12" s="1"/>
  <c r="L239" i="12"/>
  <c r="P239" i="12" s="1"/>
  <c r="K239" i="12"/>
  <c r="N239" i="12" s="1"/>
  <c r="M239" i="12"/>
  <c r="O239" i="12" s="1"/>
  <c r="L238" i="12"/>
  <c r="P238" i="12" s="1"/>
  <c r="K238" i="12"/>
  <c r="N238" i="12" s="1"/>
  <c r="M238" i="12"/>
  <c r="O238" i="12" s="1"/>
  <c r="K237" i="12"/>
  <c r="N237" i="12" s="1"/>
  <c r="M237" i="12"/>
  <c r="O237" i="12" s="1"/>
  <c r="L237" i="12"/>
  <c r="P237" i="12" s="1"/>
  <c r="K236" i="12"/>
  <c r="N236" i="12" s="1"/>
  <c r="L236" i="12"/>
  <c r="P236" i="12" s="1"/>
  <c r="M236" i="12"/>
  <c r="O236" i="12" s="1"/>
  <c r="K235" i="12"/>
  <c r="N235" i="12" s="1"/>
  <c r="L235" i="12"/>
  <c r="P235" i="12" s="1"/>
  <c r="M235" i="12"/>
  <c r="O235" i="12" s="1"/>
  <c r="L234" i="12"/>
  <c r="P234" i="12" s="1"/>
  <c r="K234" i="12"/>
  <c r="N234" i="12" s="1"/>
  <c r="M234" i="12"/>
  <c r="O234" i="12" s="1"/>
  <c r="K233" i="12"/>
  <c r="N233" i="12" s="1"/>
  <c r="L233" i="12"/>
  <c r="P233" i="12" s="1"/>
  <c r="M233" i="12"/>
  <c r="O233" i="12" s="1"/>
  <c r="K232" i="12"/>
  <c r="N232" i="12" s="1"/>
  <c r="L232" i="12"/>
  <c r="P232" i="12" s="1"/>
  <c r="M232" i="12"/>
  <c r="O232" i="12" s="1"/>
  <c r="K231" i="12"/>
  <c r="N231" i="12" s="1"/>
  <c r="M231" i="12"/>
  <c r="O231" i="12" s="1"/>
  <c r="L231" i="12"/>
  <c r="P231" i="12" s="1"/>
  <c r="K230" i="12"/>
  <c r="N230" i="12" s="1"/>
  <c r="M230" i="12"/>
  <c r="O230" i="12" s="1"/>
  <c r="L230" i="12"/>
  <c r="P230" i="12" s="1"/>
  <c r="L229" i="12"/>
  <c r="P229" i="12" s="1"/>
  <c r="M229" i="12"/>
  <c r="O229" i="12" s="1"/>
  <c r="K229" i="12"/>
  <c r="N229" i="12" s="1"/>
  <c r="L228" i="12"/>
  <c r="P228" i="12" s="1"/>
  <c r="K228" i="12"/>
  <c r="N228" i="12" s="1"/>
  <c r="M228" i="12"/>
  <c r="O228" i="12" s="1"/>
  <c r="K227" i="12"/>
  <c r="N227" i="12" s="1"/>
  <c r="L227" i="12"/>
  <c r="P227" i="12" s="1"/>
  <c r="M227" i="12"/>
  <c r="O227" i="12" s="1"/>
  <c r="L226" i="12"/>
  <c r="P226" i="12" s="1"/>
  <c r="K226" i="12"/>
  <c r="N226" i="12" s="1"/>
  <c r="M226" i="12"/>
  <c r="O226" i="12" s="1"/>
  <c r="K225" i="12"/>
  <c r="N225" i="12" s="1"/>
  <c r="M225" i="12"/>
  <c r="O225" i="12" s="1"/>
  <c r="L225" i="12"/>
  <c r="P225" i="12" s="1"/>
  <c r="M224" i="12"/>
  <c r="O224" i="12" s="1"/>
  <c r="K224" i="12"/>
  <c r="N224" i="12" s="1"/>
  <c r="L224" i="12"/>
  <c r="P224" i="12" s="1"/>
  <c r="K223" i="12"/>
  <c r="N223" i="12" s="1"/>
  <c r="L223" i="12"/>
  <c r="P223" i="12" s="1"/>
  <c r="M223" i="12"/>
  <c r="O223" i="12" s="1"/>
  <c r="K222" i="12"/>
  <c r="N222" i="12" s="1"/>
  <c r="M222" i="12"/>
  <c r="O222" i="12" s="1"/>
  <c r="L222" i="12"/>
  <c r="P222" i="12" s="1"/>
  <c r="K221" i="12"/>
  <c r="N221" i="12" s="1"/>
  <c r="L221" i="12"/>
  <c r="P221" i="12" s="1"/>
  <c r="M221" i="12"/>
  <c r="O221" i="12" s="1"/>
  <c r="K220" i="12"/>
  <c r="N220" i="12" s="1"/>
  <c r="L220" i="12"/>
  <c r="P220" i="12" s="1"/>
  <c r="M220" i="12"/>
  <c r="O220" i="12" s="1"/>
  <c r="K219" i="12"/>
  <c r="N219" i="12" s="1"/>
  <c r="L219" i="12"/>
  <c r="P219" i="12" s="1"/>
  <c r="M219" i="12"/>
  <c r="O219" i="12" s="1"/>
  <c r="K218" i="12"/>
  <c r="N218" i="12" s="1"/>
  <c r="L218" i="12"/>
  <c r="P218" i="12" s="1"/>
  <c r="M218" i="12"/>
  <c r="O218" i="12" s="1"/>
  <c r="K217" i="12"/>
  <c r="N217" i="12" s="1"/>
  <c r="L217" i="12"/>
  <c r="P217" i="12" s="1"/>
  <c r="M217" i="12"/>
  <c r="O217" i="12" s="1"/>
  <c r="L216" i="12"/>
  <c r="P216" i="12" s="1"/>
  <c r="K216" i="12"/>
  <c r="N216" i="12" s="1"/>
  <c r="M216" i="12"/>
  <c r="O216" i="12" s="1"/>
  <c r="K215" i="12"/>
  <c r="N215" i="12" s="1"/>
  <c r="M215" i="12"/>
  <c r="O215" i="12" s="1"/>
  <c r="L215" i="12"/>
  <c r="P215" i="12" s="1"/>
  <c r="K214" i="12"/>
  <c r="N214" i="12" s="1"/>
  <c r="L214" i="12"/>
  <c r="P214" i="12" s="1"/>
  <c r="M214" i="12"/>
  <c r="O214" i="12" s="1"/>
  <c r="L213" i="12"/>
  <c r="P213" i="12" s="1"/>
  <c r="M213" i="12"/>
  <c r="O213" i="12" s="1"/>
  <c r="K213" i="12"/>
  <c r="N213" i="12" s="1"/>
  <c r="K212" i="12"/>
  <c r="N212" i="12" s="1"/>
  <c r="M212" i="12"/>
  <c r="O212" i="12" s="1"/>
  <c r="L212" i="12"/>
  <c r="P212" i="12" s="1"/>
  <c r="K211" i="12"/>
  <c r="N211" i="12" s="1"/>
  <c r="L211" i="12"/>
  <c r="P211" i="12" s="1"/>
  <c r="M211" i="12"/>
  <c r="O211" i="12" s="1"/>
  <c r="K210" i="12"/>
  <c r="N210" i="12" s="1"/>
  <c r="L210" i="12"/>
  <c r="P210" i="12" s="1"/>
  <c r="M210" i="12"/>
  <c r="O210" i="12" s="1"/>
  <c r="K209" i="12"/>
  <c r="N209" i="12" s="1"/>
  <c r="L209" i="12"/>
  <c r="P209" i="12" s="1"/>
  <c r="M209" i="12"/>
  <c r="O209" i="12" s="1"/>
  <c r="K208" i="12"/>
  <c r="N208" i="12" s="1"/>
  <c r="L208" i="12"/>
  <c r="P208" i="12" s="1"/>
  <c r="M208" i="12"/>
  <c r="O208" i="12" s="1"/>
  <c r="L207" i="12"/>
  <c r="P207" i="12" s="1"/>
  <c r="K207" i="12"/>
  <c r="N207" i="12" s="1"/>
  <c r="M207" i="12"/>
  <c r="O207" i="12" s="1"/>
  <c r="K206" i="12"/>
  <c r="N206" i="12" s="1"/>
  <c r="L206" i="12"/>
  <c r="P206" i="12" s="1"/>
  <c r="M206" i="12"/>
  <c r="O206" i="12" s="1"/>
  <c r="K205" i="12"/>
  <c r="N205" i="12" s="1"/>
  <c r="L205" i="12"/>
  <c r="P205" i="12" s="1"/>
  <c r="M205" i="12"/>
  <c r="O205" i="12" s="1"/>
  <c r="K204" i="12"/>
  <c r="N204" i="12" s="1"/>
  <c r="L204" i="12"/>
  <c r="P204" i="12" s="1"/>
  <c r="M204" i="12"/>
  <c r="O204" i="12" s="1"/>
  <c r="K203" i="12"/>
  <c r="N203" i="12" s="1"/>
  <c r="L203" i="12"/>
  <c r="P203" i="12" s="1"/>
  <c r="M203" i="12"/>
  <c r="O203" i="12" s="1"/>
  <c r="K202" i="12"/>
  <c r="N202" i="12" s="1"/>
  <c r="L202" i="12"/>
  <c r="P202" i="12" s="1"/>
  <c r="M202" i="12"/>
  <c r="O202" i="12" s="1"/>
  <c r="K201" i="12"/>
  <c r="N201" i="12" s="1"/>
  <c r="M201" i="12"/>
  <c r="O201" i="12" s="1"/>
  <c r="L201" i="12"/>
  <c r="P201" i="12" s="1"/>
  <c r="K200" i="12"/>
  <c r="N200" i="12" s="1"/>
  <c r="M200" i="12"/>
  <c r="O200" i="12" s="1"/>
  <c r="L200" i="12"/>
  <c r="P200" i="12" s="1"/>
  <c r="L199" i="12"/>
  <c r="P199" i="12" s="1"/>
  <c r="K199" i="12"/>
  <c r="N199" i="12" s="1"/>
  <c r="M199" i="12"/>
  <c r="O199" i="12" s="1"/>
  <c r="K198" i="12"/>
  <c r="N198" i="12" s="1"/>
  <c r="L198" i="12"/>
  <c r="P198" i="12" s="1"/>
  <c r="M198" i="12"/>
  <c r="O198" i="12" s="1"/>
  <c r="K197" i="12"/>
  <c r="N197" i="12" s="1"/>
  <c r="L197" i="12"/>
  <c r="P197" i="12" s="1"/>
  <c r="M197" i="12"/>
  <c r="O197" i="12" s="1"/>
  <c r="K196" i="12"/>
  <c r="N196" i="12" s="1"/>
  <c r="L196" i="12"/>
  <c r="P196" i="12" s="1"/>
  <c r="M196" i="12"/>
  <c r="O196" i="12" s="1"/>
  <c r="K195" i="12"/>
  <c r="N195" i="12" s="1"/>
  <c r="L195" i="12"/>
  <c r="P195" i="12" s="1"/>
  <c r="M195" i="12"/>
  <c r="O195" i="12" s="1"/>
  <c r="L194" i="12"/>
  <c r="P194" i="12" s="1"/>
  <c r="K194" i="12"/>
  <c r="N194" i="12" s="1"/>
  <c r="M194" i="12"/>
  <c r="O194" i="12" s="1"/>
  <c r="K193" i="12"/>
  <c r="N193" i="12" s="1"/>
  <c r="M193" i="12"/>
  <c r="O193" i="12" s="1"/>
  <c r="L193" i="12"/>
  <c r="P193" i="12" s="1"/>
  <c r="K192" i="12"/>
  <c r="N192" i="12" s="1"/>
  <c r="L192" i="12"/>
  <c r="P192" i="12" s="1"/>
  <c r="M192" i="12"/>
  <c r="O192" i="12" s="1"/>
  <c r="K191" i="12"/>
  <c r="N191" i="12" s="1"/>
  <c r="L191" i="12"/>
  <c r="P191" i="12" s="1"/>
  <c r="M191" i="12"/>
  <c r="O191" i="12" s="1"/>
  <c r="K190" i="12"/>
  <c r="N190" i="12" s="1"/>
  <c r="M190" i="12"/>
  <c r="O190" i="12" s="1"/>
  <c r="L190" i="12"/>
  <c r="P190" i="12" s="1"/>
  <c r="K189" i="12"/>
  <c r="N189" i="12" s="1"/>
  <c r="L189" i="12"/>
  <c r="P189" i="12" s="1"/>
  <c r="M189" i="12"/>
  <c r="O189" i="12" s="1"/>
  <c r="K188" i="12"/>
  <c r="N188" i="12" s="1"/>
  <c r="M188" i="12"/>
  <c r="O188" i="12" s="1"/>
  <c r="L188" i="12"/>
  <c r="P188" i="12" s="1"/>
  <c r="K187" i="12"/>
  <c r="N187" i="12" s="1"/>
  <c r="L187" i="12"/>
  <c r="P187" i="12" s="1"/>
  <c r="M187" i="12"/>
  <c r="O187" i="12" s="1"/>
  <c r="L186" i="12"/>
  <c r="P186" i="12" s="1"/>
  <c r="M186" i="12"/>
  <c r="O186" i="12" s="1"/>
  <c r="K186" i="12"/>
  <c r="N186" i="12" s="1"/>
  <c r="K185" i="12"/>
  <c r="N185" i="12" s="1"/>
  <c r="L185" i="12"/>
  <c r="P185" i="12" s="1"/>
  <c r="M185" i="12"/>
  <c r="O185" i="12" s="1"/>
  <c r="K184" i="12"/>
  <c r="N184" i="12" s="1"/>
  <c r="M184" i="12"/>
  <c r="O184" i="12" s="1"/>
  <c r="L184" i="12"/>
  <c r="P184" i="12" s="1"/>
  <c r="K183" i="12"/>
  <c r="N183" i="12" s="1"/>
  <c r="L183" i="12"/>
  <c r="P183" i="12" s="1"/>
  <c r="M183" i="12"/>
  <c r="O183" i="12" s="1"/>
  <c r="K182" i="12"/>
  <c r="N182" i="12" s="1"/>
  <c r="L182" i="12"/>
  <c r="P182" i="12" s="1"/>
  <c r="M182" i="12"/>
  <c r="O182" i="12" s="1"/>
  <c r="K181" i="12"/>
  <c r="N181" i="12" s="1"/>
  <c r="L181" i="12"/>
  <c r="P181" i="12" s="1"/>
  <c r="M181" i="12"/>
  <c r="O181" i="12" s="1"/>
  <c r="K180" i="12"/>
  <c r="N180" i="12" s="1"/>
  <c r="L180" i="12"/>
  <c r="P180" i="12" s="1"/>
  <c r="M180" i="12"/>
  <c r="O180" i="12" s="1"/>
  <c r="K179" i="12"/>
  <c r="N179" i="12" s="1"/>
  <c r="L179" i="12"/>
  <c r="P179" i="12" s="1"/>
  <c r="M179" i="12"/>
  <c r="O179" i="12" s="1"/>
  <c r="K178" i="12"/>
  <c r="N178" i="12" s="1"/>
  <c r="L178" i="12"/>
  <c r="P178" i="12" s="1"/>
  <c r="M178" i="12"/>
  <c r="O178" i="12" s="1"/>
  <c r="K177" i="12"/>
  <c r="N177" i="12" s="1"/>
  <c r="M177" i="12"/>
  <c r="O177" i="12" s="1"/>
  <c r="L177" i="12"/>
  <c r="P177" i="12" s="1"/>
  <c r="K176" i="12"/>
  <c r="N176" i="12" s="1"/>
  <c r="L176" i="12"/>
  <c r="P176" i="12" s="1"/>
  <c r="M176" i="12"/>
  <c r="O176" i="12" s="1"/>
  <c r="K175" i="12"/>
  <c r="N175" i="12" s="1"/>
  <c r="L175" i="12"/>
  <c r="P175" i="12" s="1"/>
  <c r="M175" i="12"/>
  <c r="O175" i="12" s="1"/>
  <c r="K174" i="12"/>
  <c r="N174" i="12" s="1"/>
  <c r="L174" i="12"/>
  <c r="P174" i="12" s="1"/>
  <c r="M174" i="12"/>
  <c r="O174" i="12" s="1"/>
  <c r="K173" i="12"/>
  <c r="N173" i="12" s="1"/>
  <c r="L173" i="12"/>
  <c r="P173" i="12" s="1"/>
  <c r="M173" i="12"/>
  <c r="O173" i="12" s="1"/>
  <c r="K172" i="12"/>
  <c r="N172" i="12" s="1"/>
  <c r="L172" i="12"/>
  <c r="P172" i="12" s="1"/>
  <c r="M172" i="12"/>
  <c r="O172" i="12" s="1"/>
  <c r="K171" i="12"/>
  <c r="N171" i="12" s="1"/>
  <c r="L171" i="12"/>
  <c r="P171" i="12" s="1"/>
  <c r="M171" i="12"/>
  <c r="O171" i="12" s="1"/>
  <c r="K170" i="12"/>
  <c r="N170" i="12" s="1"/>
  <c r="L170" i="12"/>
  <c r="P170" i="12" s="1"/>
  <c r="M170" i="12"/>
  <c r="O170" i="12" s="1"/>
  <c r="K169" i="12"/>
  <c r="N169" i="12" s="1"/>
  <c r="L169" i="12"/>
  <c r="P169" i="12" s="1"/>
  <c r="M169" i="12"/>
  <c r="O169" i="12" s="1"/>
  <c r="K168" i="12"/>
  <c r="N168" i="12" s="1"/>
  <c r="L168" i="12"/>
  <c r="P168" i="12" s="1"/>
  <c r="M168" i="12"/>
  <c r="O168" i="12" s="1"/>
  <c r="K167" i="12"/>
  <c r="N167" i="12" s="1"/>
  <c r="L167" i="12"/>
  <c r="P167" i="12" s="1"/>
  <c r="M167" i="12"/>
  <c r="O167" i="12" s="1"/>
  <c r="K166" i="12"/>
  <c r="N166" i="12" s="1"/>
  <c r="L166" i="12"/>
  <c r="P166" i="12" s="1"/>
  <c r="M166" i="12"/>
  <c r="O166" i="12" s="1"/>
  <c r="K165" i="12"/>
  <c r="N165" i="12" s="1"/>
  <c r="L165" i="12"/>
  <c r="P165" i="12" s="1"/>
  <c r="M165" i="12"/>
  <c r="O165" i="12" s="1"/>
  <c r="K164" i="12"/>
  <c r="N164" i="12" s="1"/>
  <c r="L164" i="12"/>
  <c r="P164" i="12" s="1"/>
  <c r="M164" i="12"/>
  <c r="O164" i="12" s="1"/>
  <c r="K163" i="12"/>
  <c r="N163" i="12" s="1"/>
  <c r="L163" i="12"/>
  <c r="P163" i="12" s="1"/>
  <c r="M163" i="12"/>
  <c r="O163" i="12" s="1"/>
  <c r="K162" i="12"/>
  <c r="N162" i="12" s="1"/>
  <c r="L162" i="12"/>
  <c r="P162" i="12" s="1"/>
  <c r="M162" i="12"/>
  <c r="O162" i="12" s="1"/>
  <c r="K161" i="12"/>
  <c r="N161" i="12" s="1"/>
  <c r="L161" i="12"/>
  <c r="P161" i="12" s="1"/>
  <c r="M161" i="12"/>
  <c r="O161" i="12" s="1"/>
  <c r="K160" i="12"/>
  <c r="N160" i="12" s="1"/>
  <c r="M160" i="12"/>
  <c r="O160" i="12" s="1"/>
  <c r="L160" i="12"/>
  <c r="P160" i="12" s="1"/>
  <c r="L159" i="12"/>
  <c r="P159" i="12" s="1"/>
  <c r="M159" i="12"/>
  <c r="O159" i="12" s="1"/>
  <c r="K159" i="12"/>
  <c r="N159" i="12" s="1"/>
  <c r="K158" i="12"/>
  <c r="N158" i="12" s="1"/>
  <c r="L158" i="12"/>
  <c r="P158" i="12" s="1"/>
  <c r="M158" i="12"/>
  <c r="O158" i="12" s="1"/>
  <c r="L157" i="12"/>
  <c r="P157" i="12" s="1"/>
  <c r="K157" i="12"/>
  <c r="N157" i="12" s="1"/>
  <c r="M157" i="12"/>
  <c r="O157" i="12" s="1"/>
  <c r="K156" i="12"/>
  <c r="N156" i="12" s="1"/>
  <c r="M156" i="12"/>
  <c r="O156" i="12" s="1"/>
  <c r="L156" i="12"/>
  <c r="P156" i="12" s="1"/>
  <c r="M155" i="12"/>
  <c r="O155" i="12" s="1"/>
  <c r="K155" i="12"/>
  <c r="N155" i="12" s="1"/>
  <c r="L155" i="12"/>
  <c r="P155" i="12" s="1"/>
  <c r="K154" i="12"/>
  <c r="N154" i="12" s="1"/>
  <c r="M154" i="12"/>
  <c r="O154" i="12" s="1"/>
  <c r="L154" i="12"/>
  <c r="P154" i="12" s="1"/>
  <c r="L153" i="12"/>
  <c r="P153" i="12" s="1"/>
  <c r="K153" i="12"/>
  <c r="N153" i="12" s="1"/>
  <c r="M153" i="12"/>
  <c r="O153" i="12" s="1"/>
  <c r="K152" i="12"/>
  <c r="N152" i="12" s="1"/>
  <c r="M152" i="12"/>
  <c r="O152" i="12" s="1"/>
  <c r="L152" i="12"/>
  <c r="P152" i="12" s="1"/>
  <c r="K151" i="12"/>
  <c r="N151" i="12" s="1"/>
  <c r="L151" i="12"/>
  <c r="P151" i="12" s="1"/>
  <c r="M151" i="12"/>
  <c r="O151" i="12" s="1"/>
  <c r="K150" i="12"/>
  <c r="N150" i="12" s="1"/>
  <c r="M150" i="12"/>
  <c r="O150" i="12" s="1"/>
  <c r="L150" i="12"/>
  <c r="P150" i="12" s="1"/>
  <c r="K149" i="12"/>
  <c r="N149" i="12" s="1"/>
  <c r="L149" i="12"/>
  <c r="P149" i="12" s="1"/>
  <c r="M149" i="12"/>
  <c r="O149" i="12" s="1"/>
  <c r="K148" i="12"/>
  <c r="N148" i="12" s="1"/>
  <c r="L148" i="12"/>
  <c r="P148" i="12" s="1"/>
  <c r="M148" i="12"/>
  <c r="O148" i="12" s="1"/>
  <c r="K147" i="12"/>
  <c r="N147" i="12" s="1"/>
  <c r="L147" i="12"/>
  <c r="P147" i="12" s="1"/>
  <c r="M147" i="12"/>
  <c r="O147" i="12" s="1"/>
  <c r="K146" i="12"/>
  <c r="N146" i="12" s="1"/>
  <c r="L146" i="12"/>
  <c r="P146" i="12" s="1"/>
  <c r="M146" i="12"/>
  <c r="O146" i="12" s="1"/>
  <c r="K145" i="12"/>
  <c r="N145" i="12" s="1"/>
  <c r="M145" i="12"/>
  <c r="O145" i="12" s="1"/>
  <c r="L145" i="12"/>
  <c r="P145" i="12" s="1"/>
  <c r="M144" i="12"/>
  <c r="O144" i="12" s="1"/>
  <c r="K144" i="12"/>
  <c r="N144" i="12" s="1"/>
  <c r="L144" i="12"/>
  <c r="P144" i="12" s="1"/>
  <c r="K143" i="12"/>
  <c r="N143" i="12" s="1"/>
  <c r="L143" i="12"/>
  <c r="P143" i="12" s="1"/>
  <c r="M143" i="12"/>
  <c r="O143" i="12" s="1"/>
  <c r="K142" i="12"/>
  <c r="N142" i="12" s="1"/>
  <c r="M142" i="12"/>
  <c r="O142" i="12" s="1"/>
  <c r="L142" i="12"/>
  <c r="P142" i="12" s="1"/>
  <c r="K141" i="12"/>
  <c r="N141" i="12" s="1"/>
  <c r="L141" i="12"/>
  <c r="P141" i="12" s="1"/>
  <c r="M141" i="12"/>
  <c r="O141" i="12" s="1"/>
  <c r="K140" i="12"/>
  <c r="N140" i="12" s="1"/>
  <c r="M140" i="12"/>
  <c r="O140" i="12" s="1"/>
  <c r="L140" i="12"/>
  <c r="P140" i="12" s="1"/>
  <c r="K139" i="12"/>
  <c r="N139" i="12" s="1"/>
  <c r="L139" i="12"/>
  <c r="P139" i="12" s="1"/>
  <c r="M139" i="12"/>
  <c r="O139" i="12" s="1"/>
  <c r="K138" i="12"/>
  <c r="N138" i="12" s="1"/>
  <c r="M138" i="12"/>
  <c r="O138" i="12" s="1"/>
  <c r="L138" i="12"/>
  <c r="P138" i="12" s="1"/>
  <c r="K137" i="12"/>
  <c r="N137" i="12" s="1"/>
  <c r="L137" i="12"/>
  <c r="P137" i="12" s="1"/>
  <c r="M137" i="12"/>
  <c r="O137" i="12" s="1"/>
  <c r="K136" i="12"/>
  <c r="N136" i="12" s="1"/>
  <c r="L136" i="12"/>
  <c r="P136" i="12" s="1"/>
  <c r="M136" i="12"/>
  <c r="O136" i="12" s="1"/>
  <c r="K135" i="12"/>
  <c r="N135" i="12" s="1"/>
  <c r="L135" i="12"/>
  <c r="P135" i="12" s="1"/>
  <c r="M135" i="12"/>
  <c r="O135" i="12" s="1"/>
  <c r="K134" i="12"/>
  <c r="N134" i="12" s="1"/>
  <c r="L134" i="12"/>
  <c r="P134" i="12" s="1"/>
  <c r="M134" i="12"/>
  <c r="O134" i="12" s="1"/>
  <c r="K133" i="12"/>
  <c r="N133" i="12" s="1"/>
  <c r="L133" i="12"/>
  <c r="P133" i="12" s="1"/>
  <c r="M133" i="12"/>
  <c r="O133" i="12" s="1"/>
  <c r="K132" i="12"/>
  <c r="N132" i="12" s="1"/>
  <c r="L132" i="12"/>
  <c r="P132" i="12" s="1"/>
  <c r="M132" i="12"/>
  <c r="O132" i="12" s="1"/>
  <c r="K131" i="12"/>
  <c r="N131" i="12" s="1"/>
  <c r="L131" i="12"/>
  <c r="P131" i="12" s="1"/>
  <c r="M131" i="12"/>
  <c r="O131" i="12" s="1"/>
  <c r="K130" i="12"/>
  <c r="N130" i="12" s="1"/>
  <c r="L130" i="12"/>
  <c r="P130" i="12" s="1"/>
  <c r="M130" i="12"/>
  <c r="O130" i="12" s="1"/>
  <c r="K129" i="12"/>
  <c r="N129" i="12" s="1"/>
  <c r="M129" i="12"/>
  <c r="O129" i="12" s="1"/>
  <c r="L129" i="12"/>
  <c r="P129" i="12" s="1"/>
  <c r="L128" i="12"/>
  <c r="P128" i="12" s="1"/>
  <c r="K128" i="12"/>
  <c r="N128" i="12" s="1"/>
  <c r="M128" i="12"/>
  <c r="O128" i="12" s="1"/>
  <c r="L127" i="12"/>
  <c r="P127" i="12" s="1"/>
  <c r="K127" i="12"/>
  <c r="N127" i="12" s="1"/>
  <c r="M127" i="12"/>
  <c r="O127" i="12" s="1"/>
  <c r="K126" i="12"/>
  <c r="N126" i="12" s="1"/>
  <c r="M126" i="12"/>
  <c r="O126" i="12" s="1"/>
  <c r="L126" i="12"/>
  <c r="P126" i="12" s="1"/>
  <c r="K125" i="12"/>
  <c r="N125" i="12" s="1"/>
  <c r="L125" i="12"/>
  <c r="P125" i="12" s="1"/>
  <c r="M125" i="12"/>
  <c r="O125" i="12" s="1"/>
  <c r="K124" i="12"/>
  <c r="N124" i="12" s="1"/>
  <c r="M124" i="12"/>
  <c r="O124" i="12" s="1"/>
  <c r="L124" i="12"/>
  <c r="P124" i="12" s="1"/>
  <c r="K123" i="12"/>
  <c r="N123" i="12" s="1"/>
  <c r="L123" i="12"/>
  <c r="P123" i="12" s="1"/>
  <c r="M123" i="12"/>
  <c r="O123" i="12" s="1"/>
  <c r="K122" i="12"/>
  <c r="N122" i="12" s="1"/>
  <c r="L122" i="12"/>
  <c r="P122" i="12" s="1"/>
  <c r="M122" i="12"/>
  <c r="O122" i="12" s="1"/>
  <c r="K121" i="12"/>
  <c r="N121" i="12" s="1"/>
  <c r="L121" i="12"/>
  <c r="P121" i="12" s="1"/>
  <c r="M121" i="12"/>
  <c r="O121" i="12" s="1"/>
  <c r="K120" i="12"/>
  <c r="N120" i="12" s="1"/>
  <c r="L120" i="12"/>
  <c r="P120" i="12" s="1"/>
  <c r="M120" i="12"/>
  <c r="O120" i="12" s="1"/>
  <c r="K119" i="12"/>
  <c r="N119" i="12" s="1"/>
  <c r="L119" i="12"/>
  <c r="P119" i="12" s="1"/>
  <c r="M119" i="12"/>
  <c r="O119" i="12" s="1"/>
  <c r="K118" i="12"/>
  <c r="N118" i="12" s="1"/>
  <c r="L118" i="12"/>
  <c r="P118" i="12" s="1"/>
  <c r="M118" i="12"/>
  <c r="O118" i="12" s="1"/>
  <c r="K117" i="12"/>
  <c r="N117" i="12" s="1"/>
  <c r="M117" i="12"/>
  <c r="O117" i="12" s="1"/>
  <c r="L117" i="12"/>
  <c r="P117" i="12" s="1"/>
  <c r="K116" i="12"/>
  <c r="L116" i="12"/>
  <c r="M116" i="12"/>
  <c r="O116" i="12" s="1"/>
  <c r="F5" i="14"/>
  <c r="G5" i="14" s="1"/>
  <c r="E5" i="14"/>
  <c r="D10" i="7" s="1"/>
  <c r="K115" i="12"/>
  <c r="N115" i="12" s="1"/>
  <c r="M115" i="12"/>
  <c r="O115" i="12" s="1"/>
  <c r="L115" i="12"/>
  <c r="P115" i="12" s="1"/>
  <c r="K114" i="12"/>
  <c r="N114" i="12" s="1"/>
  <c r="L114" i="12"/>
  <c r="P114" i="12" s="1"/>
  <c r="M114" i="12"/>
  <c r="O114" i="12" s="1"/>
  <c r="K113" i="12"/>
  <c r="N113" i="12" s="1"/>
  <c r="L113" i="12"/>
  <c r="P113" i="12" s="1"/>
  <c r="M113" i="12"/>
  <c r="O113" i="12" s="1"/>
  <c r="K112" i="12"/>
  <c r="N112" i="12" s="1"/>
  <c r="M112" i="12"/>
  <c r="O112" i="12" s="1"/>
  <c r="L112" i="12"/>
  <c r="P112" i="12" s="1"/>
  <c r="K111" i="12"/>
  <c r="N111" i="12" s="1"/>
  <c r="L111" i="12"/>
  <c r="P111" i="12" s="1"/>
  <c r="M111" i="12"/>
  <c r="O111" i="12" s="1"/>
  <c r="K110" i="12"/>
  <c r="N110" i="12" s="1"/>
  <c r="L110" i="12"/>
  <c r="P110" i="12" s="1"/>
  <c r="M110" i="12"/>
  <c r="O110" i="12" s="1"/>
  <c r="K109" i="12"/>
  <c r="N109" i="12" s="1"/>
  <c r="L109" i="12"/>
  <c r="P109" i="12" s="1"/>
  <c r="M109" i="12"/>
  <c r="O109" i="12" s="1"/>
  <c r="K108" i="12"/>
  <c r="N108" i="12" s="1"/>
  <c r="L108" i="12"/>
  <c r="P108" i="12" s="1"/>
  <c r="M108" i="12"/>
  <c r="O108" i="12" s="1"/>
  <c r="K107" i="12"/>
  <c r="N107" i="12" s="1"/>
  <c r="M107" i="12"/>
  <c r="O107" i="12" s="1"/>
  <c r="L107" i="12"/>
  <c r="P107" i="12" s="1"/>
  <c r="K106" i="12"/>
  <c r="N106" i="12" s="1"/>
  <c r="L106" i="12"/>
  <c r="P106" i="12" s="1"/>
  <c r="M106" i="12"/>
  <c r="O106" i="12" s="1"/>
  <c r="K105" i="12"/>
  <c r="N105" i="12" s="1"/>
  <c r="L105" i="12"/>
  <c r="P105" i="12" s="1"/>
  <c r="M105" i="12"/>
  <c r="O105" i="12" s="1"/>
  <c r="K104" i="12"/>
  <c r="N104" i="12" s="1"/>
  <c r="M104" i="12"/>
  <c r="O104" i="12" s="1"/>
  <c r="L104" i="12"/>
  <c r="P104" i="12" s="1"/>
  <c r="K103" i="12"/>
  <c r="N103" i="12" s="1"/>
  <c r="L103" i="12"/>
  <c r="P103" i="12" s="1"/>
  <c r="M103" i="12"/>
  <c r="O103" i="12" s="1"/>
  <c r="K102" i="12"/>
  <c r="N102" i="12" s="1"/>
  <c r="L102" i="12"/>
  <c r="P102" i="12" s="1"/>
  <c r="M102" i="12"/>
  <c r="O102" i="12" s="1"/>
  <c r="L101" i="12"/>
  <c r="P101" i="12" s="1"/>
  <c r="K101" i="12"/>
  <c r="N101" i="12" s="1"/>
  <c r="M101" i="12"/>
  <c r="O101" i="12" s="1"/>
  <c r="K100" i="12"/>
  <c r="N100" i="12" s="1"/>
  <c r="L100" i="12"/>
  <c r="P100" i="12" s="1"/>
  <c r="M100" i="12"/>
  <c r="O100" i="12" s="1"/>
  <c r="K99" i="12"/>
  <c r="N99" i="12" s="1"/>
  <c r="L99" i="12"/>
  <c r="P99" i="12" s="1"/>
  <c r="M99" i="12"/>
  <c r="O99" i="12" s="1"/>
  <c r="K98" i="12"/>
  <c r="N98" i="12" s="1"/>
  <c r="L98" i="12"/>
  <c r="P98" i="12" s="1"/>
  <c r="M98" i="12"/>
  <c r="O98" i="12" s="1"/>
  <c r="K97" i="12"/>
  <c r="N97" i="12" s="1"/>
  <c r="M97" i="12"/>
  <c r="O97" i="12" s="1"/>
  <c r="L97" i="12"/>
  <c r="P97" i="12" s="1"/>
  <c r="M96" i="12"/>
  <c r="O96" i="12" s="1"/>
  <c r="K96" i="12"/>
  <c r="N96" i="12" s="1"/>
  <c r="L96" i="12"/>
  <c r="P96" i="12" s="1"/>
  <c r="K95" i="12"/>
  <c r="N95" i="12" s="1"/>
  <c r="L95" i="12"/>
  <c r="P95" i="12" s="1"/>
  <c r="M95" i="12"/>
  <c r="O95" i="12" s="1"/>
  <c r="K94" i="12"/>
  <c r="N94" i="12" s="1"/>
  <c r="L94" i="12"/>
  <c r="P94" i="12" s="1"/>
  <c r="M94" i="12"/>
  <c r="O94" i="12" s="1"/>
  <c r="K93" i="12"/>
  <c r="N93" i="12" s="1"/>
  <c r="L93" i="12"/>
  <c r="P93" i="12" s="1"/>
  <c r="M93" i="12"/>
  <c r="O93" i="12" s="1"/>
  <c r="K92" i="12"/>
  <c r="N92" i="12" s="1"/>
  <c r="L92" i="12"/>
  <c r="P92" i="12" s="1"/>
  <c r="M92" i="12"/>
  <c r="O92" i="12" s="1"/>
  <c r="K91" i="12"/>
  <c r="N91" i="12" s="1"/>
  <c r="M91" i="12"/>
  <c r="O91" i="12" s="1"/>
  <c r="L91" i="12"/>
  <c r="P91" i="12" s="1"/>
  <c r="K90" i="12"/>
  <c r="N90" i="12" s="1"/>
  <c r="L90" i="12"/>
  <c r="P90" i="12" s="1"/>
  <c r="M90" i="12"/>
  <c r="O90" i="12" s="1"/>
  <c r="K89" i="12"/>
  <c r="N89" i="12" s="1"/>
  <c r="L89" i="12"/>
  <c r="P89" i="12" s="1"/>
  <c r="M89" i="12"/>
  <c r="O89" i="12" s="1"/>
  <c r="K88" i="12"/>
  <c r="N88" i="12" s="1"/>
  <c r="L88" i="12"/>
  <c r="P88" i="12" s="1"/>
  <c r="M88" i="12"/>
  <c r="O88" i="12" s="1"/>
  <c r="K87" i="12"/>
  <c r="L87" i="12"/>
  <c r="M87" i="12"/>
  <c r="O87" i="12" s="1"/>
  <c r="E6" i="14"/>
  <c r="D11" i="7" s="1"/>
  <c r="F6" i="14"/>
  <c r="G6" i="14" s="1"/>
  <c r="K86" i="12"/>
  <c r="N86" i="12" s="1"/>
  <c r="L86" i="12"/>
  <c r="P86" i="12" s="1"/>
  <c r="M86" i="12"/>
  <c r="O86" i="12" s="1"/>
  <c r="K85" i="12"/>
  <c r="N85" i="12" s="1"/>
  <c r="L85" i="12"/>
  <c r="P85" i="12" s="1"/>
  <c r="M85" i="12"/>
  <c r="O85" i="12" s="1"/>
  <c r="K84" i="12"/>
  <c r="N84" i="12" s="1"/>
  <c r="L84" i="12"/>
  <c r="P84" i="12" s="1"/>
  <c r="M84" i="12"/>
  <c r="O84" i="12" s="1"/>
  <c r="K83" i="12"/>
  <c r="N83" i="12" s="1"/>
  <c r="L83" i="12"/>
  <c r="P83" i="12" s="1"/>
  <c r="M83" i="12"/>
  <c r="O83" i="12" s="1"/>
  <c r="K82" i="12"/>
  <c r="N82" i="12" s="1"/>
  <c r="L82" i="12"/>
  <c r="P82" i="12" s="1"/>
  <c r="M82" i="12"/>
  <c r="O82" i="12" s="1"/>
  <c r="K81" i="12"/>
  <c r="N81" i="12" s="1"/>
  <c r="L81" i="12"/>
  <c r="P81" i="12" s="1"/>
  <c r="M81" i="12"/>
  <c r="O81" i="12" s="1"/>
  <c r="K80" i="12"/>
  <c r="N80" i="12" s="1"/>
  <c r="L80" i="12"/>
  <c r="P80" i="12" s="1"/>
  <c r="M80" i="12"/>
  <c r="O80" i="12" s="1"/>
  <c r="K79" i="12"/>
  <c r="N79" i="12" s="1"/>
  <c r="L79" i="12"/>
  <c r="P79" i="12" s="1"/>
  <c r="M79" i="12"/>
  <c r="O79" i="12" s="1"/>
  <c r="K78" i="12"/>
  <c r="N78" i="12" s="1"/>
  <c r="L78" i="12"/>
  <c r="P78" i="12" s="1"/>
  <c r="M78" i="12"/>
  <c r="O78" i="12" s="1"/>
  <c r="K77" i="12"/>
  <c r="N77" i="12" s="1"/>
  <c r="L77" i="12"/>
  <c r="P77" i="12" s="1"/>
  <c r="M77" i="12"/>
  <c r="O77" i="12" s="1"/>
  <c r="K76" i="12"/>
  <c r="N76" i="12" s="1"/>
  <c r="L76" i="12"/>
  <c r="P76" i="12" s="1"/>
  <c r="M76" i="12"/>
  <c r="O76" i="12" s="1"/>
  <c r="K75" i="12"/>
  <c r="N75" i="12" s="1"/>
  <c r="L75" i="12"/>
  <c r="P75" i="12" s="1"/>
  <c r="M75" i="12"/>
  <c r="O75" i="12" s="1"/>
  <c r="K74" i="12"/>
  <c r="N74" i="12" s="1"/>
  <c r="L74" i="12"/>
  <c r="P74" i="12" s="1"/>
  <c r="M74" i="12"/>
  <c r="O74" i="12" s="1"/>
  <c r="K73" i="12"/>
  <c r="N73" i="12" s="1"/>
  <c r="L73" i="12"/>
  <c r="P73" i="12" s="1"/>
  <c r="M73" i="12"/>
  <c r="O73" i="12" s="1"/>
  <c r="K72" i="12"/>
  <c r="N72" i="12" s="1"/>
  <c r="L72" i="12"/>
  <c r="P72" i="12" s="1"/>
  <c r="M72" i="12"/>
  <c r="O72" i="12" s="1"/>
  <c r="K71" i="12"/>
  <c r="N71" i="12" s="1"/>
  <c r="L71" i="12"/>
  <c r="P71" i="12" s="1"/>
  <c r="M71" i="12"/>
  <c r="O71" i="12" s="1"/>
  <c r="K70" i="12"/>
  <c r="N70" i="12" s="1"/>
  <c r="L70" i="12"/>
  <c r="P70" i="12" s="1"/>
  <c r="M70" i="12"/>
  <c r="O70" i="12" s="1"/>
  <c r="K69" i="12"/>
  <c r="N69" i="12" s="1"/>
  <c r="L69" i="12"/>
  <c r="P69" i="12" s="1"/>
  <c r="M69" i="12"/>
  <c r="O69" i="12" s="1"/>
  <c r="K68" i="12"/>
  <c r="N68" i="12" s="1"/>
  <c r="L68" i="12"/>
  <c r="P68" i="12" s="1"/>
  <c r="M68" i="12"/>
  <c r="O68" i="12" s="1"/>
  <c r="K67" i="12"/>
  <c r="N67" i="12" s="1"/>
  <c r="L67" i="12"/>
  <c r="P67" i="12" s="1"/>
  <c r="M67" i="12"/>
  <c r="O67" i="12" s="1"/>
  <c r="K66" i="12"/>
  <c r="N66" i="12" s="1"/>
  <c r="L66" i="12"/>
  <c r="P66" i="12" s="1"/>
  <c r="M66" i="12"/>
  <c r="O66" i="12" s="1"/>
  <c r="K65" i="12"/>
  <c r="N65" i="12" s="1"/>
  <c r="L65" i="12"/>
  <c r="P65" i="12" s="1"/>
  <c r="M65" i="12"/>
  <c r="O65" i="12" s="1"/>
  <c r="K64" i="12"/>
  <c r="N64" i="12" s="1"/>
  <c r="L64" i="12"/>
  <c r="P64" i="12" s="1"/>
  <c r="M64" i="12"/>
  <c r="O64" i="12" s="1"/>
  <c r="K63" i="12"/>
  <c r="N63" i="12" s="1"/>
  <c r="L63" i="12"/>
  <c r="P63" i="12" s="1"/>
  <c r="M63" i="12"/>
  <c r="O63" i="12" s="1"/>
  <c r="K62" i="12"/>
  <c r="N62" i="12" s="1"/>
  <c r="L62" i="12"/>
  <c r="P62" i="12" s="1"/>
  <c r="M62" i="12"/>
  <c r="O62" i="12" s="1"/>
  <c r="K61" i="12"/>
  <c r="N61" i="12" s="1"/>
  <c r="L61" i="12"/>
  <c r="P61" i="12" s="1"/>
  <c r="M61" i="12"/>
  <c r="O61" i="12" s="1"/>
  <c r="K60" i="12"/>
  <c r="N60" i="12" s="1"/>
  <c r="L60" i="12"/>
  <c r="P60" i="12" s="1"/>
  <c r="M60" i="12"/>
  <c r="O60" i="12" s="1"/>
  <c r="K59" i="12"/>
  <c r="N59" i="12" s="1"/>
  <c r="L59" i="12"/>
  <c r="P59" i="12" s="1"/>
  <c r="M59" i="12"/>
  <c r="O59" i="12" s="1"/>
  <c r="K58" i="12"/>
  <c r="N58" i="12" s="1"/>
  <c r="L58" i="12"/>
  <c r="P58" i="12" s="1"/>
  <c r="M58" i="12"/>
  <c r="O58" i="12" s="1"/>
  <c r="K57" i="12"/>
  <c r="N57" i="12" s="1"/>
  <c r="L57" i="12"/>
  <c r="P57" i="12" s="1"/>
  <c r="M57" i="12"/>
  <c r="O57" i="12" s="1"/>
  <c r="K56" i="12"/>
  <c r="N56" i="12" s="1"/>
  <c r="L56" i="12"/>
  <c r="P56" i="12" s="1"/>
  <c r="M56" i="12"/>
  <c r="O56" i="12" s="1"/>
  <c r="K55" i="12"/>
  <c r="N55" i="12" s="1"/>
  <c r="L55" i="12"/>
  <c r="P55" i="12" s="1"/>
  <c r="M55" i="12"/>
  <c r="O55" i="12" s="1"/>
  <c r="K54" i="12"/>
  <c r="N54" i="12" s="1"/>
  <c r="L54" i="12"/>
  <c r="P54" i="12" s="1"/>
  <c r="M54" i="12"/>
  <c r="O54" i="12" s="1"/>
  <c r="K53" i="12"/>
  <c r="N53" i="12" s="1"/>
  <c r="L53" i="12"/>
  <c r="P53" i="12" s="1"/>
  <c r="M53" i="12"/>
  <c r="O53" i="12" s="1"/>
  <c r="K52" i="12"/>
  <c r="N52" i="12" s="1"/>
  <c r="L52" i="12"/>
  <c r="P52" i="12" s="1"/>
  <c r="M52" i="12"/>
  <c r="O52" i="12" s="1"/>
  <c r="K51" i="12"/>
  <c r="N51" i="12" s="1"/>
  <c r="L51" i="12"/>
  <c r="P51" i="12" s="1"/>
  <c r="M51" i="12"/>
  <c r="O51" i="12" s="1"/>
  <c r="K50" i="12"/>
  <c r="N50" i="12" s="1"/>
  <c r="L50" i="12"/>
  <c r="P50" i="12" s="1"/>
  <c r="M50" i="12"/>
  <c r="O50" i="12" s="1"/>
  <c r="K49" i="12"/>
  <c r="N49" i="12" s="1"/>
  <c r="L49" i="12"/>
  <c r="P49" i="12" s="1"/>
  <c r="M49" i="12"/>
  <c r="O49" i="12" s="1"/>
  <c r="K48" i="12"/>
  <c r="N48" i="12" s="1"/>
  <c r="L48" i="12"/>
  <c r="P48" i="12" s="1"/>
  <c r="M48" i="12"/>
  <c r="O48" i="12" s="1"/>
  <c r="K47" i="12"/>
  <c r="N47" i="12" s="1"/>
  <c r="L47" i="12"/>
  <c r="P47" i="12" s="1"/>
  <c r="M47" i="12"/>
  <c r="O47" i="12" s="1"/>
  <c r="K46" i="12"/>
  <c r="N46" i="12" s="1"/>
  <c r="L46" i="12"/>
  <c r="P46" i="12" s="1"/>
  <c r="M46" i="12"/>
  <c r="O46" i="12" s="1"/>
  <c r="K45" i="12"/>
  <c r="N45" i="12" s="1"/>
  <c r="L45" i="12"/>
  <c r="P45" i="12" s="1"/>
  <c r="M45" i="12"/>
  <c r="O45" i="12" s="1"/>
  <c r="K44" i="12"/>
  <c r="N44" i="12" s="1"/>
  <c r="L44" i="12"/>
  <c r="P44" i="12" s="1"/>
  <c r="M44" i="12"/>
  <c r="O44" i="12" s="1"/>
  <c r="K43" i="12"/>
  <c r="N43" i="12" s="1"/>
  <c r="L43" i="12"/>
  <c r="P43" i="12" s="1"/>
  <c r="M43" i="12"/>
  <c r="O43" i="12" s="1"/>
  <c r="K42" i="12"/>
  <c r="N42" i="12" s="1"/>
  <c r="L42" i="12"/>
  <c r="P42" i="12" s="1"/>
  <c r="M42" i="12"/>
  <c r="O42" i="12" s="1"/>
  <c r="K41" i="12"/>
  <c r="L41" i="12"/>
  <c r="M41" i="12"/>
  <c r="O41" i="12" s="1"/>
  <c r="F4" i="14"/>
  <c r="G4" i="14" s="1"/>
  <c r="E4" i="14"/>
  <c r="D9" i="7" s="1"/>
  <c r="K40" i="12"/>
  <c r="N40" i="12" s="1"/>
  <c r="L40" i="12"/>
  <c r="P40" i="12" s="1"/>
  <c r="M40" i="12"/>
  <c r="O40" i="12" s="1"/>
  <c r="K39" i="12"/>
  <c r="N39" i="12" s="1"/>
  <c r="L39" i="12"/>
  <c r="P39" i="12" s="1"/>
  <c r="M39" i="12"/>
  <c r="O39" i="12" s="1"/>
  <c r="K38" i="12"/>
  <c r="N38" i="12" s="1"/>
  <c r="L38" i="12"/>
  <c r="P38" i="12" s="1"/>
  <c r="M38" i="12"/>
  <c r="O38" i="12" s="1"/>
  <c r="K37" i="12"/>
  <c r="N37" i="12" s="1"/>
  <c r="L37" i="12"/>
  <c r="P37" i="12" s="1"/>
  <c r="M37" i="12"/>
  <c r="O37" i="12" s="1"/>
  <c r="K36" i="12"/>
  <c r="N36" i="12" s="1"/>
  <c r="L36" i="12"/>
  <c r="P36" i="12" s="1"/>
  <c r="M36" i="12"/>
  <c r="O36" i="12" s="1"/>
  <c r="K35" i="12"/>
  <c r="N35" i="12" s="1"/>
  <c r="L35" i="12"/>
  <c r="P35" i="12" s="1"/>
  <c r="M35" i="12"/>
  <c r="O35" i="12" s="1"/>
  <c r="K34" i="12"/>
  <c r="N34" i="12" s="1"/>
  <c r="L34" i="12"/>
  <c r="P34" i="12" s="1"/>
  <c r="M34" i="12"/>
  <c r="O34" i="12" s="1"/>
  <c r="K33" i="12"/>
  <c r="N33" i="12" s="1"/>
  <c r="L33" i="12"/>
  <c r="P33" i="12" s="1"/>
  <c r="M33" i="12"/>
  <c r="O33" i="12" s="1"/>
  <c r="K32" i="12"/>
  <c r="N32" i="12" s="1"/>
  <c r="L32" i="12"/>
  <c r="P32" i="12" s="1"/>
  <c r="M32" i="12"/>
  <c r="O32" i="12" s="1"/>
  <c r="K31" i="12"/>
  <c r="N31" i="12" s="1"/>
  <c r="L31" i="12"/>
  <c r="P31" i="12" s="1"/>
  <c r="M31" i="12"/>
  <c r="O31" i="12" s="1"/>
  <c r="K30" i="12"/>
  <c r="N30" i="12" s="1"/>
  <c r="L30" i="12"/>
  <c r="P30" i="12" s="1"/>
  <c r="M30" i="12"/>
  <c r="O30" i="12" s="1"/>
  <c r="K29" i="12"/>
  <c r="N29" i="12" s="1"/>
  <c r="L29" i="12"/>
  <c r="P29" i="12" s="1"/>
  <c r="M29" i="12"/>
  <c r="O29" i="12" s="1"/>
  <c r="K28" i="12"/>
  <c r="N28" i="12" s="1"/>
  <c r="L28" i="12"/>
  <c r="P28" i="12" s="1"/>
  <c r="M28" i="12"/>
  <c r="O28" i="12" s="1"/>
  <c r="K27" i="12"/>
  <c r="N27" i="12" s="1"/>
  <c r="L27" i="12"/>
  <c r="P27" i="12" s="1"/>
  <c r="M27" i="12"/>
  <c r="O27" i="12" s="1"/>
  <c r="K26" i="12"/>
  <c r="N26" i="12" s="1"/>
  <c r="L26" i="12"/>
  <c r="P26" i="12" s="1"/>
  <c r="M26" i="12"/>
  <c r="O26" i="12" s="1"/>
  <c r="K25" i="12"/>
  <c r="N25" i="12" s="1"/>
  <c r="L25" i="12"/>
  <c r="P25" i="12" s="1"/>
  <c r="M25" i="12"/>
  <c r="O25" i="12" s="1"/>
  <c r="K24" i="12"/>
  <c r="N24" i="12" s="1"/>
  <c r="L24" i="12"/>
  <c r="P24" i="12" s="1"/>
  <c r="M24" i="12"/>
  <c r="O24" i="12" s="1"/>
  <c r="K23" i="12"/>
  <c r="N23" i="12" s="1"/>
  <c r="L23" i="12"/>
  <c r="P23" i="12" s="1"/>
  <c r="M23" i="12"/>
  <c r="O23" i="12" s="1"/>
  <c r="K22" i="12"/>
  <c r="N22" i="12" s="1"/>
  <c r="L22" i="12"/>
  <c r="P22" i="12" s="1"/>
  <c r="M22" i="12"/>
  <c r="O22" i="12" s="1"/>
  <c r="K21" i="12"/>
  <c r="N21" i="12" s="1"/>
  <c r="L21" i="12"/>
  <c r="P21" i="12" s="1"/>
  <c r="M21" i="12"/>
  <c r="O21" i="12" s="1"/>
  <c r="K20" i="12"/>
  <c r="N20" i="12" s="1"/>
  <c r="L20" i="12"/>
  <c r="P20" i="12" s="1"/>
  <c r="M20" i="12"/>
  <c r="O20" i="12" s="1"/>
  <c r="K19" i="12"/>
  <c r="N19" i="12" s="1"/>
  <c r="L19" i="12"/>
  <c r="P19" i="12" s="1"/>
  <c r="M19" i="12"/>
  <c r="O19" i="12" s="1"/>
  <c r="K18" i="12"/>
  <c r="N18" i="12" s="1"/>
  <c r="L18" i="12"/>
  <c r="P18" i="12" s="1"/>
  <c r="M18" i="12"/>
  <c r="O18" i="12" s="1"/>
  <c r="K17" i="12"/>
  <c r="N17" i="12" s="1"/>
  <c r="L17" i="12"/>
  <c r="P17" i="12" s="1"/>
  <c r="M17" i="12"/>
  <c r="O17" i="12" s="1"/>
  <c r="K16" i="12"/>
  <c r="N16" i="12" s="1"/>
  <c r="L16" i="12"/>
  <c r="P16" i="12" s="1"/>
  <c r="M16" i="12"/>
  <c r="O16" i="12" s="1"/>
  <c r="K15" i="12"/>
  <c r="N15" i="12" s="1"/>
  <c r="L15" i="12"/>
  <c r="P15" i="12" s="1"/>
  <c r="M15" i="12"/>
  <c r="O15" i="12" s="1"/>
  <c r="K14" i="12"/>
  <c r="N14" i="12" s="1"/>
  <c r="L14" i="12"/>
  <c r="P14" i="12" s="1"/>
  <c r="M14" i="12"/>
  <c r="O14" i="12" s="1"/>
  <c r="K13" i="12"/>
  <c r="N13" i="12" s="1"/>
  <c r="L13" i="12"/>
  <c r="P13" i="12" s="1"/>
  <c r="M13" i="12"/>
  <c r="O13" i="12" s="1"/>
  <c r="K12" i="12"/>
  <c r="N12" i="12" s="1"/>
  <c r="L12" i="12"/>
  <c r="P12" i="12" s="1"/>
  <c r="M12" i="12"/>
  <c r="O12" i="12" s="1"/>
  <c r="K11" i="12"/>
  <c r="N11" i="12" s="1"/>
  <c r="L11" i="12"/>
  <c r="P11" i="12" s="1"/>
  <c r="M11" i="12"/>
  <c r="O11" i="12" s="1"/>
  <c r="K10" i="12"/>
  <c r="N10" i="12" s="1"/>
  <c r="L10" i="12"/>
  <c r="P10" i="12" s="1"/>
  <c r="M10" i="12"/>
  <c r="O10" i="12" s="1"/>
  <c r="K9" i="12"/>
  <c r="N9" i="12" s="1"/>
  <c r="L9" i="12"/>
  <c r="P9" i="12" s="1"/>
  <c r="M9" i="12"/>
  <c r="O9" i="12" s="1"/>
  <c r="K8" i="12"/>
  <c r="N8" i="12" s="1"/>
  <c r="L8" i="12"/>
  <c r="P8" i="12" s="1"/>
  <c r="M8" i="12"/>
  <c r="O8" i="12" s="1"/>
  <c r="K7" i="12"/>
  <c r="N7" i="12" s="1"/>
  <c r="L7" i="12"/>
  <c r="P7" i="12" s="1"/>
  <c r="M7" i="12"/>
  <c r="O7" i="12" s="1"/>
  <c r="K6" i="12"/>
  <c r="N6" i="12" s="1"/>
  <c r="L6" i="12"/>
  <c r="P6" i="12" s="1"/>
  <c r="M6" i="12"/>
  <c r="O6" i="12" s="1"/>
  <c r="K5" i="12"/>
  <c r="N5" i="12" s="1"/>
  <c r="L5" i="12"/>
  <c r="P5" i="12" s="1"/>
  <c r="M5" i="12"/>
  <c r="O5" i="12" s="1"/>
  <c r="K4" i="12"/>
  <c r="N4" i="12" s="1"/>
  <c r="L4" i="12"/>
  <c r="P4" i="12" s="1"/>
  <c r="M4" i="12"/>
  <c r="O4" i="12" s="1"/>
  <c r="K3" i="12"/>
  <c r="L3" i="12"/>
  <c r="M3" i="12"/>
  <c r="C4" i="11"/>
  <c r="E3" i="14"/>
  <c r="D8" i="7" s="1"/>
  <c r="F3" i="14"/>
  <c r="C11" i="1"/>
  <c r="C12" i="9"/>
  <c r="J203" i="8"/>
  <c r="I203" i="8"/>
  <c r="H203" i="8"/>
  <c r="J202" i="8"/>
  <c r="I202" i="8"/>
  <c r="H202" i="8"/>
  <c r="J201" i="8"/>
  <c r="I201" i="8"/>
  <c r="H201" i="8"/>
  <c r="J200" i="8"/>
  <c r="I200" i="8"/>
  <c r="H200" i="8"/>
  <c r="J199" i="8"/>
  <c r="I199" i="8"/>
  <c r="H199" i="8"/>
  <c r="J198" i="8"/>
  <c r="I198" i="8"/>
  <c r="H198" i="8"/>
  <c r="J197" i="8"/>
  <c r="I197" i="8"/>
  <c r="H197" i="8"/>
  <c r="I196" i="8"/>
  <c r="H196" i="8"/>
  <c r="J196" i="8"/>
  <c r="J195" i="8"/>
  <c r="H195" i="8"/>
  <c r="I195" i="8"/>
  <c r="I194" i="8"/>
  <c r="J194" i="8"/>
  <c r="H194" i="8"/>
  <c r="J193" i="8"/>
  <c r="I193" i="8"/>
  <c r="H193" i="8"/>
  <c r="J192" i="8"/>
  <c r="H192" i="8"/>
  <c r="I192" i="8"/>
  <c r="J191" i="8"/>
  <c r="H191" i="8"/>
  <c r="I191" i="8"/>
  <c r="I190" i="8"/>
  <c r="H190" i="8"/>
  <c r="J190" i="8"/>
  <c r="J189" i="8"/>
  <c r="I189" i="8"/>
  <c r="H189" i="8"/>
  <c r="H188" i="8"/>
  <c r="I188" i="8"/>
  <c r="J188" i="8"/>
  <c r="H187" i="8"/>
  <c r="I187" i="8"/>
  <c r="J187" i="8"/>
  <c r="H186" i="8"/>
  <c r="I186" i="8"/>
  <c r="J186" i="8"/>
  <c r="J185" i="8"/>
  <c r="I185" i="8"/>
  <c r="H185" i="8"/>
  <c r="J184" i="8"/>
  <c r="I184" i="8"/>
  <c r="H184" i="8"/>
  <c r="I183" i="8"/>
  <c r="H183" i="8"/>
  <c r="J183" i="8"/>
  <c r="J182" i="8"/>
  <c r="I182" i="8"/>
  <c r="H182" i="8"/>
  <c r="J181" i="8"/>
  <c r="I181" i="8"/>
  <c r="H181" i="8"/>
  <c r="J180" i="8"/>
  <c r="I180" i="8"/>
  <c r="H180" i="8"/>
  <c r="J179" i="8"/>
  <c r="I179" i="8"/>
  <c r="H179" i="8"/>
  <c r="I178" i="8"/>
  <c r="J178" i="8"/>
  <c r="H178" i="8"/>
  <c r="J177" i="8"/>
  <c r="H177" i="8"/>
  <c r="I177" i="8"/>
  <c r="J176" i="8"/>
  <c r="I176" i="8"/>
  <c r="H176" i="8"/>
  <c r="J175" i="8"/>
  <c r="H175" i="8"/>
  <c r="I175" i="8"/>
  <c r="H174" i="8"/>
  <c r="I174" i="8"/>
  <c r="J174" i="8"/>
  <c r="J173" i="8"/>
  <c r="I173" i="8"/>
  <c r="H173" i="8"/>
  <c r="J171" i="8"/>
  <c r="I171" i="8"/>
  <c r="H171" i="8"/>
  <c r="J170" i="8"/>
  <c r="I170" i="8"/>
  <c r="H170" i="8"/>
  <c r="H169" i="8"/>
  <c r="I169" i="8"/>
  <c r="J169" i="8"/>
  <c r="H168" i="8"/>
  <c r="I168" i="8"/>
  <c r="J168" i="8"/>
  <c r="H167" i="8"/>
  <c r="I167" i="8"/>
  <c r="J167" i="8"/>
  <c r="J166" i="8"/>
  <c r="I166" i="8"/>
  <c r="H166" i="8"/>
  <c r="H165" i="8"/>
  <c r="I165" i="8"/>
  <c r="J165" i="8"/>
  <c r="J164" i="8"/>
  <c r="I164" i="8"/>
  <c r="H164" i="8"/>
  <c r="J163" i="8"/>
  <c r="I163" i="8"/>
  <c r="H163" i="8"/>
  <c r="J162" i="8"/>
  <c r="I162" i="8"/>
  <c r="H162" i="8"/>
  <c r="J161" i="8"/>
  <c r="I161" i="8"/>
  <c r="H161" i="8"/>
  <c r="I160" i="8"/>
  <c r="H160" i="8"/>
  <c r="J160" i="8"/>
  <c r="I159" i="8"/>
  <c r="J159" i="8"/>
  <c r="H159" i="8"/>
  <c r="I158" i="8"/>
  <c r="H158" i="8"/>
  <c r="J158" i="8"/>
  <c r="J157" i="8"/>
  <c r="I157" i="8"/>
  <c r="H157" i="8"/>
  <c r="J156" i="8"/>
  <c r="I156" i="8"/>
  <c r="H156" i="8"/>
  <c r="H153" i="8"/>
  <c r="H152" i="8"/>
  <c r="H151" i="8"/>
  <c r="H149" i="8"/>
  <c r="H148" i="8"/>
  <c r="H147" i="8"/>
  <c r="H146" i="8"/>
  <c r="H145" i="8"/>
  <c r="H144" i="8"/>
  <c r="H140" i="8"/>
  <c r="H139" i="8"/>
  <c r="H138" i="8"/>
  <c r="H128" i="8"/>
  <c r="H127" i="8"/>
  <c r="H126" i="8"/>
  <c r="H125" i="8"/>
  <c r="I80" i="8"/>
  <c r="J80" i="8" s="1"/>
  <c r="I79" i="8"/>
  <c r="J79" i="8"/>
  <c r="I78" i="8"/>
  <c r="J78" i="8" s="1"/>
  <c r="I77" i="8"/>
  <c r="J77" i="8"/>
  <c r="I76" i="8"/>
  <c r="J76" i="8" s="1"/>
  <c r="I75" i="8"/>
  <c r="J75" i="8" s="1"/>
  <c r="I74" i="8"/>
  <c r="J74" i="8"/>
  <c r="F11" i="6"/>
  <c r="E11" i="6"/>
  <c r="H11" i="6"/>
  <c r="K8" i="14" s="1"/>
  <c r="G11" i="6"/>
  <c r="K5" i="14" s="1"/>
  <c r="M13" i="7" l="1"/>
  <c r="E11" i="9"/>
  <c r="G11" i="9" s="1"/>
  <c r="N13" i="7"/>
  <c r="O13" i="7" s="1"/>
  <c r="K13" i="7"/>
  <c r="L13" i="7"/>
  <c r="L12" i="7"/>
  <c r="K12" i="7"/>
  <c r="M12" i="7"/>
  <c r="E10" i="9"/>
  <c r="G11" i="7"/>
  <c r="I11" i="7" s="1"/>
  <c r="J11" i="7" s="1"/>
  <c r="G10" i="7"/>
  <c r="I10" i="7" s="1"/>
  <c r="J10" i="7" s="1"/>
  <c r="H93" i="8"/>
  <c r="D31" i="10"/>
  <c r="D15" i="10"/>
  <c r="H15" i="10"/>
  <c r="D14" i="10"/>
  <c r="H14" i="10"/>
  <c r="D13" i="10"/>
  <c r="H13" i="10"/>
  <c r="D12" i="10"/>
  <c r="H12" i="10"/>
  <c r="G9" i="7"/>
  <c r="I9" i="7" s="1"/>
  <c r="J9" i="7" s="1"/>
  <c r="H14" i="8"/>
  <c r="G8" i="7"/>
  <c r="C14" i="7"/>
  <c r="N351" i="12"/>
  <c r="L11" i="9" s="1"/>
  <c r="M11" i="9" s="1"/>
  <c r="I8" i="14"/>
  <c r="P351" i="12"/>
  <c r="H8" i="14"/>
  <c r="N281" i="12"/>
  <c r="L10" i="9" s="1"/>
  <c r="M10" i="9" s="1"/>
  <c r="I7" i="14"/>
  <c r="P281" i="12"/>
  <c r="H7" i="14"/>
  <c r="N116" i="12"/>
  <c r="L8" i="9" s="1"/>
  <c r="M8" i="9" s="1"/>
  <c r="I5" i="14"/>
  <c r="P116" i="12"/>
  <c r="H5" i="14"/>
  <c r="N87" i="12"/>
  <c r="L9" i="9" s="1"/>
  <c r="I6" i="14"/>
  <c r="P87" i="12"/>
  <c r="H6" i="14"/>
  <c r="N41" i="12"/>
  <c r="L7" i="9" s="1"/>
  <c r="I4" i="14"/>
  <c r="P41" i="12"/>
  <c r="H4" i="14"/>
  <c r="N3" i="12"/>
  <c r="F4" i="11"/>
  <c r="I3" i="14"/>
  <c r="C15" i="1"/>
  <c r="P3" i="12"/>
  <c r="H3" i="14"/>
  <c r="C14" i="1"/>
  <c r="D4" i="11"/>
  <c r="O3" i="12"/>
  <c r="E4" i="11"/>
  <c r="F11" i="1"/>
  <c r="G3" i="14"/>
  <c r="G9" i="14" s="1"/>
  <c r="F9" i="14"/>
  <c r="K7" i="14"/>
  <c r="K6" i="14"/>
  <c r="K4" i="14"/>
  <c r="K3" i="14"/>
  <c r="F13" i="7"/>
  <c r="F11" i="9"/>
  <c r="I93" i="8"/>
  <c r="J93" i="8" s="1"/>
  <c r="F8" i="9"/>
  <c r="F10" i="7"/>
  <c r="D18" i="10"/>
  <c r="D16" i="10"/>
  <c r="D17" i="10"/>
  <c r="H79" i="8"/>
  <c r="I99" i="8"/>
  <c r="J99" i="8" s="1"/>
  <c r="D37" i="10" s="1"/>
  <c r="I83" i="8"/>
  <c r="J83" i="8" s="1"/>
  <c r="D21" i="10" s="1"/>
  <c r="I100" i="8"/>
  <c r="J100" i="8" s="1"/>
  <c r="D38" i="10" s="1"/>
  <c r="I101" i="8"/>
  <c r="J101" i="8" s="1"/>
  <c r="D39" i="10" s="1"/>
  <c r="I102" i="8"/>
  <c r="J102" i="8" s="1"/>
  <c r="D40" i="10" s="1"/>
  <c r="I103" i="8"/>
  <c r="J103" i="8" s="1"/>
  <c r="D41" i="10" s="1"/>
  <c r="I104" i="8"/>
  <c r="J104" i="8" s="1"/>
  <c r="D42" i="10" s="1"/>
  <c r="I105" i="8"/>
  <c r="J105" i="8" s="1"/>
  <c r="D43" i="10" s="1"/>
  <c r="I106" i="8"/>
  <c r="J106" i="8" s="1"/>
  <c r="D44" i="10" s="1"/>
  <c r="I95" i="8"/>
  <c r="J95" i="8" s="1"/>
  <c r="D33" i="10" s="1"/>
  <c r="I107" i="8"/>
  <c r="J107" i="8" s="1"/>
  <c r="D45" i="10" s="1"/>
  <c r="I108" i="8"/>
  <c r="J108" i="8" s="1"/>
  <c r="D46" i="10" s="1"/>
  <c r="I109" i="8"/>
  <c r="J109" i="8" s="1"/>
  <c r="D47" i="10" s="1"/>
  <c r="I110" i="8"/>
  <c r="J110" i="8" s="1"/>
  <c r="D48" i="10" s="1"/>
  <c r="I111" i="8"/>
  <c r="J111" i="8" s="1"/>
  <c r="D49" i="10" s="1"/>
  <c r="I112" i="8"/>
  <c r="J112" i="8" s="1"/>
  <c r="D50" i="10" s="1"/>
  <c r="I94" i="8"/>
  <c r="J94" i="8" s="1"/>
  <c r="D32" i="10" s="1"/>
  <c r="I84" i="8"/>
  <c r="J84" i="8" s="1"/>
  <c r="D22" i="10" s="1"/>
  <c r="I82" i="8"/>
  <c r="J82" i="8" s="1"/>
  <c r="D20" i="10" s="1"/>
  <c r="I85" i="8"/>
  <c r="J85" i="8" s="1"/>
  <c r="D23" i="10" s="1"/>
  <c r="I81" i="8"/>
  <c r="J81" i="8" s="1"/>
  <c r="D19" i="10" s="1"/>
  <c r="I86" i="8"/>
  <c r="J86" i="8" s="1"/>
  <c r="D24" i="10" s="1"/>
  <c r="I87" i="8"/>
  <c r="J87" i="8" s="1"/>
  <c r="D25" i="10" s="1"/>
  <c r="I96" i="8"/>
  <c r="J96" i="8" s="1"/>
  <c r="D34" i="10" s="1"/>
  <c r="I88" i="8"/>
  <c r="J88" i="8" s="1"/>
  <c r="I97" i="8"/>
  <c r="J97" i="8" s="1"/>
  <c r="D35" i="10" s="1"/>
  <c r="I89" i="8"/>
  <c r="J89" i="8" s="1"/>
  <c r="D27" i="10" s="1"/>
  <c r="I90" i="8"/>
  <c r="J90" i="8" s="1"/>
  <c r="D28" i="10" s="1"/>
  <c r="I91" i="8"/>
  <c r="J91" i="8" s="1"/>
  <c r="D29" i="10" s="1"/>
  <c r="I98" i="8"/>
  <c r="J98" i="8" s="1"/>
  <c r="D36" i="10" s="1"/>
  <c r="I92" i="8"/>
  <c r="J92" i="8" s="1"/>
  <c r="D30" i="10" s="1"/>
  <c r="H11" i="9" l="1"/>
  <c r="I11" i="9"/>
  <c r="K11" i="9" s="1"/>
  <c r="K11" i="7"/>
  <c r="L11" i="7"/>
  <c r="M11" i="7"/>
  <c r="E9" i="9"/>
  <c r="E8" i="9"/>
  <c r="G8" i="9" s="1"/>
  <c r="K10" i="7"/>
  <c r="L10" i="7"/>
  <c r="M10" i="7"/>
  <c r="N10" i="7"/>
  <c r="O10" i="7" s="1"/>
  <c r="L9" i="7"/>
  <c r="E7" i="9"/>
  <c r="M9" i="7"/>
  <c r="K9" i="7"/>
  <c r="G14" i="7"/>
  <c r="I8" i="7"/>
  <c r="C16" i="1"/>
  <c r="L6" i="9"/>
  <c r="G4" i="11"/>
  <c r="N4" i="11"/>
  <c r="F6" i="1"/>
  <c r="F12" i="7"/>
  <c r="N12" i="7" s="1"/>
  <c r="O12" i="7" s="1"/>
  <c r="F10" i="9"/>
  <c r="G10" i="9" s="1"/>
  <c r="I113" i="8"/>
  <c r="J113" i="8" s="1"/>
  <c r="I114" i="8"/>
  <c r="J114" i="8" s="1"/>
  <c r="E17" i="10" s="1"/>
  <c r="I115" i="8"/>
  <c r="J115" i="8" s="1"/>
  <c r="E18" i="10" s="1"/>
  <c r="I116" i="8"/>
  <c r="J116" i="8" s="1"/>
  <c r="E19" i="10" s="1"/>
  <c r="I117" i="8"/>
  <c r="J117" i="8" s="1"/>
  <c r="E20" i="10" s="1"/>
  <c r="I118" i="8"/>
  <c r="J118" i="8" s="1"/>
  <c r="E21" i="10" s="1"/>
  <c r="I119" i="8"/>
  <c r="J119" i="8" s="1"/>
  <c r="E22" i="10" s="1"/>
  <c r="I120" i="8"/>
  <c r="J120" i="8" s="1"/>
  <c r="E23" i="10" s="1"/>
  <c r="I121" i="8"/>
  <c r="J121" i="8" s="1"/>
  <c r="E24" i="10" s="1"/>
  <c r="I122" i="8"/>
  <c r="J122" i="8" s="1"/>
  <c r="E25" i="10" s="1"/>
  <c r="I123" i="8"/>
  <c r="J123" i="8" s="1"/>
  <c r="E26" i="10" s="1"/>
  <c r="I124" i="8"/>
  <c r="J124" i="8" s="1"/>
  <c r="E27" i="10" s="1"/>
  <c r="I125" i="8"/>
  <c r="J125" i="8" s="1"/>
  <c r="E28" i="10" s="1"/>
  <c r="I126" i="8"/>
  <c r="J126" i="8" s="1"/>
  <c r="E29" i="10" s="1"/>
  <c r="I127" i="8"/>
  <c r="J127" i="8" s="1"/>
  <c r="E30" i="10" s="1"/>
  <c r="I128" i="8"/>
  <c r="J128" i="8" s="1"/>
  <c r="E31" i="10" s="1"/>
  <c r="I129" i="8"/>
  <c r="J129" i="8" s="1"/>
  <c r="E32" i="10" s="1"/>
  <c r="I130" i="8"/>
  <c r="J130" i="8" s="1"/>
  <c r="E33" i="10" s="1"/>
  <c r="I131" i="8"/>
  <c r="J131" i="8" s="1"/>
  <c r="E34" i="10" s="1"/>
  <c r="I132" i="8"/>
  <c r="J132" i="8" s="1"/>
  <c r="E35" i="10" s="1"/>
  <c r="I133" i="8"/>
  <c r="J133" i="8" s="1"/>
  <c r="E36" i="10" s="1"/>
  <c r="I134" i="8"/>
  <c r="J134" i="8" s="1"/>
  <c r="E37" i="10" s="1"/>
  <c r="I135" i="8"/>
  <c r="J135" i="8" s="1"/>
  <c r="E38" i="10" s="1"/>
  <c r="I136" i="8"/>
  <c r="J136" i="8" s="1"/>
  <c r="E39" i="10" s="1"/>
  <c r="I137" i="8"/>
  <c r="J137" i="8" s="1"/>
  <c r="E40" i="10" s="1"/>
  <c r="I142" i="8"/>
  <c r="J142" i="8" s="1"/>
  <c r="E45" i="10" s="1"/>
  <c r="I144" i="8"/>
  <c r="J144" i="8" s="1"/>
  <c r="E47" i="10" s="1"/>
  <c r="I152" i="8"/>
  <c r="J152" i="8" s="1"/>
  <c r="I138" i="8"/>
  <c r="J138" i="8" s="1"/>
  <c r="E41" i="10" s="1"/>
  <c r="I141" i="8"/>
  <c r="J141" i="8" s="1"/>
  <c r="E44" i="10" s="1"/>
  <c r="I146" i="8"/>
  <c r="J146" i="8" s="1"/>
  <c r="E49" i="10" s="1"/>
  <c r="I148" i="8"/>
  <c r="J148" i="8" s="1"/>
  <c r="I150" i="8"/>
  <c r="J150" i="8" s="1"/>
  <c r="I155" i="8"/>
  <c r="J155" i="8" s="1"/>
  <c r="I140" i="8"/>
  <c r="J140" i="8" s="1"/>
  <c r="E43" i="10" s="1"/>
  <c r="I143" i="8"/>
  <c r="J143" i="8" s="1"/>
  <c r="E46" i="10" s="1"/>
  <c r="I145" i="8"/>
  <c r="J145" i="8" s="1"/>
  <c r="E48" i="10" s="1"/>
  <c r="I149" i="8"/>
  <c r="J149" i="8" s="1"/>
  <c r="I154" i="8"/>
  <c r="J154" i="8" s="1"/>
  <c r="I139" i="8"/>
  <c r="J139" i="8" s="1"/>
  <c r="E42" i="10" s="1"/>
  <c r="I147" i="8"/>
  <c r="J147" i="8" s="1"/>
  <c r="E50" i="10" s="1"/>
  <c r="I151" i="8"/>
  <c r="J151" i="8" s="1"/>
  <c r="I153" i="8"/>
  <c r="J153" i="8" s="1"/>
  <c r="F11" i="7"/>
  <c r="N11" i="7" s="1"/>
  <c r="O11" i="7" s="1"/>
  <c r="F9" i="9"/>
  <c r="I39" i="8"/>
  <c r="J39" i="8" s="1"/>
  <c r="I40" i="8"/>
  <c r="J40" i="8" s="1"/>
  <c r="C17" i="10" s="1"/>
  <c r="I41" i="8"/>
  <c r="J41" i="8" s="1"/>
  <c r="C18" i="10" s="1"/>
  <c r="I42" i="8"/>
  <c r="J42" i="8" s="1"/>
  <c r="C19" i="10" s="1"/>
  <c r="I43" i="8"/>
  <c r="J43" i="8" s="1"/>
  <c r="C20" i="10" s="1"/>
  <c r="I44" i="8"/>
  <c r="J44" i="8" s="1"/>
  <c r="C21" i="10" s="1"/>
  <c r="I45" i="8"/>
  <c r="J45" i="8" s="1"/>
  <c r="C22" i="10" s="1"/>
  <c r="I46" i="8"/>
  <c r="J46" i="8" s="1"/>
  <c r="C23" i="10" s="1"/>
  <c r="I47" i="8"/>
  <c r="J47" i="8" s="1"/>
  <c r="C24" i="10" s="1"/>
  <c r="I48" i="8"/>
  <c r="J48" i="8" s="1"/>
  <c r="C25" i="10" s="1"/>
  <c r="I49" i="8"/>
  <c r="J49" i="8" s="1"/>
  <c r="C26" i="10" s="1"/>
  <c r="I50" i="8"/>
  <c r="J50" i="8" s="1"/>
  <c r="C27" i="10" s="1"/>
  <c r="I51" i="8"/>
  <c r="J51" i="8" s="1"/>
  <c r="C28" i="10" s="1"/>
  <c r="I52" i="8"/>
  <c r="J52" i="8" s="1"/>
  <c r="C29" i="10" s="1"/>
  <c r="I53" i="8"/>
  <c r="J53" i="8" s="1"/>
  <c r="C30" i="10" s="1"/>
  <c r="I54" i="8"/>
  <c r="J54" i="8" s="1"/>
  <c r="C31" i="10" s="1"/>
  <c r="I55" i="8"/>
  <c r="J55" i="8" s="1"/>
  <c r="C32" i="10" s="1"/>
  <c r="I56" i="8"/>
  <c r="J56" i="8" s="1"/>
  <c r="C33" i="10" s="1"/>
  <c r="I57" i="8"/>
  <c r="J57" i="8" s="1"/>
  <c r="C34" i="10" s="1"/>
  <c r="I58" i="8"/>
  <c r="J58" i="8" s="1"/>
  <c r="C35" i="10" s="1"/>
  <c r="I59" i="8"/>
  <c r="J59" i="8" s="1"/>
  <c r="C36" i="10" s="1"/>
  <c r="I60" i="8"/>
  <c r="J60" i="8" s="1"/>
  <c r="C37" i="10" s="1"/>
  <c r="I61" i="8"/>
  <c r="J61" i="8" s="1"/>
  <c r="C38" i="10" s="1"/>
  <c r="I62" i="8"/>
  <c r="J62" i="8" s="1"/>
  <c r="C39" i="10" s="1"/>
  <c r="I63" i="8"/>
  <c r="J63" i="8" s="1"/>
  <c r="C40" i="10" s="1"/>
  <c r="I64" i="8"/>
  <c r="J64" i="8" s="1"/>
  <c r="C41" i="10" s="1"/>
  <c r="I65" i="8"/>
  <c r="J65" i="8" s="1"/>
  <c r="C42" i="10" s="1"/>
  <c r="I66" i="8"/>
  <c r="J66" i="8" s="1"/>
  <c r="C43" i="10" s="1"/>
  <c r="I67" i="8"/>
  <c r="J67" i="8" s="1"/>
  <c r="C44" i="10" s="1"/>
  <c r="I68" i="8"/>
  <c r="J68" i="8" s="1"/>
  <c r="C45" i="10" s="1"/>
  <c r="I69" i="8"/>
  <c r="J69" i="8" s="1"/>
  <c r="C46" i="10" s="1"/>
  <c r="I70" i="8"/>
  <c r="J70" i="8" s="1"/>
  <c r="C47" i="10" s="1"/>
  <c r="I71" i="8"/>
  <c r="J71" i="8" s="1"/>
  <c r="C48" i="10" s="1"/>
  <c r="I72" i="8"/>
  <c r="J72" i="8" s="1"/>
  <c r="C49" i="10" s="1"/>
  <c r="I73" i="8"/>
  <c r="J73" i="8" s="1"/>
  <c r="C50" i="10" s="1"/>
  <c r="F9" i="7"/>
  <c r="N9" i="7" s="1"/>
  <c r="O9" i="7" s="1"/>
  <c r="F7" i="9"/>
  <c r="I4" i="8"/>
  <c r="J4" i="8" s="1"/>
  <c r="I5" i="8"/>
  <c r="J5" i="8" s="1"/>
  <c r="I6" i="8"/>
  <c r="J6" i="8" s="1"/>
  <c r="I7" i="8"/>
  <c r="J7" i="8" s="1"/>
  <c r="I8" i="8"/>
  <c r="J8" i="8" s="1"/>
  <c r="I9" i="8"/>
  <c r="J9" i="8" s="1"/>
  <c r="I10" i="8"/>
  <c r="J10" i="8" s="1"/>
  <c r="I11" i="8"/>
  <c r="J11" i="8" s="1"/>
  <c r="I12" i="8"/>
  <c r="J12" i="8" s="1"/>
  <c r="I13" i="8"/>
  <c r="J13" i="8" s="1"/>
  <c r="I15" i="8"/>
  <c r="J15" i="8" s="1"/>
  <c r="I16" i="8"/>
  <c r="J16" i="8" s="1"/>
  <c r="I17" i="8"/>
  <c r="J17" i="8" s="1"/>
  <c r="I18" i="8"/>
  <c r="J18" i="8" s="1"/>
  <c r="I19" i="8"/>
  <c r="J19" i="8" s="1"/>
  <c r="I20" i="8"/>
  <c r="J20" i="8" s="1"/>
  <c r="I21" i="8"/>
  <c r="J21" i="8" s="1"/>
  <c r="I22" i="8"/>
  <c r="J22" i="8" s="1"/>
  <c r="I23" i="8"/>
  <c r="J23" i="8" s="1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F8" i="7"/>
  <c r="I14" i="8"/>
  <c r="J14" i="8" s="1"/>
  <c r="F6" i="9"/>
  <c r="I9" i="14"/>
  <c r="D26" i="10"/>
  <c r="J8" i="9"/>
  <c r="D8" i="10"/>
  <c r="H8" i="9" l="1"/>
  <c r="I8" i="9"/>
  <c r="K8" i="9" s="1"/>
  <c r="J8" i="7"/>
  <c r="K8" i="7"/>
  <c r="K14" i="7" s="1"/>
  <c r="L8" i="7"/>
  <c r="L14" i="7" s="1"/>
  <c r="M8" i="7"/>
  <c r="M14" i="7" s="1"/>
  <c r="N8" i="7"/>
  <c r="I14" i="7"/>
  <c r="H7" i="5"/>
  <c r="I7" i="5" s="1"/>
  <c r="H8" i="5"/>
  <c r="I8" i="5" s="1"/>
  <c r="H9" i="5"/>
  <c r="I9" i="5" s="1"/>
  <c r="H10" i="5"/>
  <c r="I10" i="5" s="1"/>
  <c r="E6" i="9"/>
  <c r="G6" i="9" s="1"/>
  <c r="H6" i="5"/>
  <c r="I6" i="5" s="1"/>
  <c r="M6" i="9"/>
  <c r="L12" i="9"/>
  <c r="I10" i="9"/>
  <c r="K10" i="9" s="1"/>
  <c r="H10" i="9"/>
  <c r="E8" i="10"/>
  <c r="J9" i="9"/>
  <c r="E16" i="10"/>
  <c r="H55" i="10"/>
  <c r="E55" i="10"/>
  <c r="H51" i="10"/>
  <c r="E51" i="10"/>
  <c r="E53" i="10"/>
  <c r="H53" i="10"/>
  <c r="E58" i="10"/>
  <c r="H58" i="10"/>
  <c r="H52" i="10"/>
  <c r="E52" i="10"/>
  <c r="H57" i="10"/>
  <c r="E57" i="10"/>
  <c r="H54" i="10"/>
  <c r="E54" i="10"/>
  <c r="H56" i="10"/>
  <c r="E56" i="10"/>
  <c r="C16" i="10"/>
  <c r="C8" i="10"/>
  <c r="J7" i="9"/>
  <c r="B16" i="10"/>
  <c r="H16" i="10"/>
  <c r="H8" i="10"/>
  <c r="B8" i="10"/>
  <c r="J6" i="9"/>
  <c r="J12" i="9" s="1"/>
  <c r="F15" i="1" s="1"/>
  <c r="H17" i="10"/>
  <c r="B17" i="10"/>
  <c r="H18" i="10"/>
  <c r="B18" i="10"/>
  <c r="B19" i="10"/>
  <c r="H19" i="10"/>
  <c r="B20" i="10"/>
  <c r="H20" i="10"/>
  <c r="H21" i="10"/>
  <c r="B21" i="10"/>
  <c r="B22" i="10"/>
  <c r="H22" i="10"/>
  <c r="H23" i="10"/>
  <c r="B23" i="10"/>
  <c r="B24" i="10"/>
  <c r="H24" i="10"/>
  <c r="H25" i="10"/>
  <c r="B25" i="10"/>
  <c r="B27" i="10"/>
  <c r="H27" i="10"/>
  <c r="H28" i="10"/>
  <c r="B28" i="10"/>
  <c r="H29" i="10"/>
  <c r="B29" i="10"/>
  <c r="H30" i="10"/>
  <c r="B30" i="10"/>
  <c r="H31" i="10"/>
  <c r="B31" i="10"/>
  <c r="B32" i="10"/>
  <c r="H32" i="10"/>
  <c r="H33" i="10"/>
  <c r="B33" i="10"/>
  <c r="H34" i="10"/>
  <c r="B34" i="10"/>
  <c r="H35" i="10"/>
  <c r="B35" i="10"/>
  <c r="H36" i="10"/>
  <c r="B36" i="10"/>
  <c r="H37" i="10"/>
  <c r="B37" i="10"/>
  <c r="H38" i="10"/>
  <c r="B38" i="10"/>
  <c r="H39" i="10"/>
  <c r="B39" i="10"/>
  <c r="H40" i="10"/>
  <c r="B40" i="10"/>
  <c r="B41" i="10"/>
  <c r="H41" i="10"/>
  <c r="B42" i="10"/>
  <c r="H42" i="10"/>
  <c r="H43" i="10"/>
  <c r="B43" i="10"/>
  <c r="B44" i="10"/>
  <c r="H44" i="10"/>
  <c r="B45" i="10"/>
  <c r="H45" i="10"/>
  <c r="H46" i="10"/>
  <c r="B46" i="10"/>
  <c r="H47" i="10"/>
  <c r="B47" i="10"/>
  <c r="H48" i="10"/>
  <c r="B48" i="10"/>
  <c r="B49" i="10"/>
  <c r="H49" i="10"/>
  <c r="B50" i="10"/>
  <c r="H50" i="10"/>
  <c r="H26" i="10"/>
  <c r="B26" i="10"/>
  <c r="G9" i="9"/>
  <c r="G7" i="9"/>
  <c r="O8" i="7" l="1"/>
  <c r="N14" i="7"/>
  <c r="F8" i="1"/>
  <c r="H4" i="11"/>
  <c r="H6" i="9"/>
  <c r="I6" i="9"/>
  <c r="G12" i="9"/>
  <c r="H12" i="9" s="1"/>
  <c r="I9" i="9"/>
  <c r="H9" i="9"/>
  <c r="I7" i="9"/>
  <c r="H7" i="9"/>
  <c r="O14" i="7" l="1"/>
  <c r="J4" i="11"/>
  <c r="K4" i="11"/>
  <c r="F9" i="1"/>
  <c r="F10" i="1"/>
  <c r="C6" i="3"/>
  <c r="K6" i="9"/>
  <c r="I12" i="9"/>
  <c r="M9" i="9"/>
  <c r="K9" i="9"/>
  <c r="M7" i="9"/>
  <c r="K7" i="9"/>
  <c r="I4" i="11" l="1"/>
  <c r="F7" i="1"/>
  <c r="M12" i="9"/>
  <c r="F16" i="1"/>
  <c r="L4" i="11"/>
  <c r="K12" i="9"/>
  <c r="F14" i="1"/>
</calcChain>
</file>

<file path=xl/sharedStrings.xml><?xml version="1.0" encoding="utf-8"?>
<sst xmlns="http://schemas.openxmlformats.org/spreadsheetml/2006/main" count="5076" uniqueCount="635">
  <si>
    <t>HISTÓRICO DE PESAGENS</t>
  </si>
  <si>
    <t>Data</t>
  </si>
  <si>
    <t>Brinco</t>
  </si>
  <si>
    <t>Categoria</t>
  </si>
  <si>
    <t>Curral</t>
  </si>
  <si>
    <t>Peso (kg)</t>
  </si>
  <si>
    <t>Evento/Obs</t>
  </si>
  <si>
    <t>2255</t>
  </si>
  <si>
    <t>Touro Nelore</t>
  </si>
  <si>
    <t>4-TN</t>
  </si>
  <si>
    <t>Pesagem</t>
  </si>
  <si>
    <t>2265</t>
  </si>
  <si>
    <t>2274</t>
  </si>
  <si>
    <t>2277</t>
  </si>
  <si>
    <t>2298</t>
  </si>
  <si>
    <t>2301</t>
  </si>
  <si>
    <t>2310</t>
  </si>
  <si>
    <t>2326</t>
  </si>
  <si>
    <t>2339</t>
  </si>
  <si>
    <t>2343</t>
  </si>
  <si>
    <t>2355</t>
  </si>
  <si>
    <t>2356</t>
  </si>
  <si>
    <t>2365</t>
  </si>
  <si>
    <t>2369</t>
  </si>
  <si>
    <t>2373</t>
  </si>
  <si>
    <t>2382</t>
  </si>
  <si>
    <t>2387</t>
  </si>
  <si>
    <t>2388</t>
  </si>
  <si>
    <t>2394</t>
  </si>
  <si>
    <t>2399</t>
  </si>
  <si>
    <t>2403</t>
  </si>
  <si>
    <t>2406</t>
  </si>
  <si>
    <t>2410</t>
  </si>
  <si>
    <t>2416</t>
  </si>
  <si>
    <t>2423</t>
  </si>
  <si>
    <t>2431</t>
  </si>
  <si>
    <t>2432</t>
  </si>
  <si>
    <t>2436</t>
  </si>
  <si>
    <t>1403/25</t>
  </si>
  <si>
    <t>Bezerro</t>
  </si>
  <si>
    <t>4</t>
  </si>
  <si>
    <t>Desmama (Pasto Sena)</t>
  </si>
  <si>
    <t>2030/25</t>
  </si>
  <si>
    <t>2518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</si>
  <si>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</si>
  <si>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</si>
  <si>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</si>
  <si>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</si>
  <si>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</si>
  <si>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</si>
  <si>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</si>
  <si>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</si>
  <si>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</si>
  <si>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</si>
  <si>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</si>
  <si>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</si>
  <si>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</si>
  <si>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</si>
  <si>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</si>
  <si>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</si>
  <si>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</si>
  <si>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</si>
  <si>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</si>
  <si>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</si>
  <si>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</si>
  <si>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</si>
  <si>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</si>
  <si>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</si>
  <si>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</si>
  <si>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</si>
  <si>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</si>
  <si>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</si>
  <si>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</si>
  <si>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</si>
  <si>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3544</t>
  </si>
  <si>
    <t>3545</t>
  </si>
  <si>
    <t>3546</t>
  </si>
  <si>
    <t>3548</t>
  </si>
  <si>
    <t>3549</t>
  </si>
  <si>
    <t>3550</t>
  </si>
  <si>
    <t>3551</t>
  </si>
  <si>
    <t>3552</t>
  </si>
  <si>
    <t>3554</t>
  </si>
  <si>
    <t>3555</t>
  </si>
  <si>
    <t>3556</t>
  </si>
  <si>
    <t>3557</t>
  </si>
  <si>
    <t>3558</t>
  </si>
  <si>
    <t>3560</t>
  </si>
  <si>
    <t>3561</t>
  </si>
  <si>
    <t>3562</t>
  </si>
  <si>
    <t>3563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</si>
  <si>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</si>
  <si>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</si>
  <si>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</si>
  <si>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</si>
  <si>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</si>
  <si>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</si>
  <si>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</si>
  <si>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</si>
  <si>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</si>
  <si>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</si>
  <si>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</si>
  <si>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</si>
  <si>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</si>
  <si>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</si>
  <si>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</si>
  <si>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</si>
  <si>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</si>
  <si>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</si>
  <si>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3585</t>
  </si>
  <si>
    <t>3586</t>
  </si>
  <si>
    <t>3587</t>
  </si>
  <si>
    <t>3588</t>
  </si>
  <si>
    <t>3589</t>
  </si>
  <si>
    <t>3591</t>
  </si>
  <si>
    <t>3592</t>
  </si>
  <si>
    <t>3593</t>
  </si>
  <si>
    <t>3594</t>
  </si>
  <si>
    <t>3595</t>
  </si>
  <si>
    <t>3596</t>
  </si>
  <si>
    <t>3597</t>
  </si>
  <si>
    <t>3598</t>
  </si>
  <si>
    <t>3600</t>
  </si>
  <si>
    <t>3602</t>
  </si>
  <si>
    <t>3603</t>
  </si>
  <si>
    <t>3604</t>
  </si>
  <si>
    <t>3605</t>
  </si>
  <si>
    <t>3606</t>
  </si>
  <si>
    <t>3607</t>
  </si>
  <si>
    <t>3608</t>
  </si>
  <si>
    <t>3609</t>
  </si>
  <si>
    <t>3611</t>
  </si>
  <si>
    <t>3612</t>
  </si>
  <si>
    <t>3613</t>
  </si>
  <si>
    <t>3615</t>
  </si>
  <si>
    <t>3616</t>
  </si>
  <si>
    <t>3617</t>
  </si>
  <si>
    <t>3619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</si>
  <si>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</si>
  <si>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</si>
  <si>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</si>
  <si>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</si>
  <si>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</si>
  <si>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</si>
  <si>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</si>
  <si>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</si>
  <si>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</si>
  <si>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</si>
  <si>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</si>
  <si>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</si>
  <si>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</si>
  <si>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</si>
  <si>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</si>
  <si>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</si>
  <si>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</si>
  <si>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</si>
  <si>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</si>
  <si>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</si>
  <si>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</si>
  <si>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</si>
  <si>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</si>
  <si>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</si>
  <si>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</si>
  <si>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</si>
  <si>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</si>
  <si>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</si>
  <si>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</si>
  <si>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</si>
  <si>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</si>
  <si>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</si>
  <si>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</si>
  <si>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</si>
  <si>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</si>
  <si>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</si>
  <si>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</si>
  <si>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</si>
  <si>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</si>
  <si>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</si>
  <si>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</si>
  <si>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</si>
  <si>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3667</t>
  </si>
  <si>
    <t>3668</t>
  </si>
  <si>
    <t>3669</t>
  </si>
  <si>
    <t>3670</t>
  </si>
  <si>
    <t>3671</t>
  </si>
  <si>
    <t>3672</t>
  </si>
  <si>
    <t>3673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</si>
  <si>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</si>
  <si>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</si>
  <si>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</si>
  <si>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</si>
  <si>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</si>
  <si>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</si>
  <si>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</si>
  <si>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</si>
  <si>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</si>
  <si>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</si>
  <si>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</si>
  <si>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4157/25</t>
  </si>
  <si>
    <t>498/25</t>
  </si>
  <si>
    <t>7490/25</t>
  </si>
  <si>
    <t>7705/25</t>
  </si>
  <si>
    <t>7755/25</t>
  </si>
  <si>
    <t>7906/25</t>
  </si>
  <si>
    <t>BGNE 40/25</t>
  </si>
  <si>
    <t>1615/24</t>
  </si>
  <si>
    <t>Touro Bonsmara</t>
  </si>
  <si>
    <t>2</t>
  </si>
  <si>
    <t>Entrada Curral 2</t>
  </si>
  <si>
    <t>1769/24</t>
  </si>
  <si>
    <t>1804/24</t>
  </si>
  <si>
    <t>1815/24</t>
  </si>
  <si>
    <t>1819/24</t>
  </si>
  <si>
    <t>3</t>
  </si>
  <si>
    <t>Entrada Curral 3</t>
  </si>
  <si>
    <t>1892/24</t>
  </si>
  <si>
    <t>2004/24</t>
  </si>
  <si>
    <t>Pesagem / Curral 4</t>
  </si>
  <si>
    <t>7734/24</t>
  </si>
  <si>
    <t>897/24</t>
  </si>
  <si>
    <t>930/24</t>
  </si>
  <si>
    <t>BBG 0834/25</t>
  </si>
  <si>
    <t>BBG 3335</t>
  </si>
  <si>
    <t>BBG 3339</t>
  </si>
  <si>
    <t>BBG 3346</t>
  </si>
  <si>
    <t>BBG 3354</t>
  </si>
  <si>
    <t>BBG 3356</t>
  </si>
  <si>
    <t>BBG 3358</t>
  </si>
  <si>
    <t>BBG 3359</t>
  </si>
  <si>
    <t>BBG 3366</t>
  </si>
  <si>
    <t>BBG 3368</t>
  </si>
  <si>
    <t>BBG 3370</t>
  </si>
  <si>
    <t>BBG 3372</t>
  </si>
  <si>
    <t>BBG 3380</t>
  </si>
  <si>
    <t>BBG 3384</t>
  </si>
  <si>
    <t>BBG 3388</t>
  </si>
  <si>
    <t>BBG 3390</t>
  </si>
  <si>
    <t>BBG 3394</t>
  </si>
  <si>
    <t>BBG 3396</t>
  </si>
  <si>
    <t>BBG 3399</t>
  </si>
  <si>
    <t>BBG 3400</t>
  </si>
  <si>
    <t>BBG 3409</t>
  </si>
  <si>
    <t>BBG 3411</t>
  </si>
  <si>
    <t>BBG 3415</t>
  </si>
  <si>
    <t>BBG 3420</t>
  </si>
  <si>
    <t>BBG 3421</t>
  </si>
  <si>
    <t>BBG 3427</t>
  </si>
  <si>
    <t>BBG 3428</t>
  </si>
  <si>
    <t>BBG 3429</t>
  </si>
  <si>
    <t>BBG 3430</t>
  </si>
  <si>
    <t>BBG 3431</t>
  </si>
  <si>
    <t>BBG 3433</t>
  </si>
  <si>
    <t>BBG 3434</t>
  </si>
  <si>
    <t>BBG 3438</t>
  </si>
  <si>
    <t>BBG 3440</t>
  </si>
  <si>
    <t>BBG 3442</t>
  </si>
  <si>
    <t>BBG 3449</t>
  </si>
  <si>
    <t>BBG 3450</t>
  </si>
  <si>
    <t>BBG 3451</t>
  </si>
  <si>
    <t>BBG 3453</t>
  </si>
  <si>
    <t>BBG 3454</t>
  </si>
  <si>
    <t>BBG 3455</t>
  </si>
  <si>
    <t>BBG 3456</t>
  </si>
  <si>
    <t>BBG 3457</t>
  </si>
  <si>
    <t>BBG 3458</t>
  </si>
  <si>
    <t>BBG 3460</t>
  </si>
  <si>
    <t>BBG 3461</t>
  </si>
  <si>
    <t>BBG 3464</t>
  </si>
  <si>
    <t>BBG 3465</t>
  </si>
  <si>
    <t>BBG 3466</t>
  </si>
  <si>
    <t>BBG 3467</t>
  </si>
  <si>
    <t>BBG 3469</t>
  </si>
  <si>
    <t>BBG 3470</t>
  </si>
  <si>
    <t>BBG 3472</t>
  </si>
  <si>
    <t>BBG 3473</t>
  </si>
  <si>
    <t>BBG 3474</t>
  </si>
  <si>
    <t>BBG 3477</t>
  </si>
  <si>
    <t>BBG 3483</t>
  </si>
  <si>
    <t>BBG 3488</t>
  </si>
  <si>
    <t>BBG 3489</t>
  </si>
  <si>
    <t>BBG 3490</t>
  </si>
  <si>
    <t>BBG 3492</t>
  </si>
  <si>
    <t>BBG 3494</t>
  </si>
  <si>
    <t>BBG 3496</t>
  </si>
  <si>
    <t>BBG 3500</t>
  </si>
  <si>
    <t>BBG 3501</t>
  </si>
  <si>
    <t>BBG 3502</t>
  </si>
  <si>
    <t>BBG 3505</t>
  </si>
  <si>
    <t>BBG 3507</t>
  </si>
  <si>
    <t>BGNE 5/24</t>
  </si>
  <si>
    <t>CAB 1227</t>
  </si>
  <si>
    <t>CAB 1228</t>
  </si>
  <si>
    <t>CAB 1231</t>
  </si>
  <si>
    <t>CAB 1235</t>
  </si>
  <si>
    <t>CAB 1243</t>
  </si>
  <si>
    <t>Entrada confinamento Curral 4</t>
  </si>
  <si>
    <t>3620</t>
  </si>
  <si>
    <t>2674</t>
  </si>
  <si>
    <t>Novilha Nelore</t>
  </si>
  <si>
    <t>(a definir)</t>
  </si>
  <si>
    <t>Pesagem entrada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</si>
  <si>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</si>
  <si>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</si>
  <si>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</si>
  <si>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</si>
  <si>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</si>
  <si>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</si>
  <si>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</si>
  <si>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</si>
  <si>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</si>
  <si>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</si>
  <si>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</si>
  <si>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</si>
  <si>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</si>
  <si>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</si>
  <si>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</si>
  <si>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</si>
  <si>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</si>
  <si>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</si>
  <si>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</si>
  <si>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</si>
  <si>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</si>
  <si>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</si>
  <si>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</si>
  <si>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</si>
  <si>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</si>
  <si>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</si>
  <si>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</si>
  <si>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</si>
  <si>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</si>
  <si>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</si>
  <si>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</si>
  <si>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</si>
  <si>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</si>
  <si>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</si>
  <si>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</si>
  <si>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</si>
  <si>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</si>
  <si>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</si>
  <si>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</si>
  <si>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</si>
  <si>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</si>
  <si>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</si>
  <si>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</si>
  <si>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</si>
  <si>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</si>
  <si>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</si>
  <si>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</si>
  <si>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</si>
  <si>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</si>
  <si>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</si>
  <si>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</si>
  <si>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</si>
  <si>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</si>
  <si>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</si>
  <si>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</si>
  <si>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</si>
  <si>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</si>
  <si>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</si>
  <si>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</si>
  <si>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</si>
  <si>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</si>
  <si>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</si>
  <si>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</si>
  <si>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</si>
  <si>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</si>
  <si>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</si>
  <si>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</si>
  <si>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</si>
  <si>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</si>
  <si>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2473</t>
  </si>
  <si>
    <t>Touro Bonsmara Descarte</t>
  </si>
  <si>
    <t>5</t>
  </si>
  <si>
    <t>Entrada</t>
  </si>
  <si>
    <t>2474</t>
  </si>
  <si>
    <t>2476</t>
  </si>
  <si>
    <t>2477</t>
  </si>
  <si>
    <t>2478</t>
  </si>
  <si>
    <t>2479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</si>
  <si>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</si>
  <si>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</si>
  <si>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</si>
  <si>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</si>
  <si>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</si>
  <si>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</si>
  <si>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</si>
  <si>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</si>
  <si>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</si>
  <si>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</si>
  <si>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</si>
  <si>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</si>
  <si>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</si>
  <si>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</si>
  <si>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2497</t>
  </si>
  <si>
    <t>2499</t>
  </si>
  <si>
    <t>2502</t>
  </si>
  <si>
    <t>2503</t>
  </si>
  <si>
    <t>2504</t>
  </si>
  <si>
    <t>2505</t>
  </si>
  <si>
    <t>2506</t>
  </si>
  <si>
    <t>2508</t>
  </si>
  <si>
    <t>2509</t>
  </si>
  <si>
    <t>2510</t>
  </si>
  <si>
    <t>2512</t>
  </si>
  <si>
    <t>2514</t>
  </si>
  <si>
    <t>2516</t>
  </si>
  <si>
    <t>2530</t>
  </si>
  <si>
    <t>7496/24</t>
  </si>
  <si>
    <t>BBG 3407</t>
  </si>
  <si>
    <t>CAB 1229</t>
  </si>
  <si>
    <t>Venda/Abate - Frig Prima Foods (NF 137493)</t>
  </si>
  <si>
    <t>DASHBOARD — VISÃO GERAL DO CONFINAMENTO BG</t>
  </si>
  <si>
    <t>REBANHO</t>
  </si>
  <si>
    <t>ECONÔMICO / NUTRIÇÃO</t>
  </si>
  <si>
    <t>Total de animais</t>
  </si>
  <si>
    <t>Preço da arroba (R$/@)</t>
  </si>
  <si>
    <t>Touros Bonsmara</t>
  </si>
  <si>
    <t>Valor do rebanho (R$)</t>
  </si>
  <si>
    <t>Touros Nelore</t>
  </si>
  <si>
    <t>Custo dieta médio (R$/kg MN)</t>
  </si>
  <si>
    <t>Bezerros</t>
  </si>
  <si>
    <t>Consumo planejado/dia (kg MN)</t>
  </si>
  <si>
    <t>Novilhas Nelore</t>
  </si>
  <si>
    <t>Custo total ração/dia (R$)</t>
  </si>
  <si>
    <t>Bonsmara Descarte</t>
  </si>
  <si>
    <t>Custo ração/cab/dia (R$)</t>
  </si>
  <si>
    <t>Peso vivo total atual (kg)</t>
  </si>
  <si>
    <t>@ totais em estoque</t>
  </si>
  <si>
    <t>DESEMPENHO (onde há 2+ pesagens)</t>
  </si>
  <si>
    <t>CUSTO ACUMULADO / @</t>
  </si>
  <si>
    <t>GMD médio do rebanho (kg/dia)</t>
  </si>
  <si>
    <t>Custo nutrição estim. acum. (R$)</t>
  </si>
  <si>
    <t>Ganho total acumulado (kg)</t>
  </si>
  <si>
    <t>Custo nutrição real acum. (R$)</t>
  </si>
  <si>
    <t>@ produzidas (ganho)</t>
  </si>
  <si>
    <t>Custo estim./@ produzida (R$)</t>
  </si>
  <si>
    <t>GMD meta (kg/dia)</t>
  </si>
  <si>
    <t>Obs.: consumo/custo de ração vêm da Calculadora (planejado). Lance o Trato_Diario para o custo real.</t>
  </si>
  <si>
    <t>VENDA — TOUROS NELORE (curral 4-TN)</t>
  </si>
  <si>
    <t>Frigorífico</t>
  </si>
  <si>
    <t>PRIMA FOODS S.A. — Araguari/MG</t>
  </si>
  <si>
    <t>Nota Fiscal / Pedido</t>
  </si>
  <si>
    <t>NF 78727  ·  PR/01-239058-01</t>
  </si>
  <si>
    <t>Data do abate</t>
  </si>
  <si>
    <t>Data saída da fazenda</t>
  </si>
  <si>
    <t>DADOS DA VENDA</t>
  </si>
  <si>
    <t>Cabeças</t>
  </si>
  <si>
    <t>Peso de carcaça total (kg)</t>
  </si>
  <si>
    <t>Arrobas de carcaça (@)</t>
  </si>
  <si>
    <t>Carcaça média por cabeça (kg)</t>
  </si>
  <si>
    <t>Rendimento de carcaça (carcaça ÷ peso fazenda)</t>
  </si>
  <si>
    <t>Valor bruto</t>
  </si>
  <si>
    <t>(−) SENAR</t>
  </si>
  <si>
    <t>VALOR LÍQUIDO</t>
  </si>
  <si>
    <t>Preço médio por cabeça (líquido)</t>
  </si>
  <si>
    <t>Pagamento</t>
  </si>
  <si>
    <t>32 dias — vencimento 14/09/2026</t>
  </si>
  <si>
    <t>Dentição</t>
  </si>
  <si>
    <t>10× 0 dente · 15× 2 dentes · 4× 4 dentes</t>
  </si>
  <si>
    <t>CUSTO DO LOTE</t>
  </si>
  <si>
    <t>Custo de entrada  (13.462 kg × 50% ÷ 15 × R$310/@)</t>
  </si>
  <si>
    <t>Custo de ração (real — Trato_Diário)</t>
  </si>
  <si>
    <t>Custo fixo (R$2,50/cab/dia × 1.217 cab-dias)</t>
  </si>
  <si>
    <t>CUSTO TOTAL</t>
  </si>
  <si>
    <t>Custo total por cabeça</t>
  </si>
  <si>
    <t>RESULTADO</t>
  </si>
  <si>
    <t>Receita líquida</t>
  </si>
  <si>
    <t>(−) Custo total</t>
  </si>
  <si>
    <t>LUCRO DO LOTE</t>
  </si>
  <si>
    <t>Lucro por cabeça</t>
  </si>
  <si>
    <t>Margem sobre a receita</t>
  </si>
  <si>
    <t>ROI sobre o custo</t>
  </si>
  <si>
    <t>Custo da arroba produzida (ração+fixo)</t>
  </si>
  <si>
    <t>ZOOTÉCNICO</t>
  </si>
  <si>
    <t>Peso médio de entrada (kg)</t>
  </si>
  <si>
    <t>Peso médio de saída (kg)</t>
  </si>
  <si>
    <t>Ganho total do lote (kg)</t>
  </si>
  <si>
    <t>GMD médio (kg/dia)</t>
  </si>
  <si>
    <t>Dias de confinamento (média)</t>
  </si>
  <si>
    <t>PARÂMETROS (edite as células amarelas)</t>
  </si>
  <si>
    <t>Parâmetro</t>
  </si>
  <si>
    <t>Valor</t>
  </si>
  <si>
    <t>Observação</t>
  </si>
  <si>
    <t>Data de referência</t>
  </si>
  <si>
    <t>Data usada para calcular os dias de confinamento.</t>
  </si>
  <si>
    <t>PLACEHOLDER — ajuste ao preço da arroba do boi gordo que você usa.</t>
  </si>
  <si>
    <t>Custo da ração (R$/kg matéria natural)</t>
  </si>
  <si>
    <t>Automático: custo médio ponderado das dietas (Calculadora_Trato). Cada curral usa sua própria dieta.</t>
  </si>
  <si>
    <t>% Matéria seca da dieta</t>
  </si>
  <si>
    <t>PLACEHOLDER — teor de MS da dieta (ex.: 55%). Usado para converter MN em MS.</t>
  </si>
  <si>
    <t>Rendimento de carcaça (%)</t>
  </si>
  <si>
    <t>PLACEHOLDER — rendimento de carcaça para converter peso vivo em @.</t>
  </si>
  <si>
    <t>Custo fixo diário (R$/cab/dia)</t>
  </si>
  <si>
    <t>PLACEHOLDER — sanidade + mão de obra + demais custos por cabeça/dia (fora ração).</t>
  </si>
  <si>
    <t>Meta de ganho médio diário para comparação.</t>
  </si>
  <si>
    <t>Peso de abate alvo (kg)</t>
  </si>
  <si>
    <t>Peso vivo alvo para projeções.</t>
  </si>
  <si>
    <t>COMPRAS / PREÇOS DE INSUMOS (por data)</t>
  </si>
  <si>
    <t>Registre CADA compra: Data, Insumo, Preço R$/kg e Qtd. O custo das dietas usa sempre o preço da compra mais recente de cada insumo.</t>
  </si>
  <si>
    <t>Insumo</t>
  </si>
  <si>
    <t>Preço (R$/kg)</t>
  </si>
  <si>
    <t>Qtd Comprada (kg)</t>
  </si>
  <si>
    <t>Valor Total (R$)</t>
  </si>
  <si>
    <t>Fornecedor</t>
  </si>
  <si>
    <t>Obs</t>
  </si>
  <si>
    <t>Silagem de Capim</t>
  </si>
  <si>
    <t>Promill</t>
  </si>
  <si>
    <t>Milho Moído</t>
  </si>
  <si>
    <t>Ureia</t>
  </si>
  <si>
    <t>Núcleo Flex (Flexbeef MD)</t>
  </si>
  <si>
    <t>ESTOQUE DE INSUMOS (estimativa) — BG</t>
  </si>
  <si>
    <t>Informe o Estoque na data-base e a Data-base de cada insumo (amarelo). O consumo vem dos lançamentos do Trato_Diario, considerando a dieta de cada curral. Consumo/dia = consumo planejado atual (Calculadora).</t>
  </si>
  <si>
    <t>Estoque na data-base (kg)</t>
  </si>
  <si>
    <t>Data-base</t>
  </si>
  <si>
    <t>Compras após (kg)</t>
  </si>
  <si>
    <t>Consumo após (kg)</t>
  </si>
  <si>
    <t>Estoque Atual (kg)</t>
  </si>
  <si>
    <t>Consumo/dia atual (kg)</t>
  </si>
  <si>
    <t>Dias de estoque</t>
  </si>
  <si>
    <t>Obs.: preencha o estoque e a data-base de cada insumo. O 'Consumo/dia atual' já aparece (consumo planejado da Calculadora × % da dieta de cada curral). 'Dias de estoque' = estoque ÷ consumo/dia.</t>
  </si>
  <si>
    <t>INGREDIENTES E DIETAS — BARRA GRANDE</t>
  </si>
  <si>
    <t>Preço vem AUTOMÁTICO da última compra (Precos_Insumos). Edite as % de inclusão (amarelo) de cada dieta. Valores nas colunas Touros/Boi Nelore/Bezerros/Descarte = % de inclusão.</t>
  </si>
  <si>
    <t>Ingrediente</t>
  </si>
  <si>
    <t>Última compra</t>
  </si>
  <si>
    <t>Touros</t>
  </si>
  <si>
    <t>Boi Nelore</t>
  </si>
  <si>
    <t>Descarte</t>
  </si>
  <si>
    <t>Custo da dieta (R$/kg)</t>
  </si>
  <si>
    <t>Conferência % (cada dieta deve dar 100%):</t>
  </si>
  <si>
    <t>CALCULADORA DE TRATO POR CURRAL — BG</t>
  </si>
  <si>
    <t>Base = Nº cabeças × Peso médio × % do peso vivo (MN). Ajuste a % do peso vivo e o Ajuste % de cada curral (amarelo). Cada curral usa sua dieta (Currais). Split manhã/almoço/tarde editável.</t>
  </si>
  <si>
    <t>% do peso vivo (MN):</t>
  </si>
  <si>
    <t>Manhã</t>
  </si>
  <si>
    <t>Almoço</t>
  </si>
  <si>
    <t>Tarde</t>
  </si>
  <si>
    <t>Nº Cab</t>
  </si>
  <si>
    <t>Peso Médio (kg)</t>
  </si>
  <si>
    <t>Dieta</t>
  </si>
  <si>
    <t>Custo Dieta (R$/kg)</t>
  </si>
  <si>
    <t>Base Total (kg MN/dia)</t>
  </si>
  <si>
    <t>Ajuste %</t>
  </si>
  <si>
    <t>Consumo Ajustado (kg MN/dia)</t>
  </si>
  <si>
    <t>kg MN/cab</t>
  </si>
  <si>
    <t>Trato Manhã (kg)</t>
  </si>
  <si>
    <t>Trato Almoço (kg)</t>
  </si>
  <si>
    <t>Trato Tarde (kg)</t>
  </si>
  <si>
    <t>Custo Planejado/dia (R$)</t>
  </si>
  <si>
    <t>Custo/cab/dia (R$)</t>
  </si>
  <si>
    <t>TOTAL</t>
  </si>
  <si>
    <t>LANÇAMENTO DIÁRIO DE TRATO (REAL) POR CURRAL</t>
  </si>
  <si>
    <t>Lance o que foi realmente fornecido por dia/curral (amarelo). O custo usa a dieta do curral (Currais). Alimenta o Custo Real por lote e o Estoque.</t>
  </si>
  <si>
    <t>Trato Manhã (kg MN)</t>
  </si>
  <si>
    <t>Trato Almoço (kg MN)</t>
  </si>
  <si>
    <t>Trato Tarde (kg MN)</t>
  </si>
  <si>
    <t>Total Dia (kg MN)</t>
  </si>
  <si>
    <t>Custo Total (R$)</t>
  </si>
  <si>
    <t>Estimado — rampa</t>
  </si>
  <si>
    <t>Estimado — platô</t>
  </si>
  <si>
    <t>Estimado — constante</t>
  </si>
  <si>
    <t>CUSTO DE NUTRIÇÃO POR LOTE (CURRAL) — BG</t>
  </si>
  <si>
    <t>Estimativa = consumo planejado/dia (Calculadora) × dias de confinamento × custo da dieta do curral. Real = soma dos lançamentos do Trato_Diario. @ produzidas vêm das pesagens.</t>
  </si>
  <si>
    <t>Lote (Curral)</t>
  </si>
  <si>
    <t>Dias Conf</t>
  </si>
  <si>
    <t>Consumo Planej./dia (kg MN)</t>
  </si>
  <si>
    <t>Custo Ração/dia (R$)</t>
  </si>
  <si>
    <t>Custo Estim. Acum. (R$)</t>
  </si>
  <si>
    <t>Custo Real Acum. (R$)</t>
  </si>
  <si>
    <t>Custo/cab Acum. (R$)</t>
  </si>
  <si>
    <t>@ Produzidas</t>
  </si>
  <si>
    <t>Custo Estim./@ (R$)</t>
  </si>
  <si>
    <t>CUSTO MÉDIO DIÁRIO DE RAÇÃO POR CABEÇA — POR CURRAL (BG)</t>
  </si>
  <si>
    <t>Custo REAL de ração por cabeça por dia (custo do trato do dia ÷ nº de cabeças). A MÉDIA DIÁRIA = custo total do período ÷ (dias × cabeças) de cada curral. Atualiza conforme você lança tratos. Novilhas e Descarte aparecem quando você lançar os tratos deles.</t>
  </si>
  <si>
    <t>2 — Bonsmara R1</t>
  </si>
  <si>
    <t>3 — Bonsmara R2</t>
  </si>
  <si>
    <t>4 — Bezerros</t>
  </si>
  <si>
    <t>4-TN — Nelore</t>
  </si>
  <si>
    <t>Novilhas</t>
  </si>
  <si>
    <t>5 — Descarte</t>
  </si>
  <si>
    <t>Rebanho</t>
  </si>
  <si>
    <t>Curral (ref.)</t>
  </si>
  <si>
    <t>Nº cabeças</t>
  </si>
  <si>
    <t>Dias com trato</t>
  </si>
  <si>
    <t>MÉDIA DIÁRIA (R$/cab/dia)</t>
  </si>
  <si>
    <t>DETALHE DIA A DIA — custo do dia por cabeça (R$/cab/dia)</t>
  </si>
  <si>
    <t>HISTÓRICO DE KPIs — ZOOTÉCNICO E FINANCEIRO (BG)</t>
  </si>
  <si>
    <t>Para guardar um snapshot: selecione a linha AO VIVO (linha 4), copie e cole como VALORES na primeira linha vazia do histórico. Congela os KPIs daquela data.</t>
  </si>
  <si>
    <t>Nº Animais</t>
  </si>
  <si>
    <t>GMD Médio (kg/dia)</t>
  </si>
  <si>
    <t>@ em Estoque</t>
  </si>
  <si>
    <t>Ganho Acum. (kg)</t>
  </si>
  <si>
    <t>Consumo/dia (kg MN)</t>
  </si>
  <si>
    <t>Custo Dieta médio (R$/kg)</t>
  </si>
  <si>
    <t>Custo Ração/cab/dia (R$)</t>
  </si>
  <si>
    <t>Custo Estim./@ prod. (R$)</t>
  </si>
  <si>
    <t>Preço Arroba (R$/@)</t>
  </si>
  <si>
    <t>Valor Rebanho (R$)</t>
  </si>
  <si>
    <t>AO VIVO — não colar valores nesta linha</t>
  </si>
  <si>
    <t>HISTÓRICO (cole valores aqui, uma linha por data):</t>
  </si>
  <si>
    <t>Snapshot inicial (exemplo)</t>
  </si>
  <si>
    <t>CADASTRO DE ANIMAIS</t>
  </si>
  <si>
    <t>ID</t>
  </si>
  <si>
    <t>Lote/Origem</t>
  </si>
  <si>
    <t>Data Entrada</t>
  </si>
  <si>
    <t>Peso Entrada (kg)</t>
  </si>
  <si>
    <t>Data Última Pesagem</t>
  </si>
  <si>
    <t>Peso Atual (kg)</t>
  </si>
  <si>
    <t>Dias Confinado</t>
  </si>
  <si>
    <t>Ganho Total (kg)</t>
  </si>
  <si>
    <t>GMD (kg/dia)</t>
  </si>
  <si>
    <t>@ Atual</t>
  </si>
  <si>
    <t>Ganho (@)</t>
  </si>
  <si>
    <t>Valor Atual (R$)</t>
  </si>
  <si>
    <t>Meta GMD?</t>
  </si>
  <si>
    <t>Retiro 1</t>
  </si>
  <si>
    <t>Retiro 2</t>
  </si>
  <si>
    <t>Lote 04</t>
  </si>
  <si>
    <t>Lote 03</t>
  </si>
  <si>
    <t>Desmama BG</t>
  </si>
  <si>
    <t>Bois Descarte</t>
  </si>
  <si>
    <t>RESUMO POR CURRAL</t>
  </si>
  <si>
    <t>Descrição</t>
  </si>
  <si>
    <t>Nº Cabeças</t>
  </si>
  <si>
    <t>Peso Médio Entrada (kg)</t>
  </si>
  <si>
    <t>Peso Médio Atual (kg)</t>
  </si>
  <si>
    <t>Peso Total Atual (kg)</t>
  </si>
  <si>
    <t>@ Total</t>
  </si>
  <si>
    <t>% Silagem de Capim</t>
  </si>
  <si>
    <t>% Promill</t>
  </si>
  <si>
    <t>% Milho Moído</t>
  </si>
  <si>
    <t>% Ureia</t>
  </si>
  <si>
    <t>% Núcleo Flex</t>
  </si>
  <si>
    <t>Touros Bonsmara — Retiro 1</t>
  </si>
  <si>
    <t>Touros Bonsmara — Retiro 2</t>
  </si>
  <si>
    <t>Bezerros — Confinamento</t>
  </si>
  <si>
    <t>Touros Bonsmara Descarte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</si>
</sst>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R$ &quot;#,##0.00"/>
    <numFmt numFmtId="165" formatCode="&quot;R$ &quot;#,##0.000"/>
    <numFmt numFmtId="166" formatCode="#,##0.0"/>
    <numFmt numFmtId="167" formatCode="0.000"/>
    <numFmt numFmtId="168" formatCode="m/d/yyyy"/>
    <numFmt numFmtId="169" formatCode="0.0%"/>
    <numFmt numFmtId="171" formatCode="\R\$\ #,##0.00"/>
  </numFmts>
  <fonts count="2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9"/>
      <color rgb="FF7A7A7A"/>
      <name val="Arial"/>
      <charset val="1"/>
    </font>
    <font>
      <b/>
      <sz val="14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name val="Arial"/>
      <family val="2"/>
      <charset val="1"/>
    </font>
    <font>
      <sz val="11"/>
      <color rgb="FF0000FF"/>
      <name val="Arial"/>
      <family val="2"/>
      <charset val="1"/>
    </font>
    <font>
      <i/>
      <sz val="9"/>
      <color rgb="FF7A7A7A"/>
      <name val="Arial"/>
      <family val="2"/>
      <charset val="1"/>
    </font>
    <font>
      <sz val="11"/>
      <color rgb="FF006100"/>
      <name val="Arial"/>
      <charset val="1"/>
    </font>
    <font>
      <sz val="9"/>
      <color rgb="FF7A7A7A"/>
      <name val="Arial"/>
      <charset val="1"/>
    </font>
    <font>
      <sz val="11"/>
      <color rgb="FF0000FF"/>
      <name val="Arial"/>
      <charset val="1"/>
    </font>
    <font>
      <b/>
      <sz val="11"/>
      <color rgb="FF1F4E2E"/>
      <name val="Arial"/>
      <charset val="1"/>
    </font>
    <font>
      <sz val="11"/>
      <color rgb="FF1F4E2E"/>
      <name val="Arial"/>
      <charset val="1"/>
    </font>
    <font>
      <b/>
      <sz val="11"/>
      <color rgb="FF7A4E00"/>
      <name val="Arial"/>
      <charset val="1"/>
    </font>
    <font>
      <b/>
      <sz val="11"/>
      <color rgb="FF006100"/>
      <name val="Arial"/>
      <charset val="1"/>
    </font>
    <font>
      <sz val="11"/>
      <name val="Arial"/>
      <family val="2"/>
      <charset val="1"/>
    </font>
    <font>
      <b/>
      <sz val="14"/>
      <color rgb="FFFFFFFF"/>
      <name val="Arial"/>
    </font>
    <font>
      <sz val="10"/>
      <name val="Arial"/>
    </font>
    <font>
      <sz val="10"/>
      <color rgb="FF000000"/>
      <name val="Arial"/>
    </font>
    <font>
      <b/>
      <sz val="11"/>
      <color rgb="FF14532D"/>
      <name val="Arial"/>
    </font>
    <font>
      <b/>
      <sz val="10"/>
      <name val="Arial"/>
    </font>
    <font>
      <b/>
      <sz val="10"/>
      <color rgb="FF14532D"/>
      <name val="Arial"/>
    </font>
  </fonts>
  <fills count="13">
    <fill>
      <patternFill patternType="none"/>
    </fill>
    <fill>
      <patternFill patternType="gray125"/>
    </fill>
    <fill>
      <patternFill patternType="solid">
        <fgColor rgb="FF14351F"/>
        <bgColor rgb="FF333300"/>
      </patternFill>
    </fill>
    <fill>
      <patternFill patternType="solid">
        <fgColor rgb="FF1F4E2E"/>
        <bgColor rgb="FF14351F"/>
      </patternFill>
    </fill>
    <fill>
      <patternFill patternType="solid">
        <fgColor rgb="FFFFF2CC"/>
        <bgColor rgb="FFFCE9C8"/>
      </patternFill>
    </fill>
    <fill>
      <patternFill patternType="solid">
        <fgColor rgb="FFF2F7F3"/>
        <bgColor rgb="FFEAF2EC"/>
      </patternFill>
    </fill>
    <fill>
      <patternFill patternType="solid">
        <fgColor rgb="FFEFEFEF"/>
        <bgColor rgb="FFEAF2EC"/>
      </patternFill>
    </fill>
    <fill>
      <patternFill patternType="solid">
        <fgColor rgb="FFD9E6DD"/>
        <bgColor rgb="FFD9D9D9"/>
      </patternFill>
    </fill>
    <fill>
      <patternFill patternType="solid">
        <fgColor rgb="FFFCE9C8"/>
        <bgColor rgb="FFFFF2CC"/>
      </patternFill>
    </fill>
    <fill>
      <patternFill patternType="solid">
        <fgColor rgb="FFEAF2EC"/>
        <bgColor rgb="FFEFEFEF"/>
      </patternFill>
    </fill>
    <fill>
      <patternFill patternType="solid">
        <fgColor rgb="FF14532D"/>
      </patternFill>
    </fill>
    <fill>
      <patternFill patternType="solid">
        <fgColor rgb="FFDCEFE2"/>
      </patternFill>
    </fill>
    <fill>
      <patternFill patternType="solid">
        <fgColor rgb="FFF4EAD0"/>
      </patternFill>
    </fill>
  </fills>
  <borders count="5">
    <border>
      <left/>
      <right/>
      <top/>
      <bottom/>
      <diagonal/>
    </border>
    <border>
      <left style="thin">
        <color rgb="FFC9D6CC"/>
      </left>
      <right style="thin">
        <color rgb="FFC9D6CC"/>
      </right>
      <top style="thin">
        <color rgb="FFC9D6CC"/>
      </top>
      <bottom style="thin">
        <color rgb="FFC9D6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9D6CC"/>
      </left>
      <right style="thin">
        <color rgb="FFC9D6CC"/>
      </right>
      <top/>
      <bottom/>
      <diagonal/>
    </border>
    <border>
      <left style="thin">
        <color rgb="FFBBD3C2"/>
      </left>
      <right style="thin">
        <color rgb="FFBBD3C2"/>
      </right>
      <top style="thin">
        <color rgb="FFBBD3C2"/>
      </top>
      <bottom style="thin">
        <color rgb="FFBBD3C2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168" fontId="9" fillId="4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4" fontId="9" fillId="4" borderId="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9" fontId="9" fillId="4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8" fontId="13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165" fontId="13" fillId="4" borderId="2" xfId="0" applyNumberFormat="1" applyFont="1" applyFill="1" applyBorder="1" applyAlignment="1">
      <alignment horizontal="center" vertical="center"/>
    </xf>
    <xf numFmtId="3" fontId="13" fillId="4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8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165" fontId="3" fillId="4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166" fontId="3" fillId="5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8" fontId="11" fillId="0" borderId="2" xfId="0" applyNumberFormat="1" applyFont="1" applyBorder="1" applyAlignment="1">
      <alignment horizontal="center" vertical="center"/>
    </xf>
    <xf numFmtId="169" fontId="13" fillId="4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9" fontId="5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3" fillId="5" borderId="2" xfId="0" applyFont="1" applyFill="1" applyBorder="1" applyAlignment="1">
      <alignment horizontal="center" vertical="center"/>
    </xf>
    <xf numFmtId="165" fontId="11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14" fontId="13" fillId="4" borderId="2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right" vertical="center"/>
    </xf>
    <xf numFmtId="0" fontId="12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right" vertical="center"/>
    </xf>
    <xf numFmtId="3" fontId="15" fillId="7" borderId="2" xfId="0" applyNumberFormat="1" applyFont="1" applyFill="1" applyBorder="1" applyAlignment="1">
      <alignment horizontal="center" vertical="center"/>
    </xf>
    <xf numFmtId="3" fontId="14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right" vertical="center"/>
    </xf>
    <xf numFmtId="164" fontId="16" fillId="8" borderId="2" xfId="0" applyNumberFormat="1" applyFont="1" applyFill="1" applyBorder="1" applyAlignment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8" fontId="17" fillId="5" borderId="2" xfId="0" applyNumberFormat="1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center" vertical="center"/>
    </xf>
    <xf numFmtId="167" fontId="17" fillId="5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167" fontId="3" fillId="0" borderId="2" xfId="0" applyNumberFormat="1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/>
    <xf numFmtId="168" fontId="18" fillId="5" borderId="1" xfId="0" applyNumberFormat="1" applyFont="1" applyFill="1" applyBorder="1"/>
    <xf numFmtId="3" fontId="18" fillId="5" borderId="1" xfId="0" applyNumberFormat="1" applyFont="1" applyFill="1" applyBorder="1"/>
    <xf numFmtId="167" fontId="18" fillId="5" borderId="1" xfId="0" applyNumberFormat="1" applyFont="1" applyFill="1" applyBorder="1"/>
    <xf numFmtId="2" fontId="18" fillId="5" borderId="1" xfId="0" applyNumberFormat="1" applyFont="1" applyFill="1" applyBorder="1"/>
    <xf numFmtId="164" fontId="18" fillId="5" borderId="1" xfId="0" applyNumberFormat="1" applyFont="1" applyFill="1" applyBorder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168" fontId="18" fillId="0" borderId="1" xfId="0" applyNumberFormat="1" applyFont="1" applyBorder="1"/>
    <xf numFmtId="3" fontId="18" fillId="0" borderId="1" xfId="0" applyNumberFormat="1" applyFont="1" applyBorder="1"/>
    <xf numFmtId="167" fontId="18" fillId="0" borderId="1" xfId="0" applyNumberFormat="1" applyFont="1" applyBorder="1"/>
    <xf numFmtId="2" fontId="18" fillId="0" borderId="1" xfId="0" applyNumberFormat="1" applyFont="1" applyBorder="1"/>
    <xf numFmtId="164" fontId="18" fillId="0" borderId="1" xfId="0" applyNumberFormat="1" applyFont="1" applyBorder="1"/>
    <xf numFmtId="168" fontId="18" fillId="5" borderId="1" xfId="0" applyNumberFormat="1" applyFont="1" applyFill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3" fontId="18" fillId="0" borderId="3" xfId="0" applyNumberFormat="1" applyFont="1" applyBorder="1"/>
    <xf numFmtId="3" fontId="18" fillId="5" borderId="3" xfId="0" applyNumberFormat="1" applyFont="1" applyFill="1" applyBorder="1"/>
    <xf numFmtId="14" fontId="18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166" fontId="18" fillId="0" borderId="1" xfId="0" applyNumberFormat="1" applyFont="1" applyBorder="1"/>
    <xf numFmtId="169" fontId="3" fillId="0" borderId="2" xfId="0" applyNumberFormat="1" applyFont="1" applyBorder="1" applyAlignment="1">
      <alignment horizontal="center" vertical="center"/>
    </xf>
    <xf numFmtId="0" fontId="8" fillId="9" borderId="1" xfId="0" applyFont="1" applyFill="1" applyBorder="1"/>
    <xf numFmtId="3" fontId="8" fillId="9" borderId="1" xfId="0" applyNumberFormat="1" applyFont="1" applyFill="1" applyBorder="1"/>
    <xf numFmtId="166" fontId="8" fillId="9" borderId="1" xfId="0" applyNumberFormat="1" applyFont="1" applyFill="1" applyBorder="1"/>
    <xf numFmtId="0" fontId="20" fillId="0" borderId="4" xfId="0" applyFont="1" applyBorder="1" applyAlignment="1">
      <alignment horizontal="left"/>
    </xf>
    <xf numFmtId="0" fontId="21" fillId="0" borderId="4" xfId="0" applyFont="1" applyBorder="1" applyAlignment="1">
      <alignment horizontal="right"/>
    </xf>
    <xf numFmtId="14" fontId="21" fillId="0" borderId="4" xfId="0" applyNumberFormat="1" applyFont="1" applyBorder="1" applyAlignment="1">
      <alignment horizontal="right"/>
    </xf>
    <xf numFmtId="3" fontId="21" fillId="0" borderId="4" xfId="0" applyNumberFormat="1" applyFont="1" applyBorder="1" applyAlignment="1">
      <alignment horizontal="right"/>
    </xf>
    <xf numFmtId="171" fontId="21" fillId="0" borderId="4" xfId="0" applyNumberFormat="1" applyFont="1" applyBorder="1" applyAlignment="1">
      <alignment horizontal="right"/>
    </xf>
    <xf numFmtId="4" fontId="21" fillId="0" borderId="4" xfId="0" applyNumberFormat="1" applyFont="1" applyBorder="1" applyAlignment="1">
      <alignment horizontal="right"/>
    </xf>
    <xf numFmtId="169" fontId="21" fillId="0" borderId="4" xfId="0" applyNumberFormat="1" applyFont="1" applyBorder="1" applyAlignment="1">
      <alignment horizontal="right"/>
    </xf>
    <xf numFmtId="0" fontId="23" fillId="12" borderId="4" xfId="0" applyFont="1" applyFill="1" applyBorder="1" applyAlignment="1">
      <alignment horizontal="left"/>
    </xf>
    <xf numFmtId="171" fontId="24" fillId="12" borderId="4" xfId="0" applyNumberFormat="1" applyFont="1" applyFill="1" applyBorder="1" applyAlignment="1">
      <alignment horizontal="right"/>
    </xf>
    <xf numFmtId="0" fontId="23" fillId="0" borderId="4" xfId="0" applyFont="1" applyBorder="1" applyAlignment="1">
      <alignment horizontal="left"/>
    </xf>
    <xf numFmtId="169" fontId="24" fillId="0" borderId="4" xfId="0" applyNumberFormat="1" applyFont="1" applyBorder="1" applyAlignment="1">
      <alignment horizontal="right"/>
    </xf>
    <xf numFmtId="2" fontId="21" fillId="0" borderId="4" xfId="0" applyNumberFormat="1" applyFont="1" applyBorder="1" applyAlignment="1">
      <alignment horizontal="right"/>
    </xf>
    <xf numFmtId="0" fontId="6" fillId="2" borderId="0" xfId="0" applyFont="1" applyFill="1"/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5" fillId="0" borderId="0" xfId="0" applyFont="1" applyAlignment="1">
      <alignment vertical="top" wrapText="1"/>
    </xf>
    <xf numFmtId="0" fontId="22" fillId="11" borderId="0" xfId="0" applyFont="1" applyFill="1"/>
    <xf numFmtId="0" fontId="19" fillId="10" borderId="0" xfId="0" applyFont="1" applyFill="1" applyAlignment="1">
      <alignment horizontal="left" vertical="center"/>
    </xf>
    <xf numFmtId="0" fontId="12" fillId="0" borderId="0" xfId="0" applyFont="1" applyAlignment="1">
      <alignment vertical="center" wrapText="1"/>
    </xf>
    <xf numFmtId="0" fontId="4" fillId="0" borderId="0" xfId="0" applyFont="1" applyAlignment="1">
      <alignment horizontal="right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9D6CC"/>
      <rgbColor rgb="FF7A7A7A"/>
      <rgbColor rgb="FF9999FF"/>
      <rgbColor rgb="FF993366"/>
      <rgbColor rgb="FFFFF2CC"/>
      <rgbColor rgb="FFEAF2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3"/>
      <rgbColor rgb="FFD9E6DD"/>
      <rgbColor rgb="FFFCE9C8"/>
      <rgbColor rgb="FF99CCFF"/>
      <rgbColor rgb="FFFF99CC"/>
      <rgbColor rgb="FFCC99FF"/>
      <rgbColor rgb="FFEFEFE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351F"/>
      <rgbColor rgb="FF333300"/>
      <rgbColor rgb="FF7A4E00"/>
      <rgbColor rgb="FF993366"/>
      <rgbColor rgb="FF333399"/>
      <rgbColor rgb="FF1F4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46" customWidth="1"/>
    <col min="3" max="3" width="18" customWidth="1"/>
    <col min="4" max="4" width="6" customWidth="1"/>
    <col min="5" max="5" width="46" customWidth="1"/>
    <col min="6" max="6" width="18" customWidth="1"/>
  </cols>
  <sheetData>
    <row r="2" spans="2:6" ht="24" customHeight="1" x14ac:dyDescent="0.3">
      <c r="B2" s="127" t="s">
        <v>411</v>
      </c>
      <c r="C2" s="125"/>
      <c r="D2" s="125"/>
      <c r="E2" s="125"/>
      <c r="F2" s="125"/>
    </row>
    <row r="4" spans="2:6" ht="15" customHeight="1" x14ac:dyDescent="0.3">
      <c r="B4" s="126" t="s">
        <v>412</v>
      </c>
      <c r="C4" s="125"/>
      <c r="E4" s="126" t="s">
        <v>413</v>
      </c>
      <c r="F4" s="125"/>
    </row>
    <row r="5" spans="2:6" ht="15" customHeight="1" x14ac:dyDescent="0.3">
      <c r="B5" s="1" t="s">
        <v>414</v>
      </c>
      <c r="C5" s="2">
        <f>COUNTA(Cadastro_Animais!$B$3:$B$5001)</f>
        <v>385</v>
      </c>
      <c r="E5" s="1" t="s">
        <v>415</v>
      </c>
      <c r="F5" s="3">
        <f>Parâmetros!$C$5</f>
        <v>310</v>
      </c>
    </row>
    <row r="6" spans="2:6" ht="15" customHeight="1" x14ac:dyDescent="0.3">
      <c r="B6" s="1" t="s">
        <v>416</v>
      </c>
      <c r="C6" s="2">
        <f>COUNTIF(Cadastro_Animais!$C$3:$C$5001,"Touro Bonsmara")</f>
        <v>84</v>
      </c>
      <c r="E6" s="1" t="s">
        <v>417</v>
      </c>
      <c r="F6" s="3">
        <f>SUM(Cadastro_Animais!$O$3:$O$5001)</f>
        <v>1471372.2200000011</v>
      </c>
    </row>
    <row r="7" spans="2:6" ht="15" customHeight="1" x14ac:dyDescent="0.3">
      <c r="B7" s="1" t="s">
        <v>418</v>
      </c>
      <c r="C7" s="2">
        <f>COUNTIF(Cadastro_Animais!$C$3:$C$5001,"Touro Nelore")</f>
        <v>29</v>
      </c>
      <c r="E7" s="1" t="s">
        <v>419</v>
      </c>
      <c r="F7" s="4">
        <f>Parâmetros!$C$6</f>
        <v>0.54970799212393273</v>
      </c>
    </row>
    <row r="8" spans="2:6" ht="15" customHeight="1" x14ac:dyDescent="0.3">
      <c r="B8" s="1" t="s">
        <v>420</v>
      </c>
      <c r="C8" s="2">
        <f>COUNTIF(Cadastro_Animais!$C$3:$C$5001,"Bezerro")</f>
        <v>165</v>
      </c>
      <c r="E8" s="1" t="s">
        <v>421</v>
      </c>
      <c r="F8" s="2">
        <f>Calculadora_Trato!$I$14</f>
        <v>3223.9440000000004</v>
      </c>
    </row>
    <row r="9" spans="2:6" ht="15" customHeight="1" x14ac:dyDescent="0.3">
      <c r="B9" s="1" t="s">
        <v>422</v>
      </c>
      <c r="C9" s="2">
        <f>COUNTIF(Cadastro_Animais!$C$3:$C$5001,"Novilha Nelore")</f>
        <v>70</v>
      </c>
      <c r="E9" s="1" t="s">
        <v>423</v>
      </c>
      <c r="F9" s="3">
        <f>Calculadora_Trato!$N$14</f>
        <v>1772.2277829600005</v>
      </c>
    </row>
    <row r="10" spans="2:6" ht="15" customHeight="1" x14ac:dyDescent="0.3">
      <c r="B10" s="1" t="s">
        <v>424</v>
      </c>
      <c r="C10" s="2">
        <f>COUNTIF(Cadastro_Animais!$C$3:$C$5001,"Touro Bonsmara Descarte")</f>
        <v>37</v>
      </c>
      <c r="E10" s="1" t="s">
        <v>425</v>
      </c>
      <c r="F10" s="3">
        <f>IFERROR(Calculadora_Trato!$N$14/COUNTA(Cadastro_Animais!$B$3:$B$5001),"")</f>
        <v>4.6031890466493515</v>
      </c>
    </row>
    <row r="11" spans="2:6" ht="15" customHeight="1" x14ac:dyDescent="0.3">
      <c r="B11" s="1" t="s">
        <v>426</v>
      </c>
      <c r="C11" s="2">
        <f>SUM(Cadastro_Animais!$I$3:$I$5001)</f>
        <v>134331</v>
      </c>
      <c r="E11" s="1" t="s">
        <v>427</v>
      </c>
      <c r="F11" s="5">
        <f>SUM(Cadastro_Animais!$M$3:$M$5001)</f>
        <v>4746.3620000000001</v>
      </c>
    </row>
    <row r="13" spans="2:6" ht="15" customHeight="1" x14ac:dyDescent="0.3">
      <c r="B13" s="126" t="s">
        <v>428</v>
      </c>
      <c r="C13" s="125"/>
      <c r="E13" s="126" t="s">
        <v>429</v>
      </c>
      <c r="F13" s="125"/>
    </row>
    <row r="14" spans="2:6" ht="15" customHeight="1" x14ac:dyDescent="0.3">
      <c r="B14" s="1" t="s">
        <v>430</v>
      </c>
      <c r="C14" s="6">
        <f>IFERROR(AVERAGE(Cadastro_Animais!$L$3:$L$5001),"")</f>
        <v>2.3696280303497628</v>
      </c>
      <c r="E14" s="1" t="s">
        <v>431</v>
      </c>
      <c r="F14" s="3">
        <f>Custo_Nutricao_Lote!$I$12</f>
        <v>64360.098866880013</v>
      </c>
    </row>
    <row r="15" spans="2:6" ht="15" customHeight="1" x14ac:dyDescent="0.3">
      <c r="B15" s="1" t="s">
        <v>432</v>
      </c>
      <c r="C15" s="2">
        <f>SUM(Cadastro_Animais!$K$3:$K$5001)</f>
        <v>5995</v>
      </c>
      <c r="E15" s="1" t="s">
        <v>433</v>
      </c>
      <c r="F15" s="3">
        <f>Custo_Nutricao_Lote!$J$12</f>
        <v>101991.99500000001</v>
      </c>
    </row>
    <row r="16" spans="2:6" ht="15" customHeight="1" x14ac:dyDescent="0.3">
      <c r="B16" s="1" t="s">
        <v>434</v>
      </c>
      <c r="C16" s="5">
        <f>SUM(Cadastro_Animais!$N$3:$N$5001)</f>
        <v>211.82333333333344</v>
      </c>
      <c r="E16" s="1" t="s">
        <v>435</v>
      </c>
      <c r="F16" s="3">
        <f>IF(Custo_Nutricao_Lote!$L$12&lt;=0,"",Custo_Nutricao_Lote!$I$12/Custo_Nutricao_Lote!$L$12)</f>
        <v>303.83857082260374</v>
      </c>
    </row>
    <row r="17" spans="2:6" ht="15" customHeight="1" x14ac:dyDescent="0.3">
      <c r="B17" s="1" t="s">
        <v>436</v>
      </c>
      <c r="C17" s="7">
        <f>Parâmetros!$C$10</f>
        <v>1.4</v>
      </c>
      <c r="E17" s="128" t="s">
        <v>437</v>
      </c>
      <c r="F17" s="125"/>
    </row>
    <row r="18" spans="2:6" ht="15" customHeight="1" x14ac:dyDescent="0.3">
      <c r="E18" s="125"/>
      <c r="F18" s="125"/>
    </row>
  </sheetData>
  <mergeCells count="6">
    <mergeCell ref="E17:F18"/>
    <mergeCell ref="B13:C13"/>
    <mergeCell ref="E4:F4"/>
    <mergeCell ref="B2:F2"/>
    <mergeCell ref="B4:C4"/>
    <mergeCell ref="E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3"/>
  <sheetViews>
    <sheetView showGridLines="0" tabSelected="1" topLeftCell="A6" workbookViewId="0">
      <selection activeCell="C18" sqref="C18"/>
    </sheetView>
  </sheetViews>
  <sheetFormatPr defaultRowHeight="14.4" x14ac:dyDescent="0.3"/>
  <cols>
    <col min="1" max="1" width="3" customWidth="1"/>
    <col min="2" max="2" width="65.88671875" customWidth="1"/>
    <col min="3" max="3" width="34.6640625" customWidth="1"/>
    <col min="4" max="4" width="6.21875" customWidth="1"/>
    <col min="5" max="5" width="20" customWidth="1"/>
  </cols>
  <sheetData>
    <row r="2" spans="2:5" ht="24" customHeight="1" x14ac:dyDescent="0.3">
      <c r="B2" s="130" t="s">
        <v>438</v>
      </c>
      <c r="C2" s="125"/>
      <c r="D2" s="125"/>
      <c r="E2" s="125"/>
    </row>
    <row r="3" spans="2:5" x14ac:dyDescent="0.3">
      <c r="B3" s="112" t="s">
        <v>439</v>
      </c>
      <c r="C3" s="113" t="s">
        <v>440</v>
      </c>
    </row>
    <row r="4" spans="2:5" x14ac:dyDescent="0.3">
      <c r="B4" s="112" t="s">
        <v>441</v>
      </c>
      <c r="C4" s="113" t="s">
        <v>442</v>
      </c>
    </row>
    <row r="5" spans="2:5" x14ac:dyDescent="0.3">
      <c r="B5" s="112" t="s">
        <v>443</v>
      </c>
      <c r="C5" s="114">
        <v>46247</v>
      </c>
    </row>
    <row r="6" spans="2:5" x14ac:dyDescent="0.3">
      <c r="B6" s="112" t="s">
        <v>444</v>
      </c>
      <c r="C6" s="114">
        <v>46246</v>
      </c>
    </row>
    <row r="8" spans="2:5" ht="19.95" customHeight="1" x14ac:dyDescent="0.3">
      <c r="B8" s="129" t="s">
        <v>445</v>
      </c>
      <c r="C8" s="125"/>
      <c r="D8" s="125"/>
      <c r="E8" s="125"/>
    </row>
    <row r="9" spans="2:5" x14ac:dyDescent="0.3">
      <c r="B9" s="112" t="s">
        <v>446</v>
      </c>
      <c r="C9" s="115">
        <v>29</v>
      </c>
    </row>
    <row r="10" spans="2:5" x14ac:dyDescent="0.3">
      <c r="B10" s="112" t="s">
        <v>415</v>
      </c>
      <c r="C10" s="116">
        <v>330</v>
      </c>
    </row>
    <row r="11" spans="2:5" x14ac:dyDescent="0.3">
      <c r="B11" s="112" t="s">
        <v>447</v>
      </c>
      <c r="C11" s="115">
        <v>8819.5</v>
      </c>
    </row>
    <row r="12" spans="2:5" x14ac:dyDescent="0.3">
      <c r="B12" s="112" t="s">
        <v>448</v>
      </c>
      <c r="C12" s="117">
        <v>587.97</v>
      </c>
    </row>
    <row r="13" spans="2:5" x14ac:dyDescent="0.3">
      <c r="B13" s="112" t="s">
        <v>449</v>
      </c>
      <c r="C13" s="115">
        <v>304.12</v>
      </c>
    </row>
    <row r="14" spans="2:5" x14ac:dyDescent="0.3">
      <c r="B14" s="112" t="s">
        <v>450</v>
      </c>
      <c r="C14" s="118">
        <v>0.54430000000000001</v>
      </c>
    </row>
    <row r="15" spans="2:5" x14ac:dyDescent="0.3">
      <c r="B15" s="112" t="s">
        <v>451</v>
      </c>
      <c r="C15" s="116">
        <v>194029</v>
      </c>
    </row>
    <row r="16" spans="2:5" x14ac:dyDescent="0.3">
      <c r="B16" s="112" t="s">
        <v>452</v>
      </c>
      <c r="C16" s="116">
        <v>388.06</v>
      </c>
    </row>
    <row r="17" spans="2:5" x14ac:dyDescent="0.3">
      <c r="B17" s="119" t="s">
        <v>453</v>
      </c>
      <c r="C17" s="120">
        <v>193640.94</v>
      </c>
    </row>
    <row r="18" spans="2:5" x14ac:dyDescent="0.3">
      <c r="B18" s="119" t="s">
        <v>454</v>
      </c>
      <c r="C18" s="120">
        <v>6677.27</v>
      </c>
    </row>
    <row r="19" spans="2:5" x14ac:dyDescent="0.3">
      <c r="B19" s="112" t="s">
        <v>455</v>
      </c>
      <c r="C19" s="113" t="s">
        <v>456</v>
      </c>
    </row>
    <row r="20" spans="2:5" x14ac:dyDescent="0.3">
      <c r="B20" s="112" t="s">
        <v>457</v>
      </c>
      <c r="C20" s="113" t="s">
        <v>458</v>
      </c>
    </row>
    <row r="22" spans="2:5" ht="19.95" customHeight="1" x14ac:dyDescent="0.3">
      <c r="B22" s="129" t="s">
        <v>459</v>
      </c>
      <c r="C22" s="125"/>
      <c r="D22" s="125"/>
      <c r="E22" s="125"/>
    </row>
    <row r="23" spans="2:5" x14ac:dyDescent="0.3">
      <c r="B23" s="112" t="s">
        <v>460</v>
      </c>
      <c r="C23" s="116">
        <v>139107.32999999999</v>
      </c>
    </row>
    <row r="24" spans="2:5" x14ac:dyDescent="0.3">
      <c r="B24" s="112" t="s">
        <v>461</v>
      </c>
      <c r="C24" s="116">
        <v>20138.400000000001</v>
      </c>
    </row>
    <row r="25" spans="2:5" x14ac:dyDescent="0.3">
      <c r="B25" s="112" t="s">
        <v>462</v>
      </c>
      <c r="C25" s="116">
        <v>3042.5</v>
      </c>
    </row>
    <row r="26" spans="2:5" x14ac:dyDescent="0.3">
      <c r="B26" s="119" t="s">
        <v>463</v>
      </c>
      <c r="C26" s="120">
        <v>162288.24</v>
      </c>
    </row>
    <row r="27" spans="2:5" x14ac:dyDescent="0.3">
      <c r="B27" s="112" t="s">
        <v>464</v>
      </c>
      <c r="C27" s="116">
        <v>5596.15</v>
      </c>
    </row>
    <row r="29" spans="2:5" ht="19.95" customHeight="1" x14ac:dyDescent="0.3">
      <c r="B29" s="129" t="s">
        <v>465</v>
      </c>
      <c r="C29" s="125"/>
      <c r="D29" s="125"/>
      <c r="E29" s="125"/>
    </row>
    <row r="30" spans="2:5" x14ac:dyDescent="0.3">
      <c r="B30" s="112" t="s">
        <v>466</v>
      </c>
      <c r="C30" s="116">
        <v>193640.94</v>
      </c>
    </row>
    <row r="31" spans="2:5" x14ac:dyDescent="0.3">
      <c r="B31" s="112" t="s">
        <v>467</v>
      </c>
      <c r="C31" s="116">
        <v>162288.24</v>
      </c>
    </row>
    <row r="32" spans="2:5" x14ac:dyDescent="0.3">
      <c r="B32" s="119" t="s">
        <v>468</v>
      </c>
      <c r="C32" s="120">
        <v>31352.7</v>
      </c>
    </row>
    <row r="33" spans="2:5" x14ac:dyDescent="0.3">
      <c r="B33" s="119" t="s">
        <v>469</v>
      </c>
      <c r="C33" s="120">
        <v>1081.1300000000001</v>
      </c>
    </row>
    <row r="34" spans="2:5" x14ac:dyDescent="0.3">
      <c r="B34" s="121" t="s">
        <v>470</v>
      </c>
      <c r="C34" s="122">
        <v>0.16200000000000001</v>
      </c>
    </row>
    <row r="35" spans="2:5" x14ac:dyDescent="0.3">
      <c r="B35" s="121" t="s">
        <v>471</v>
      </c>
      <c r="C35" s="122">
        <v>0.193</v>
      </c>
    </row>
    <row r="36" spans="2:5" x14ac:dyDescent="0.3">
      <c r="B36" s="112" t="s">
        <v>472</v>
      </c>
      <c r="C36" s="116">
        <v>166.49</v>
      </c>
    </row>
    <row r="38" spans="2:5" ht="19.95" customHeight="1" x14ac:dyDescent="0.3">
      <c r="B38" s="129" t="s">
        <v>473</v>
      </c>
      <c r="C38" s="125"/>
      <c r="D38" s="125"/>
      <c r="E38" s="125"/>
    </row>
    <row r="39" spans="2:5" x14ac:dyDescent="0.3">
      <c r="B39" s="112" t="s">
        <v>474</v>
      </c>
      <c r="C39" s="115">
        <v>464.2</v>
      </c>
    </row>
    <row r="40" spans="2:5" x14ac:dyDescent="0.3">
      <c r="B40" s="112" t="s">
        <v>475</v>
      </c>
      <c r="C40" s="115">
        <v>558.70000000000005</v>
      </c>
    </row>
    <row r="41" spans="2:5" x14ac:dyDescent="0.3">
      <c r="B41" s="112" t="s">
        <v>476</v>
      </c>
      <c r="C41" s="115">
        <v>2741</v>
      </c>
    </row>
    <row r="42" spans="2:5" x14ac:dyDescent="0.3">
      <c r="B42" s="112" t="s">
        <v>477</v>
      </c>
      <c r="C42" s="123">
        <v>2.2599999999999998</v>
      </c>
    </row>
    <row r="43" spans="2:5" x14ac:dyDescent="0.3">
      <c r="B43" s="112" t="s">
        <v>478</v>
      </c>
      <c r="C43" s="115">
        <v>43</v>
      </c>
    </row>
  </sheetData>
  <mergeCells count="5">
    <mergeCell ref="B8:E8"/>
    <mergeCell ref="B38:E38"/>
    <mergeCell ref="B29:E29"/>
    <mergeCell ref="B2:E2"/>
    <mergeCell ref="B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1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42" customWidth="1"/>
    <col min="3" max="3" width="16" customWidth="1"/>
    <col min="4" max="4" width="60" customWidth="1"/>
  </cols>
  <sheetData>
    <row r="2" spans="2:4" ht="25.5" customHeight="1" x14ac:dyDescent="0.3">
      <c r="B2" s="124" t="s">
        <v>479</v>
      </c>
      <c r="C2" s="125"/>
      <c r="D2" s="125"/>
    </row>
    <row r="3" spans="2:4" ht="14.25" customHeight="1" x14ac:dyDescent="0.3">
      <c r="B3" s="8" t="s">
        <v>480</v>
      </c>
      <c r="C3" s="8" t="s">
        <v>481</v>
      </c>
      <c r="D3" s="8" t="s">
        <v>482</v>
      </c>
    </row>
    <row r="4" spans="2:4" ht="14.25" customHeight="1" x14ac:dyDescent="0.3">
      <c r="B4" s="9" t="s">
        <v>483</v>
      </c>
      <c r="C4" s="10">
        <v>46246</v>
      </c>
      <c r="D4" s="11" t="s">
        <v>484</v>
      </c>
    </row>
    <row r="5" spans="2:4" ht="14.25" customHeight="1" x14ac:dyDescent="0.3">
      <c r="B5" s="9" t="s">
        <v>415</v>
      </c>
      <c r="C5" s="12">
        <v>310</v>
      </c>
      <c r="D5" s="11" t="s">
        <v>485</v>
      </c>
    </row>
    <row r="6" spans="2:4" ht="21.75" customHeight="1" x14ac:dyDescent="0.3">
      <c r="B6" s="9" t="s">
        <v>486</v>
      </c>
      <c r="C6" s="13">
        <f>IFERROR(Calculadora_Trato!$N$14/Calculadora_Trato!$I$14,"")</f>
        <v>0.54970799212393273</v>
      </c>
      <c r="D6" s="11" t="s">
        <v>487</v>
      </c>
    </row>
    <row r="7" spans="2:4" ht="22.5" customHeight="1" x14ac:dyDescent="0.3">
      <c r="B7" s="9" t="s">
        <v>488</v>
      </c>
      <c r="C7" s="14">
        <v>0.55000000000000004</v>
      </c>
      <c r="D7" s="11" t="s">
        <v>489</v>
      </c>
    </row>
    <row r="8" spans="2:4" ht="14.25" customHeight="1" x14ac:dyDescent="0.3">
      <c r="B8" s="9" t="s">
        <v>490</v>
      </c>
      <c r="C8" s="14">
        <v>0.53</v>
      </c>
      <c r="D8" s="11" t="s">
        <v>491</v>
      </c>
    </row>
    <row r="9" spans="2:4" ht="22.5" customHeight="1" x14ac:dyDescent="0.3">
      <c r="B9" s="9" t="s">
        <v>492</v>
      </c>
      <c r="C9" s="12">
        <v>2.5</v>
      </c>
      <c r="D9" s="11" t="s">
        <v>493</v>
      </c>
    </row>
    <row r="10" spans="2:4" ht="14.25" customHeight="1" x14ac:dyDescent="0.3">
      <c r="B10" s="9" t="s">
        <v>436</v>
      </c>
      <c r="C10" s="12">
        <v>1.4</v>
      </c>
      <c r="D10" s="11" t="s">
        <v>494</v>
      </c>
    </row>
    <row r="11" spans="2:4" ht="14.25" customHeight="1" x14ac:dyDescent="0.3">
      <c r="B11" s="9" t="s">
        <v>495</v>
      </c>
      <c r="C11" s="12">
        <v>500</v>
      </c>
      <c r="D11" s="11" t="s">
        <v>496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26" customWidth="1"/>
    <col min="3" max="3" width="15" customWidth="1"/>
    <col min="4" max="5" width="16" customWidth="1"/>
    <col min="6" max="6" width="20" customWidth="1"/>
    <col min="7" max="7" width="26" customWidth="1"/>
  </cols>
  <sheetData>
    <row r="1" spans="1:7" ht="24" customHeight="1" x14ac:dyDescent="0.3">
      <c r="A1" s="127" t="s">
        <v>497</v>
      </c>
      <c r="B1" s="125"/>
      <c r="C1" s="125"/>
      <c r="D1" s="125"/>
      <c r="E1" s="125"/>
      <c r="F1" s="125"/>
      <c r="G1" s="125"/>
    </row>
    <row r="2" spans="1:7" ht="36" customHeight="1" x14ac:dyDescent="0.3">
      <c r="A2" s="131" t="s">
        <v>498</v>
      </c>
      <c r="B2" s="125"/>
      <c r="C2" s="125"/>
      <c r="D2" s="125"/>
      <c r="E2" s="125"/>
      <c r="F2" s="125"/>
      <c r="G2" s="125"/>
    </row>
    <row r="3" spans="1:7" ht="31.5" customHeight="1" x14ac:dyDescent="0.3">
      <c r="A3" s="15" t="s">
        <v>1</v>
      </c>
      <c r="B3" s="15" t="s">
        <v>499</v>
      </c>
      <c r="C3" s="15" t="s">
        <v>500</v>
      </c>
      <c r="D3" s="15" t="s">
        <v>501</v>
      </c>
      <c r="E3" s="15" t="s">
        <v>502</v>
      </c>
      <c r="F3" s="15" t="s">
        <v>503</v>
      </c>
      <c r="G3" s="15" t="s">
        <v>504</v>
      </c>
    </row>
    <row r="4" spans="1:7" ht="15" customHeight="1" x14ac:dyDescent="0.3">
      <c r="A4" s="16">
        <v>46202</v>
      </c>
      <c r="B4" s="17" t="s">
        <v>505</v>
      </c>
      <c r="C4" s="18">
        <v>0.1</v>
      </c>
      <c r="D4" s="19"/>
      <c r="E4" s="20" t="str">
        <f t="shared" ref="E4:E35" si="0">IF(D4="","",C4*D4)</f>
        <v/>
      </c>
      <c r="F4" s="21"/>
      <c r="G4" s="21"/>
    </row>
    <row r="5" spans="1:7" ht="15" customHeight="1" x14ac:dyDescent="0.3">
      <c r="A5" s="16">
        <v>46202</v>
      </c>
      <c r="B5" s="17" t="s">
        <v>506</v>
      </c>
      <c r="C5" s="18">
        <v>1.1000000000000001</v>
      </c>
      <c r="D5" s="19"/>
      <c r="E5" s="20" t="str">
        <f t="shared" si="0"/>
        <v/>
      </c>
      <c r="F5" s="21"/>
      <c r="G5" s="21"/>
    </row>
    <row r="6" spans="1:7" ht="15" customHeight="1" x14ac:dyDescent="0.3">
      <c r="A6" s="16">
        <v>46202</v>
      </c>
      <c r="B6" s="17" t="s">
        <v>507</v>
      </c>
      <c r="C6" s="18">
        <v>1.1299999999999999</v>
      </c>
      <c r="D6" s="19"/>
      <c r="E6" s="20" t="str">
        <f t="shared" si="0"/>
        <v/>
      </c>
      <c r="F6" s="21"/>
      <c r="G6" s="21"/>
    </row>
    <row r="7" spans="1:7" ht="15" customHeight="1" x14ac:dyDescent="0.3">
      <c r="A7" s="16">
        <v>46202</v>
      </c>
      <c r="B7" s="17" t="s">
        <v>508</v>
      </c>
      <c r="C7" s="18">
        <v>3.8</v>
      </c>
      <c r="D7" s="19"/>
      <c r="E7" s="20" t="str">
        <f t="shared" si="0"/>
        <v/>
      </c>
      <c r="F7" s="21"/>
      <c r="G7" s="21"/>
    </row>
    <row r="8" spans="1:7" ht="15" customHeight="1" x14ac:dyDescent="0.3">
      <c r="A8" s="16">
        <v>46202</v>
      </c>
      <c r="B8" s="17" t="s">
        <v>509</v>
      </c>
      <c r="C8" s="18">
        <v>3.8</v>
      </c>
      <c r="D8" s="19"/>
      <c r="E8" s="20" t="str">
        <f t="shared" si="0"/>
        <v/>
      </c>
      <c r="F8" s="21"/>
      <c r="G8" s="21"/>
    </row>
    <row r="9" spans="1:7" ht="15" customHeight="1" x14ac:dyDescent="0.3">
      <c r="A9" s="22"/>
      <c r="B9" s="23"/>
      <c r="C9" s="24"/>
      <c r="D9" s="25"/>
      <c r="E9" s="20" t="str">
        <f t="shared" si="0"/>
        <v/>
      </c>
      <c r="F9" s="21"/>
      <c r="G9" s="21"/>
    </row>
    <row r="10" spans="1:7" ht="15" customHeight="1" x14ac:dyDescent="0.3">
      <c r="A10" s="22"/>
      <c r="B10" s="23"/>
      <c r="C10" s="24"/>
      <c r="D10" s="25"/>
      <c r="E10" s="20" t="str">
        <f t="shared" si="0"/>
        <v/>
      </c>
      <c r="F10" s="21"/>
      <c r="G10" s="21"/>
    </row>
    <row r="11" spans="1:7" ht="15" customHeight="1" x14ac:dyDescent="0.3">
      <c r="A11" s="22"/>
      <c r="B11" s="23"/>
      <c r="C11" s="24"/>
      <c r="D11" s="25"/>
      <c r="E11" s="20" t="str">
        <f t="shared" si="0"/>
        <v/>
      </c>
      <c r="F11" s="21"/>
      <c r="G11" s="21"/>
    </row>
    <row r="12" spans="1:7" ht="15" customHeight="1" x14ac:dyDescent="0.3">
      <c r="A12" s="22"/>
      <c r="B12" s="23"/>
      <c r="C12" s="24"/>
      <c r="D12" s="25"/>
      <c r="E12" s="20" t="str">
        <f t="shared" si="0"/>
        <v/>
      </c>
      <c r="F12" s="21"/>
      <c r="G12" s="21"/>
    </row>
    <row r="13" spans="1:7" ht="15" customHeight="1" x14ac:dyDescent="0.3">
      <c r="A13" s="22"/>
      <c r="B13" s="23"/>
      <c r="C13" s="24"/>
      <c r="D13" s="25"/>
      <c r="E13" s="20" t="str">
        <f t="shared" si="0"/>
        <v/>
      </c>
      <c r="F13" s="21"/>
      <c r="G13" s="21"/>
    </row>
    <row r="14" spans="1:7" ht="15" customHeight="1" x14ac:dyDescent="0.3">
      <c r="A14" s="22"/>
      <c r="B14" s="23"/>
      <c r="C14" s="24"/>
      <c r="D14" s="25"/>
      <c r="E14" s="20" t="str">
        <f t="shared" si="0"/>
        <v/>
      </c>
      <c r="F14" s="21"/>
      <c r="G14" s="21"/>
    </row>
    <row r="15" spans="1:7" ht="15" customHeight="1" x14ac:dyDescent="0.3">
      <c r="A15" s="22"/>
      <c r="B15" s="23"/>
      <c r="C15" s="24"/>
      <c r="D15" s="25"/>
      <c r="E15" s="20" t="str">
        <f t="shared" si="0"/>
        <v/>
      </c>
      <c r="F15" s="21"/>
      <c r="G15" s="21"/>
    </row>
    <row r="16" spans="1:7" ht="15" customHeight="1" x14ac:dyDescent="0.3">
      <c r="A16" s="22"/>
      <c r="B16" s="23"/>
      <c r="C16" s="24"/>
      <c r="D16" s="25"/>
      <c r="E16" s="20" t="str">
        <f t="shared" si="0"/>
        <v/>
      </c>
      <c r="F16" s="21"/>
      <c r="G16" s="21"/>
    </row>
    <row r="17" spans="1:7" ht="15" customHeight="1" x14ac:dyDescent="0.3">
      <c r="A17" s="22"/>
      <c r="B17" s="23"/>
      <c r="C17" s="24"/>
      <c r="D17" s="25"/>
      <c r="E17" s="20" t="str">
        <f t="shared" si="0"/>
        <v/>
      </c>
      <c r="F17" s="21"/>
      <c r="G17" s="21"/>
    </row>
    <row r="18" spans="1:7" ht="15" customHeight="1" x14ac:dyDescent="0.3">
      <c r="A18" s="22"/>
      <c r="B18" s="23"/>
      <c r="C18" s="24"/>
      <c r="D18" s="25"/>
      <c r="E18" s="20" t="str">
        <f t="shared" si="0"/>
        <v/>
      </c>
      <c r="F18" s="21"/>
      <c r="G18" s="21"/>
    </row>
    <row r="19" spans="1:7" ht="15" customHeight="1" x14ac:dyDescent="0.3">
      <c r="A19" s="22"/>
      <c r="B19" s="23"/>
      <c r="C19" s="24"/>
      <c r="D19" s="25"/>
      <c r="E19" s="20" t="str">
        <f t="shared" si="0"/>
        <v/>
      </c>
      <c r="F19" s="21"/>
      <c r="G19" s="21"/>
    </row>
    <row r="20" spans="1:7" ht="15" customHeight="1" x14ac:dyDescent="0.3">
      <c r="A20" s="22"/>
      <c r="B20" s="23"/>
      <c r="C20" s="24"/>
      <c r="D20" s="25"/>
      <c r="E20" s="20" t="str">
        <f t="shared" si="0"/>
        <v/>
      </c>
      <c r="F20" s="21"/>
      <c r="G20" s="21"/>
    </row>
    <row r="21" spans="1:7" ht="15" customHeight="1" x14ac:dyDescent="0.3">
      <c r="A21" s="22"/>
      <c r="B21" s="23"/>
      <c r="C21" s="24"/>
      <c r="D21" s="25"/>
      <c r="E21" s="20" t="str">
        <f t="shared" si="0"/>
        <v/>
      </c>
      <c r="F21" s="21"/>
      <c r="G21" s="21"/>
    </row>
    <row r="22" spans="1:7" ht="15" customHeight="1" x14ac:dyDescent="0.3">
      <c r="A22" s="22"/>
      <c r="B22" s="23"/>
      <c r="C22" s="24"/>
      <c r="D22" s="25"/>
      <c r="E22" s="20" t="str">
        <f t="shared" si="0"/>
        <v/>
      </c>
      <c r="F22" s="21"/>
      <c r="G22" s="21"/>
    </row>
    <row r="23" spans="1:7" ht="15" customHeight="1" x14ac:dyDescent="0.3">
      <c r="A23" s="22"/>
      <c r="B23" s="23"/>
      <c r="C23" s="24"/>
      <c r="D23" s="25"/>
      <c r="E23" s="20" t="str">
        <f t="shared" si="0"/>
        <v/>
      </c>
      <c r="F23" s="21"/>
      <c r="G23" s="21"/>
    </row>
    <row r="24" spans="1:7" ht="15" customHeight="1" x14ac:dyDescent="0.3">
      <c r="A24" s="22"/>
      <c r="B24" s="23"/>
      <c r="C24" s="24"/>
      <c r="D24" s="25"/>
      <c r="E24" s="20" t="str">
        <f t="shared" si="0"/>
        <v/>
      </c>
      <c r="F24" s="21"/>
      <c r="G24" s="21"/>
    </row>
    <row r="25" spans="1:7" ht="15" customHeight="1" x14ac:dyDescent="0.3">
      <c r="A25" s="22"/>
      <c r="B25" s="23"/>
      <c r="C25" s="24"/>
      <c r="D25" s="25"/>
      <c r="E25" s="20" t="str">
        <f t="shared" si="0"/>
        <v/>
      </c>
      <c r="F25" s="21"/>
      <c r="G25" s="21"/>
    </row>
    <row r="26" spans="1:7" ht="15" customHeight="1" x14ac:dyDescent="0.3">
      <c r="A26" s="22"/>
      <c r="B26" s="23"/>
      <c r="C26" s="24"/>
      <c r="D26" s="25"/>
      <c r="E26" s="20" t="str">
        <f t="shared" si="0"/>
        <v/>
      </c>
      <c r="F26" s="21"/>
      <c r="G26" s="21"/>
    </row>
    <row r="27" spans="1:7" ht="15" customHeight="1" x14ac:dyDescent="0.3">
      <c r="A27" s="22"/>
      <c r="B27" s="23"/>
      <c r="C27" s="24"/>
      <c r="D27" s="25"/>
      <c r="E27" s="20" t="str">
        <f t="shared" si="0"/>
        <v/>
      </c>
      <c r="F27" s="21"/>
      <c r="G27" s="21"/>
    </row>
    <row r="28" spans="1:7" ht="15" customHeight="1" x14ac:dyDescent="0.3">
      <c r="A28" s="22"/>
      <c r="B28" s="23"/>
      <c r="C28" s="24"/>
      <c r="D28" s="25"/>
      <c r="E28" s="20" t="str">
        <f t="shared" si="0"/>
        <v/>
      </c>
      <c r="F28" s="21"/>
      <c r="G28" s="21"/>
    </row>
    <row r="29" spans="1:7" ht="15" customHeight="1" x14ac:dyDescent="0.3">
      <c r="A29" s="22"/>
      <c r="B29" s="23"/>
      <c r="C29" s="24"/>
      <c r="D29" s="25"/>
      <c r="E29" s="20" t="str">
        <f t="shared" si="0"/>
        <v/>
      </c>
      <c r="F29" s="21"/>
      <c r="G29" s="21"/>
    </row>
    <row r="30" spans="1:7" ht="15" customHeight="1" x14ac:dyDescent="0.3">
      <c r="A30" s="22"/>
      <c r="B30" s="23"/>
      <c r="C30" s="24"/>
      <c r="D30" s="25"/>
      <c r="E30" s="20" t="str">
        <f t="shared" si="0"/>
        <v/>
      </c>
      <c r="F30" s="21"/>
      <c r="G30" s="21"/>
    </row>
    <row r="31" spans="1:7" ht="15" customHeight="1" x14ac:dyDescent="0.3">
      <c r="A31" s="22"/>
      <c r="B31" s="23"/>
      <c r="C31" s="24"/>
      <c r="D31" s="25"/>
      <c r="E31" s="20" t="str">
        <f t="shared" si="0"/>
        <v/>
      </c>
      <c r="F31" s="21"/>
      <c r="G31" s="21"/>
    </row>
    <row r="32" spans="1:7" ht="15" customHeight="1" x14ac:dyDescent="0.3">
      <c r="A32" s="22"/>
      <c r="B32" s="23"/>
      <c r="C32" s="24"/>
      <c r="D32" s="25"/>
      <c r="E32" s="20" t="str">
        <f t="shared" si="0"/>
        <v/>
      </c>
      <c r="F32" s="21"/>
      <c r="G32" s="21"/>
    </row>
    <row r="33" spans="1:7" ht="15" customHeight="1" x14ac:dyDescent="0.3">
      <c r="A33" s="22"/>
      <c r="B33" s="23"/>
      <c r="C33" s="24"/>
      <c r="D33" s="25"/>
      <c r="E33" s="20" t="str">
        <f t="shared" si="0"/>
        <v/>
      </c>
      <c r="F33" s="21"/>
      <c r="G33" s="21"/>
    </row>
    <row r="34" spans="1:7" ht="15" customHeight="1" x14ac:dyDescent="0.3">
      <c r="A34" s="22"/>
      <c r="B34" s="23"/>
      <c r="C34" s="24"/>
      <c r="D34" s="25"/>
      <c r="E34" s="20" t="str">
        <f t="shared" si="0"/>
        <v/>
      </c>
      <c r="F34" s="21"/>
      <c r="G34" s="21"/>
    </row>
    <row r="35" spans="1:7" ht="15" customHeight="1" x14ac:dyDescent="0.3">
      <c r="A35" s="22"/>
      <c r="B35" s="23"/>
      <c r="C35" s="24"/>
      <c r="D35" s="25"/>
      <c r="E35" s="20" t="str">
        <f t="shared" si="0"/>
        <v/>
      </c>
      <c r="F35" s="21"/>
      <c r="G35" s="21"/>
    </row>
    <row r="36" spans="1:7" ht="15" customHeight="1" x14ac:dyDescent="0.3">
      <c r="A36" s="22"/>
      <c r="B36" s="23"/>
      <c r="C36" s="24"/>
      <c r="D36" s="25"/>
      <c r="E36" s="20" t="str">
        <f t="shared" ref="E36:E67" si="1">IF(D36="","",C36*D36)</f>
        <v/>
      </c>
      <c r="F36" s="21"/>
      <c r="G36" s="21"/>
    </row>
    <row r="37" spans="1:7" ht="15" customHeight="1" x14ac:dyDescent="0.3">
      <c r="A37" s="22"/>
      <c r="B37" s="23"/>
      <c r="C37" s="24"/>
      <c r="D37" s="25"/>
      <c r="E37" s="20" t="str">
        <f t="shared" si="1"/>
        <v/>
      </c>
      <c r="F37" s="21"/>
      <c r="G37" s="21"/>
    </row>
    <row r="38" spans="1:7" ht="15" customHeight="1" x14ac:dyDescent="0.3">
      <c r="A38" s="22"/>
      <c r="B38" s="23"/>
      <c r="C38" s="24"/>
      <c r="D38" s="25"/>
      <c r="E38" s="20" t="str">
        <f t="shared" si="1"/>
        <v/>
      </c>
      <c r="F38" s="21"/>
      <c r="G38" s="21"/>
    </row>
    <row r="39" spans="1:7" ht="15" customHeight="1" x14ac:dyDescent="0.3">
      <c r="A39" s="22"/>
      <c r="B39" s="23"/>
      <c r="C39" s="24"/>
      <c r="D39" s="25"/>
      <c r="E39" s="20" t="str">
        <f t="shared" si="1"/>
        <v/>
      </c>
      <c r="F39" s="21"/>
      <c r="G39" s="21"/>
    </row>
    <row r="40" spans="1:7" ht="15" customHeight="1" x14ac:dyDescent="0.3">
      <c r="A40" s="22"/>
      <c r="B40" s="23"/>
      <c r="C40" s="24"/>
      <c r="D40" s="25"/>
      <c r="E40" s="20" t="str">
        <f t="shared" si="1"/>
        <v/>
      </c>
      <c r="F40" s="21"/>
      <c r="G40" s="21"/>
    </row>
    <row r="41" spans="1:7" ht="15" customHeight="1" x14ac:dyDescent="0.3">
      <c r="A41" s="22"/>
      <c r="B41" s="23"/>
      <c r="C41" s="24"/>
      <c r="D41" s="25"/>
      <c r="E41" s="20" t="str">
        <f t="shared" si="1"/>
        <v/>
      </c>
      <c r="F41" s="21"/>
      <c r="G41" s="21"/>
    </row>
    <row r="42" spans="1:7" ht="15" customHeight="1" x14ac:dyDescent="0.3">
      <c r="A42" s="22"/>
      <c r="B42" s="23"/>
      <c r="C42" s="24"/>
      <c r="D42" s="25"/>
      <c r="E42" s="20" t="str">
        <f t="shared" si="1"/>
        <v/>
      </c>
      <c r="F42" s="21"/>
      <c r="G42" s="21"/>
    </row>
    <row r="43" spans="1:7" ht="15" customHeight="1" x14ac:dyDescent="0.3">
      <c r="A43" s="22"/>
      <c r="B43" s="23"/>
      <c r="C43" s="24"/>
      <c r="D43" s="25"/>
      <c r="E43" s="20" t="str">
        <f t="shared" si="1"/>
        <v/>
      </c>
      <c r="F43" s="21"/>
      <c r="G43" s="21"/>
    </row>
    <row r="44" spans="1:7" ht="15" customHeight="1" x14ac:dyDescent="0.3">
      <c r="A44" s="22"/>
      <c r="B44" s="23"/>
      <c r="C44" s="24"/>
      <c r="D44" s="25"/>
      <c r="E44" s="20" t="str">
        <f t="shared" si="1"/>
        <v/>
      </c>
      <c r="F44" s="21"/>
      <c r="G44" s="21"/>
    </row>
    <row r="45" spans="1:7" ht="15" customHeight="1" x14ac:dyDescent="0.3">
      <c r="A45" s="22"/>
      <c r="B45" s="23"/>
      <c r="C45" s="24"/>
      <c r="D45" s="25"/>
      <c r="E45" s="20" t="str">
        <f t="shared" si="1"/>
        <v/>
      </c>
      <c r="F45" s="21"/>
      <c r="G45" s="21"/>
    </row>
    <row r="46" spans="1:7" ht="15" customHeight="1" x14ac:dyDescent="0.3">
      <c r="A46" s="22"/>
      <c r="B46" s="23"/>
      <c r="C46" s="24"/>
      <c r="D46" s="25"/>
      <c r="E46" s="20" t="str">
        <f t="shared" si="1"/>
        <v/>
      </c>
      <c r="F46" s="21"/>
      <c r="G46" s="21"/>
    </row>
    <row r="47" spans="1:7" ht="15" customHeight="1" x14ac:dyDescent="0.3">
      <c r="A47" s="22"/>
      <c r="B47" s="23"/>
      <c r="C47" s="24"/>
      <c r="D47" s="25"/>
      <c r="E47" s="20" t="str">
        <f t="shared" si="1"/>
        <v/>
      </c>
      <c r="F47" s="21"/>
      <c r="G47" s="21"/>
    </row>
    <row r="48" spans="1:7" ht="15" customHeight="1" x14ac:dyDescent="0.3">
      <c r="A48" s="22"/>
      <c r="B48" s="23"/>
      <c r="C48" s="24"/>
      <c r="D48" s="25"/>
      <c r="E48" s="20" t="str">
        <f t="shared" si="1"/>
        <v/>
      </c>
      <c r="F48" s="21"/>
      <c r="G48" s="21"/>
    </row>
    <row r="49" spans="1:7" ht="15" customHeight="1" x14ac:dyDescent="0.3">
      <c r="A49" s="22"/>
      <c r="B49" s="23"/>
      <c r="C49" s="24"/>
      <c r="D49" s="25"/>
      <c r="E49" s="20" t="str">
        <f t="shared" si="1"/>
        <v/>
      </c>
      <c r="F49" s="21"/>
      <c r="G49" s="21"/>
    </row>
    <row r="50" spans="1:7" ht="15" customHeight="1" x14ac:dyDescent="0.3">
      <c r="A50" s="22"/>
      <c r="B50" s="23"/>
      <c r="C50" s="24"/>
      <c r="D50" s="25"/>
      <c r="E50" s="20" t="str">
        <f t="shared" si="1"/>
        <v/>
      </c>
      <c r="F50" s="21"/>
      <c r="G50" s="21"/>
    </row>
    <row r="51" spans="1:7" ht="15" customHeight="1" x14ac:dyDescent="0.3">
      <c r="A51" s="22"/>
      <c r="B51" s="23"/>
      <c r="C51" s="24"/>
      <c r="D51" s="25"/>
      <c r="E51" s="20" t="str">
        <f t="shared" si="1"/>
        <v/>
      </c>
      <c r="F51" s="21"/>
      <c r="G51" s="21"/>
    </row>
    <row r="52" spans="1:7" ht="15" customHeight="1" x14ac:dyDescent="0.3">
      <c r="A52" s="22"/>
      <c r="B52" s="23"/>
      <c r="C52" s="24"/>
      <c r="D52" s="25"/>
      <c r="E52" s="20" t="str">
        <f t="shared" si="1"/>
        <v/>
      </c>
      <c r="F52" s="21"/>
      <c r="G52" s="21"/>
    </row>
    <row r="53" spans="1:7" ht="15" customHeight="1" x14ac:dyDescent="0.3">
      <c r="A53" s="22"/>
      <c r="B53" s="23"/>
      <c r="C53" s="24"/>
      <c r="D53" s="25"/>
      <c r="E53" s="20" t="str">
        <f t="shared" si="1"/>
        <v/>
      </c>
      <c r="F53" s="21"/>
      <c r="G53" s="21"/>
    </row>
    <row r="54" spans="1:7" ht="15" customHeight="1" x14ac:dyDescent="0.3">
      <c r="A54" s="22"/>
      <c r="B54" s="23"/>
      <c r="C54" s="24"/>
      <c r="D54" s="25"/>
      <c r="E54" s="20" t="str">
        <f t="shared" si="1"/>
        <v/>
      </c>
      <c r="F54" s="21"/>
      <c r="G54" s="21"/>
    </row>
    <row r="55" spans="1:7" ht="15" customHeight="1" x14ac:dyDescent="0.3">
      <c r="A55" s="22"/>
      <c r="B55" s="23"/>
      <c r="C55" s="24"/>
      <c r="D55" s="25"/>
      <c r="E55" s="20" t="str">
        <f t="shared" si="1"/>
        <v/>
      </c>
      <c r="F55" s="21"/>
      <c r="G55" s="21"/>
    </row>
    <row r="56" spans="1:7" ht="15" customHeight="1" x14ac:dyDescent="0.3">
      <c r="A56" s="22"/>
      <c r="B56" s="23"/>
      <c r="C56" s="24"/>
      <c r="D56" s="25"/>
      <c r="E56" s="20" t="str">
        <f t="shared" si="1"/>
        <v/>
      </c>
      <c r="F56" s="21"/>
      <c r="G56" s="21"/>
    </row>
    <row r="57" spans="1:7" ht="15" customHeight="1" x14ac:dyDescent="0.3">
      <c r="A57" s="22"/>
      <c r="B57" s="23"/>
      <c r="C57" s="24"/>
      <c r="D57" s="25"/>
      <c r="E57" s="20" t="str">
        <f t="shared" si="1"/>
        <v/>
      </c>
      <c r="F57" s="21"/>
      <c r="G57" s="21"/>
    </row>
    <row r="58" spans="1:7" ht="15" customHeight="1" x14ac:dyDescent="0.3">
      <c r="A58" s="22"/>
      <c r="B58" s="23"/>
      <c r="C58" s="24"/>
      <c r="D58" s="25"/>
      <c r="E58" s="20" t="str">
        <f t="shared" si="1"/>
        <v/>
      </c>
      <c r="F58" s="21"/>
      <c r="G58" s="21"/>
    </row>
    <row r="59" spans="1:7" ht="15" customHeight="1" x14ac:dyDescent="0.3">
      <c r="A59" s="22"/>
      <c r="B59" s="23"/>
      <c r="C59" s="24"/>
      <c r="D59" s="25"/>
      <c r="E59" s="20" t="str">
        <f t="shared" si="1"/>
        <v/>
      </c>
      <c r="F59" s="21"/>
      <c r="G59" s="21"/>
    </row>
    <row r="60" spans="1:7" ht="15" customHeight="1" x14ac:dyDescent="0.3">
      <c r="A60" s="22"/>
      <c r="B60" s="23"/>
      <c r="C60" s="24"/>
      <c r="D60" s="25"/>
      <c r="E60" s="20" t="str">
        <f t="shared" si="1"/>
        <v/>
      </c>
      <c r="F60" s="21"/>
      <c r="G60" s="21"/>
    </row>
    <row r="61" spans="1:7" ht="15" customHeight="1" x14ac:dyDescent="0.3">
      <c r="A61" s="22"/>
      <c r="B61" s="23"/>
      <c r="C61" s="24"/>
      <c r="D61" s="25"/>
      <c r="E61" s="20" t="str">
        <f t="shared" si="1"/>
        <v/>
      </c>
      <c r="F61" s="21"/>
      <c r="G61" s="21"/>
    </row>
    <row r="62" spans="1:7" ht="15" customHeight="1" x14ac:dyDescent="0.3">
      <c r="A62" s="22"/>
      <c r="B62" s="23"/>
      <c r="C62" s="24"/>
      <c r="D62" s="25"/>
      <c r="E62" s="20" t="str">
        <f t="shared" si="1"/>
        <v/>
      </c>
      <c r="F62" s="21"/>
      <c r="G62" s="21"/>
    </row>
    <row r="63" spans="1:7" ht="15" customHeight="1" x14ac:dyDescent="0.3">
      <c r="A63" s="22"/>
      <c r="B63" s="23"/>
      <c r="C63" s="24"/>
      <c r="D63" s="25"/>
      <c r="E63" s="20" t="str">
        <f t="shared" si="1"/>
        <v/>
      </c>
      <c r="F63" s="21"/>
      <c r="G63" s="21"/>
    </row>
    <row r="64" spans="1:7" ht="15" customHeight="1" x14ac:dyDescent="0.3">
      <c r="A64" s="22"/>
      <c r="B64" s="23"/>
      <c r="C64" s="24"/>
      <c r="D64" s="25"/>
      <c r="E64" s="20" t="str">
        <f t="shared" si="1"/>
        <v/>
      </c>
      <c r="F64" s="21"/>
      <c r="G64" s="21"/>
    </row>
    <row r="65" spans="1:7" ht="15" customHeight="1" x14ac:dyDescent="0.3">
      <c r="A65" s="22"/>
      <c r="B65" s="23"/>
      <c r="C65" s="24"/>
      <c r="D65" s="25"/>
      <c r="E65" s="20" t="str">
        <f t="shared" si="1"/>
        <v/>
      </c>
      <c r="F65" s="21"/>
      <c r="G65" s="21"/>
    </row>
    <row r="66" spans="1:7" ht="15" customHeight="1" x14ac:dyDescent="0.3">
      <c r="A66" s="22"/>
      <c r="B66" s="23"/>
      <c r="C66" s="24"/>
      <c r="D66" s="25"/>
      <c r="E66" s="20" t="str">
        <f t="shared" si="1"/>
        <v/>
      </c>
      <c r="F66" s="21"/>
      <c r="G66" s="21"/>
    </row>
    <row r="67" spans="1:7" ht="15" customHeight="1" x14ac:dyDescent="0.3">
      <c r="A67" s="22"/>
      <c r="B67" s="23"/>
      <c r="C67" s="24"/>
      <c r="D67" s="25"/>
      <c r="E67" s="20" t="str">
        <f t="shared" si="1"/>
        <v/>
      </c>
      <c r="F67" s="21"/>
      <c r="G67" s="21"/>
    </row>
    <row r="68" spans="1:7" ht="15" customHeight="1" x14ac:dyDescent="0.3">
      <c r="A68" s="22"/>
      <c r="B68" s="23"/>
      <c r="C68" s="24"/>
      <c r="D68" s="25"/>
      <c r="E68" s="20" t="str">
        <f t="shared" ref="E68:E99" si="2">IF(D68="","",C68*D68)</f>
        <v/>
      </c>
      <c r="F68" s="21"/>
      <c r="G68" s="21"/>
    </row>
    <row r="69" spans="1:7" ht="15" customHeight="1" x14ac:dyDescent="0.3">
      <c r="A69" s="22"/>
      <c r="B69" s="23"/>
      <c r="C69" s="24"/>
      <c r="D69" s="25"/>
      <c r="E69" s="20" t="str">
        <f t="shared" si="2"/>
        <v/>
      </c>
      <c r="F69" s="21"/>
      <c r="G69" s="21"/>
    </row>
    <row r="70" spans="1:7" ht="15" customHeight="1" x14ac:dyDescent="0.3">
      <c r="A70" s="22"/>
      <c r="B70" s="23"/>
      <c r="C70" s="24"/>
      <c r="D70" s="25"/>
      <c r="E70" s="20" t="str">
        <f t="shared" si="2"/>
        <v/>
      </c>
      <c r="F70" s="21"/>
      <c r="G70" s="21"/>
    </row>
    <row r="71" spans="1:7" ht="15" customHeight="1" x14ac:dyDescent="0.3">
      <c r="A71" s="22"/>
      <c r="B71" s="23"/>
      <c r="C71" s="24"/>
      <c r="D71" s="25"/>
      <c r="E71" s="20" t="str">
        <f t="shared" si="2"/>
        <v/>
      </c>
      <c r="F71" s="21"/>
      <c r="G71" s="21"/>
    </row>
    <row r="72" spans="1:7" ht="15" customHeight="1" x14ac:dyDescent="0.3">
      <c r="A72" s="22"/>
      <c r="B72" s="23"/>
      <c r="C72" s="24"/>
      <c r="D72" s="25"/>
      <c r="E72" s="20" t="str">
        <f t="shared" si="2"/>
        <v/>
      </c>
      <c r="F72" s="21"/>
      <c r="G72" s="21"/>
    </row>
    <row r="73" spans="1:7" ht="15" customHeight="1" x14ac:dyDescent="0.3">
      <c r="A73" s="22"/>
      <c r="B73" s="23"/>
      <c r="C73" s="24"/>
      <c r="D73" s="25"/>
      <c r="E73" s="20" t="str">
        <f t="shared" si="2"/>
        <v/>
      </c>
      <c r="F73" s="21"/>
      <c r="G73" s="21"/>
    </row>
    <row r="74" spans="1:7" ht="15" customHeight="1" x14ac:dyDescent="0.3">
      <c r="A74" s="22"/>
      <c r="B74" s="23"/>
      <c r="C74" s="24"/>
      <c r="D74" s="25"/>
      <c r="E74" s="20" t="str">
        <f t="shared" si="2"/>
        <v/>
      </c>
      <c r="F74" s="21"/>
      <c r="G74" s="21"/>
    </row>
    <row r="75" spans="1:7" ht="15" customHeight="1" x14ac:dyDescent="0.3">
      <c r="A75" s="22"/>
      <c r="B75" s="23"/>
      <c r="C75" s="24"/>
      <c r="D75" s="25"/>
      <c r="E75" s="20" t="str">
        <f t="shared" si="2"/>
        <v/>
      </c>
      <c r="F75" s="21"/>
      <c r="G75" s="21"/>
    </row>
    <row r="76" spans="1:7" ht="15" customHeight="1" x14ac:dyDescent="0.3">
      <c r="A76" s="22"/>
      <c r="B76" s="23"/>
      <c r="C76" s="24"/>
      <c r="D76" s="25"/>
      <c r="E76" s="20" t="str">
        <f t="shared" si="2"/>
        <v/>
      </c>
      <c r="F76" s="21"/>
      <c r="G76" s="21"/>
    </row>
    <row r="77" spans="1:7" ht="15" customHeight="1" x14ac:dyDescent="0.3">
      <c r="A77" s="22"/>
      <c r="B77" s="23"/>
      <c r="C77" s="24"/>
      <c r="D77" s="25"/>
      <c r="E77" s="20" t="str">
        <f t="shared" si="2"/>
        <v/>
      </c>
      <c r="F77" s="21"/>
      <c r="G77" s="21"/>
    </row>
    <row r="78" spans="1:7" ht="15" customHeight="1" x14ac:dyDescent="0.3">
      <c r="A78" s="22"/>
      <c r="B78" s="23"/>
      <c r="C78" s="24"/>
      <c r="D78" s="25"/>
      <c r="E78" s="20" t="str">
        <f t="shared" si="2"/>
        <v/>
      </c>
      <c r="F78" s="21"/>
      <c r="G78" s="21"/>
    </row>
    <row r="79" spans="1:7" ht="15" customHeight="1" x14ac:dyDescent="0.3">
      <c r="A79" s="22"/>
      <c r="B79" s="23"/>
      <c r="C79" s="24"/>
      <c r="D79" s="25"/>
      <c r="E79" s="20" t="str">
        <f t="shared" si="2"/>
        <v/>
      </c>
      <c r="F79" s="21"/>
      <c r="G79" s="21"/>
    </row>
    <row r="80" spans="1:7" ht="15" customHeight="1" x14ac:dyDescent="0.3">
      <c r="A80" s="22"/>
      <c r="B80" s="23"/>
      <c r="C80" s="24"/>
      <c r="D80" s="25"/>
      <c r="E80" s="20" t="str">
        <f t="shared" si="2"/>
        <v/>
      </c>
      <c r="F80" s="21"/>
      <c r="G80" s="21"/>
    </row>
    <row r="81" spans="1:7" ht="15" customHeight="1" x14ac:dyDescent="0.3">
      <c r="A81" s="22"/>
      <c r="B81" s="23"/>
      <c r="C81" s="24"/>
      <c r="D81" s="25"/>
      <c r="E81" s="20" t="str">
        <f t="shared" si="2"/>
        <v/>
      </c>
      <c r="F81" s="21"/>
      <c r="G81" s="21"/>
    </row>
    <row r="82" spans="1:7" ht="15" customHeight="1" x14ac:dyDescent="0.3">
      <c r="A82" s="22"/>
      <c r="B82" s="23"/>
      <c r="C82" s="24"/>
      <c r="D82" s="25"/>
      <c r="E82" s="20" t="str">
        <f t="shared" si="2"/>
        <v/>
      </c>
      <c r="F82" s="21"/>
      <c r="G82" s="21"/>
    </row>
    <row r="83" spans="1:7" ht="15" customHeight="1" x14ac:dyDescent="0.3">
      <c r="A83" s="22"/>
      <c r="B83" s="23"/>
      <c r="C83" s="24"/>
      <c r="D83" s="25"/>
      <c r="E83" s="20" t="str">
        <f t="shared" si="2"/>
        <v/>
      </c>
      <c r="F83" s="21"/>
      <c r="G83" s="21"/>
    </row>
    <row r="84" spans="1:7" ht="15" customHeight="1" x14ac:dyDescent="0.3">
      <c r="A84" s="22"/>
      <c r="B84" s="23"/>
      <c r="C84" s="24"/>
      <c r="D84" s="25"/>
      <c r="E84" s="20" t="str">
        <f t="shared" si="2"/>
        <v/>
      </c>
      <c r="F84" s="21"/>
      <c r="G84" s="21"/>
    </row>
    <row r="85" spans="1:7" ht="15" customHeight="1" x14ac:dyDescent="0.3">
      <c r="A85" s="22"/>
      <c r="B85" s="23"/>
      <c r="C85" s="24"/>
      <c r="D85" s="25"/>
      <c r="E85" s="20" t="str">
        <f t="shared" si="2"/>
        <v/>
      </c>
      <c r="F85" s="21"/>
      <c r="G85" s="21"/>
    </row>
    <row r="86" spans="1:7" ht="15" customHeight="1" x14ac:dyDescent="0.3">
      <c r="A86" s="22"/>
      <c r="B86" s="23"/>
      <c r="C86" s="24"/>
      <c r="D86" s="25"/>
      <c r="E86" s="20" t="str">
        <f t="shared" si="2"/>
        <v/>
      </c>
      <c r="F86" s="21"/>
      <c r="G86" s="21"/>
    </row>
    <row r="87" spans="1:7" ht="15" customHeight="1" x14ac:dyDescent="0.3">
      <c r="A87" s="22"/>
      <c r="B87" s="23"/>
      <c r="C87" s="24"/>
      <c r="D87" s="25"/>
      <c r="E87" s="20" t="str">
        <f t="shared" si="2"/>
        <v/>
      </c>
      <c r="F87" s="21"/>
      <c r="G87" s="21"/>
    </row>
    <row r="88" spans="1:7" ht="15" customHeight="1" x14ac:dyDescent="0.3">
      <c r="A88" s="22"/>
      <c r="B88" s="23"/>
      <c r="C88" s="24"/>
      <c r="D88" s="25"/>
      <c r="E88" s="20" t="str">
        <f t="shared" si="2"/>
        <v/>
      </c>
      <c r="F88" s="21"/>
      <c r="G88" s="21"/>
    </row>
    <row r="89" spans="1:7" ht="15" customHeight="1" x14ac:dyDescent="0.3">
      <c r="A89" s="22"/>
      <c r="B89" s="23"/>
      <c r="C89" s="24"/>
      <c r="D89" s="25"/>
      <c r="E89" s="20" t="str">
        <f t="shared" si="2"/>
        <v/>
      </c>
      <c r="F89" s="21"/>
      <c r="G89" s="21"/>
    </row>
    <row r="90" spans="1:7" ht="15" customHeight="1" x14ac:dyDescent="0.3">
      <c r="A90" s="22"/>
      <c r="B90" s="23"/>
      <c r="C90" s="24"/>
      <c r="D90" s="25"/>
      <c r="E90" s="20" t="str">
        <f t="shared" si="2"/>
        <v/>
      </c>
      <c r="F90" s="21"/>
      <c r="G90" s="21"/>
    </row>
    <row r="91" spans="1:7" ht="15" customHeight="1" x14ac:dyDescent="0.3">
      <c r="A91" s="22"/>
      <c r="B91" s="23"/>
      <c r="C91" s="24"/>
      <c r="D91" s="25"/>
      <c r="E91" s="20" t="str">
        <f t="shared" si="2"/>
        <v/>
      </c>
      <c r="F91" s="21"/>
      <c r="G91" s="21"/>
    </row>
    <row r="92" spans="1:7" ht="15" customHeight="1" x14ac:dyDescent="0.3">
      <c r="A92" s="22"/>
      <c r="B92" s="23"/>
      <c r="C92" s="24"/>
      <c r="D92" s="25"/>
      <c r="E92" s="20" t="str">
        <f t="shared" si="2"/>
        <v/>
      </c>
      <c r="F92" s="21"/>
      <c r="G92" s="21"/>
    </row>
    <row r="93" spans="1:7" ht="15" customHeight="1" x14ac:dyDescent="0.3">
      <c r="A93" s="22"/>
      <c r="B93" s="23"/>
      <c r="C93" s="24"/>
      <c r="D93" s="25"/>
      <c r="E93" s="20" t="str">
        <f t="shared" si="2"/>
        <v/>
      </c>
      <c r="F93" s="21"/>
      <c r="G93" s="21"/>
    </row>
    <row r="94" spans="1:7" ht="15" customHeight="1" x14ac:dyDescent="0.3">
      <c r="A94" s="22"/>
      <c r="B94" s="23"/>
      <c r="C94" s="24"/>
      <c r="D94" s="25"/>
      <c r="E94" s="20" t="str">
        <f t="shared" si="2"/>
        <v/>
      </c>
      <c r="F94" s="21"/>
      <c r="G94" s="21"/>
    </row>
    <row r="95" spans="1:7" ht="15" customHeight="1" x14ac:dyDescent="0.3">
      <c r="A95" s="22"/>
      <c r="B95" s="23"/>
      <c r="C95" s="24"/>
      <c r="D95" s="25"/>
      <c r="E95" s="20" t="str">
        <f t="shared" si="2"/>
        <v/>
      </c>
      <c r="F95" s="21"/>
      <c r="G95" s="21"/>
    </row>
    <row r="96" spans="1:7" ht="15" customHeight="1" x14ac:dyDescent="0.3">
      <c r="A96" s="22"/>
      <c r="B96" s="23"/>
      <c r="C96" s="24"/>
      <c r="D96" s="25"/>
      <c r="E96" s="20" t="str">
        <f t="shared" si="2"/>
        <v/>
      </c>
      <c r="F96" s="21"/>
      <c r="G96" s="21"/>
    </row>
    <row r="97" spans="1:7" ht="15" customHeight="1" x14ac:dyDescent="0.3">
      <c r="A97" s="22"/>
      <c r="B97" s="23"/>
      <c r="C97" s="24"/>
      <c r="D97" s="25"/>
      <c r="E97" s="20" t="str">
        <f t="shared" si="2"/>
        <v/>
      </c>
      <c r="F97" s="21"/>
      <c r="G97" s="21"/>
    </row>
    <row r="98" spans="1:7" ht="15" customHeight="1" x14ac:dyDescent="0.3">
      <c r="A98" s="22"/>
      <c r="B98" s="23"/>
      <c r="C98" s="24"/>
      <c r="D98" s="25"/>
      <c r="E98" s="20" t="str">
        <f t="shared" si="2"/>
        <v/>
      </c>
      <c r="F98" s="21"/>
      <c r="G98" s="21"/>
    </row>
    <row r="99" spans="1:7" ht="15" customHeight="1" x14ac:dyDescent="0.3">
      <c r="A99" s="22"/>
      <c r="B99" s="23"/>
      <c r="C99" s="24"/>
      <c r="D99" s="25"/>
      <c r="E99" s="20" t="str">
        <f t="shared" si="2"/>
        <v/>
      </c>
      <c r="F99" s="21"/>
      <c r="G99" s="21"/>
    </row>
    <row r="100" spans="1:7" ht="15" customHeight="1" x14ac:dyDescent="0.3">
      <c r="A100" s="22"/>
      <c r="B100" s="23"/>
      <c r="C100" s="24"/>
      <c r="D100" s="25"/>
      <c r="E100" s="20" t="str">
        <f t="shared" ref="E100:E131" si="3">IF(D100="","",C100*D100)</f>
        <v/>
      </c>
      <c r="F100" s="21"/>
      <c r="G100" s="21"/>
    </row>
    <row r="101" spans="1:7" ht="15" customHeight="1" x14ac:dyDescent="0.3">
      <c r="A101" s="22"/>
      <c r="B101" s="23"/>
      <c r="C101" s="24"/>
      <c r="D101" s="25"/>
      <c r="E101" s="20" t="str">
        <f t="shared" si="3"/>
        <v/>
      </c>
      <c r="F101" s="21"/>
      <c r="G101" s="21"/>
    </row>
    <row r="102" spans="1:7" ht="15" customHeight="1" x14ac:dyDescent="0.3">
      <c r="A102" s="22"/>
      <c r="B102" s="23"/>
      <c r="C102" s="24"/>
      <c r="D102" s="25"/>
      <c r="E102" s="20" t="str">
        <f t="shared" si="3"/>
        <v/>
      </c>
      <c r="F102" s="21"/>
      <c r="G102" s="21"/>
    </row>
    <row r="103" spans="1:7" ht="15" customHeight="1" x14ac:dyDescent="0.3">
      <c r="A103" s="22"/>
      <c r="B103" s="23"/>
      <c r="C103" s="24"/>
      <c r="D103" s="25"/>
      <c r="E103" s="20" t="str">
        <f t="shared" si="3"/>
        <v/>
      </c>
      <c r="F103" s="21"/>
      <c r="G103" s="21"/>
    </row>
    <row r="104" spans="1:7" ht="15" customHeight="1" x14ac:dyDescent="0.3">
      <c r="A104" s="22"/>
      <c r="B104" s="23"/>
      <c r="C104" s="24"/>
      <c r="D104" s="25"/>
      <c r="E104" s="20" t="str">
        <f t="shared" si="3"/>
        <v/>
      </c>
      <c r="F104" s="21"/>
      <c r="G104" s="21"/>
    </row>
    <row r="105" spans="1:7" ht="15" customHeight="1" x14ac:dyDescent="0.3">
      <c r="A105" s="22"/>
      <c r="B105" s="23"/>
      <c r="C105" s="24"/>
      <c r="D105" s="25"/>
      <c r="E105" s="20" t="str">
        <f t="shared" si="3"/>
        <v/>
      </c>
      <c r="F105" s="21"/>
      <c r="G105" s="21"/>
    </row>
    <row r="106" spans="1:7" ht="15" customHeight="1" x14ac:dyDescent="0.3">
      <c r="A106" s="22"/>
      <c r="B106" s="23"/>
      <c r="C106" s="24"/>
      <c r="D106" s="25"/>
      <c r="E106" s="20" t="str">
        <f t="shared" si="3"/>
        <v/>
      </c>
      <c r="F106" s="21"/>
      <c r="G106" s="21"/>
    </row>
    <row r="107" spans="1:7" ht="15" customHeight="1" x14ac:dyDescent="0.3">
      <c r="A107" s="22"/>
      <c r="B107" s="23"/>
      <c r="C107" s="24"/>
      <c r="D107" s="25"/>
      <c r="E107" s="20" t="str">
        <f t="shared" si="3"/>
        <v/>
      </c>
      <c r="F107" s="21"/>
      <c r="G107" s="21"/>
    </row>
    <row r="108" spans="1:7" ht="15" customHeight="1" x14ac:dyDescent="0.3">
      <c r="A108" s="22"/>
      <c r="B108" s="23"/>
      <c r="C108" s="24"/>
      <c r="D108" s="25"/>
      <c r="E108" s="20" t="str">
        <f t="shared" si="3"/>
        <v/>
      </c>
      <c r="F108" s="21"/>
      <c r="G108" s="21"/>
    </row>
    <row r="109" spans="1:7" ht="15" customHeight="1" x14ac:dyDescent="0.3">
      <c r="A109" s="22"/>
      <c r="B109" s="23"/>
      <c r="C109" s="24"/>
      <c r="D109" s="25"/>
      <c r="E109" s="20" t="str">
        <f t="shared" si="3"/>
        <v/>
      </c>
      <c r="F109" s="21"/>
      <c r="G109" s="21"/>
    </row>
    <row r="110" spans="1:7" ht="15" customHeight="1" x14ac:dyDescent="0.3">
      <c r="A110" s="22"/>
      <c r="B110" s="23"/>
      <c r="C110" s="24"/>
      <c r="D110" s="25"/>
      <c r="E110" s="20" t="str">
        <f t="shared" si="3"/>
        <v/>
      </c>
      <c r="F110" s="21"/>
      <c r="G110" s="21"/>
    </row>
    <row r="111" spans="1:7" ht="15" customHeight="1" x14ac:dyDescent="0.3">
      <c r="A111" s="22"/>
      <c r="B111" s="23"/>
      <c r="C111" s="24"/>
      <c r="D111" s="25"/>
      <c r="E111" s="20" t="str">
        <f t="shared" si="3"/>
        <v/>
      </c>
      <c r="F111" s="21"/>
      <c r="G111" s="21"/>
    </row>
    <row r="112" spans="1:7" ht="15" customHeight="1" x14ac:dyDescent="0.3">
      <c r="A112" s="22"/>
      <c r="B112" s="23"/>
      <c r="C112" s="24"/>
      <c r="D112" s="25"/>
      <c r="E112" s="20" t="str">
        <f t="shared" si="3"/>
        <v/>
      </c>
      <c r="F112" s="21"/>
      <c r="G112" s="21"/>
    </row>
    <row r="113" spans="1:7" ht="15" customHeight="1" x14ac:dyDescent="0.3">
      <c r="A113" s="22"/>
      <c r="B113" s="23"/>
      <c r="C113" s="24"/>
      <c r="D113" s="25"/>
      <c r="E113" s="20" t="str">
        <f t="shared" si="3"/>
        <v/>
      </c>
      <c r="F113" s="21"/>
      <c r="G113" s="21"/>
    </row>
    <row r="114" spans="1:7" ht="15" customHeight="1" x14ac:dyDescent="0.3">
      <c r="A114" s="22"/>
      <c r="B114" s="23"/>
      <c r="C114" s="24"/>
      <c r="D114" s="25"/>
      <c r="E114" s="20" t="str">
        <f t="shared" si="3"/>
        <v/>
      </c>
      <c r="F114" s="21"/>
      <c r="G114" s="21"/>
    </row>
    <row r="115" spans="1:7" ht="15" customHeight="1" x14ac:dyDescent="0.3">
      <c r="A115" s="22"/>
      <c r="B115" s="23"/>
      <c r="C115" s="24"/>
      <c r="D115" s="25"/>
      <c r="E115" s="20" t="str">
        <f t="shared" si="3"/>
        <v/>
      </c>
      <c r="F115" s="21"/>
      <c r="G115" s="21"/>
    </row>
    <row r="116" spans="1:7" ht="15" customHeight="1" x14ac:dyDescent="0.3">
      <c r="A116" s="22"/>
      <c r="B116" s="23"/>
      <c r="C116" s="24"/>
      <c r="D116" s="25"/>
      <c r="E116" s="20" t="str">
        <f t="shared" si="3"/>
        <v/>
      </c>
      <c r="F116" s="21"/>
      <c r="G116" s="21"/>
    </row>
    <row r="117" spans="1:7" ht="15" customHeight="1" x14ac:dyDescent="0.3">
      <c r="A117" s="22"/>
      <c r="B117" s="23"/>
      <c r="C117" s="24"/>
      <c r="D117" s="25"/>
      <c r="E117" s="20" t="str">
        <f t="shared" si="3"/>
        <v/>
      </c>
      <c r="F117" s="21"/>
      <c r="G117" s="21"/>
    </row>
    <row r="118" spans="1:7" ht="15" customHeight="1" x14ac:dyDescent="0.3">
      <c r="A118" s="22"/>
      <c r="B118" s="23"/>
      <c r="C118" s="24"/>
      <c r="D118" s="25"/>
      <c r="E118" s="20" t="str">
        <f t="shared" si="3"/>
        <v/>
      </c>
      <c r="F118" s="21"/>
      <c r="G118" s="21"/>
    </row>
    <row r="119" spans="1:7" ht="15" customHeight="1" x14ac:dyDescent="0.3">
      <c r="A119" s="22"/>
      <c r="B119" s="23"/>
      <c r="C119" s="24"/>
      <c r="D119" s="25"/>
      <c r="E119" s="20" t="str">
        <f t="shared" si="3"/>
        <v/>
      </c>
      <c r="F119" s="21"/>
      <c r="G119" s="21"/>
    </row>
    <row r="120" spans="1:7" ht="15" customHeight="1" x14ac:dyDescent="0.3">
      <c r="A120" s="22"/>
      <c r="B120" s="23"/>
      <c r="C120" s="24"/>
      <c r="D120" s="25"/>
      <c r="E120" s="20" t="str">
        <f t="shared" si="3"/>
        <v/>
      </c>
      <c r="F120" s="21"/>
      <c r="G120" s="21"/>
    </row>
    <row r="121" spans="1:7" ht="15" customHeight="1" x14ac:dyDescent="0.3">
      <c r="A121" s="22"/>
      <c r="B121" s="23"/>
      <c r="C121" s="24"/>
      <c r="D121" s="25"/>
      <c r="E121" s="20" t="str">
        <f t="shared" si="3"/>
        <v/>
      </c>
      <c r="F121" s="21"/>
      <c r="G121" s="21"/>
    </row>
    <row r="122" spans="1:7" ht="15" customHeight="1" x14ac:dyDescent="0.3">
      <c r="A122" s="22"/>
      <c r="B122" s="23"/>
      <c r="C122" s="24"/>
      <c r="D122" s="25"/>
      <c r="E122" s="20" t="str">
        <f t="shared" si="3"/>
        <v/>
      </c>
      <c r="F122" s="21"/>
      <c r="G122" s="21"/>
    </row>
    <row r="123" spans="1:7" ht="15" customHeight="1" x14ac:dyDescent="0.3">
      <c r="A123" s="22"/>
      <c r="B123" s="23"/>
      <c r="C123" s="24"/>
      <c r="D123" s="25"/>
      <c r="E123" s="20" t="str">
        <f t="shared" si="3"/>
        <v/>
      </c>
      <c r="F123" s="21"/>
      <c r="G123" s="21"/>
    </row>
    <row r="124" spans="1:7" ht="15" customHeight="1" x14ac:dyDescent="0.3">
      <c r="A124" s="22"/>
      <c r="B124" s="23"/>
      <c r="C124" s="24"/>
      <c r="D124" s="25"/>
      <c r="E124" s="20" t="str">
        <f t="shared" si="3"/>
        <v/>
      </c>
      <c r="F124" s="21"/>
      <c r="G124" s="21"/>
    </row>
    <row r="125" spans="1:7" ht="15" customHeight="1" x14ac:dyDescent="0.3">
      <c r="A125" s="22"/>
      <c r="B125" s="23"/>
      <c r="C125" s="24"/>
      <c r="D125" s="25"/>
      <c r="E125" s="20" t="str">
        <f t="shared" si="3"/>
        <v/>
      </c>
      <c r="F125" s="21"/>
      <c r="G125" s="21"/>
    </row>
    <row r="126" spans="1:7" ht="15" customHeight="1" x14ac:dyDescent="0.3">
      <c r="A126" s="22"/>
      <c r="B126" s="23"/>
      <c r="C126" s="24"/>
      <c r="D126" s="25"/>
      <c r="E126" s="20" t="str">
        <f t="shared" si="3"/>
        <v/>
      </c>
      <c r="F126" s="21"/>
      <c r="G126" s="21"/>
    </row>
    <row r="127" spans="1:7" ht="15" customHeight="1" x14ac:dyDescent="0.3">
      <c r="A127" s="22"/>
      <c r="B127" s="23"/>
      <c r="C127" s="24"/>
      <c r="D127" s="25"/>
      <c r="E127" s="20" t="str">
        <f t="shared" si="3"/>
        <v/>
      </c>
      <c r="F127" s="21"/>
      <c r="G127" s="21"/>
    </row>
    <row r="128" spans="1:7" ht="15" customHeight="1" x14ac:dyDescent="0.3">
      <c r="A128" s="22"/>
      <c r="B128" s="23"/>
      <c r="C128" s="24"/>
      <c r="D128" s="25"/>
      <c r="E128" s="20" t="str">
        <f t="shared" si="3"/>
        <v/>
      </c>
      <c r="F128" s="21"/>
      <c r="G128" s="21"/>
    </row>
    <row r="129" spans="1:7" ht="15" customHeight="1" x14ac:dyDescent="0.3">
      <c r="A129" s="22"/>
      <c r="B129" s="23"/>
      <c r="C129" s="24"/>
      <c r="D129" s="25"/>
      <c r="E129" s="20" t="str">
        <f t="shared" si="3"/>
        <v/>
      </c>
      <c r="F129" s="21"/>
      <c r="G129" s="21"/>
    </row>
    <row r="130" spans="1:7" ht="15" customHeight="1" x14ac:dyDescent="0.3">
      <c r="A130" s="22"/>
      <c r="B130" s="23"/>
      <c r="C130" s="24"/>
      <c r="D130" s="25"/>
      <c r="E130" s="20" t="str">
        <f t="shared" si="3"/>
        <v/>
      </c>
      <c r="F130" s="21"/>
      <c r="G130" s="21"/>
    </row>
    <row r="131" spans="1:7" ht="15" customHeight="1" x14ac:dyDescent="0.3">
      <c r="A131" s="22"/>
      <c r="B131" s="23"/>
      <c r="C131" s="24"/>
      <c r="D131" s="25"/>
      <c r="E131" s="20" t="str">
        <f t="shared" si="3"/>
        <v/>
      </c>
      <c r="F131" s="21"/>
      <c r="G131" s="21"/>
    </row>
    <row r="132" spans="1:7" ht="15" customHeight="1" x14ac:dyDescent="0.3">
      <c r="A132" s="22"/>
      <c r="B132" s="23"/>
      <c r="C132" s="24"/>
      <c r="D132" s="25"/>
      <c r="E132" s="20" t="str">
        <f t="shared" ref="E132:E163" si="4">IF(D132="","",C132*D132)</f>
        <v/>
      </c>
      <c r="F132" s="21"/>
      <c r="G132" s="21"/>
    </row>
    <row r="133" spans="1:7" ht="15" customHeight="1" x14ac:dyDescent="0.3">
      <c r="A133" s="22"/>
      <c r="B133" s="23"/>
      <c r="C133" s="24"/>
      <c r="D133" s="25"/>
      <c r="E133" s="20" t="str">
        <f t="shared" si="4"/>
        <v/>
      </c>
      <c r="F133" s="21"/>
      <c r="G133" s="21"/>
    </row>
    <row r="134" spans="1:7" ht="15" customHeight="1" x14ac:dyDescent="0.3">
      <c r="A134" s="22"/>
      <c r="B134" s="23"/>
      <c r="C134" s="24"/>
      <c r="D134" s="25"/>
      <c r="E134" s="20" t="str">
        <f t="shared" si="4"/>
        <v/>
      </c>
      <c r="F134" s="21"/>
      <c r="G134" s="21"/>
    </row>
    <row r="135" spans="1:7" ht="15" customHeight="1" x14ac:dyDescent="0.3">
      <c r="A135" s="22"/>
      <c r="B135" s="23"/>
      <c r="C135" s="24"/>
      <c r="D135" s="25"/>
      <c r="E135" s="20" t="str">
        <f t="shared" si="4"/>
        <v/>
      </c>
      <c r="F135" s="21"/>
      <c r="G135" s="21"/>
    </row>
    <row r="136" spans="1:7" ht="15" customHeight="1" x14ac:dyDescent="0.3">
      <c r="A136" s="22"/>
      <c r="B136" s="23"/>
      <c r="C136" s="24"/>
      <c r="D136" s="25"/>
      <c r="E136" s="20" t="str">
        <f t="shared" si="4"/>
        <v/>
      </c>
      <c r="F136" s="21"/>
      <c r="G136" s="21"/>
    </row>
    <row r="137" spans="1:7" ht="15" customHeight="1" x14ac:dyDescent="0.3">
      <c r="A137" s="22"/>
      <c r="B137" s="23"/>
      <c r="C137" s="24"/>
      <c r="D137" s="25"/>
      <c r="E137" s="20" t="str">
        <f t="shared" si="4"/>
        <v/>
      </c>
      <c r="F137" s="21"/>
      <c r="G137" s="21"/>
    </row>
    <row r="138" spans="1:7" ht="15" customHeight="1" x14ac:dyDescent="0.3">
      <c r="A138" s="22"/>
      <c r="B138" s="23"/>
      <c r="C138" s="24"/>
      <c r="D138" s="25"/>
      <c r="E138" s="20" t="str">
        <f t="shared" si="4"/>
        <v/>
      </c>
      <c r="F138" s="21"/>
      <c r="G138" s="21"/>
    </row>
    <row r="139" spans="1:7" ht="15" customHeight="1" x14ac:dyDescent="0.3">
      <c r="A139" s="22"/>
      <c r="B139" s="23"/>
      <c r="C139" s="24"/>
      <c r="D139" s="25"/>
      <c r="E139" s="20" t="str">
        <f t="shared" si="4"/>
        <v/>
      </c>
      <c r="F139" s="21"/>
      <c r="G139" s="21"/>
    </row>
    <row r="140" spans="1:7" ht="15" customHeight="1" x14ac:dyDescent="0.3">
      <c r="A140" s="22"/>
      <c r="B140" s="23"/>
      <c r="C140" s="24"/>
      <c r="D140" s="25"/>
      <c r="E140" s="20" t="str">
        <f t="shared" si="4"/>
        <v/>
      </c>
      <c r="F140" s="21"/>
      <c r="G140" s="21"/>
    </row>
    <row r="141" spans="1:7" ht="15" customHeight="1" x14ac:dyDescent="0.3">
      <c r="A141" s="22"/>
      <c r="B141" s="23"/>
      <c r="C141" s="24"/>
      <c r="D141" s="25"/>
      <c r="E141" s="20" t="str">
        <f t="shared" si="4"/>
        <v/>
      </c>
      <c r="F141" s="21"/>
      <c r="G141" s="21"/>
    </row>
    <row r="142" spans="1:7" ht="15" customHeight="1" x14ac:dyDescent="0.3">
      <c r="A142" s="22"/>
      <c r="B142" s="23"/>
      <c r="C142" s="24"/>
      <c r="D142" s="25"/>
      <c r="E142" s="20" t="str">
        <f t="shared" si="4"/>
        <v/>
      </c>
      <c r="F142" s="21"/>
      <c r="G142" s="21"/>
    </row>
    <row r="143" spans="1:7" ht="15" customHeight="1" x14ac:dyDescent="0.3">
      <c r="A143" s="22"/>
      <c r="B143" s="23"/>
      <c r="C143" s="24"/>
      <c r="D143" s="25"/>
      <c r="E143" s="20" t="str">
        <f t="shared" si="4"/>
        <v/>
      </c>
      <c r="F143" s="21"/>
      <c r="G143" s="21"/>
    </row>
    <row r="144" spans="1:7" ht="15" customHeight="1" x14ac:dyDescent="0.3">
      <c r="A144" s="22"/>
      <c r="B144" s="23"/>
      <c r="C144" s="24"/>
      <c r="D144" s="25"/>
      <c r="E144" s="20" t="str">
        <f t="shared" si="4"/>
        <v/>
      </c>
      <c r="F144" s="21"/>
      <c r="G144" s="21"/>
    </row>
    <row r="145" spans="1:7" ht="15" customHeight="1" x14ac:dyDescent="0.3">
      <c r="A145" s="22"/>
      <c r="B145" s="23"/>
      <c r="C145" s="24"/>
      <c r="D145" s="25"/>
      <c r="E145" s="20" t="str">
        <f t="shared" si="4"/>
        <v/>
      </c>
      <c r="F145" s="21"/>
      <c r="G145" s="21"/>
    </row>
    <row r="146" spans="1:7" ht="15" customHeight="1" x14ac:dyDescent="0.3">
      <c r="A146" s="22"/>
      <c r="B146" s="23"/>
      <c r="C146" s="24"/>
      <c r="D146" s="25"/>
      <c r="E146" s="20" t="str">
        <f t="shared" si="4"/>
        <v/>
      </c>
      <c r="F146" s="21"/>
      <c r="G146" s="21"/>
    </row>
    <row r="147" spans="1:7" ht="15" customHeight="1" x14ac:dyDescent="0.3">
      <c r="A147" s="22"/>
      <c r="B147" s="23"/>
      <c r="C147" s="24"/>
      <c r="D147" s="25"/>
      <c r="E147" s="20" t="str">
        <f t="shared" si="4"/>
        <v/>
      </c>
      <c r="F147" s="21"/>
      <c r="G147" s="21"/>
    </row>
    <row r="148" spans="1:7" ht="15" customHeight="1" x14ac:dyDescent="0.3">
      <c r="A148" s="22"/>
      <c r="B148" s="23"/>
      <c r="C148" s="24"/>
      <c r="D148" s="25"/>
      <c r="E148" s="20" t="str">
        <f t="shared" si="4"/>
        <v/>
      </c>
      <c r="F148" s="21"/>
      <c r="G148" s="21"/>
    </row>
    <row r="149" spans="1:7" ht="15" customHeight="1" x14ac:dyDescent="0.3">
      <c r="A149" s="22"/>
      <c r="B149" s="23"/>
      <c r="C149" s="24"/>
      <c r="D149" s="25"/>
      <c r="E149" s="20" t="str">
        <f t="shared" si="4"/>
        <v/>
      </c>
      <c r="F149" s="21"/>
      <c r="G149" s="21"/>
    </row>
    <row r="150" spans="1:7" ht="15" customHeight="1" x14ac:dyDescent="0.3">
      <c r="A150" s="22"/>
      <c r="B150" s="23"/>
      <c r="C150" s="24"/>
      <c r="D150" s="25"/>
      <c r="E150" s="20" t="str">
        <f t="shared" si="4"/>
        <v/>
      </c>
      <c r="F150" s="21"/>
      <c r="G150" s="21"/>
    </row>
    <row r="151" spans="1:7" ht="15" customHeight="1" x14ac:dyDescent="0.3">
      <c r="A151" s="22"/>
      <c r="B151" s="23"/>
      <c r="C151" s="24"/>
      <c r="D151" s="25"/>
      <c r="E151" s="20" t="str">
        <f t="shared" si="4"/>
        <v/>
      </c>
      <c r="F151" s="21"/>
      <c r="G151" s="21"/>
    </row>
    <row r="152" spans="1:7" ht="15" customHeight="1" x14ac:dyDescent="0.3">
      <c r="A152" s="22"/>
      <c r="B152" s="23"/>
      <c r="C152" s="24"/>
      <c r="D152" s="25"/>
      <c r="E152" s="20" t="str">
        <f t="shared" si="4"/>
        <v/>
      </c>
      <c r="F152" s="21"/>
      <c r="G152" s="21"/>
    </row>
    <row r="153" spans="1:7" ht="15" customHeight="1" x14ac:dyDescent="0.3">
      <c r="A153" s="22"/>
      <c r="B153" s="23"/>
      <c r="C153" s="24"/>
      <c r="D153" s="25"/>
      <c r="E153" s="20" t="str">
        <f t="shared" si="4"/>
        <v/>
      </c>
      <c r="F153" s="21"/>
      <c r="G153" s="21"/>
    </row>
    <row r="154" spans="1:7" ht="15" customHeight="1" x14ac:dyDescent="0.3">
      <c r="A154" s="22"/>
      <c r="B154" s="23"/>
      <c r="C154" s="24"/>
      <c r="D154" s="25"/>
      <c r="E154" s="20" t="str">
        <f t="shared" si="4"/>
        <v/>
      </c>
      <c r="F154" s="21"/>
      <c r="G154" s="21"/>
    </row>
    <row r="155" spans="1:7" ht="15" customHeight="1" x14ac:dyDescent="0.3">
      <c r="A155" s="22"/>
      <c r="B155" s="23"/>
      <c r="C155" s="24"/>
      <c r="D155" s="25"/>
      <c r="E155" s="20" t="str">
        <f t="shared" si="4"/>
        <v/>
      </c>
      <c r="F155" s="21"/>
      <c r="G155" s="21"/>
    </row>
    <row r="156" spans="1:7" ht="15" customHeight="1" x14ac:dyDescent="0.3">
      <c r="A156" s="22"/>
      <c r="B156" s="23"/>
      <c r="C156" s="24"/>
      <c r="D156" s="25"/>
      <c r="E156" s="20" t="str">
        <f t="shared" si="4"/>
        <v/>
      </c>
      <c r="F156" s="21"/>
      <c r="G156" s="21"/>
    </row>
    <row r="157" spans="1:7" ht="15" customHeight="1" x14ac:dyDescent="0.3">
      <c r="A157" s="22"/>
      <c r="B157" s="23"/>
      <c r="C157" s="24"/>
      <c r="D157" s="25"/>
      <c r="E157" s="20" t="str">
        <f t="shared" si="4"/>
        <v/>
      </c>
      <c r="F157" s="21"/>
      <c r="G157" s="21"/>
    </row>
    <row r="158" spans="1:7" ht="15" customHeight="1" x14ac:dyDescent="0.3">
      <c r="A158" s="22"/>
      <c r="B158" s="23"/>
      <c r="C158" s="24"/>
      <c r="D158" s="25"/>
      <c r="E158" s="20" t="str">
        <f t="shared" si="4"/>
        <v/>
      </c>
      <c r="F158" s="21"/>
      <c r="G158" s="21"/>
    </row>
    <row r="159" spans="1:7" ht="15" customHeight="1" x14ac:dyDescent="0.3">
      <c r="A159" s="22"/>
      <c r="B159" s="23"/>
      <c r="C159" s="24"/>
      <c r="D159" s="25"/>
      <c r="E159" s="20" t="str">
        <f t="shared" si="4"/>
        <v/>
      </c>
      <c r="F159" s="21"/>
      <c r="G159" s="21"/>
    </row>
    <row r="160" spans="1:7" ht="15" customHeight="1" x14ac:dyDescent="0.3">
      <c r="A160" s="22"/>
      <c r="B160" s="23"/>
      <c r="C160" s="24"/>
      <c r="D160" s="25"/>
      <c r="E160" s="20" t="str">
        <f t="shared" si="4"/>
        <v/>
      </c>
      <c r="F160" s="21"/>
      <c r="G160" s="21"/>
    </row>
    <row r="161" spans="1:7" ht="15" customHeight="1" x14ac:dyDescent="0.3">
      <c r="A161" s="22"/>
      <c r="B161" s="23"/>
      <c r="C161" s="24"/>
      <c r="D161" s="25"/>
      <c r="E161" s="20" t="str">
        <f t="shared" si="4"/>
        <v/>
      </c>
      <c r="F161" s="21"/>
      <c r="G161" s="21"/>
    </row>
    <row r="162" spans="1:7" ht="15" customHeight="1" x14ac:dyDescent="0.3">
      <c r="A162" s="22"/>
      <c r="B162" s="23"/>
      <c r="C162" s="24"/>
      <c r="D162" s="25"/>
      <c r="E162" s="20" t="str">
        <f t="shared" si="4"/>
        <v/>
      </c>
      <c r="F162" s="21"/>
      <c r="G162" s="21"/>
    </row>
    <row r="163" spans="1:7" ht="15" customHeight="1" x14ac:dyDescent="0.3">
      <c r="A163" s="22"/>
      <c r="B163" s="23"/>
      <c r="C163" s="24"/>
      <c r="D163" s="25"/>
      <c r="E163" s="20" t="str">
        <f t="shared" si="4"/>
        <v/>
      </c>
      <c r="F163" s="21"/>
      <c r="G163" s="21"/>
    </row>
    <row r="164" spans="1:7" ht="15" customHeight="1" x14ac:dyDescent="0.3">
      <c r="A164" s="22"/>
      <c r="B164" s="23"/>
      <c r="C164" s="24"/>
      <c r="D164" s="25"/>
      <c r="E164" s="20" t="str">
        <f t="shared" ref="E164:E195" si="5">IF(D164="","",C164*D164)</f>
        <v/>
      </c>
      <c r="F164" s="21"/>
      <c r="G164" s="21"/>
    </row>
    <row r="165" spans="1:7" ht="15" customHeight="1" x14ac:dyDescent="0.3">
      <c r="A165" s="22"/>
      <c r="B165" s="23"/>
      <c r="C165" s="24"/>
      <c r="D165" s="25"/>
      <c r="E165" s="20" t="str">
        <f t="shared" si="5"/>
        <v/>
      </c>
      <c r="F165" s="21"/>
      <c r="G165" s="21"/>
    </row>
    <row r="166" spans="1:7" ht="15" customHeight="1" x14ac:dyDescent="0.3">
      <c r="A166" s="22"/>
      <c r="B166" s="23"/>
      <c r="C166" s="24"/>
      <c r="D166" s="25"/>
      <c r="E166" s="20" t="str">
        <f t="shared" si="5"/>
        <v/>
      </c>
      <c r="F166" s="21"/>
      <c r="G166" s="21"/>
    </row>
    <row r="167" spans="1:7" ht="15" customHeight="1" x14ac:dyDescent="0.3">
      <c r="A167" s="22"/>
      <c r="B167" s="23"/>
      <c r="C167" s="24"/>
      <c r="D167" s="25"/>
      <c r="E167" s="20" t="str">
        <f t="shared" si="5"/>
        <v/>
      </c>
      <c r="F167" s="21"/>
      <c r="G167" s="21"/>
    </row>
    <row r="168" spans="1:7" ht="15" customHeight="1" x14ac:dyDescent="0.3">
      <c r="A168" s="22"/>
      <c r="B168" s="23"/>
      <c r="C168" s="24"/>
      <c r="D168" s="25"/>
      <c r="E168" s="20" t="str">
        <f t="shared" si="5"/>
        <v/>
      </c>
      <c r="F168" s="21"/>
      <c r="G168" s="21"/>
    </row>
    <row r="169" spans="1:7" ht="15" customHeight="1" x14ac:dyDescent="0.3">
      <c r="A169" s="22"/>
      <c r="B169" s="23"/>
      <c r="C169" s="24"/>
      <c r="D169" s="25"/>
      <c r="E169" s="20" t="str">
        <f t="shared" si="5"/>
        <v/>
      </c>
      <c r="F169" s="21"/>
      <c r="G169" s="21"/>
    </row>
    <row r="170" spans="1:7" ht="15" customHeight="1" x14ac:dyDescent="0.3">
      <c r="A170" s="22"/>
      <c r="B170" s="23"/>
      <c r="C170" s="24"/>
      <c r="D170" s="25"/>
      <c r="E170" s="20" t="str">
        <f t="shared" si="5"/>
        <v/>
      </c>
      <c r="F170" s="21"/>
      <c r="G170" s="21"/>
    </row>
    <row r="171" spans="1:7" ht="15" customHeight="1" x14ac:dyDescent="0.3">
      <c r="A171" s="22"/>
      <c r="B171" s="23"/>
      <c r="C171" s="24"/>
      <c r="D171" s="25"/>
      <c r="E171" s="20" t="str">
        <f t="shared" si="5"/>
        <v/>
      </c>
      <c r="F171" s="21"/>
      <c r="G171" s="21"/>
    </row>
    <row r="172" spans="1:7" ht="15" customHeight="1" x14ac:dyDescent="0.3">
      <c r="A172" s="22"/>
      <c r="B172" s="23"/>
      <c r="C172" s="24"/>
      <c r="D172" s="25"/>
      <c r="E172" s="20" t="str">
        <f t="shared" si="5"/>
        <v/>
      </c>
      <c r="F172" s="21"/>
      <c r="G172" s="21"/>
    </row>
    <row r="173" spans="1:7" ht="15" customHeight="1" x14ac:dyDescent="0.3">
      <c r="A173" s="22"/>
      <c r="B173" s="23"/>
      <c r="C173" s="24"/>
      <c r="D173" s="25"/>
      <c r="E173" s="20" t="str">
        <f t="shared" si="5"/>
        <v/>
      </c>
      <c r="F173" s="21"/>
      <c r="G173" s="21"/>
    </row>
    <row r="174" spans="1:7" ht="15" customHeight="1" x14ac:dyDescent="0.3">
      <c r="A174" s="22"/>
      <c r="B174" s="23"/>
      <c r="C174" s="24"/>
      <c r="D174" s="25"/>
      <c r="E174" s="20" t="str">
        <f t="shared" si="5"/>
        <v/>
      </c>
      <c r="F174" s="21"/>
      <c r="G174" s="21"/>
    </row>
    <row r="175" spans="1:7" ht="15" customHeight="1" x14ac:dyDescent="0.3">
      <c r="A175" s="22"/>
      <c r="B175" s="23"/>
      <c r="C175" s="24"/>
      <c r="D175" s="25"/>
      <c r="E175" s="20" t="str">
        <f t="shared" si="5"/>
        <v/>
      </c>
      <c r="F175" s="21"/>
      <c r="G175" s="21"/>
    </row>
    <row r="176" spans="1:7" ht="15" customHeight="1" x14ac:dyDescent="0.3">
      <c r="A176" s="22"/>
      <c r="B176" s="23"/>
      <c r="C176" s="24"/>
      <c r="D176" s="25"/>
      <c r="E176" s="20" t="str">
        <f t="shared" si="5"/>
        <v/>
      </c>
      <c r="F176" s="21"/>
      <c r="G176" s="21"/>
    </row>
    <row r="177" spans="1:7" ht="15" customHeight="1" x14ac:dyDescent="0.3">
      <c r="A177" s="22"/>
      <c r="B177" s="23"/>
      <c r="C177" s="24"/>
      <c r="D177" s="25"/>
      <c r="E177" s="20" t="str">
        <f t="shared" si="5"/>
        <v/>
      </c>
      <c r="F177" s="21"/>
      <c r="G177" s="21"/>
    </row>
    <row r="178" spans="1:7" ht="15" customHeight="1" x14ac:dyDescent="0.3">
      <c r="A178" s="22"/>
      <c r="B178" s="23"/>
      <c r="C178" s="24"/>
      <c r="D178" s="25"/>
      <c r="E178" s="20" t="str">
        <f t="shared" si="5"/>
        <v/>
      </c>
      <c r="F178" s="21"/>
      <c r="G178" s="21"/>
    </row>
    <row r="179" spans="1:7" ht="15" customHeight="1" x14ac:dyDescent="0.3">
      <c r="A179" s="22"/>
      <c r="B179" s="23"/>
      <c r="C179" s="24"/>
      <c r="D179" s="25"/>
      <c r="E179" s="20" t="str">
        <f t="shared" si="5"/>
        <v/>
      </c>
      <c r="F179" s="21"/>
      <c r="G179" s="21"/>
    </row>
    <row r="180" spans="1:7" ht="15" customHeight="1" x14ac:dyDescent="0.3">
      <c r="A180" s="22"/>
      <c r="B180" s="23"/>
      <c r="C180" s="24"/>
      <c r="D180" s="25"/>
      <c r="E180" s="20" t="str">
        <f t="shared" si="5"/>
        <v/>
      </c>
      <c r="F180" s="21"/>
      <c r="G180" s="21"/>
    </row>
    <row r="181" spans="1:7" ht="15" customHeight="1" x14ac:dyDescent="0.3">
      <c r="A181" s="22"/>
      <c r="B181" s="23"/>
      <c r="C181" s="24"/>
      <c r="D181" s="25"/>
      <c r="E181" s="20" t="str">
        <f t="shared" si="5"/>
        <v/>
      </c>
      <c r="F181" s="21"/>
      <c r="G181" s="21"/>
    </row>
    <row r="182" spans="1:7" ht="15" customHeight="1" x14ac:dyDescent="0.3">
      <c r="A182" s="22"/>
      <c r="B182" s="23"/>
      <c r="C182" s="24"/>
      <c r="D182" s="25"/>
      <c r="E182" s="20" t="str">
        <f t="shared" si="5"/>
        <v/>
      </c>
      <c r="F182" s="21"/>
      <c r="G182" s="21"/>
    </row>
    <row r="183" spans="1:7" ht="15" customHeight="1" x14ac:dyDescent="0.3">
      <c r="A183" s="22"/>
      <c r="B183" s="23"/>
      <c r="C183" s="24"/>
      <c r="D183" s="25"/>
      <c r="E183" s="20" t="str">
        <f t="shared" si="5"/>
        <v/>
      </c>
      <c r="F183" s="21"/>
      <c r="G183" s="21"/>
    </row>
    <row r="184" spans="1:7" ht="15" customHeight="1" x14ac:dyDescent="0.3">
      <c r="A184" s="22"/>
      <c r="B184" s="23"/>
      <c r="C184" s="24"/>
      <c r="D184" s="25"/>
      <c r="E184" s="20" t="str">
        <f t="shared" si="5"/>
        <v/>
      </c>
      <c r="F184" s="21"/>
      <c r="G184" s="21"/>
    </row>
    <row r="185" spans="1:7" ht="15" customHeight="1" x14ac:dyDescent="0.3">
      <c r="A185" s="22"/>
      <c r="B185" s="23"/>
      <c r="C185" s="24"/>
      <c r="D185" s="25"/>
      <c r="E185" s="20" t="str">
        <f t="shared" si="5"/>
        <v/>
      </c>
      <c r="F185" s="21"/>
      <c r="G185" s="21"/>
    </row>
    <row r="186" spans="1:7" ht="15" customHeight="1" x14ac:dyDescent="0.3">
      <c r="A186" s="22"/>
      <c r="B186" s="23"/>
      <c r="C186" s="24"/>
      <c r="D186" s="25"/>
      <c r="E186" s="20" t="str">
        <f t="shared" si="5"/>
        <v/>
      </c>
      <c r="F186" s="21"/>
      <c r="G186" s="21"/>
    </row>
    <row r="187" spans="1:7" ht="15" customHeight="1" x14ac:dyDescent="0.3">
      <c r="A187" s="22"/>
      <c r="B187" s="23"/>
      <c r="C187" s="24"/>
      <c r="D187" s="25"/>
      <c r="E187" s="20" t="str">
        <f t="shared" si="5"/>
        <v/>
      </c>
      <c r="F187" s="21"/>
      <c r="G187" s="21"/>
    </row>
    <row r="188" spans="1:7" ht="15" customHeight="1" x14ac:dyDescent="0.3">
      <c r="A188" s="22"/>
      <c r="B188" s="23"/>
      <c r="C188" s="24"/>
      <c r="D188" s="25"/>
      <c r="E188" s="20" t="str">
        <f t="shared" si="5"/>
        <v/>
      </c>
      <c r="F188" s="21"/>
      <c r="G188" s="21"/>
    </row>
    <row r="189" spans="1:7" ht="15" customHeight="1" x14ac:dyDescent="0.3">
      <c r="A189" s="22"/>
      <c r="B189" s="23"/>
      <c r="C189" s="24"/>
      <c r="D189" s="25"/>
      <c r="E189" s="20" t="str">
        <f t="shared" si="5"/>
        <v/>
      </c>
      <c r="F189" s="21"/>
      <c r="G189" s="21"/>
    </row>
    <row r="190" spans="1:7" ht="15" customHeight="1" x14ac:dyDescent="0.3">
      <c r="A190" s="22"/>
      <c r="B190" s="23"/>
      <c r="C190" s="24"/>
      <c r="D190" s="25"/>
      <c r="E190" s="20" t="str">
        <f t="shared" si="5"/>
        <v/>
      </c>
      <c r="F190" s="21"/>
      <c r="G190" s="21"/>
    </row>
    <row r="191" spans="1:7" ht="15" customHeight="1" x14ac:dyDescent="0.3">
      <c r="A191" s="22"/>
      <c r="B191" s="23"/>
      <c r="C191" s="24"/>
      <c r="D191" s="25"/>
      <c r="E191" s="20" t="str">
        <f t="shared" si="5"/>
        <v/>
      </c>
      <c r="F191" s="21"/>
      <c r="G191" s="21"/>
    </row>
    <row r="192" spans="1:7" ht="15" customHeight="1" x14ac:dyDescent="0.3">
      <c r="A192" s="22"/>
      <c r="B192" s="23"/>
      <c r="C192" s="24"/>
      <c r="D192" s="25"/>
      <c r="E192" s="20" t="str">
        <f t="shared" si="5"/>
        <v/>
      </c>
      <c r="F192" s="21"/>
      <c r="G192" s="21"/>
    </row>
    <row r="193" spans="1:7" ht="15" customHeight="1" x14ac:dyDescent="0.3">
      <c r="A193" s="22"/>
      <c r="B193" s="23"/>
      <c r="C193" s="24"/>
      <c r="D193" s="25"/>
      <c r="E193" s="20" t="str">
        <f t="shared" si="5"/>
        <v/>
      </c>
      <c r="F193" s="21"/>
      <c r="G193" s="21"/>
    </row>
    <row r="194" spans="1:7" ht="15" customHeight="1" x14ac:dyDescent="0.3">
      <c r="A194" s="22"/>
      <c r="B194" s="23"/>
      <c r="C194" s="24"/>
      <c r="D194" s="25"/>
      <c r="E194" s="20" t="str">
        <f t="shared" si="5"/>
        <v/>
      </c>
      <c r="F194" s="21"/>
      <c r="G194" s="21"/>
    </row>
    <row r="195" spans="1:7" ht="15" customHeight="1" x14ac:dyDescent="0.3">
      <c r="A195" s="22"/>
      <c r="B195" s="23"/>
      <c r="C195" s="24"/>
      <c r="D195" s="25"/>
      <c r="E195" s="20" t="str">
        <f t="shared" si="5"/>
        <v/>
      </c>
      <c r="F195" s="21"/>
      <c r="G195" s="21"/>
    </row>
    <row r="196" spans="1:7" ht="15" customHeight="1" x14ac:dyDescent="0.3">
      <c r="A196" s="22"/>
      <c r="B196" s="23"/>
      <c r="C196" s="24"/>
      <c r="D196" s="25"/>
      <c r="E196" s="20" t="str">
        <f t="shared" ref="E196:E227" si="6">IF(D196="","",C196*D196)</f>
        <v/>
      </c>
      <c r="F196" s="21"/>
      <c r="G196" s="21"/>
    </row>
    <row r="197" spans="1:7" ht="15" customHeight="1" x14ac:dyDescent="0.3">
      <c r="A197" s="22"/>
      <c r="B197" s="23"/>
      <c r="C197" s="24"/>
      <c r="D197" s="25"/>
      <c r="E197" s="20" t="str">
        <f t="shared" si="6"/>
        <v/>
      </c>
      <c r="F197" s="21"/>
      <c r="G197" s="21"/>
    </row>
    <row r="198" spans="1:7" ht="15" customHeight="1" x14ac:dyDescent="0.3">
      <c r="A198" s="22"/>
      <c r="B198" s="23"/>
      <c r="C198" s="24"/>
      <c r="D198" s="25"/>
      <c r="E198" s="20" t="str">
        <f t="shared" si="6"/>
        <v/>
      </c>
      <c r="F198" s="21"/>
      <c r="G198" s="21"/>
    </row>
    <row r="199" spans="1:7" ht="15" customHeight="1" x14ac:dyDescent="0.3">
      <c r="A199" s="22"/>
      <c r="B199" s="23"/>
      <c r="C199" s="24"/>
      <c r="D199" s="25"/>
      <c r="E199" s="20" t="str">
        <f t="shared" si="6"/>
        <v/>
      </c>
      <c r="F199" s="21"/>
      <c r="G199" s="21"/>
    </row>
    <row r="200" spans="1:7" ht="15" customHeight="1" x14ac:dyDescent="0.3">
      <c r="A200" s="22"/>
      <c r="B200" s="23"/>
      <c r="C200" s="24"/>
      <c r="D200" s="25"/>
      <c r="E200" s="20" t="str">
        <f t="shared" si="6"/>
        <v/>
      </c>
      <c r="F200" s="21"/>
      <c r="G200" s="21"/>
    </row>
    <row r="201" spans="1:7" ht="15" customHeight="1" x14ac:dyDescent="0.3">
      <c r="A201" s="22"/>
      <c r="B201" s="23"/>
      <c r="C201" s="24"/>
      <c r="D201" s="25"/>
      <c r="E201" s="20" t="str">
        <f t="shared" si="6"/>
        <v/>
      </c>
      <c r="F201" s="21"/>
      <c r="G201" s="21"/>
    </row>
    <row r="202" spans="1:7" ht="15" customHeight="1" x14ac:dyDescent="0.3">
      <c r="A202" s="22"/>
      <c r="B202" s="23"/>
      <c r="C202" s="24"/>
      <c r="D202" s="25"/>
      <c r="E202" s="20" t="str">
        <f t="shared" si="6"/>
        <v/>
      </c>
      <c r="F202" s="21"/>
      <c r="G202" s="21"/>
    </row>
    <row r="203" spans="1:7" ht="15" customHeight="1" x14ac:dyDescent="0.3">
      <c r="A203" s="22"/>
      <c r="B203" s="23"/>
      <c r="C203" s="24"/>
      <c r="D203" s="25"/>
      <c r="E203" s="20" t="str">
        <f t="shared" si="6"/>
        <v/>
      </c>
      <c r="F203" s="21"/>
      <c r="G203" s="21"/>
    </row>
  </sheetData>
  <mergeCells count="2">
    <mergeCell ref="A2:G2"/>
    <mergeCell ref="A1:G1"/>
  </mergeCells>
  <dataValidations count="1">
    <dataValidation type="list" allowBlank="1" sqref="B4:B203" xr:uid="{00000000-0002-0000-0300-000000000000}">
      <formula1>"Silagem de Capim,Promill,Milho Moído,Ureia,Núcleo Flex (Flexbeef MD)"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4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6" customWidth="1"/>
    <col min="3" max="3" width="18" customWidth="1"/>
    <col min="4" max="4" width="13" customWidth="1"/>
    <col min="5" max="5" width="15" customWidth="1"/>
    <col min="6" max="7" width="16" customWidth="1"/>
    <col min="8" max="8" width="18" customWidth="1"/>
    <col min="9" max="9" width="16" customWidth="1"/>
  </cols>
  <sheetData>
    <row r="2" spans="2:9" ht="24" customHeight="1" x14ac:dyDescent="0.3">
      <c r="B2" s="127" t="s">
        <v>510</v>
      </c>
      <c r="C2" s="125"/>
      <c r="D2" s="125"/>
      <c r="E2" s="125"/>
      <c r="F2" s="125"/>
      <c r="G2" s="125"/>
      <c r="H2" s="125"/>
      <c r="I2" s="125"/>
    </row>
    <row r="3" spans="2:9" ht="43.5" customHeight="1" x14ac:dyDescent="0.3">
      <c r="B3" s="131" t="s">
        <v>511</v>
      </c>
      <c r="C3" s="125"/>
      <c r="D3" s="125"/>
      <c r="E3" s="125"/>
      <c r="F3" s="125"/>
      <c r="G3" s="125"/>
      <c r="H3" s="125"/>
      <c r="I3" s="125"/>
    </row>
    <row r="5" spans="2:9" ht="31.5" customHeight="1" x14ac:dyDescent="0.3">
      <c r="B5" s="15" t="s">
        <v>499</v>
      </c>
      <c r="C5" s="15" t="s">
        <v>512</v>
      </c>
      <c r="D5" s="15" t="s">
        <v>513</v>
      </c>
      <c r="E5" s="15" t="s">
        <v>514</v>
      </c>
      <c r="F5" s="15" t="s">
        <v>515</v>
      </c>
      <c r="G5" s="15" t="s">
        <v>516</v>
      </c>
      <c r="H5" s="15" t="s">
        <v>517</v>
      </c>
      <c r="I5" s="15" t="s">
        <v>518</v>
      </c>
    </row>
    <row r="6" spans="2:9" ht="15" customHeight="1" x14ac:dyDescent="0.3">
      <c r="B6" s="26" t="s">
        <v>505</v>
      </c>
      <c r="C6" s="19"/>
      <c r="D6" s="16"/>
      <c r="E6" s="27" t="str">
        <f>IF($D6="","",SUMIFS(Precos_Insumos!$D$4:$D$203,Precos_Insumos!$B$4:$B$203,$B6,Precos_Insumos!$A$4:$A$203,"&gt;"&amp;$D6))</f>
        <v/>
      </c>
      <c r="F6" s="27" t="str">
        <f>IF($D6="","",SUMPRODUCT(SUMIFS(Trato_Diario!$F$4:$F$203,Trato_Diario!$B$4:$B$203,Currais!$A$3:$A$8,Trato_Diario!$A$4:$A$203,"&gt;="&amp;$D6),Currais!$L$3:$L$8))</f>
        <v/>
      </c>
      <c r="G6" s="28" t="str">
        <f>IF($C6="","",$C6+N(E6)-N(F6))</f>
        <v/>
      </c>
      <c r="H6" s="29">
        <f>SUMPRODUCT(Calculadora_Trato!$I$8:$I$13,Currais!$L$3:$L$8)</f>
        <v>1913.0570400000004</v>
      </c>
      <c r="I6" s="30" t="str">
        <f>IF(OR(G6="",H6=0),"",G6/H6)</f>
        <v/>
      </c>
    </row>
    <row r="7" spans="2:9" ht="15" customHeight="1" x14ac:dyDescent="0.3">
      <c r="B7" s="21" t="s">
        <v>506</v>
      </c>
      <c r="C7" s="19"/>
      <c r="D7" s="16"/>
      <c r="E7" s="31" t="str">
        <f>IF($D7="","",SUMIFS(Precos_Insumos!$D$4:$D$203,Precos_Insumos!$B$4:$B$203,$B7,Precos_Insumos!$A$4:$A$203,"&gt;"&amp;$D7))</f>
        <v/>
      </c>
      <c r="F7" s="31" t="str">
        <f>IF($D7="","",SUMPRODUCT(SUMIFS(Trato_Diario!$F$4:$F$203,Trato_Diario!$B$4:$B$203,Currais!$A$3:$A$8,Trato_Diario!$A$4:$A$203,"&gt;="&amp;$D7),Currais!$M$3:$M$8))</f>
        <v/>
      </c>
      <c r="G7" s="32" t="str">
        <f>IF($C7="","",$C7+N(E7)-N(F7))</f>
        <v/>
      </c>
      <c r="H7" s="33">
        <f>SUMPRODUCT(Calculadora_Trato!$I$8:$I$13,Currais!$M$3:$M$8)</f>
        <v>791.34672</v>
      </c>
      <c r="I7" s="34" t="str">
        <f>IF(OR(G7="",H7=0),"",G7/H7)</f>
        <v/>
      </c>
    </row>
    <row r="8" spans="2:9" ht="15" customHeight="1" x14ac:dyDescent="0.3">
      <c r="B8" s="26" t="s">
        <v>507</v>
      </c>
      <c r="C8" s="19"/>
      <c r="D8" s="16"/>
      <c r="E8" s="27" t="str">
        <f>IF($D8="","",SUMIFS(Precos_Insumos!$D$4:$D$203,Precos_Insumos!$B$4:$B$203,$B8,Precos_Insumos!$A$4:$A$203,"&gt;"&amp;$D8))</f>
        <v/>
      </c>
      <c r="F8" s="27" t="str">
        <f>IF($D8="","",SUMPRODUCT(SUMIFS(Trato_Diario!$F$4:$F$203,Trato_Diario!$B$4:$B$203,Currais!$A$3:$A$8,Trato_Diario!$A$4:$A$203,"&gt;="&amp;$D8),Currais!$N$3:$N$8))</f>
        <v/>
      </c>
      <c r="G8" s="28" t="str">
        <f>IF($C8="","",$C8+N(E8)-N(F8))</f>
        <v/>
      </c>
      <c r="H8" s="29">
        <f>SUMPRODUCT(Calculadora_Trato!$I$8:$I$13,Currais!$N$3:$N$8)</f>
        <v>473.33791200000002</v>
      </c>
      <c r="I8" s="30" t="str">
        <f>IF(OR(G8="",H8=0),"",G8/H8)</f>
        <v/>
      </c>
    </row>
    <row r="9" spans="2:9" ht="15" customHeight="1" x14ac:dyDescent="0.3">
      <c r="B9" s="21" t="s">
        <v>508</v>
      </c>
      <c r="C9" s="19"/>
      <c r="D9" s="16"/>
      <c r="E9" s="31" t="str">
        <f>IF($D9="","",SUMIFS(Precos_Insumos!$D$4:$D$203,Precos_Insumos!$B$4:$B$203,$B9,Precos_Insumos!$A$4:$A$203,"&gt;"&amp;$D9))</f>
        <v/>
      </c>
      <c r="F9" s="31" t="str">
        <f>IF($D9="","",SUMPRODUCT(SUMIFS(Trato_Diario!$F$4:$F$203,Trato_Diario!$B$4:$B$203,Currais!$A$3:$A$8,Trato_Diario!$A$4:$A$203,"&gt;="&amp;$D9),Currais!$O$3:$O$8))</f>
        <v/>
      </c>
      <c r="G9" s="32" t="str">
        <f>IF($C9="","",$C9+N(E9)-N(F9))</f>
        <v/>
      </c>
      <c r="H9" s="33">
        <f>SUMPRODUCT(Calculadora_Trato!$I$8:$I$13,Currais!$O$3:$O$8)</f>
        <v>16.119720000000001</v>
      </c>
      <c r="I9" s="34" t="str">
        <f>IF(OR(G9="",H9=0),"",G9/H9)</f>
        <v/>
      </c>
    </row>
    <row r="10" spans="2:9" ht="15" customHeight="1" x14ac:dyDescent="0.3">
      <c r="B10" s="26" t="s">
        <v>509</v>
      </c>
      <c r="C10" s="19"/>
      <c r="D10" s="16"/>
      <c r="E10" s="27" t="str">
        <f>IF($D10="","",SUMIFS(Precos_Insumos!$D$4:$D$203,Precos_Insumos!$B$4:$B$203,$B10,Precos_Insumos!$A$4:$A$203,"&gt;"&amp;$D10))</f>
        <v/>
      </c>
      <c r="F10" s="27" t="str">
        <f>IF($D10="","",SUMPRODUCT(SUMIFS(Trato_Diario!$F$4:$F$203,Trato_Diario!$B$4:$B$203,Currais!$A$3:$A$8,Trato_Diario!$A$4:$A$203,"&gt;="&amp;$D10),Currais!$P$3:$P$8))</f>
        <v/>
      </c>
      <c r="G10" s="28" t="str">
        <f>IF($C10="","",$C10+N(E10)-N(F10))</f>
        <v/>
      </c>
      <c r="H10" s="29">
        <f>SUMPRODUCT(Calculadora_Trato!$I$8:$I$13,Currais!$P$3:$P$8)</f>
        <v>30.082608</v>
      </c>
      <c r="I10" s="30" t="str">
        <f>IF(OR(G10="",H10=0),"",G10/H10)</f>
        <v/>
      </c>
    </row>
    <row r="12" spans="2:9" ht="43.5" customHeight="1" x14ac:dyDescent="0.3">
      <c r="B12" s="131" t="s">
        <v>519</v>
      </c>
      <c r="C12" s="125"/>
      <c r="D12" s="125"/>
      <c r="E12" s="125"/>
      <c r="F12" s="125"/>
      <c r="G12" s="125"/>
      <c r="H12" s="125"/>
      <c r="I12" s="125"/>
    </row>
    <row r="13" spans="2:9" ht="15" customHeight="1" x14ac:dyDescent="0.3">
      <c r="B13" s="125"/>
      <c r="C13" s="125"/>
      <c r="D13" s="125"/>
      <c r="E13" s="125"/>
      <c r="F13" s="125"/>
      <c r="G13" s="125"/>
      <c r="H13" s="125"/>
      <c r="I13" s="125"/>
    </row>
    <row r="14" spans="2:9" ht="15" customHeight="1" x14ac:dyDescent="0.3">
      <c r="B14" s="125"/>
      <c r="C14" s="125"/>
      <c r="D14" s="125"/>
      <c r="E14" s="125"/>
      <c r="F14" s="125"/>
      <c r="G14" s="125"/>
      <c r="H14" s="125"/>
      <c r="I14" s="125"/>
    </row>
  </sheetData>
  <mergeCells count="3">
    <mergeCell ref="B3:I3"/>
    <mergeCell ref="B2:I2"/>
    <mergeCell ref="B12:I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3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6" customWidth="1"/>
    <col min="3" max="4" width="14" customWidth="1"/>
    <col min="5" max="8" width="12" customWidth="1"/>
  </cols>
  <sheetData>
    <row r="2" spans="2:8" ht="24" customHeight="1" x14ac:dyDescent="0.3">
      <c r="B2" s="127" t="s">
        <v>520</v>
      </c>
      <c r="C2" s="125"/>
      <c r="D2" s="125"/>
      <c r="E2" s="125"/>
      <c r="F2" s="125"/>
      <c r="G2" s="125"/>
      <c r="H2" s="125"/>
    </row>
    <row r="3" spans="2:8" ht="39.75" customHeight="1" x14ac:dyDescent="0.3">
      <c r="B3" s="131" t="s">
        <v>521</v>
      </c>
      <c r="C3" s="125"/>
      <c r="D3" s="125"/>
      <c r="E3" s="125"/>
      <c r="F3" s="125"/>
      <c r="G3" s="125"/>
      <c r="H3" s="125"/>
    </row>
    <row r="5" spans="2:8" ht="31.5" customHeight="1" x14ac:dyDescent="0.3">
      <c r="B5" s="15" t="s">
        <v>522</v>
      </c>
      <c r="C5" s="15" t="s">
        <v>500</v>
      </c>
      <c r="D5" s="15" t="s">
        <v>523</v>
      </c>
      <c r="E5" s="15" t="s">
        <v>524</v>
      </c>
      <c r="F5" s="15" t="s">
        <v>525</v>
      </c>
      <c r="G5" s="15" t="s">
        <v>420</v>
      </c>
      <c r="H5" s="15" t="s">
        <v>526</v>
      </c>
    </row>
    <row r="6" spans="2:8" ht="15" customHeight="1" x14ac:dyDescent="0.3">
      <c r="B6" s="21" t="s">
        <v>505</v>
      </c>
      <c r="C6" s="35">
        <f>IFERROR(AVERAGEIFS(Precos_Insumos!$C$4:$C$203,Precos_Insumos!$B$4:$B$203,B6,Precos_Insumos!$A$4:$A$203,D6),0)</f>
        <v>0.1</v>
      </c>
      <c r="D6" s="36">
        <f>IFERROR(_xlfn.MAXIFS(Precos_Insumos!$A$4:$A$203,Precos_Insumos!$B$4:$B$203,B6),"")</f>
        <v>46202</v>
      </c>
      <c r="E6" s="37">
        <v>0.68</v>
      </c>
      <c r="F6" s="37">
        <v>0.48</v>
      </c>
      <c r="G6" s="37">
        <v>0.62</v>
      </c>
      <c r="H6" s="37">
        <v>0.56999999999999995</v>
      </c>
    </row>
    <row r="7" spans="2:8" ht="15" customHeight="1" x14ac:dyDescent="0.3">
      <c r="B7" s="21" t="s">
        <v>506</v>
      </c>
      <c r="C7" s="35">
        <f>IFERROR(AVERAGEIFS(Precos_Insumos!$C$4:$C$203,Precos_Insumos!$B$4:$B$203,B7,Precos_Insumos!$A$4:$A$203,D7),0)</f>
        <v>1.1000000000000001</v>
      </c>
      <c r="D7" s="36">
        <f>IFERROR(_xlfn.MAXIFS(Precos_Insumos!$A$4:$A$203,Precos_Insumos!$B$4:$B$203,B7),"")</f>
        <v>46202</v>
      </c>
      <c r="E7" s="37">
        <v>0.22</v>
      </c>
      <c r="F7" s="37">
        <v>0.22</v>
      </c>
      <c r="G7" s="37">
        <v>0.3</v>
      </c>
      <c r="H7" s="37">
        <v>0.26</v>
      </c>
    </row>
    <row r="8" spans="2:8" ht="15" customHeight="1" x14ac:dyDescent="0.3">
      <c r="B8" s="21" t="s">
        <v>507</v>
      </c>
      <c r="C8" s="35">
        <f>IFERROR(AVERAGEIFS(Precos_Insumos!$C$4:$C$203,Precos_Insumos!$B$4:$B$203,B8,Precos_Insumos!$A$4:$A$203,D8),0)</f>
        <v>1.1299999999999999</v>
      </c>
      <c r="D8" s="36">
        <f>IFERROR(_xlfn.MAXIFS(Precos_Insumos!$A$4:$A$203,Precos_Insumos!$B$4:$B$203,B8),"")</f>
        <v>46202</v>
      </c>
      <c r="E8" s="37">
        <v>8.6999999999999994E-2</v>
      </c>
      <c r="F8" s="37">
        <v>0.28499999999999998</v>
      </c>
      <c r="G8" s="37">
        <v>6.5000000000000002E-2</v>
      </c>
      <c r="H8" s="37">
        <v>0.155</v>
      </c>
    </row>
    <row r="9" spans="2:8" ht="15" customHeight="1" x14ac:dyDescent="0.3">
      <c r="B9" s="21" t="s">
        <v>508</v>
      </c>
      <c r="C9" s="35">
        <f>IFERROR(AVERAGEIFS(Precos_Insumos!$C$4:$C$203,Precos_Insumos!$B$4:$B$203,B9,Precos_Insumos!$A$4:$A$203,D9),0)</f>
        <v>3.8</v>
      </c>
      <c r="D9" s="36">
        <f>IFERROR(_xlfn.MAXIFS(Precos_Insumos!$A$4:$A$203,Precos_Insumos!$B$4:$B$203,B9),"")</f>
        <v>46202</v>
      </c>
      <c r="E9" s="37">
        <v>5.0000000000000001E-3</v>
      </c>
      <c r="F9" s="37">
        <v>5.0000000000000001E-3</v>
      </c>
      <c r="G9" s="37">
        <v>5.0000000000000001E-3</v>
      </c>
      <c r="H9" s="37">
        <v>5.0000000000000001E-3</v>
      </c>
    </row>
    <row r="10" spans="2:8" ht="15" customHeight="1" x14ac:dyDescent="0.3">
      <c r="B10" s="21" t="s">
        <v>509</v>
      </c>
      <c r="C10" s="35">
        <f>IFERROR(AVERAGEIFS(Precos_Insumos!$C$4:$C$203,Precos_Insumos!$B$4:$B$203,B10,Precos_Insumos!$A$4:$A$203,D10),0)</f>
        <v>3.8</v>
      </c>
      <c r="D10" s="36">
        <f>IFERROR(_xlfn.MAXIFS(Precos_Insumos!$A$4:$A$203,Precos_Insumos!$B$4:$B$203,B10),"")</f>
        <v>46202</v>
      </c>
      <c r="E10" s="37">
        <v>8.0000000000000002E-3</v>
      </c>
      <c r="F10" s="37">
        <v>0.01</v>
      </c>
      <c r="G10" s="37">
        <v>0.01</v>
      </c>
      <c r="H10" s="37">
        <v>0.01</v>
      </c>
    </row>
    <row r="11" spans="2:8" ht="15" customHeight="1" x14ac:dyDescent="0.3">
      <c r="B11" s="38" t="s">
        <v>527</v>
      </c>
      <c r="C11" s="39"/>
      <c r="D11" s="39"/>
      <c r="E11" s="40">
        <f>SUMPRODUCT($C$6:$C$10,E6:E10)</f>
        <v>0.45771000000000006</v>
      </c>
      <c r="F11" s="40">
        <f>SUMPRODUCT($C$6:$C$10,F6:F10)</f>
        <v>0.66905000000000003</v>
      </c>
      <c r="G11" s="40">
        <f>SUMPRODUCT($C$6:$C$10,G6:G10)</f>
        <v>0.52245000000000008</v>
      </c>
      <c r="H11" s="40">
        <f>SUMPRODUCT($C$6:$C$10,H6:H10)</f>
        <v>0.57515000000000005</v>
      </c>
    </row>
    <row r="13" spans="2:8" ht="15" customHeight="1" x14ac:dyDescent="0.3">
      <c r="B13" s="41" t="s">
        <v>528</v>
      </c>
      <c r="E13" s="42">
        <f>SUM(E6:E10)</f>
        <v>1</v>
      </c>
      <c r="F13" s="42">
        <f>SUM(F6:F10)</f>
        <v>0.99999999999999989</v>
      </c>
      <c r="G13" s="42">
        <f>SUM(G6:G10)</f>
        <v>0.99999999999999989</v>
      </c>
      <c r="H13" s="42">
        <f>SUM(H6:H10)</f>
        <v>1</v>
      </c>
    </row>
  </sheetData>
  <mergeCells count="2">
    <mergeCell ref="B3:H3"/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14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2" customWidth="1"/>
    <col min="3" max="3" width="9" customWidth="1"/>
    <col min="4" max="4" width="13" customWidth="1"/>
    <col min="5" max="5" width="12" customWidth="1"/>
    <col min="6" max="6" width="14" customWidth="1"/>
    <col min="7" max="7" width="15" customWidth="1"/>
    <col min="8" max="8" width="10" customWidth="1"/>
    <col min="9" max="9" width="16" customWidth="1"/>
    <col min="10" max="10" width="11" customWidth="1"/>
    <col min="11" max="13" width="12" customWidth="1"/>
    <col min="14" max="14" width="16" customWidth="1"/>
    <col min="15" max="15" width="15" customWidth="1"/>
  </cols>
  <sheetData>
    <row r="2" spans="2:15" ht="24" customHeight="1" x14ac:dyDescent="0.3">
      <c r="B2" s="127" t="s">
        <v>529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2:15" ht="39.75" customHeight="1" x14ac:dyDescent="0.3">
      <c r="B3" s="131" t="s">
        <v>530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</row>
    <row r="5" spans="2:15" ht="15" customHeight="1" x14ac:dyDescent="0.3">
      <c r="B5" s="132" t="s">
        <v>531</v>
      </c>
      <c r="C5" s="125"/>
      <c r="D5" s="37">
        <v>2.4E-2</v>
      </c>
      <c r="E5" s="43" t="s">
        <v>532</v>
      </c>
      <c r="F5" s="37">
        <v>0.4</v>
      </c>
      <c r="G5" s="43" t="s">
        <v>533</v>
      </c>
      <c r="H5" s="37">
        <v>0.2</v>
      </c>
      <c r="I5" s="43" t="s">
        <v>534</v>
      </c>
      <c r="J5" s="37">
        <v>0.4</v>
      </c>
    </row>
    <row r="7" spans="2:15" ht="31.5" customHeight="1" x14ac:dyDescent="0.3">
      <c r="B7" s="15" t="s">
        <v>4</v>
      </c>
      <c r="C7" s="15" t="s">
        <v>535</v>
      </c>
      <c r="D7" s="15" t="s">
        <v>536</v>
      </c>
      <c r="E7" s="15" t="s">
        <v>537</v>
      </c>
      <c r="F7" s="15" t="s">
        <v>538</v>
      </c>
      <c r="G7" s="15" t="s">
        <v>539</v>
      </c>
      <c r="H7" s="15" t="s">
        <v>540</v>
      </c>
      <c r="I7" s="15" t="s">
        <v>541</v>
      </c>
      <c r="J7" s="15" t="s">
        <v>542</v>
      </c>
      <c r="K7" s="15" t="s">
        <v>543</v>
      </c>
      <c r="L7" s="15" t="s">
        <v>544</v>
      </c>
      <c r="M7" s="15" t="s">
        <v>545</v>
      </c>
      <c r="N7" s="15" t="s">
        <v>546</v>
      </c>
      <c r="O7" s="15" t="s">
        <v>547</v>
      </c>
    </row>
    <row r="8" spans="2:15" ht="15" customHeight="1" x14ac:dyDescent="0.3">
      <c r="B8" s="44" t="s">
        <v>207</v>
      </c>
      <c r="C8" s="44">
        <f>IFERROR(INDEX(Currais!$C$3:$C$8,MATCH(B8,Currais!$A$3:$A$8,0)),0)</f>
        <v>38</v>
      </c>
      <c r="D8" s="27">
        <f>IFERROR(INDEX(Currais!$E$3:$E$8,MATCH(B8,Currais!$A$3:$A$8,0)),0)</f>
        <v>551.84210526315792</v>
      </c>
      <c r="E8" s="44" t="str">
        <f>IFERROR(INDEX(Currais!$J$3:$J$8,MATCH(B8,Currais!$A$3:$A$8,0)),"")</f>
        <v>Touros</v>
      </c>
      <c r="F8" s="45">
        <f>IFERROR(INDEX(Currais!$K$3:$K$8,MATCH(B8,Currais!$A$3:$A$8,0)),0)</f>
        <v>0.45771000000000006</v>
      </c>
      <c r="G8" s="27">
        <f t="shared" ref="G8:G13" si="0">C8*D8*$D$5</f>
        <v>503.28000000000003</v>
      </c>
      <c r="H8" s="37">
        <v>0</v>
      </c>
      <c r="I8" s="27">
        <f t="shared" ref="I8:I13" si="1">G8*(1+H8)</f>
        <v>503.28000000000003</v>
      </c>
      <c r="J8" s="29">
        <f t="shared" ref="J8:J13" si="2">IF(C8=0,"",I8/C8)</f>
        <v>13.24421052631579</v>
      </c>
      <c r="K8" s="27">
        <f t="shared" ref="K8:K13" si="3">I8*$F$5</f>
        <v>201.31200000000001</v>
      </c>
      <c r="L8" s="27">
        <f t="shared" ref="L8:L13" si="4">I8*$H$5</f>
        <v>100.65600000000001</v>
      </c>
      <c r="M8" s="27">
        <f t="shared" ref="M8:M13" si="5">I8*$J$5</f>
        <v>201.31200000000001</v>
      </c>
      <c r="N8" s="46">
        <f t="shared" ref="N8:N13" si="6">I8*F8</f>
        <v>230.35628880000004</v>
      </c>
      <c r="O8" s="46">
        <f t="shared" ref="O8:O14" si="7">IF(C8=0,"",N8/C8)</f>
        <v>6.0620076000000012</v>
      </c>
    </row>
    <row r="9" spans="2:15" ht="15" customHeight="1" x14ac:dyDescent="0.3">
      <c r="B9" s="47" t="s">
        <v>213</v>
      </c>
      <c r="C9" s="47">
        <f>IFERROR(INDEX(Currais!$C$3:$C$8,MATCH(B9,Currais!$A$3:$A$8,0)),0)</f>
        <v>46</v>
      </c>
      <c r="D9" s="31">
        <f>IFERROR(INDEX(Currais!$E$3:$E$8,MATCH(B9,Currais!$A$3:$A$8,0)),0)</f>
        <v>520.95652173913038</v>
      </c>
      <c r="E9" s="47" t="str">
        <f>IFERROR(INDEX(Currais!$J$3:$J$8,MATCH(B9,Currais!$A$3:$A$8,0)),"")</f>
        <v>Touros</v>
      </c>
      <c r="F9" s="35">
        <f>IFERROR(INDEX(Currais!$K$3:$K$8,MATCH(B9,Currais!$A$3:$A$8,0)),0)</f>
        <v>0.45771000000000006</v>
      </c>
      <c r="G9" s="31">
        <f t="shared" si="0"/>
        <v>575.13599999999997</v>
      </c>
      <c r="H9" s="37">
        <v>0</v>
      </c>
      <c r="I9" s="31">
        <f t="shared" si="1"/>
        <v>575.13599999999997</v>
      </c>
      <c r="J9" s="33">
        <f t="shared" si="2"/>
        <v>12.502956521739129</v>
      </c>
      <c r="K9" s="31">
        <f t="shared" si="3"/>
        <v>230.05439999999999</v>
      </c>
      <c r="L9" s="31">
        <f t="shared" si="4"/>
        <v>115.02719999999999</v>
      </c>
      <c r="M9" s="31">
        <f t="shared" si="5"/>
        <v>230.05439999999999</v>
      </c>
      <c r="N9" s="20">
        <f t="shared" si="6"/>
        <v>263.24549856000004</v>
      </c>
      <c r="O9" s="20">
        <f t="shared" si="7"/>
        <v>5.7227282295652184</v>
      </c>
    </row>
    <row r="10" spans="2:15" ht="15" customHeight="1" x14ac:dyDescent="0.3">
      <c r="B10" s="44" t="s">
        <v>40</v>
      </c>
      <c r="C10" s="44">
        <f>IFERROR(INDEX(Currais!$C$3:$C$8,MATCH(B10,Currais!$A$3:$A$8,0)),0)</f>
        <v>165</v>
      </c>
      <c r="D10" s="27">
        <f>IFERROR(INDEX(Currais!$E$3:$E$8,MATCH(B10,Currais!$A$3:$A$8,0)),0)</f>
        <v>219.67878787878789</v>
      </c>
      <c r="E10" s="44" t="str">
        <f>IFERROR(INDEX(Currais!$J$3:$J$8,MATCH(B10,Currais!$A$3:$A$8,0)),"")</f>
        <v>Bezerros</v>
      </c>
      <c r="F10" s="45">
        <f>IFERROR(INDEX(Currais!$K$3:$K$8,MATCH(B10,Currais!$A$3:$A$8,0)),0)</f>
        <v>0.52245000000000008</v>
      </c>
      <c r="G10" s="27">
        <f t="shared" si="0"/>
        <v>869.928</v>
      </c>
      <c r="H10" s="37">
        <v>0</v>
      </c>
      <c r="I10" s="27">
        <f t="shared" si="1"/>
        <v>869.928</v>
      </c>
      <c r="J10" s="29">
        <f t="shared" si="2"/>
        <v>5.2722909090909091</v>
      </c>
      <c r="K10" s="27">
        <f t="shared" si="3"/>
        <v>347.97120000000001</v>
      </c>
      <c r="L10" s="27">
        <f t="shared" si="4"/>
        <v>173.98560000000001</v>
      </c>
      <c r="M10" s="27">
        <f t="shared" si="5"/>
        <v>347.97120000000001</v>
      </c>
      <c r="N10" s="46">
        <f t="shared" si="6"/>
        <v>454.49388360000006</v>
      </c>
      <c r="O10" s="46">
        <f t="shared" si="7"/>
        <v>2.754508385454546</v>
      </c>
    </row>
    <row r="11" spans="2:15" ht="15" customHeight="1" x14ac:dyDescent="0.3">
      <c r="B11" s="47" t="s">
        <v>9</v>
      </c>
      <c r="C11" s="47">
        <f>IFERROR(INDEX(Currais!$C$3:$C$8,MATCH(B11,Currais!$A$3:$A$8,0)),0)</f>
        <v>29</v>
      </c>
      <c r="D11" s="31">
        <f>IFERROR(INDEX(Currais!$E$3:$E$8,MATCH(B11,Currais!$A$3:$A$8,0)),0)</f>
        <v>558.72413793103453</v>
      </c>
      <c r="E11" s="47" t="str">
        <f>IFERROR(INDEX(Currais!$J$3:$J$8,MATCH(B11,Currais!$A$3:$A$8,0)),"")</f>
        <v>Boi Nelore</v>
      </c>
      <c r="F11" s="35">
        <f>IFERROR(INDEX(Currais!$K$3:$K$8,MATCH(B11,Currais!$A$3:$A$8,0)),0)</f>
        <v>0.66905000000000003</v>
      </c>
      <c r="G11" s="31">
        <f t="shared" si="0"/>
        <v>388.87200000000007</v>
      </c>
      <c r="H11" s="37">
        <v>0</v>
      </c>
      <c r="I11" s="31">
        <f t="shared" si="1"/>
        <v>388.87200000000007</v>
      </c>
      <c r="J11" s="33">
        <f t="shared" si="2"/>
        <v>13.40937931034483</v>
      </c>
      <c r="K11" s="31">
        <f t="shared" si="3"/>
        <v>155.54880000000003</v>
      </c>
      <c r="L11" s="31">
        <f t="shared" si="4"/>
        <v>77.774400000000014</v>
      </c>
      <c r="M11" s="31">
        <f t="shared" si="5"/>
        <v>155.54880000000003</v>
      </c>
      <c r="N11" s="20">
        <f t="shared" si="6"/>
        <v>260.17481160000006</v>
      </c>
      <c r="O11" s="20">
        <f t="shared" si="7"/>
        <v>8.9715452275862084</v>
      </c>
    </row>
    <row r="12" spans="2:15" ht="15" customHeight="1" x14ac:dyDescent="0.3">
      <c r="B12" s="44" t="s">
        <v>299</v>
      </c>
      <c r="C12" s="44">
        <f>IFERROR(INDEX(Currais!$C$3:$C$8,MATCH(B12,Currais!$A$3:$A$8,0)),0)</f>
        <v>70</v>
      </c>
      <c r="D12" s="27">
        <f>IFERROR(INDEX(Currais!$E$3:$E$8,MATCH(B12,Currais!$A$3:$A$8,0)),0)</f>
        <v>342.02857142857141</v>
      </c>
      <c r="E12" s="44" t="str">
        <f>IFERROR(INDEX(Currais!$J$3:$J$8,MATCH(B12,Currais!$A$3:$A$8,0)),"")</f>
        <v>Boi Nelore</v>
      </c>
      <c r="F12" s="45">
        <f>IFERROR(INDEX(Currais!$K$3:$K$8,MATCH(B12,Currais!$A$3:$A$8,0)),0)</f>
        <v>0.66905000000000003</v>
      </c>
      <c r="G12" s="27">
        <f t="shared" si="0"/>
        <v>574.60800000000006</v>
      </c>
      <c r="H12" s="37">
        <v>0</v>
      </c>
      <c r="I12" s="27">
        <f t="shared" si="1"/>
        <v>574.60800000000006</v>
      </c>
      <c r="J12" s="29">
        <f t="shared" si="2"/>
        <v>8.2086857142857159</v>
      </c>
      <c r="K12" s="27">
        <f t="shared" si="3"/>
        <v>229.84320000000002</v>
      </c>
      <c r="L12" s="27">
        <f t="shared" si="4"/>
        <v>114.92160000000001</v>
      </c>
      <c r="M12" s="27">
        <f t="shared" si="5"/>
        <v>229.84320000000002</v>
      </c>
      <c r="N12" s="46">
        <f t="shared" si="6"/>
        <v>384.44148240000004</v>
      </c>
      <c r="O12" s="46">
        <f t="shared" si="7"/>
        <v>5.492021177142858</v>
      </c>
    </row>
    <row r="13" spans="2:15" ht="15" customHeight="1" x14ac:dyDescent="0.3">
      <c r="B13" s="47" t="s">
        <v>372</v>
      </c>
      <c r="C13" s="47">
        <f>IFERROR(INDEX(Currais!$C$3:$C$8,MATCH(B13,Currais!$A$3:$A$8,0)),0)</f>
        <v>37</v>
      </c>
      <c r="D13" s="31">
        <f>IFERROR(INDEX(Currais!$E$3:$E$8,MATCH(B13,Currais!$A$3:$A$8,0)),0)</f>
        <v>351.48648648648651</v>
      </c>
      <c r="E13" s="47" t="str">
        <f>IFERROR(INDEX(Currais!$J$3:$J$8,MATCH(B13,Currais!$A$3:$A$8,0)),"")</f>
        <v>Descarte</v>
      </c>
      <c r="F13" s="35">
        <f>IFERROR(INDEX(Currais!$K$3:$K$8,MATCH(B13,Currais!$A$3:$A$8,0)),0)</f>
        <v>0.57515000000000005</v>
      </c>
      <c r="G13" s="31">
        <f t="shared" si="0"/>
        <v>312.12000000000006</v>
      </c>
      <c r="H13" s="37">
        <v>0</v>
      </c>
      <c r="I13" s="31">
        <f t="shared" si="1"/>
        <v>312.12000000000006</v>
      </c>
      <c r="J13" s="33">
        <f t="shared" si="2"/>
        <v>8.435675675675677</v>
      </c>
      <c r="K13" s="31">
        <f t="shared" si="3"/>
        <v>124.84800000000003</v>
      </c>
      <c r="L13" s="31">
        <f t="shared" si="4"/>
        <v>62.424000000000014</v>
      </c>
      <c r="M13" s="31">
        <f t="shared" si="5"/>
        <v>124.84800000000003</v>
      </c>
      <c r="N13" s="20">
        <f t="shared" si="6"/>
        <v>179.51581800000005</v>
      </c>
      <c r="O13" s="20">
        <f t="shared" si="7"/>
        <v>4.8517788648648663</v>
      </c>
    </row>
    <row r="14" spans="2:15" ht="15" customHeight="1" x14ac:dyDescent="0.3">
      <c r="B14" s="48" t="s">
        <v>548</v>
      </c>
      <c r="C14" s="49">
        <f>SUM(C8:C13)</f>
        <v>385</v>
      </c>
      <c r="D14" s="39"/>
      <c r="E14" s="39"/>
      <c r="F14" s="39"/>
      <c r="G14" s="49">
        <f>SUM(G8:G13)</f>
        <v>3223.9440000000004</v>
      </c>
      <c r="H14" s="39"/>
      <c r="I14" s="49">
        <f>SUM(I8:I13)</f>
        <v>3223.9440000000004</v>
      </c>
      <c r="J14" s="39"/>
      <c r="K14" s="49">
        <f>SUM(K8:K13)</f>
        <v>1289.5776000000001</v>
      </c>
      <c r="L14" s="49">
        <f>SUM(L8:L13)</f>
        <v>644.78880000000004</v>
      </c>
      <c r="M14" s="49">
        <f>SUM(M8:M13)</f>
        <v>1289.5776000000001</v>
      </c>
      <c r="N14" s="50">
        <f>SUM(N8:N13)</f>
        <v>1772.2277829600005</v>
      </c>
      <c r="O14" s="50">
        <f t="shared" si="7"/>
        <v>4.6031890466493515</v>
      </c>
    </row>
  </sheetData>
  <mergeCells count="3">
    <mergeCell ref="B3:O3"/>
    <mergeCell ref="B5:C5"/>
    <mergeCell ref="B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2" width="12" customWidth="1"/>
    <col min="3" max="5" width="15" customWidth="1"/>
    <col min="6" max="6" width="16" customWidth="1"/>
    <col min="7" max="7" width="10" customWidth="1"/>
    <col min="8" max="8" width="12" customWidth="1"/>
    <col min="9" max="10" width="15" customWidth="1"/>
    <col min="11" max="11" width="22" customWidth="1"/>
  </cols>
  <sheetData>
    <row r="1" spans="1:11" ht="24" customHeight="1" x14ac:dyDescent="0.3">
      <c r="A1" s="127" t="s">
        <v>549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30" customHeight="1" x14ac:dyDescent="0.3">
      <c r="A2" s="131" t="s">
        <v>550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31.5" customHeight="1" x14ac:dyDescent="0.3">
      <c r="A3" s="15" t="s">
        <v>1</v>
      </c>
      <c r="B3" s="15" t="s">
        <v>4</v>
      </c>
      <c r="C3" s="15" t="s">
        <v>551</v>
      </c>
      <c r="D3" s="15" t="s">
        <v>552</v>
      </c>
      <c r="E3" s="15" t="s">
        <v>553</v>
      </c>
      <c r="F3" s="15" t="s">
        <v>554</v>
      </c>
      <c r="G3" s="15" t="s">
        <v>535</v>
      </c>
      <c r="H3" s="15" t="s">
        <v>542</v>
      </c>
      <c r="I3" s="15" t="s">
        <v>538</v>
      </c>
      <c r="J3" s="15" t="s">
        <v>555</v>
      </c>
      <c r="K3" s="15" t="s">
        <v>504</v>
      </c>
    </row>
    <row r="4" spans="1:11" ht="15" customHeight="1" x14ac:dyDescent="0.3">
      <c r="A4" s="16">
        <v>46203</v>
      </c>
      <c r="B4" s="51" t="s">
        <v>207</v>
      </c>
      <c r="C4" s="19">
        <v>320</v>
      </c>
      <c r="D4" s="19">
        <v>160</v>
      </c>
      <c r="E4" s="19">
        <v>320</v>
      </c>
      <c r="F4" s="31">
        <f t="shared" ref="F4:F35" si="0">IF(AND(C4="",D4="",E4=""),"",N(C4)+N(D4)+N(E4))</f>
        <v>800</v>
      </c>
      <c r="G4" s="47">
        <f>IF(B4="","",IFERROR(INDEX(Currais!$C$3:$C$8,MATCH(B4,Currais!$A$3:$A$8,0)),""))</f>
        <v>38</v>
      </c>
      <c r="H4" s="33">
        <f t="shared" ref="H4:H35" si="1">IF(OR(F4="",G4="",G4=0),"",F4/G4)</f>
        <v>21.05263157894737</v>
      </c>
      <c r="I4" s="52">
        <f>IF(F4="","",IFERROR(INDEX(Currais!$K$3:$K$8,MATCH(B4,Currais!$A$3:$A$8,0)),0))</f>
        <v>0.45771000000000006</v>
      </c>
      <c r="J4" s="20">
        <f t="shared" ref="J4:J35" si="2">IF(F4="","",F4*I4)</f>
        <v>366.16800000000006</v>
      </c>
      <c r="K4" s="53" t="s">
        <v>556</v>
      </c>
    </row>
    <row r="5" spans="1:11" ht="15" customHeight="1" x14ac:dyDescent="0.3">
      <c r="A5" s="16">
        <v>46204</v>
      </c>
      <c r="B5" s="51" t="s">
        <v>207</v>
      </c>
      <c r="C5" s="19">
        <v>320</v>
      </c>
      <c r="D5" s="19">
        <v>160</v>
      </c>
      <c r="E5" s="19">
        <v>320</v>
      </c>
      <c r="F5" s="31">
        <f t="shared" si="0"/>
        <v>800</v>
      </c>
      <c r="G5" s="47">
        <f>IF(B5="","",IFERROR(INDEX(Currais!$C$3:$C$8,MATCH(B5,Currais!$A$3:$A$8,0)),""))</f>
        <v>38</v>
      </c>
      <c r="H5" s="33">
        <f t="shared" si="1"/>
        <v>21.05263157894737</v>
      </c>
      <c r="I5" s="52">
        <f>IF(F5="","",IFERROR(INDEX(Currais!$K$3:$K$8,MATCH(B5,Currais!$A$3:$A$8,0)),0))</f>
        <v>0.45771000000000006</v>
      </c>
      <c r="J5" s="20">
        <f t="shared" si="2"/>
        <v>366.16800000000006</v>
      </c>
      <c r="K5" s="53" t="s">
        <v>556</v>
      </c>
    </row>
    <row r="6" spans="1:11" ht="15" customHeight="1" x14ac:dyDescent="0.3">
      <c r="A6" s="16">
        <v>46205</v>
      </c>
      <c r="B6" s="51" t="s">
        <v>207</v>
      </c>
      <c r="C6" s="19">
        <v>320</v>
      </c>
      <c r="D6" s="19">
        <v>160</v>
      </c>
      <c r="E6" s="19">
        <v>320</v>
      </c>
      <c r="F6" s="31">
        <f t="shared" si="0"/>
        <v>800</v>
      </c>
      <c r="G6" s="47">
        <f>IF(B6="","",IFERROR(INDEX(Currais!$C$3:$C$8,MATCH(B6,Currais!$A$3:$A$8,0)),""))</f>
        <v>38</v>
      </c>
      <c r="H6" s="33">
        <f t="shared" si="1"/>
        <v>21.05263157894737</v>
      </c>
      <c r="I6" s="52">
        <f>IF(F6="","",IFERROR(INDEX(Currais!$K$3:$K$8,MATCH(B6,Currais!$A$3:$A$8,0)),0))</f>
        <v>0.45771000000000006</v>
      </c>
      <c r="J6" s="20">
        <f t="shared" si="2"/>
        <v>366.16800000000006</v>
      </c>
      <c r="K6" s="53" t="s">
        <v>556</v>
      </c>
    </row>
    <row r="7" spans="1:11" ht="15" customHeight="1" x14ac:dyDescent="0.3">
      <c r="A7" s="16">
        <v>46206</v>
      </c>
      <c r="B7" s="51" t="s">
        <v>207</v>
      </c>
      <c r="C7" s="19">
        <v>360</v>
      </c>
      <c r="D7" s="19">
        <v>180</v>
      </c>
      <c r="E7" s="19">
        <v>360</v>
      </c>
      <c r="F7" s="31">
        <f t="shared" si="0"/>
        <v>900</v>
      </c>
      <c r="G7" s="47">
        <f>IF(B7="","",IFERROR(INDEX(Currais!$C$3:$C$8,MATCH(B7,Currais!$A$3:$A$8,0)),""))</f>
        <v>38</v>
      </c>
      <c r="H7" s="33">
        <f t="shared" si="1"/>
        <v>23.684210526315791</v>
      </c>
      <c r="I7" s="52">
        <f>IF(F7="","",IFERROR(INDEX(Currais!$K$3:$K$8,MATCH(B7,Currais!$A$3:$A$8,0)),0))</f>
        <v>0.45771000000000006</v>
      </c>
      <c r="J7" s="20">
        <f t="shared" si="2"/>
        <v>411.93900000000008</v>
      </c>
      <c r="K7" s="53" t="s">
        <v>556</v>
      </c>
    </row>
    <row r="8" spans="1:11" ht="15" customHeight="1" x14ac:dyDescent="0.3">
      <c r="A8" s="16">
        <v>46207</v>
      </c>
      <c r="B8" s="51" t="s">
        <v>207</v>
      </c>
      <c r="C8" s="19">
        <v>360</v>
      </c>
      <c r="D8" s="19">
        <v>180</v>
      </c>
      <c r="E8" s="19">
        <v>360</v>
      </c>
      <c r="F8" s="31">
        <f t="shared" si="0"/>
        <v>900</v>
      </c>
      <c r="G8" s="47">
        <f>IF(B8="","",IFERROR(INDEX(Currais!$C$3:$C$8,MATCH(B8,Currais!$A$3:$A$8,0)),""))</f>
        <v>38</v>
      </c>
      <c r="H8" s="33">
        <f t="shared" si="1"/>
        <v>23.684210526315791</v>
      </c>
      <c r="I8" s="52">
        <f>IF(F8="","",IFERROR(INDEX(Currais!$K$3:$K$8,MATCH(B8,Currais!$A$3:$A$8,0)),0))</f>
        <v>0.45771000000000006</v>
      </c>
      <c r="J8" s="20">
        <f t="shared" si="2"/>
        <v>411.93900000000008</v>
      </c>
      <c r="K8" s="53" t="s">
        <v>556</v>
      </c>
    </row>
    <row r="9" spans="1:11" ht="15" customHeight="1" x14ac:dyDescent="0.3">
      <c r="A9" s="16">
        <v>46208</v>
      </c>
      <c r="B9" s="51" t="s">
        <v>207</v>
      </c>
      <c r="C9" s="19">
        <v>360</v>
      </c>
      <c r="D9" s="19">
        <v>180</v>
      </c>
      <c r="E9" s="19">
        <v>360</v>
      </c>
      <c r="F9" s="31">
        <f t="shared" si="0"/>
        <v>900</v>
      </c>
      <c r="G9" s="47">
        <f>IF(B9="","",IFERROR(INDEX(Currais!$C$3:$C$8,MATCH(B9,Currais!$A$3:$A$8,0)),""))</f>
        <v>38</v>
      </c>
      <c r="H9" s="33">
        <f t="shared" si="1"/>
        <v>23.684210526315791</v>
      </c>
      <c r="I9" s="52">
        <f>IF(F9="","",IFERROR(INDEX(Currais!$K$3:$K$8,MATCH(B9,Currais!$A$3:$A$8,0)),0))</f>
        <v>0.45771000000000006</v>
      </c>
      <c r="J9" s="20">
        <f t="shared" si="2"/>
        <v>411.93900000000008</v>
      </c>
      <c r="K9" s="53" t="s">
        <v>556</v>
      </c>
    </row>
    <row r="10" spans="1:11" ht="15" customHeight="1" x14ac:dyDescent="0.3">
      <c r="A10" s="16">
        <v>46209</v>
      </c>
      <c r="B10" s="51" t="s">
        <v>207</v>
      </c>
      <c r="C10" s="19">
        <v>400</v>
      </c>
      <c r="D10" s="19">
        <v>200</v>
      </c>
      <c r="E10" s="19">
        <v>400</v>
      </c>
      <c r="F10" s="31">
        <f t="shared" si="0"/>
        <v>1000</v>
      </c>
      <c r="G10" s="47">
        <f>IF(B10="","",IFERROR(INDEX(Currais!$C$3:$C$8,MATCH(B10,Currais!$A$3:$A$8,0)),""))</f>
        <v>38</v>
      </c>
      <c r="H10" s="33">
        <f t="shared" si="1"/>
        <v>26.315789473684209</v>
      </c>
      <c r="I10" s="52">
        <f>IF(F10="","",IFERROR(INDEX(Currais!$K$3:$K$8,MATCH(B10,Currais!$A$3:$A$8,0)),0))</f>
        <v>0.45771000000000006</v>
      </c>
      <c r="J10" s="20">
        <f t="shared" si="2"/>
        <v>457.71000000000004</v>
      </c>
      <c r="K10" s="53" t="s">
        <v>556</v>
      </c>
    </row>
    <row r="11" spans="1:11" ht="15" customHeight="1" x14ac:dyDescent="0.3">
      <c r="A11" s="16">
        <v>46210</v>
      </c>
      <c r="B11" s="51" t="s">
        <v>207</v>
      </c>
      <c r="C11" s="19">
        <v>400</v>
      </c>
      <c r="D11" s="19">
        <v>200</v>
      </c>
      <c r="E11" s="19">
        <v>400</v>
      </c>
      <c r="F11" s="31">
        <f t="shared" si="0"/>
        <v>1000</v>
      </c>
      <c r="G11" s="47">
        <f>IF(B11="","",IFERROR(INDEX(Currais!$C$3:$C$8,MATCH(B11,Currais!$A$3:$A$8,0)),""))</f>
        <v>38</v>
      </c>
      <c r="H11" s="33">
        <f t="shared" si="1"/>
        <v>26.315789473684209</v>
      </c>
      <c r="I11" s="52">
        <f>IF(F11="","",IFERROR(INDEX(Currais!$K$3:$K$8,MATCH(B11,Currais!$A$3:$A$8,0)),0))</f>
        <v>0.45771000000000006</v>
      </c>
      <c r="J11" s="20">
        <f t="shared" si="2"/>
        <v>457.71000000000004</v>
      </c>
      <c r="K11" s="53" t="s">
        <v>556</v>
      </c>
    </row>
    <row r="12" spans="1:11" ht="15" customHeight="1" x14ac:dyDescent="0.3">
      <c r="A12" s="16">
        <v>46211</v>
      </c>
      <c r="B12" s="51" t="s">
        <v>207</v>
      </c>
      <c r="C12" s="19">
        <v>400</v>
      </c>
      <c r="D12" s="19">
        <v>200</v>
      </c>
      <c r="E12" s="19">
        <v>400</v>
      </c>
      <c r="F12" s="31">
        <f t="shared" si="0"/>
        <v>1000</v>
      </c>
      <c r="G12" s="47">
        <f>IF(B12="","",IFERROR(INDEX(Currais!$C$3:$C$8,MATCH(B12,Currais!$A$3:$A$8,0)),""))</f>
        <v>38</v>
      </c>
      <c r="H12" s="33">
        <f t="shared" si="1"/>
        <v>26.315789473684209</v>
      </c>
      <c r="I12" s="52">
        <f>IF(F12="","",IFERROR(INDEX(Currais!$K$3:$K$8,MATCH(B12,Currais!$A$3:$A$8,0)),0))</f>
        <v>0.45771000000000006</v>
      </c>
      <c r="J12" s="20">
        <f t="shared" si="2"/>
        <v>457.71000000000004</v>
      </c>
      <c r="K12" s="53" t="s">
        <v>556</v>
      </c>
    </row>
    <row r="13" spans="1:11" ht="15" customHeight="1" x14ac:dyDescent="0.3">
      <c r="A13" s="16">
        <v>46212</v>
      </c>
      <c r="B13" s="51" t="s">
        <v>207</v>
      </c>
      <c r="C13" s="19">
        <v>440</v>
      </c>
      <c r="D13" s="19">
        <v>220</v>
      </c>
      <c r="E13" s="19">
        <v>440</v>
      </c>
      <c r="F13" s="31">
        <f t="shared" si="0"/>
        <v>1100</v>
      </c>
      <c r="G13" s="47">
        <f>IF(B13="","",IFERROR(INDEX(Currais!$C$3:$C$8,MATCH(B13,Currais!$A$3:$A$8,0)),""))</f>
        <v>38</v>
      </c>
      <c r="H13" s="33">
        <f t="shared" si="1"/>
        <v>28.94736842105263</v>
      </c>
      <c r="I13" s="52">
        <f>IF(F13="","",IFERROR(INDEX(Currais!$K$3:$K$8,MATCH(B13,Currais!$A$3:$A$8,0)),0))</f>
        <v>0.45771000000000006</v>
      </c>
      <c r="J13" s="20">
        <f t="shared" si="2"/>
        <v>503.48100000000005</v>
      </c>
      <c r="K13" s="53" t="s">
        <v>556</v>
      </c>
    </row>
    <row r="14" spans="1:11" ht="15" customHeight="1" x14ac:dyDescent="0.3">
      <c r="A14" s="16">
        <v>46213</v>
      </c>
      <c r="B14" s="51" t="s">
        <v>207</v>
      </c>
      <c r="C14" s="19">
        <v>440</v>
      </c>
      <c r="D14" s="19">
        <v>220</v>
      </c>
      <c r="E14" s="19">
        <v>440</v>
      </c>
      <c r="F14" s="31">
        <f t="shared" si="0"/>
        <v>1100</v>
      </c>
      <c r="G14" s="47">
        <f>IF(B14="","",IFERROR(INDEX(Currais!$C$3:$C$8,MATCH(B14,Currais!$A$3:$A$8,0)),""))</f>
        <v>38</v>
      </c>
      <c r="H14" s="33">
        <f t="shared" si="1"/>
        <v>28.94736842105263</v>
      </c>
      <c r="I14" s="52">
        <f>IF(F14="","",IFERROR(INDEX(Currais!$K$3:$K$8,MATCH(B14,Currais!$A$3:$A$8,0)),0))</f>
        <v>0.45771000000000006</v>
      </c>
      <c r="J14" s="20">
        <f t="shared" si="2"/>
        <v>503.48100000000005</v>
      </c>
      <c r="K14" s="53" t="s">
        <v>556</v>
      </c>
    </row>
    <row r="15" spans="1:11" ht="15" customHeight="1" x14ac:dyDescent="0.3">
      <c r="A15" s="16">
        <v>46214</v>
      </c>
      <c r="B15" s="51" t="s">
        <v>207</v>
      </c>
      <c r="C15" s="19">
        <v>440</v>
      </c>
      <c r="D15" s="19">
        <v>220</v>
      </c>
      <c r="E15" s="19">
        <v>440</v>
      </c>
      <c r="F15" s="31">
        <f t="shared" si="0"/>
        <v>1100</v>
      </c>
      <c r="G15" s="47">
        <f>IF(B15="","",IFERROR(INDEX(Currais!$C$3:$C$8,MATCH(B15,Currais!$A$3:$A$8,0)),""))</f>
        <v>38</v>
      </c>
      <c r="H15" s="33">
        <f t="shared" si="1"/>
        <v>28.94736842105263</v>
      </c>
      <c r="I15" s="52">
        <f>IF(F15="","",IFERROR(INDEX(Currais!$K$3:$K$8,MATCH(B15,Currais!$A$3:$A$8,0)),0))</f>
        <v>0.45771000000000006</v>
      </c>
      <c r="J15" s="20">
        <f t="shared" si="2"/>
        <v>503.48100000000005</v>
      </c>
      <c r="K15" s="53" t="s">
        <v>556</v>
      </c>
    </row>
    <row r="16" spans="1:11" ht="15" customHeight="1" x14ac:dyDescent="0.3">
      <c r="A16" s="16">
        <v>46215</v>
      </c>
      <c r="B16" s="51" t="s">
        <v>207</v>
      </c>
      <c r="C16" s="19">
        <v>480</v>
      </c>
      <c r="D16" s="19">
        <v>240</v>
      </c>
      <c r="E16" s="19">
        <v>480</v>
      </c>
      <c r="F16" s="31">
        <f t="shared" si="0"/>
        <v>1200</v>
      </c>
      <c r="G16" s="47">
        <f>IF(B16="","",IFERROR(INDEX(Currais!$C$3:$C$8,MATCH(B16,Currais!$A$3:$A$8,0)),""))</f>
        <v>38</v>
      </c>
      <c r="H16" s="33">
        <f t="shared" si="1"/>
        <v>31.578947368421051</v>
      </c>
      <c r="I16" s="52">
        <f>IF(F16="","",IFERROR(INDEX(Currais!$K$3:$K$8,MATCH(B16,Currais!$A$3:$A$8,0)),0))</f>
        <v>0.45771000000000006</v>
      </c>
      <c r="J16" s="20">
        <f t="shared" si="2"/>
        <v>549.25200000000007</v>
      </c>
      <c r="K16" s="53" t="s">
        <v>556</v>
      </c>
    </row>
    <row r="17" spans="1:11" ht="15" customHeight="1" x14ac:dyDescent="0.3">
      <c r="A17" s="16">
        <v>46216</v>
      </c>
      <c r="B17" s="51" t="s">
        <v>207</v>
      </c>
      <c r="C17" s="19">
        <v>480</v>
      </c>
      <c r="D17" s="19">
        <v>240</v>
      </c>
      <c r="E17" s="19">
        <v>480</v>
      </c>
      <c r="F17" s="31">
        <f t="shared" si="0"/>
        <v>1200</v>
      </c>
      <c r="G17" s="47">
        <f>IF(B17="","",IFERROR(INDEX(Currais!$C$3:$C$8,MATCH(B17,Currais!$A$3:$A$8,0)),""))</f>
        <v>38</v>
      </c>
      <c r="H17" s="33">
        <f t="shared" si="1"/>
        <v>31.578947368421051</v>
      </c>
      <c r="I17" s="52">
        <f>IF(F17="","",IFERROR(INDEX(Currais!$K$3:$K$8,MATCH(B17,Currais!$A$3:$A$8,0)),0))</f>
        <v>0.45771000000000006</v>
      </c>
      <c r="J17" s="20">
        <f t="shared" si="2"/>
        <v>549.25200000000007</v>
      </c>
      <c r="K17" s="53" t="s">
        <v>556</v>
      </c>
    </row>
    <row r="18" spans="1:11" ht="15" customHeight="1" x14ac:dyDescent="0.3">
      <c r="A18" s="16">
        <v>46217</v>
      </c>
      <c r="B18" s="51" t="s">
        <v>207</v>
      </c>
      <c r="C18" s="19">
        <v>480</v>
      </c>
      <c r="D18" s="19">
        <v>240</v>
      </c>
      <c r="E18" s="19">
        <v>480</v>
      </c>
      <c r="F18" s="31">
        <f t="shared" si="0"/>
        <v>1200</v>
      </c>
      <c r="G18" s="47">
        <f>IF(B18="","",IFERROR(INDEX(Currais!$C$3:$C$8,MATCH(B18,Currais!$A$3:$A$8,0)),""))</f>
        <v>38</v>
      </c>
      <c r="H18" s="33">
        <f t="shared" si="1"/>
        <v>31.578947368421051</v>
      </c>
      <c r="I18" s="52">
        <f>IF(F18="","",IFERROR(INDEX(Currais!$K$3:$K$8,MATCH(B18,Currais!$A$3:$A$8,0)),0))</f>
        <v>0.45771000000000006</v>
      </c>
      <c r="J18" s="20">
        <f t="shared" si="2"/>
        <v>549.25200000000007</v>
      </c>
      <c r="K18" s="53" t="s">
        <v>556</v>
      </c>
    </row>
    <row r="19" spans="1:11" ht="15" customHeight="1" x14ac:dyDescent="0.3">
      <c r="A19" s="16">
        <v>46218</v>
      </c>
      <c r="B19" s="51" t="s">
        <v>207</v>
      </c>
      <c r="C19" s="19">
        <v>520</v>
      </c>
      <c r="D19" s="19">
        <v>260</v>
      </c>
      <c r="E19" s="19">
        <v>520</v>
      </c>
      <c r="F19" s="31">
        <f t="shared" si="0"/>
        <v>1300</v>
      </c>
      <c r="G19" s="47">
        <f>IF(B19="","",IFERROR(INDEX(Currais!$C$3:$C$8,MATCH(B19,Currais!$A$3:$A$8,0)),""))</f>
        <v>38</v>
      </c>
      <c r="H19" s="33">
        <f t="shared" si="1"/>
        <v>34.210526315789473</v>
      </c>
      <c r="I19" s="52">
        <f>IF(F19="","",IFERROR(INDEX(Currais!$K$3:$K$8,MATCH(B19,Currais!$A$3:$A$8,0)),0))</f>
        <v>0.45771000000000006</v>
      </c>
      <c r="J19" s="20">
        <f t="shared" si="2"/>
        <v>595.02300000000002</v>
      </c>
      <c r="K19" s="53" t="s">
        <v>557</v>
      </c>
    </row>
    <row r="20" spans="1:11" ht="15" customHeight="1" x14ac:dyDescent="0.3">
      <c r="A20" s="16">
        <v>46219</v>
      </c>
      <c r="B20" s="51" t="s">
        <v>207</v>
      </c>
      <c r="C20" s="19">
        <v>520</v>
      </c>
      <c r="D20" s="19">
        <v>260</v>
      </c>
      <c r="E20" s="19">
        <v>520</v>
      </c>
      <c r="F20" s="31">
        <f t="shared" si="0"/>
        <v>1300</v>
      </c>
      <c r="G20" s="47">
        <f>IF(B20="","",IFERROR(INDEX(Currais!$C$3:$C$8,MATCH(B20,Currais!$A$3:$A$8,0)),""))</f>
        <v>38</v>
      </c>
      <c r="H20" s="33">
        <f t="shared" si="1"/>
        <v>34.210526315789473</v>
      </c>
      <c r="I20" s="52">
        <f>IF(F20="","",IFERROR(INDEX(Currais!$K$3:$K$8,MATCH(B20,Currais!$A$3:$A$8,0)),0))</f>
        <v>0.45771000000000006</v>
      </c>
      <c r="J20" s="20">
        <f t="shared" si="2"/>
        <v>595.02300000000002</v>
      </c>
      <c r="K20" s="53" t="s">
        <v>557</v>
      </c>
    </row>
    <row r="21" spans="1:11" ht="15" customHeight="1" x14ac:dyDescent="0.3">
      <c r="A21" s="16">
        <v>46220</v>
      </c>
      <c r="B21" s="51" t="s">
        <v>207</v>
      </c>
      <c r="C21" s="19">
        <v>520</v>
      </c>
      <c r="D21" s="19">
        <v>260</v>
      </c>
      <c r="E21" s="19">
        <v>520</v>
      </c>
      <c r="F21" s="31">
        <f t="shared" si="0"/>
        <v>1300</v>
      </c>
      <c r="G21" s="47">
        <f>IF(B21="","",IFERROR(INDEX(Currais!$C$3:$C$8,MATCH(B21,Currais!$A$3:$A$8,0)),""))</f>
        <v>38</v>
      </c>
      <c r="H21" s="33">
        <f t="shared" si="1"/>
        <v>34.210526315789473</v>
      </c>
      <c r="I21" s="52">
        <f>IF(F21="","",IFERROR(INDEX(Currais!$K$3:$K$8,MATCH(B21,Currais!$A$3:$A$8,0)),0))</f>
        <v>0.45771000000000006</v>
      </c>
      <c r="J21" s="20">
        <f t="shared" si="2"/>
        <v>595.02300000000002</v>
      </c>
      <c r="K21" s="53" t="s">
        <v>557</v>
      </c>
    </row>
    <row r="22" spans="1:11" ht="15" customHeight="1" x14ac:dyDescent="0.3">
      <c r="A22" s="16">
        <v>46221</v>
      </c>
      <c r="B22" s="51" t="s">
        <v>207</v>
      </c>
      <c r="C22" s="19">
        <v>520</v>
      </c>
      <c r="D22" s="19">
        <v>260</v>
      </c>
      <c r="E22" s="19">
        <v>520</v>
      </c>
      <c r="F22" s="31">
        <f t="shared" si="0"/>
        <v>1300</v>
      </c>
      <c r="G22" s="47">
        <f>IF(B22="","",IFERROR(INDEX(Currais!$C$3:$C$8,MATCH(B22,Currais!$A$3:$A$8,0)),""))</f>
        <v>38</v>
      </c>
      <c r="H22" s="33">
        <f t="shared" si="1"/>
        <v>34.210526315789473</v>
      </c>
      <c r="I22" s="52">
        <f>IF(F22="","",IFERROR(INDEX(Currais!$K$3:$K$8,MATCH(B22,Currais!$A$3:$A$8,0)),0))</f>
        <v>0.45771000000000006</v>
      </c>
      <c r="J22" s="20">
        <f t="shared" si="2"/>
        <v>595.02300000000002</v>
      </c>
      <c r="K22" s="53" t="s">
        <v>557</v>
      </c>
    </row>
    <row r="23" spans="1:11" ht="15" customHeight="1" x14ac:dyDescent="0.3">
      <c r="A23" s="16">
        <v>46222</v>
      </c>
      <c r="B23" s="51" t="s">
        <v>207</v>
      </c>
      <c r="C23" s="19">
        <v>520</v>
      </c>
      <c r="D23" s="19">
        <v>260</v>
      </c>
      <c r="E23" s="19">
        <v>520</v>
      </c>
      <c r="F23" s="31">
        <f t="shared" si="0"/>
        <v>1300</v>
      </c>
      <c r="G23" s="47">
        <f>IF(B23="","",IFERROR(INDEX(Currais!$C$3:$C$8,MATCH(B23,Currais!$A$3:$A$8,0)),""))</f>
        <v>38</v>
      </c>
      <c r="H23" s="33">
        <f t="shared" si="1"/>
        <v>34.210526315789473</v>
      </c>
      <c r="I23" s="52">
        <f>IF(F23="","",IFERROR(INDEX(Currais!$K$3:$K$8,MATCH(B23,Currais!$A$3:$A$8,0)),0))</f>
        <v>0.45771000000000006</v>
      </c>
      <c r="J23" s="20">
        <f t="shared" si="2"/>
        <v>595.02300000000002</v>
      </c>
      <c r="K23" s="53" t="s">
        <v>557</v>
      </c>
    </row>
    <row r="24" spans="1:11" ht="15" customHeight="1" x14ac:dyDescent="0.3">
      <c r="A24" s="16">
        <v>46223</v>
      </c>
      <c r="B24" s="51" t="s">
        <v>207</v>
      </c>
      <c r="C24" s="19">
        <v>520</v>
      </c>
      <c r="D24" s="19">
        <v>260</v>
      </c>
      <c r="E24" s="19">
        <v>520</v>
      </c>
      <c r="F24" s="31">
        <f t="shared" si="0"/>
        <v>1300</v>
      </c>
      <c r="G24" s="47">
        <f>IF(B24="","",IFERROR(INDEX(Currais!$C$3:$C$8,MATCH(B24,Currais!$A$3:$A$8,0)),""))</f>
        <v>38</v>
      </c>
      <c r="H24" s="33">
        <f t="shared" si="1"/>
        <v>34.210526315789473</v>
      </c>
      <c r="I24" s="52">
        <f>IF(F24="","",IFERROR(INDEX(Currais!$K$3:$K$8,MATCH(B24,Currais!$A$3:$A$8,0)),0))</f>
        <v>0.45771000000000006</v>
      </c>
      <c r="J24" s="20">
        <f t="shared" si="2"/>
        <v>595.02300000000002</v>
      </c>
      <c r="K24" s="53" t="s">
        <v>557</v>
      </c>
    </row>
    <row r="25" spans="1:11" ht="15" customHeight="1" x14ac:dyDescent="0.3">
      <c r="A25" s="16">
        <v>46224</v>
      </c>
      <c r="B25" s="51" t="s">
        <v>207</v>
      </c>
      <c r="C25" s="19">
        <v>520</v>
      </c>
      <c r="D25" s="19">
        <v>260</v>
      </c>
      <c r="E25" s="19">
        <v>520</v>
      </c>
      <c r="F25" s="31">
        <f t="shared" si="0"/>
        <v>1300</v>
      </c>
      <c r="G25" s="47">
        <f>IF(B25="","",IFERROR(INDEX(Currais!$C$3:$C$8,MATCH(B25,Currais!$A$3:$A$8,0)),""))</f>
        <v>38</v>
      </c>
      <c r="H25" s="33">
        <f t="shared" si="1"/>
        <v>34.210526315789473</v>
      </c>
      <c r="I25" s="52">
        <f>IF(F25="","",IFERROR(INDEX(Currais!$K$3:$K$8,MATCH(B25,Currais!$A$3:$A$8,0)),0))</f>
        <v>0.45771000000000006</v>
      </c>
      <c r="J25" s="20">
        <f t="shared" si="2"/>
        <v>595.02300000000002</v>
      </c>
      <c r="K25" s="53" t="s">
        <v>557</v>
      </c>
    </row>
    <row r="26" spans="1:11" ht="15" customHeight="1" x14ac:dyDescent="0.3">
      <c r="A26" s="16">
        <v>46225</v>
      </c>
      <c r="B26" s="51" t="s">
        <v>207</v>
      </c>
      <c r="C26" s="19">
        <v>520</v>
      </c>
      <c r="D26" s="19">
        <v>260</v>
      </c>
      <c r="E26" s="19">
        <v>520</v>
      </c>
      <c r="F26" s="31">
        <f t="shared" si="0"/>
        <v>1300</v>
      </c>
      <c r="G26" s="47">
        <f>IF(B26="","",IFERROR(INDEX(Currais!$C$3:$C$8,MATCH(B26,Currais!$A$3:$A$8,0)),""))</f>
        <v>38</v>
      </c>
      <c r="H26" s="33">
        <f t="shared" si="1"/>
        <v>34.210526315789473</v>
      </c>
      <c r="I26" s="52">
        <f>IF(F26="","",IFERROR(INDEX(Currais!$K$3:$K$8,MATCH(B26,Currais!$A$3:$A$8,0)),0))</f>
        <v>0.45771000000000006</v>
      </c>
      <c r="J26" s="20">
        <f t="shared" si="2"/>
        <v>595.02300000000002</v>
      </c>
      <c r="K26" s="53" t="s">
        <v>557</v>
      </c>
    </row>
    <row r="27" spans="1:11" ht="15" customHeight="1" x14ac:dyDescent="0.3">
      <c r="A27" s="16">
        <v>46226</v>
      </c>
      <c r="B27" s="51" t="s">
        <v>207</v>
      </c>
      <c r="C27" s="19">
        <v>520</v>
      </c>
      <c r="D27" s="19">
        <v>260</v>
      </c>
      <c r="E27" s="19">
        <v>520</v>
      </c>
      <c r="F27" s="31">
        <f t="shared" si="0"/>
        <v>1300</v>
      </c>
      <c r="G27" s="47">
        <f>IF(B27="","",IFERROR(INDEX(Currais!$C$3:$C$8,MATCH(B27,Currais!$A$3:$A$8,0)),""))</f>
        <v>38</v>
      </c>
      <c r="H27" s="33">
        <f t="shared" si="1"/>
        <v>34.210526315789473</v>
      </c>
      <c r="I27" s="52">
        <f>IF(F27="","",IFERROR(INDEX(Currais!$K$3:$K$8,MATCH(B27,Currais!$A$3:$A$8,0)),0))</f>
        <v>0.45771000000000006</v>
      </c>
      <c r="J27" s="20">
        <f t="shared" si="2"/>
        <v>595.02300000000002</v>
      </c>
      <c r="K27" s="53" t="s">
        <v>557</v>
      </c>
    </row>
    <row r="28" spans="1:11" ht="15" customHeight="1" x14ac:dyDescent="0.3">
      <c r="A28" s="16">
        <v>46227</v>
      </c>
      <c r="B28" s="51" t="s">
        <v>207</v>
      </c>
      <c r="C28" s="19">
        <v>520</v>
      </c>
      <c r="D28" s="19">
        <v>260</v>
      </c>
      <c r="E28" s="19">
        <v>520</v>
      </c>
      <c r="F28" s="31">
        <f t="shared" si="0"/>
        <v>1300</v>
      </c>
      <c r="G28" s="47">
        <f>IF(B28="","",IFERROR(INDEX(Currais!$C$3:$C$8,MATCH(B28,Currais!$A$3:$A$8,0)),""))</f>
        <v>38</v>
      </c>
      <c r="H28" s="33">
        <f t="shared" si="1"/>
        <v>34.210526315789473</v>
      </c>
      <c r="I28" s="52">
        <f>IF(F28="","",IFERROR(INDEX(Currais!$K$3:$K$8,MATCH(B28,Currais!$A$3:$A$8,0)),0))</f>
        <v>0.45771000000000006</v>
      </c>
      <c r="J28" s="20">
        <f t="shared" si="2"/>
        <v>595.02300000000002</v>
      </c>
      <c r="K28" s="53" t="s">
        <v>557</v>
      </c>
    </row>
    <row r="29" spans="1:11" ht="15" customHeight="1" x14ac:dyDescent="0.3">
      <c r="A29" s="16">
        <v>46228</v>
      </c>
      <c r="B29" s="51" t="s">
        <v>207</v>
      </c>
      <c r="C29" s="19">
        <v>520</v>
      </c>
      <c r="D29" s="19">
        <v>260</v>
      </c>
      <c r="E29" s="19">
        <v>520</v>
      </c>
      <c r="F29" s="31">
        <f t="shared" si="0"/>
        <v>1300</v>
      </c>
      <c r="G29" s="47">
        <f>IF(B29="","",IFERROR(INDEX(Currais!$C$3:$C$8,MATCH(B29,Currais!$A$3:$A$8,0)),""))</f>
        <v>38</v>
      </c>
      <c r="H29" s="33">
        <f t="shared" si="1"/>
        <v>34.210526315789473</v>
      </c>
      <c r="I29" s="52">
        <f>IF(F29="","",IFERROR(INDEX(Currais!$K$3:$K$8,MATCH(B29,Currais!$A$3:$A$8,0)),0))</f>
        <v>0.45771000000000006</v>
      </c>
      <c r="J29" s="20">
        <f t="shared" si="2"/>
        <v>595.02300000000002</v>
      </c>
      <c r="K29" s="53" t="s">
        <v>557</v>
      </c>
    </row>
    <row r="30" spans="1:11" ht="15" customHeight="1" x14ac:dyDescent="0.3">
      <c r="A30" s="16">
        <v>46229</v>
      </c>
      <c r="B30" s="51" t="s">
        <v>207</v>
      </c>
      <c r="C30" s="19">
        <v>520</v>
      </c>
      <c r="D30" s="19">
        <v>260</v>
      </c>
      <c r="E30" s="19">
        <v>520</v>
      </c>
      <c r="F30" s="31">
        <f t="shared" si="0"/>
        <v>1300</v>
      </c>
      <c r="G30" s="47">
        <f>IF(B30="","",IFERROR(INDEX(Currais!$C$3:$C$8,MATCH(B30,Currais!$A$3:$A$8,0)),""))</f>
        <v>38</v>
      </c>
      <c r="H30" s="33">
        <f t="shared" si="1"/>
        <v>34.210526315789473</v>
      </c>
      <c r="I30" s="52">
        <f>IF(F30="","",IFERROR(INDEX(Currais!$K$3:$K$8,MATCH(B30,Currais!$A$3:$A$8,0)),0))</f>
        <v>0.45771000000000006</v>
      </c>
      <c r="J30" s="20">
        <f t="shared" si="2"/>
        <v>595.02300000000002</v>
      </c>
      <c r="K30" s="53" t="s">
        <v>557</v>
      </c>
    </row>
    <row r="31" spans="1:11" ht="15" customHeight="1" x14ac:dyDescent="0.3">
      <c r="A31" s="16">
        <v>46230</v>
      </c>
      <c r="B31" s="51" t="s">
        <v>207</v>
      </c>
      <c r="C31" s="19">
        <v>520</v>
      </c>
      <c r="D31" s="19">
        <v>260</v>
      </c>
      <c r="E31" s="19">
        <v>520</v>
      </c>
      <c r="F31" s="31">
        <f t="shared" si="0"/>
        <v>1300</v>
      </c>
      <c r="G31" s="47">
        <f>IF(B31="","",IFERROR(INDEX(Currais!$C$3:$C$8,MATCH(B31,Currais!$A$3:$A$8,0)),""))</f>
        <v>38</v>
      </c>
      <c r="H31" s="33">
        <f t="shared" si="1"/>
        <v>34.210526315789473</v>
      </c>
      <c r="I31" s="52">
        <f>IF(F31="","",IFERROR(INDEX(Currais!$K$3:$K$8,MATCH(B31,Currais!$A$3:$A$8,0)),0))</f>
        <v>0.45771000000000006</v>
      </c>
      <c r="J31" s="20">
        <f t="shared" si="2"/>
        <v>595.02300000000002</v>
      </c>
      <c r="K31" s="53" t="s">
        <v>557</v>
      </c>
    </row>
    <row r="32" spans="1:11" ht="15" customHeight="1" x14ac:dyDescent="0.3">
      <c r="A32" s="16">
        <v>46231</v>
      </c>
      <c r="B32" s="51" t="s">
        <v>207</v>
      </c>
      <c r="C32" s="19">
        <v>520</v>
      </c>
      <c r="D32" s="19">
        <v>260</v>
      </c>
      <c r="E32" s="19">
        <v>520</v>
      </c>
      <c r="F32" s="31">
        <f t="shared" si="0"/>
        <v>1300</v>
      </c>
      <c r="G32" s="47">
        <f>IF(B32="","",IFERROR(INDEX(Currais!$C$3:$C$8,MATCH(B32,Currais!$A$3:$A$8,0)),""))</f>
        <v>38</v>
      </c>
      <c r="H32" s="33">
        <f t="shared" si="1"/>
        <v>34.210526315789473</v>
      </c>
      <c r="I32" s="52">
        <f>IF(F32="","",IFERROR(INDEX(Currais!$K$3:$K$8,MATCH(B32,Currais!$A$3:$A$8,0)),0))</f>
        <v>0.45771000000000006</v>
      </c>
      <c r="J32" s="20">
        <f t="shared" si="2"/>
        <v>595.02300000000002</v>
      </c>
      <c r="K32" s="53" t="s">
        <v>557</v>
      </c>
    </row>
    <row r="33" spans="1:11" ht="15" customHeight="1" x14ac:dyDescent="0.3">
      <c r="A33" s="16">
        <v>46232</v>
      </c>
      <c r="B33" s="51" t="s">
        <v>207</v>
      </c>
      <c r="C33" s="19">
        <v>520</v>
      </c>
      <c r="D33" s="19">
        <v>260</v>
      </c>
      <c r="E33" s="19">
        <v>520</v>
      </c>
      <c r="F33" s="31">
        <f t="shared" si="0"/>
        <v>1300</v>
      </c>
      <c r="G33" s="47">
        <f>IF(B33="","",IFERROR(INDEX(Currais!$C$3:$C$8,MATCH(B33,Currais!$A$3:$A$8,0)),""))</f>
        <v>38</v>
      </c>
      <c r="H33" s="33">
        <f t="shared" si="1"/>
        <v>34.210526315789473</v>
      </c>
      <c r="I33" s="52">
        <f>IF(F33="","",IFERROR(INDEX(Currais!$K$3:$K$8,MATCH(B33,Currais!$A$3:$A$8,0)),0))</f>
        <v>0.45771000000000006</v>
      </c>
      <c r="J33" s="20">
        <f t="shared" si="2"/>
        <v>595.02300000000002</v>
      </c>
      <c r="K33" s="53" t="s">
        <v>557</v>
      </c>
    </row>
    <row r="34" spans="1:11" ht="15" customHeight="1" x14ac:dyDescent="0.3">
      <c r="A34" s="16">
        <v>46233</v>
      </c>
      <c r="B34" s="51" t="s">
        <v>207</v>
      </c>
      <c r="C34" s="19">
        <v>520</v>
      </c>
      <c r="D34" s="19">
        <v>260</v>
      </c>
      <c r="E34" s="19">
        <v>520</v>
      </c>
      <c r="F34" s="31">
        <f t="shared" si="0"/>
        <v>1300</v>
      </c>
      <c r="G34" s="47">
        <f>IF(B34="","",IFERROR(INDEX(Currais!$C$3:$C$8,MATCH(B34,Currais!$A$3:$A$8,0)),""))</f>
        <v>38</v>
      </c>
      <c r="H34" s="33">
        <f t="shared" si="1"/>
        <v>34.210526315789473</v>
      </c>
      <c r="I34" s="52">
        <f>IF(F34="","",IFERROR(INDEX(Currais!$K$3:$K$8,MATCH(B34,Currais!$A$3:$A$8,0)),0))</f>
        <v>0.45771000000000006</v>
      </c>
      <c r="J34" s="20">
        <f t="shared" si="2"/>
        <v>595.02300000000002</v>
      </c>
      <c r="K34" s="53" t="s">
        <v>557</v>
      </c>
    </row>
    <row r="35" spans="1:11" ht="15" customHeight="1" x14ac:dyDescent="0.3">
      <c r="A35" s="16">
        <v>46234</v>
      </c>
      <c r="B35" s="51" t="s">
        <v>207</v>
      </c>
      <c r="C35" s="19">
        <v>520</v>
      </c>
      <c r="D35" s="19">
        <v>260</v>
      </c>
      <c r="E35" s="19">
        <v>520</v>
      </c>
      <c r="F35" s="31">
        <f t="shared" si="0"/>
        <v>1300</v>
      </c>
      <c r="G35" s="47">
        <f>IF(B35="","",IFERROR(INDEX(Currais!$C$3:$C$8,MATCH(B35,Currais!$A$3:$A$8,0)),""))</f>
        <v>38</v>
      </c>
      <c r="H35" s="33">
        <f t="shared" si="1"/>
        <v>34.210526315789473</v>
      </c>
      <c r="I35" s="52">
        <f>IF(F35="","",IFERROR(INDEX(Currais!$K$3:$K$8,MATCH(B35,Currais!$A$3:$A$8,0)),0))</f>
        <v>0.45771000000000006</v>
      </c>
      <c r="J35" s="20">
        <f t="shared" si="2"/>
        <v>595.02300000000002</v>
      </c>
      <c r="K35" s="53" t="s">
        <v>557</v>
      </c>
    </row>
    <row r="36" spans="1:11" ht="15" customHeight="1" x14ac:dyDescent="0.3">
      <c r="A36" s="16">
        <v>46235</v>
      </c>
      <c r="B36" s="51" t="s">
        <v>207</v>
      </c>
      <c r="C36" s="19">
        <v>520</v>
      </c>
      <c r="D36" s="19">
        <v>260</v>
      </c>
      <c r="E36" s="19">
        <v>520</v>
      </c>
      <c r="F36" s="31">
        <f t="shared" ref="F36:F67" si="3">IF(AND(C36="",D36="",E36=""),"",N(C36)+N(D36)+N(E36))</f>
        <v>1300</v>
      </c>
      <c r="G36" s="47">
        <f>IF(B36="","",IFERROR(INDEX(Currais!$C$3:$C$8,MATCH(B36,Currais!$A$3:$A$8,0)),""))</f>
        <v>38</v>
      </c>
      <c r="H36" s="33">
        <f t="shared" ref="H36:H67" si="4">IF(OR(F36="",G36="",G36=0),"",F36/G36)</f>
        <v>34.210526315789473</v>
      </c>
      <c r="I36" s="52">
        <f>IF(F36="","",IFERROR(INDEX(Currais!$K$3:$K$8,MATCH(B36,Currais!$A$3:$A$8,0)),0))</f>
        <v>0.45771000000000006</v>
      </c>
      <c r="J36" s="20">
        <f t="shared" ref="J36:J67" si="5">IF(F36="","",F36*I36)</f>
        <v>595.02300000000002</v>
      </c>
      <c r="K36" s="53" t="s">
        <v>557</v>
      </c>
    </row>
    <row r="37" spans="1:11" ht="15" customHeight="1" x14ac:dyDescent="0.3">
      <c r="A37" s="16">
        <v>46236</v>
      </c>
      <c r="B37" s="51" t="s">
        <v>207</v>
      </c>
      <c r="C37" s="19">
        <v>520</v>
      </c>
      <c r="D37" s="19">
        <v>260</v>
      </c>
      <c r="E37" s="19">
        <v>520</v>
      </c>
      <c r="F37" s="31">
        <f t="shared" si="3"/>
        <v>1300</v>
      </c>
      <c r="G37" s="47">
        <f>IF(B37="","",IFERROR(INDEX(Currais!$C$3:$C$8,MATCH(B37,Currais!$A$3:$A$8,0)),""))</f>
        <v>38</v>
      </c>
      <c r="H37" s="33">
        <f t="shared" si="4"/>
        <v>34.210526315789473</v>
      </c>
      <c r="I37" s="52">
        <f>IF(F37="","",IFERROR(INDEX(Currais!$K$3:$K$8,MATCH(B37,Currais!$A$3:$A$8,0)),0))</f>
        <v>0.45771000000000006</v>
      </c>
      <c r="J37" s="20">
        <f t="shared" si="5"/>
        <v>595.02300000000002</v>
      </c>
      <c r="K37" s="53" t="s">
        <v>557</v>
      </c>
    </row>
    <row r="38" spans="1:11" ht="15" customHeight="1" x14ac:dyDescent="0.3">
      <c r="A38" s="16">
        <v>46237</v>
      </c>
      <c r="B38" s="51" t="s">
        <v>207</v>
      </c>
      <c r="C38" s="19">
        <v>520</v>
      </c>
      <c r="D38" s="19">
        <v>260</v>
      </c>
      <c r="E38" s="19">
        <v>520</v>
      </c>
      <c r="F38" s="31">
        <f t="shared" si="3"/>
        <v>1300</v>
      </c>
      <c r="G38" s="47">
        <f>IF(B38="","",IFERROR(INDEX(Currais!$C$3:$C$8,MATCH(B38,Currais!$A$3:$A$8,0)),""))</f>
        <v>38</v>
      </c>
      <c r="H38" s="33">
        <f t="shared" si="4"/>
        <v>34.210526315789473</v>
      </c>
      <c r="I38" s="52">
        <f>IF(F38="","",IFERROR(INDEX(Currais!$K$3:$K$8,MATCH(B38,Currais!$A$3:$A$8,0)),0))</f>
        <v>0.45771000000000006</v>
      </c>
      <c r="J38" s="20">
        <f t="shared" si="5"/>
        <v>595.02300000000002</v>
      </c>
      <c r="K38" s="53" t="s">
        <v>557</v>
      </c>
    </row>
    <row r="39" spans="1:11" ht="15" customHeight="1" x14ac:dyDescent="0.3">
      <c r="A39" s="16">
        <v>46203</v>
      </c>
      <c r="B39" s="51" t="s">
        <v>213</v>
      </c>
      <c r="C39" s="19">
        <v>280</v>
      </c>
      <c r="D39" s="19">
        <v>140</v>
      </c>
      <c r="E39" s="19">
        <v>280</v>
      </c>
      <c r="F39" s="31">
        <f t="shared" si="3"/>
        <v>700</v>
      </c>
      <c r="G39" s="47">
        <f>IF(B39="","",IFERROR(INDEX(Currais!$C$3:$C$8,MATCH(B39,Currais!$A$3:$A$8,0)),""))</f>
        <v>46</v>
      </c>
      <c r="H39" s="33">
        <f t="shared" si="4"/>
        <v>15.217391304347826</v>
      </c>
      <c r="I39" s="52">
        <f>IF(F39="","",IFERROR(INDEX(Currais!$K$3:$K$8,MATCH(B39,Currais!$A$3:$A$8,0)),0))</f>
        <v>0.45771000000000006</v>
      </c>
      <c r="J39" s="20">
        <f t="shared" si="5"/>
        <v>320.39700000000005</v>
      </c>
      <c r="K39" s="53" t="s">
        <v>556</v>
      </c>
    </row>
    <row r="40" spans="1:11" ht="15" customHeight="1" x14ac:dyDescent="0.3">
      <c r="A40" s="16">
        <v>46204</v>
      </c>
      <c r="B40" s="51" t="s">
        <v>213</v>
      </c>
      <c r="C40" s="19">
        <v>280</v>
      </c>
      <c r="D40" s="19">
        <v>140</v>
      </c>
      <c r="E40" s="19">
        <v>280</v>
      </c>
      <c r="F40" s="31">
        <f t="shared" si="3"/>
        <v>700</v>
      </c>
      <c r="G40" s="47">
        <f>IF(B40="","",IFERROR(INDEX(Currais!$C$3:$C$8,MATCH(B40,Currais!$A$3:$A$8,0)),""))</f>
        <v>46</v>
      </c>
      <c r="H40" s="33">
        <f t="shared" si="4"/>
        <v>15.217391304347826</v>
      </c>
      <c r="I40" s="52">
        <f>IF(F40="","",IFERROR(INDEX(Currais!$K$3:$K$8,MATCH(B40,Currais!$A$3:$A$8,0)),0))</f>
        <v>0.45771000000000006</v>
      </c>
      <c r="J40" s="20">
        <f t="shared" si="5"/>
        <v>320.39700000000005</v>
      </c>
      <c r="K40" s="53" t="s">
        <v>556</v>
      </c>
    </row>
    <row r="41" spans="1:11" ht="15" customHeight="1" x14ac:dyDescent="0.3">
      <c r="A41" s="16">
        <v>46205</v>
      </c>
      <c r="B41" s="51" t="s">
        <v>213</v>
      </c>
      <c r="C41" s="19">
        <v>280</v>
      </c>
      <c r="D41" s="19">
        <v>140</v>
      </c>
      <c r="E41" s="19">
        <v>280</v>
      </c>
      <c r="F41" s="31">
        <f t="shared" si="3"/>
        <v>700</v>
      </c>
      <c r="G41" s="47">
        <f>IF(B41="","",IFERROR(INDEX(Currais!$C$3:$C$8,MATCH(B41,Currais!$A$3:$A$8,0)),""))</f>
        <v>46</v>
      </c>
      <c r="H41" s="33">
        <f t="shared" si="4"/>
        <v>15.217391304347826</v>
      </c>
      <c r="I41" s="52">
        <f>IF(F41="","",IFERROR(INDEX(Currais!$K$3:$K$8,MATCH(B41,Currais!$A$3:$A$8,0)),0))</f>
        <v>0.45771000000000006</v>
      </c>
      <c r="J41" s="20">
        <f t="shared" si="5"/>
        <v>320.39700000000005</v>
      </c>
      <c r="K41" s="53" t="s">
        <v>556</v>
      </c>
    </row>
    <row r="42" spans="1:11" ht="15" customHeight="1" x14ac:dyDescent="0.3">
      <c r="A42" s="16">
        <v>46206</v>
      </c>
      <c r="B42" s="51" t="s">
        <v>213</v>
      </c>
      <c r="C42" s="19">
        <v>320</v>
      </c>
      <c r="D42" s="19">
        <v>160</v>
      </c>
      <c r="E42" s="19">
        <v>320</v>
      </c>
      <c r="F42" s="31">
        <f t="shared" si="3"/>
        <v>800</v>
      </c>
      <c r="G42" s="47">
        <f>IF(B42="","",IFERROR(INDEX(Currais!$C$3:$C$8,MATCH(B42,Currais!$A$3:$A$8,0)),""))</f>
        <v>46</v>
      </c>
      <c r="H42" s="33">
        <f t="shared" si="4"/>
        <v>17.391304347826086</v>
      </c>
      <c r="I42" s="52">
        <f>IF(F42="","",IFERROR(INDEX(Currais!$K$3:$K$8,MATCH(B42,Currais!$A$3:$A$8,0)),0))</f>
        <v>0.45771000000000006</v>
      </c>
      <c r="J42" s="20">
        <f t="shared" si="5"/>
        <v>366.16800000000006</v>
      </c>
      <c r="K42" s="53" t="s">
        <v>556</v>
      </c>
    </row>
    <row r="43" spans="1:11" ht="15" customHeight="1" x14ac:dyDescent="0.3">
      <c r="A43" s="16">
        <v>46207</v>
      </c>
      <c r="B43" s="51" t="s">
        <v>213</v>
      </c>
      <c r="C43" s="19">
        <v>320</v>
      </c>
      <c r="D43" s="19">
        <v>160</v>
      </c>
      <c r="E43" s="19">
        <v>320</v>
      </c>
      <c r="F43" s="31">
        <f t="shared" si="3"/>
        <v>800</v>
      </c>
      <c r="G43" s="47">
        <f>IF(B43="","",IFERROR(INDEX(Currais!$C$3:$C$8,MATCH(B43,Currais!$A$3:$A$8,0)),""))</f>
        <v>46</v>
      </c>
      <c r="H43" s="33">
        <f t="shared" si="4"/>
        <v>17.391304347826086</v>
      </c>
      <c r="I43" s="52">
        <f>IF(F43="","",IFERROR(INDEX(Currais!$K$3:$K$8,MATCH(B43,Currais!$A$3:$A$8,0)),0))</f>
        <v>0.45771000000000006</v>
      </c>
      <c r="J43" s="20">
        <f t="shared" si="5"/>
        <v>366.16800000000006</v>
      </c>
      <c r="K43" s="53" t="s">
        <v>556</v>
      </c>
    </row>
    <row r="44" spans="1:11" ht="15" customHeight="1" x14ac:dyDescent="0.3">
      <c r="A44" s="16">
        <v>46208</v>
      </c>
      <c r="B44" s="51" t="s">
        <v>213</v>
      </c>
      <c r="C44" s="19">
        <v>320</v>
      </c>
      <c r="D44" s="19">
        <v>160</v>
      </c>
      <c r="E44" s="19">
        <v>320</v>
      </c>
      <c r="F44" s="31">
        <f t="shared" si="3"/>
        <v>800</v>
      </c>
      <c r="G44" s="47">
        <f>IF(B44="","",IFERROR(INDEX(Currais!$C$3:$C$8,MATCH(B44,Currais!$A$3:$A$8,0)),""))</f>
        <v>46</v>
      </c>
      <c r="H44" s="33">
        <f t="shared" si="4"/>
        <v>17.391304347826086</v>
      </c>
      <c r="I44" s="52">
        <f>IF(F44="","",IFERROR(INDEX(Currais!$K$3:$K$8,MATCH(B44,Currais!$A$3:$A$8,0)),0))</f>
        <v>0.45771000000000006</v>
      </c>
      <c r="J44" s="20">
        <f t="shared" si="5"/>
        <v>366.16800000000006</v>
      </c>
      <c r="K44" s="53" t="s">
        <v>556</v>
      </c>
    </row>
    <row r="45" spans="1:11" ht="15" customHeight="1" x14ac:dyDescent="0.3">
      <c r="A45" s="16">
        <v>46209</v>
      </c>
      <c r="B45" s="51" t="s">
        <v>213</v>
      </c>
      <c r="C45" s="19">
        <v>360</v>
      </c>
      <c r="D45" s="19">
        <v>180</v>
      </c>
      <c r="E45" s="19">
        <v>360</v>
      </c>
      <c r="F45" s="31">
        <f t="shared" si="3"/>
        <v>900</v>
      </c>
      <c r="G45" s="47">
        <f>IF(B45="","",IFERROR(INDEX(Currais!$C$3:$C$8,MATCH(B45,Currais!$A$3:$A$8,0)),""))</f>
        <v>46</v>
      </c>
      <c r="H45" s="33">
        <f t="shared" si="4"/>
        <v>19.565217391304348</v>
      </c>
      <c r="I45" s="52">
        <f>IF(F45="","",IFERROR(INDEX(Currais!$K$3:$K$8,MATCH(B45,Currais!$A$3:$A$8,0)),0))</f>
        <v>0.45771000000000006</v>
      </c>
      <c r="J45" s="20">
        <f t="shared" si="5"/>
        <v>411.93900000000008</v>
      </c>
      <c r="K45" s="53" t="s">
        <v>556</v>
      </c>
    </row>
    <row r="46" spans="1:11" ht="15" customHeight="1" x14ac:dyDescent="0.3">
      <c r="A46" s="16">
        <v>46210</v>
      </c>
      <c r="B46" s="51" t="s">
        <v>213</v>
      </c>
      <c r="C46" s="19">
        <v>360</v>
      </c>
      <c r="D46" s="19">
        <v>180</v>
      </c>
      <c r="E46" s="19">
        <v>360</v>
      </c>
      <c r="F46" s="31">
        <f t="shared" si="3"/>
        <v>900</v>
      </c>
      <c r="G46" s="47">
        <f>IF(B46="","",IFERROR(INDEX(Currais!$C$3:$C$8,MATCH(B46,Currais!$A$3:$A$8,0)),""))</f>
        <v>46</v>
      </c>
      <c r="H46" s="33">
        <f t="shared" si="4"/>
        <v>19.565217391304348</v>
      </c>
      <c r="I46" s="52">
        <f>IF(F46="","",IFERROR(INDEX(Currais!$K$3:$K$8,MATCH(B46,Currais!$A$3:$A$8,0)),0))</f>
        <v>0.45771000000000006</v>
      </c>
      <c r="J46" s="20">
        <f t="shared" si="5"/>
        <v>411.93900000000008</v>
      </c>
      <c r="K46" s="53" t="s">
        <v>556</v>
      </c>
    </row>
    <row r="47" spans="1:11" ht="15" customHeight="1" x14ac:dyDescent="0.3">
      <c r="A47" s="16">
        <v>46211</v>
      </c>
      <c r="B47" s="51" t="s">
        <v>213</v>
      </c>
      <c r="C47" s="19">
        <v>360</v>
      </c>
      <c r="D47" s="19">
        <v>180</v>
      </c>
      <c r="E47" s="19">
        <v>360</v>
      </c>
      <c r="F47" s="31">
        <f t="shared" si="3"/>
        <v>900</v>
      </c>
      <c r="G47" s="47">
        <f>IF(B47="","",IFERROR(INDEX(Currais!$C$3:$C$8,MATCH(B47,Currais!$A$3:$A$8,0)),""))</f>
        <v>46</v>
      </c>
      <c r="H47" s="33">
        <f t="shared" si="4"/>
        <v>19.565217391304348</v>
      </c>
      <c r="I47" s="52">
        <f>IF(F47="","",IFERROR(INDEX(Currais!$K$3:$K$8,MATCH(B47,Currais!$A$3:$A$8,0)),0))</f>
        <v>0.45771000000000006</v>
      </c>
      <c r="J47" s="20">
        <f t="shared" si="5"/>
        <v>411.93900000000008</v>
      </c>
      <c r="K47" s="53" t="s">
        <v>556</v>
      </c>
    </row>
    <row r="48" spans="1:11" ht="15" customHeight="1" x14ac:dyDescent="0.3">
      <c r="A48" s="16">
        <v>46212</v>
      </c>
      <c r="B48" s="51" t="s">
        <v>213</v>
      </c>
      <c r="C48" s="19">
        <v>400</v>
      </c>
      <c r="D48" s="19">
        <v>200</v>
      </c>
      <c r="E48" s="19">
        <v>400</v>
      </c>
      <c r="F48" s="31">
        <f t="shared" si="3"/>
        <v>1000</v>
      </c>
      <c r="G48" s="47">
        <f>IF(B48="","",IFERROR(INDEX(Currais!$C$3:$C$8,MATCH(B48,Currais!$A$3:$A$8,0)),""))</f>
        <v>46</v>
      </c>
      <c r="H48" s="33">
        <f t="shared" si="4"/>
        <v>21.739130434782609</v>
      </c>
      <c r="I48" s="52">
        <f>IF(F48="","",IFERROR(INDEX(Currais!$K$3:$K$8,MATCH(B48,Currais!$A$3:$A$8,0)),0))</f>
        <v>0.45771000000000006</v>
      </c>
      <c r="J48" s="20">
        <f t="shared" si="5"/>
        <v>457.71000000000004</v>
      </c>
      <c r="K48" s="53" t="s">
        <v>556</v>
      </c>
    </row>
    <row r="49" spans="1:11" ht="15" customHeight="1" x14ac:dyDescent="0.3">
      <c r="A49" s="16">
        <v>46213</v>
      </c>
      <c r="B49" s="51" t="s">
        <v>213</v>
      </c>
      <c r="C49" s="19">
        <v>400</v>
      </c>
      <c r="D49" s="19">
        <v>200</v>
      </c>
      <c r="E49" s="19">
        <v>400</v>
      </c>
      <c r="F49" s="31">
        <f t="shared" si="3"/>
        <v>1000</v>
      </c>
      <c r="G49" s="47">
        <f>IF(B49="","",IFERROR(INDEX(Currais!$C$3:$C$8,MATCH(B49,Currais!$A$3:$A$8,0)),""))</f>
        <v>46</v>
      </c>
      <c r="H49" s="33">
        <f t="shared" si="4"/>
        <v>21.739130434782609</v>
      </c>
      <c r="I49" s="52">
        <f>IF(F49="","",IFERROR(INDEX(Currais!$K$3:$K$8,MATCH(B49,Currais!$A$3:$A$8,0)),0))</f>
        <v>0.45771000000000006</v>
      </c>
      <c r="J49" s="20">
        <f t="shared" si="5"/>
        <v>457.71000000000004</v>
      </c>
      <c r="K49" s="53" t="s">
        <v>556</v>
      </c>
    </row>
    <row r="50" spans="1:11" ht="15" customHeight="1" x14ac:dyDescent="0.3">
      <c r="A50" s="16">
        <v>46214</v>
      </c>
      <c r="B50" s="51" t="s">
        <v>213</v>
      </c>
      <c r="C50" s="19">
        <v>400</v>
      </c>
      <c r="D50" s="19">
        <v>200</v>
      </c>
      <c r="E50" s="19">
        <v>400</v>
      </c>
      <c r="F50" s="31">
        <f t="shared" si="3"/>
        <v>1000</v>
      </c>
      <c r="G50" s="47">
        <f>IF(B50="","",IFERROR(INDEX(Currais!$C$3:$C$8,MATCH(B50,Currais!$A$3:$A$8,0)),""))</f>
        <v>46</v>
      </c>
      <c r="H50" s="33">
        <f t="shared" si="4"/>
        <v>21.739130434782609</v>
      </c>
      <c r="I50" s="52">
        <f>IF(F50="","",IFERROR(INDEX(Currais!$K$3:$K$8,MATCH(B50,Currais!$A$3:$A$8,0)),0))</f>
        <v>0.45771000000000006</v>
      </c>
      <c r="J50" s="20">
        <f t="shared" si="5"/>
        <v>457.71000000000004</v>
      </c>
      <c r="K50" s="53" t="s">
        <v>556</v>
      </c>
    </row>
    <row r="51" spans="1:11" ht="15" customHeight="1" x14ac:dyDescent="0.3">
      <c r="A51" s="16">
        <v>46215</v>
      </c>
      <c r="B51" s="51" t="s">
        <v>213</v>
      </c>
      <c r="C51" s="19">
        <v>440</v>
      </c>
      <c r="D51" s="19">
        <v>220</v>
      </c>
      <c r="E51" s="19">
        <v>440</v>
      </c>
      <c r="F51" s="31">
        <f t="shared" si="3"/>
        <v>1100</v>
      </c>
      <c r="G51" s="47">
        <f>IF(B51="","",IFERROR(INDEX(Currais!$C$3:$C$8,MATCH(B51,Currais!$A$3:$A$8,0)),""))</f>
        <v>46</v>
      </c>
      <c r="H51" s="33">
        <f t="shared" si="4"/>
        <v>23.913043478260871</v>
      </c>
      <c r="I51" s="52">
        <f>IF(F51="","",IFERROR(INDEX(Currais!$K$3:$K$8,MATCH(B51,Currais!$A$3:$A$8,0)),0))</f>
        <v>0.45771000000000006</v>
      </c>
      <c r="J51" s="20">
        <f t="shared" si="5"/>
        <v>503.48100000000005</v>
      </c>
      <c r="K51" s="53" t="s">
        <v>556</v>
      </c>
    </row>
    <row r="52" spans="1:11" ht="15" customHeight="1" x14ac:dyDescent="0.3">
      <c r="A52" s="16">
        <v>46216</v>
      </c>
      <c r="B52" s="51" t="s">
        <v>213</v>
      </c>
      <c r="C52" s="19">
        <v>440</v>
      </c>
      <c r="D52" s="19">
        <v>220</v>
      </c>
      <c r="E52" s="19">
        <v>440</v>
      </c>
      <c r="F52" s="31">
        <f t="shared" si="3"/>
        <v>1100</v>
      </c>
      <c r="G52" s="47">
        <f>IF(B52="","",IFERROR(INDEX(Currais!$C$3:$C$8,MATCH(B52,Currais!$A$3:$A$8,0)),""))</f>
        <v>46</v>
      </c>
      <c r="H52" s="33">
        <f t="shared" si="4"/>
        <v>23.913043478260871</v>
      </c>
      <c r="I52" s="52">
        <f>IF(F52="","",IFERROR(INDEX(Currais!$K$3:$K$8,MATCH(B52,Currais!$A$3:$A$8,0)),0))</f>
        <v>0.45771000000000006</v>
      </c>
      <c r="J52" s="20">
        <f t="shared" si="5"/>
        <v>503.48100000000005</v>
      </c>
      <c r="K52" s="53" t="s">
        <v>556</v>
      </c>
    </row>
    <row r="53" spans="1:11" ht="15" customHeight="1" x14ac:dyDescent="0.3">
      <c r="A53" s="16">
        <v>46217</v>
      </c>
      <c r="B53" s="51" t="s">
        <v>213</v>
      </c>
      <c r="C53" s="19">
        <v>440</v>
      </c>
      <c r="D53" s="19">
        <v>220</v>
      </c>
      <c r="E53" s="19">
        <v>440</v>
      </c>
      <c r="F53" s="31">
        <f t="shared" si="3"/>
        <v>1100</v>
      </c>
      <c r="G53" s="47">
        <f>IF(B53="","",IFERROR(INDEX(Currais!$C$3:$C$8,MATCH(B53,Currais!$A$3:$A$8,0)),""))</f>
        <v>46</v>
      </c>
      <c r="H53" s="33">
        <f t="shared" si="4"/>
        <v>23.913043478260871</v>
      </c>
      <c r="I53" s="52">
        <f>IF(F53="","",IFERROR(INDEX(Currais!$K$3:$K$8,MATCH(B53,Currais!$A$3:$A$8,0)),0))</f>
        <v>0.45771000000000006</v>
      </c>
      <c r="J53" s="20">
        <f t="shared" si="5"/>
        <v>503.48100000000005</v>
      </c>
      <c r="K53" s="53" t="s">
        <v>556</v>
      </c>
    </row>
    <row r="54" spans="1:11" ht="15" customHeight="1" x14ac:dyDescent="0.3">
      <c r="A54" s="16">
        <v>46218</v>
      </c>
      <c r="B54" s="51" t="s">
        <v>213</v>
      </c>
      <c r="C54" s="19">
        <v>480</v>
      </c>
      <c r="D54" s="19">
        <v>240</v>
      </c>
      <c r="E54" s="19">
        <v>480</v>
      </c>
      <c r="F54" s="31">
        <f t="shared" si="3"/>
        <v>1200</v>
      </c>
      <c r="G54" s="47">
        <f>IF(B54="","",IFERROR(INDEX(Currais!$C$3:$C$8,MATCH(B54,Currais!$A$3:$A$8,0)),""))</f>
        <v>46</v>
      </c>
      <c r="H54" s="33">
        <f t="shared" si="4"/>
        <v>26.086956521739129</v>
      </c>
      <c r="I54" s="52">
        <f>IF(F54="","",IFERROR(INDEX(Currais!$K$3:$K$8,MATCH(B54,Currais!$A$3:$A$8,0)),0))</f>
        <v>0.45771000000000006</v>
      </c>
      <c r="J54" s="20">
        <f t="shared" si="5"/>
        <v>549.25200000000007</v>
      </c>
      <c r="K54" s="53" t="s">
        <v>557</v>
      </c>
    </row>
    <row r="55" spans="1:11" ht="15" customHeight="1" x14ac:dyDescent="0.3">
      <c r="A55" s="16">
        <v>46219</v>
      </c>
      <c r="B55" s="51" t="s">
        <v>213</v>
      </c>
      <c r="C55" s="19">
        <v>480</v>
      </c>
      <c r="D55" s="19">
        <v>240</v>
      </c>
      <c r="E55" s="19">
        <v>480</v>
      </c>
      <c r="F55" s="31">
        <f t="shared" si="3"/>
        <v>1200</v>
      </c>
      <c r="G55" s="47">
        <f>IF(B55="","",IFERROR(INDEX(Currais!$C$3:$C$8,MATCH(B55,Currais!$A$3:$A$8,0)),""))</f>
        <v>46</v>
      </c>
      <c r="H55" s="33">
        <f t="shared" si="4"/>
        <v>26.086956521739129</v>
      </c>
      <c r="I55" s="52">
        <f>IF(F55="","",IFERROR(INDEX(Currais!$K$3:$K$8,MATCH(B55,Currais!$A$3:$A$8,0)),0))</f>
        <v>0.45771000000000006</v>
      </c>
      <c r="J55" s="20">
        <f t="shared" si="5"/>
        <v>549.25200000000007</v>
      </c>
      <c r="K55" s="53" t="s">
        <v>557</v>
      </c>
    </row>
    <row r="56" spans="1:11" ht="15" customHeight="1" x14ac:dyDescent="0.3">
      <c r="A56" s="16">
        <v>46220</v>
      </c>
      <c r="B56" s="51" t="s">
        <v>213</v>
      </c>
      <c r="C56" s="19">
        <v>480</v>
      </c>
      <c r="D56" s="19">
        <v>240</v>
      </c>
      <c r="E56" s="19">
        <v>480</v>
      </c>
      <c r="F56" s="31">
        <f t="shared" si="3"/>
        <v>1200</v>
      </c>
      <c r="G56" s="47">
        <f>IF(B56="","",IFERROR(INDEX(Currais!$C$3:$C$8,MATCH(B56,Currais!$A$3:$A$8,0)),""))</f>
        <v>46</v>
      </c>
      <c r="H56" s="33">
        <f t="shared" si="4"/>
        <v>26.086956521739129</v>
      </c>
      <c r="I56" s="52">
        <f>IF(F56="","",IFERROR(INDEX(Currais!$K$3:$K$8,MATCH(B56,Currais!$A$3:$A$8,0)),0))</f>
        <v>0.45771000000000006</v>
      </c>
      <c r="J56" s="20">
        <f t="shared" si="5"/>
        <v>549.25200000000007</v>
      </c>
      <c r="K56" s="53" t="s">
        <v>557</v>
      </c>
    </row>
    <row r="57" spans="1:11" ht="15" customHeight="1" x14ac:dyDescent="0.3">
      <c r="A57" s="16">
        <v>46221</v>
      </c>
      <c r="B57" s="51" t="s">
        <v>213</v>
      </c>
      <c r="C57" s="19">
        <v>480</v>
      </c>
      <c r="D57" s="19">
        <v>240</v>
      </c>
      <c r="E57" s="19">
        <v>480</v>
      </c>
      <c r="F57" s="31">
        <f t="shared" si="3"/>
        <v>1200</v>
      </c>
      <c r="G57" s="47">
        <f>IF(B57="","",IFERROR(INDEX(Currais!$C$3:$C$8,MATCH(B57,Currais!$A$3:$A$8,0)),""))</f>
        <v>46</v>
      </c>
      <c r="H57" s="33">
        <f t="shared" si="4"/>
        <v>26.086956521739129</v>
      </c>
      <c r="I57" s="52">
        <f>IF(F57="","",IFERROR(INDEX(Currais!$K$3:$K$8,MATCH(B57,Currais!$A$3:$A$8,0)),0))</f>
        <v>0.45771000000000006</v>
      </c>
      <c r="J57" s="20">
        <f t="shared" si="5"/>
        <v>549.25200000000007</v>
      </c>
      <c r="K57" s="53" t="s">
        <v>557</v>
      </c>
    </row>
    <row r="58" spans="1:11" ht="15" customHeight="1" x14ac:dyDescent="0.3">
      <c r="A58" s="16">
        <v>46222</v>
      </c>
      <c r="B58" s="51" t="s">
        <v>213</v>
      </c>
      <c r="C58" s="19">
        <v>480</v>
      </c>
      <c r="D58" s="19">
        <v>240</v>
      </c>
      <c r="E58" s="19">
        <v>480</v>
      </c>
      <c r="F58" s="31">
        <f t="shared" si="3"/>
        <v>1200</v>
      </c>
      <c r="G58" s="47">
        <f>IF(B58="","",IFERROR(INDEX(Currais!$C$3:$C$8,MATCH(B58,Currais!$A$3:$A$8,0)),""))</f>
        <v>46</v>
      </c>
      <c r="H58" s="33">
        <f t="shared" si="4"/>
        <v>26.086956521739129</v>
      </c>
      <c r="I58" s="52">
        <f>IF(F58="","",IFERROR(INDEX(Currais!$K$3:$K$8,MATCH(B58,Currais!$A$3:$A$8,0)),0))</f>
        <v>0.45771000000000006</v>
      </c>
      <c r="J58" s="20">
        <f t="shared" si="5"/>
        <v>549.25200000000007</v>
      </c>
      <c r="K58" s="53" t="s">
        <v>557</v>
      </c>
    </row>
    <row r="59" spans="1:11" ht="15" customHeight="1" x14ac:dyDescent="0.3">
      <c r="A59" s="16">
        <v>46223</v>
      </c>
      <c r="B59" s="51" t="s">
        <v>213</v>
      </c>
      <c r="C59" s="19">
        <v>480</v>
      </c>
      <c r="D59" s="19">
        <v>240</v>
      </c>
      <c r="E59" s="19">
        <v>480</v>
      </c>
      <c r="F59" s="31">
        <f t="shared" si="3"/>
        <v>1200</v>
      </c>
      <c r="G59" s="47">
        <f>IF(B59="","",IFERROR(INDEX(Currais!$C$3:$C$8,MATCH(B59,Currais!$A$3:$A$8,0)),""))</f>
        <v>46</v>
      </c>
      <c r="H59" s="33">
        <f t="shared" si="4"/>
        <v>26.086956521739129</v>
      </c>
      <c r="I59" s="52">
        <f>IF(F59="","",IFERROR(INDEX(Currais!$K$3:$K$8,MATCH(B59,Currais!$A$3:$A$8,0)),0))</f>
        <v>0.45771000000000006</v>
      </c>
      <c r="J59" s="20">
        <f t="shared" si="5"/>
        <v>549.25200000000007</v>
      </c>
      <c r="K59" s="53" t="s">
        <v>557</v>
      </c>
    </row>
    <row r="60" spans="1:11" ht="15" customHeight="1" x14ac:dyDescent="0.3">
      <c r="A60" s="16">
        <v>46224</v>
      </c>
      <c r="B60" s="51" t="s">
        <v>213</v>
      </c>
      <c r="C60" s="19">
        <v>480</v>
      </c>
      <c r="D60" s="19">
        <v>240</v>
      </c>
      <c r="E60" s="19">
        <v>480</v>
      </c>
      <c r="F60" s="31">
        <f t="shared" si="3"/>
        <v>1200</v>
      </c>
      <c r="G60" s="47">
        <f>IF(B60="","",IFERROR(INDEX(Currais!$C$3:$C$8,MATCH(B60,Currais!$A$3:$A$8,0)),""))</f>
        <v>46</v>
      </c>
      <c r="H60" s="33">
        <f t="shared" si="4"/>
        <v>26.086956521739129</v>
      </c>
      <c r="I60" s="52">
        <f>IF(F60="","",IFERROR(INDEX(Currais!$K$3:$K$8,MATCH(B60,Currais!$A$3:$A$8,0)),0))</f>
        <v>0.45771000000000006</v>
      </c>
      <c r="J60" s="20">
        <f t="shared" si="5"/>
        <v>549.25200000000007</v>
      </c>
      <c r="K60" s="53" t="s">
        <v>557</v>
      </c>
    </row>
    <row r="61" spans="1:11" ht="15" customHeight="1" x14ac:dyDescent="0.3">
      <c r="A61" s="16">
        <v>46225</v>
      </c>
      <c r="B61" s="51" t="s">
        <v>213</v>
      </c>
      <c r="C61" s="19">
        <v>480</v>
      </c>
      <c r="D61" s="19">
        <v>240</v>
      </c>
      <c r="E61" s="19">
        <v>480</v>
      </c>
      <c r="F61" s="31">
        <f t="shared" si="3"/>
        <v>1200</v>
      </c>
      <c r="G61" s="47">
        <f>IF(B61="","",IFERROR(INDEX(Currais!$C$3:$C$8,MATCH(B61,Currais!$A$3:$A$8,0)),""))</f>
        <v>46</v>
      </c>
      <c r="H61" s="33">
        <f t="shared" si="4"/>
        <v>26.086956521739129</v>
      </c>
      <c r="I61" s="52">
        <f>IF(F61="","",IFERROR(INDEX(Currais!$K$3:$K$8,MATCH(B61,Currais!$A$3:$A$8,0)),0))</f>
        <v>0.45771000000000006</v>
      </c>
      <c r="J61" s="20">
        <f t="shared" si="5"/>
        <v>549.25200000000007</v>
      </c>
      <c r="K61" s="53" t="s">
        <v>557</v>
      </c>
    </row>
    <row r="62" spans="1:11" ht="15" customHeight="1" x14ac:dyDescent="0.3">
      <c r="A62" s="16">
        <v>46226</v>
      </c>
      <c r="B62" s="51" t="s">
        <v>213</v>
      </c>
      <c r="C62" s="19">
        <v>480</v>
      </c>
      <c r="D62" s="19">
        <v>240</v>
      </c>
      <c r="E62" s="19">
        <v>480</v>
      </c>
      <c r="F62" s="31">
        <f t="shared" si="3"/>
        <v>1200</v>
      </c>
      <c r="G62" s="47">
        <f>IF(B62="","",IFERROR(INDEX(Currais!$C$3:$C$8,MATCH(B62,Currais!$A$3:$A$8,0)),""))</f>
        <v>46</v>
      </c>
      <c r="H62" s="33">
        <f t="shared" si="4"/>
        <v>26.086956521739129</v>
      </c>
      <c r="I62" s="52">
        <f>IF(F62="","",IFERROR(INDEX(Currais!$K$3:$K$8,MATCH(B62,Currais!$A$3:$A$8,0)),0))</f>
        <v>0.45771000000000006</v>
      </c>
      <c r="J62" s="20">
        <f t="shared" si="5"/>
        <v>549.25200000000007</v>
      </c>
      <c r="K62" s="53" t="s">
        <v>557</v>
      </c>
    </row>
    <row r="63" spans="1:11" ht="15" customHeight="1" x14ac:dyDescent="0.3">
      <c r="A63" s="16">
        <v>46227</v>
      </c>
      <c r="B63" s="51" t="s">
        <v>213</v>
      </c>
      <c r="C63" s="19">
        <v>480</v>
      </c>
      <c r="D63" s="19">
        <v>240</v>
      </c>
      <c r="E63" s="19">
        <v>480</v>
      </c>
      <c r="F63" s="31">
        <f t="shared" si="3"/>
        <v>1200</v>
      </c>
      <c r="G63" s="47">
        <f>IF(B63="","",IFERROR(INDEX(Currais!$C$3:$C$8,MATCH(B63,Currais!$A$3:$A$8,0)),""))</f>
        <v>46</v>
      </c>
      <c r="H63" s="33">
        <f t="shared" si="4"/>
        <v>26.086956521739129</v>
      </c>
      <c r="I63" s="52">
        <f>IF(F63="","",IFERROR(INDEX(Currais!$K$3:$K$8,MATCH(B63,Currais!$A$3:$A$8,0)),0))</f>
        <v>0.45771000000000006</v>
      </c>
      <c r="J63" s="20">
        <f t="shared" si="5"/>
        <v>549.25200000000007</v>
      </c>
      <c r="K63" s="53" t="s">
        <v>557</v>
      </c>
    </row>
    <row r="64" spans="1:11" ht="15" customHeight="1" x14ac:dyDescent="0.3">
      <c r="A64" s="16">
        <v>46228</v>
      </c>
      <c r="B64" s="51" t="s">
        <v>213</v>
      </c>
      <c r="C64" s="19">
        <v>480</v>
      </c>
      <c r="D64" s="19">
        <v>240</v>
      </c>
      <c r="E64" s="19">
        <v>480</v>
      </c>
      <c r="F64" s="31">
        <f t="shared" si="3"/>
        <v>1200</v>
      </c>
      <c r="G64" s="47">
        <f>IF(B64="","",IFERROR(INDEX(Currais!$C$3:$C$8,MATCH(B64,Currais!$A$3:$A$8,0)),""))</f>
        <v>46</v>
      </c>
      <c r="H64" s="33">
        <f t="shared" si="4"/>
        <v>26.086956521739129</v>
      </c>
      <c r="I64" s="52">
        <f>IF(F64="","",IFERROR(INDEX(Currais!$K$3:$K$8,MATCH(B64,Currais!$A$3:$A$8,0)),0))</f>
        <v>0.45771000000000006</v>
      </c>
      <c r="J64" s="20">
        <f t="shared" si="5"/>
        <v>549.25200000000007</v>
      </c>
      <c r="K64" s="53" t="s">
        <v>557</v>
      </c>
    </row>
    <row r="65" spans="1:11" ht="15" customHeight="1" x14ac:dyDescent="0.3">
      <c r="A65" s="16">
        <v>46229</v>
      </c>
      <c r="B65" s="51" t="s">
        <v>213</v>
      </c>
      <c r="C65" s="19">
        <v>480</v>
      </c>
      <c r="D65" s="19">
        <v>240</v>
      </c>
      <c r="E65" s="19">
        <v>480</v>
      </c>
      <c r="F65" s="31">
        <f t="shared" si="3"/>
        <v>1200</v>
      </c>
      <c r="G65" s="47">
        <f>IF(B65="","",IFERROR(INDEX(Currais!$C$3:$C$8,MATCH(B65,Currais!$A$3:$A$8,0)),""))</f>
        <v>46</v>
      </c>
      <c r="H65" s="33">
        <f t="shared" si="4"/>
        <v>26.086956521739129</v>
      </c>
      <c r="I65" s="52">
        <f>IF(F65="","",IFERROR(INDEX(Currais!$K$3:$K$8,MATCH(B65,Currais!$A$3:$A$8,0)),0))</f>
        <v>0.45771000000000006</v>
      </c>
      <c r="J65" s="20">
        <f t="shared" si="5"/>
        <v>549.25200000000007</v>
      </c>
      <c r="K65" s="53" t="s">
        <v>557</v>
      </c>
    </row>
    <row r="66" spans="1:11" ht="15" customHeight="1" x14ac:dyDescent="0.3">
      <c r="A66" s="16">
        <v>46230</v>
      </c>
      <c r="B66" s="51" t="s">
        <v>213</v>
      </c>
      <c r="C66" s="19">
        <v>480</v>
      </c>
      <c r="D66" s="19">
        <v>240</v>
      </c>
      <c r="E66" s="19">
        <v>480</v>
      </c>
      <c r="F66" s="31">
        <f t="shared" si="3"/>
        <v>1200</v>
      </c>
      <c r="G66" s="47">
        <f>IF(B66="","",IFERROR(INDEX(Currais!$C$3:$C$8,MATCH(B66,Currais!$A$3:$A$8,0)),""))</f>
        <v>46</v>
      </c>
      <c r="H66" s="33">
        <f t="shared" si="4"/>
        <v>26.086956521739129</v>
      </c>
      <c r="I66" s="52">
        <f>IF(F66="","",IFERROR(INDEX(Currais!$K$3:$K$8,MATCH(B66,Currais!$A$3:$A$8,0)),0))</f>
        <v>0.45771000000000006</v>
      </c>
      <c r="J66" s="20">
        <f t="shared" si="5"/>
        <v>549.25200000000007</v>
      </c>
      <c r="K66" s="53" t="s">
        <v>557</v>
      </c>
    </row>
    <row r="67" spans="1:11" ht="15" customHeight="1" x14ac:dyDescent="0.3">
      <c r="A67" s="16">
        <v>46231</v>
      </c>
      <c r="B67" s="51" t="s">
        <v>213</v>
      </c>
      <c r="C67" s="19">
        <v>480</v>
      </c>
      <c r="D67" s="19">
        <v>240</v>
      </c>
      <c r="E67" s="19">
        <v>480</v>
      </c>
      <c r="F67" s="31">
        <f t="shared" si="3"/>
        <v>1200</v>
      </c>
      <c r="G67" s="47">
        <f>IF(B67="","",IFERROR(INDEX(Currais!$C$3:$C$8,MATCH(B67,Currais!$A$3:$A$8,0)),""))</f>
        <v>46</v>
      </c>
      <c r="H67" s="33">
        <f t="shared" si="4"/>
        <v>26.086956521739129</v>
      </c>
      <c r="I67" s="52">
        <f>IF(F67="","",IFERROR(INDEX(Currais!$K$3:$K$8,MATCH(B67,Currais!$A$3:$A$8,0)),0))</f>
        <v>0.45771000000000006</v>
      </c>
      <c r="J67" s="20">
        <f t="shared" si="5"/>
        <v>549.25200000000007</v>
      </c>
      <c r="K67" s="53" t="s">
        <v>557</v>
      </c>
    </row>
    <row r="68" spans="1:11" ht="15" customHeight="1" x14ac:dyDescent="0.3">
      <c r="A68" s="16">
        <v>46232</v>
      </c>
      <c r="B68" s="51" t="s">
        <v>213</v>
      </c>
      <c r="C68" s="19">
        <v>480</v>
      </c>
      <c r="D68" s="19">
        <v>240</v>
      </c>
      <c r="E68" s="19">
        <v>480</v>
      </c>
      <c r="F68" s="31">
        <f t="shared" ref="F68:F99" si="6">IF(AND(C68="",D68="",E68=""),"",N(C68)+N(D68)+N(E68))</f>
        <v>1200</v>
      </c>
      <c r="G68" s="47">
        <f>IF(B68="","",IFERROR(INDEX(Currais!$C$3:$C$8,MATCH(B68,Currais!$A$3:$A$8,0)),""))</f>
        <v>46</v>
      </c>
      <c r="H68" s="33">
        <f t="shared" ref="H68:H99" si="7">IF(OR(F68="",G68="",G68=0),"",F68/G68)</f>
        <v>26.086956521739129</v>
      </c>
      <c r="I68" s="52">
        <f>IF(F68="","",IFERROR(INDEX(Currais!$K$3:$K$8,MATCH(B68,Currais!$A$3:$A$8,0)),0))</f>
        <v>0.45771000000000006</v>
      </c>
      <c r="J68" s="20">
        <f t="shared" ref="J68:J99" si="8">IF(F68="","",F68*I68)</f>
        <v>549.25200000000007</v>
      </c>
      <c r="K68" s="53" t="s">
        <v>557</v>
      </c>
    </row>
    <row r="69" spans="1:11" ht="15" customHeight="1" x14ac:dyDescent="0.3">
      <c r="A69" s="16">
        <v>46233</v>
      </c>
      <c r="B69" s="51" t="s">
        <v>213</v>
      </c>
      <c r="C69" s="19">
        <v>480</v>
      </c>
      <c r="D69" s="19">
        <v>240</v>
      </c>
      <c r="E69" s="19">
        <v>480</v>
      </c>
      <c r="F69" s="31">
        <f t="shared" si="6"/>
        <v>1200</v>
      </c>
      <c r="G69" s="47">
        <f>IF(B69="","",IFERROR(INDEX(Currais!$C$3:$C$8,MATCH(B69,Currais!$A$3:$A$8,0)),""))</f>
        <v>46</v>
      </c>
      <c r="H69" s="33">
        <f t="shared" si="7"/>
        <v>26.086956521739129</v>
      </c>
      <c r="I69" s="52">
        <f>IF(F69="","",IFERROR(INDEX(Currais!$K$3:$K$8,MATCH(B69,Currais!$A$3:$A$8,0)),0))</f>
        <v>0.45771000000000006</v>
      </c>
      <c r="J69" s="20">
        <f t="shared" si="8"/>
        <v>549.25200000000007</v>
      </c>
      <c r="K69" s="53" t="s">
        <v>557</v>
      </c>
    </row>
    <row r="70" spans="1:11" ht="15" customHeight="1" x14ac:dyDescent="0.3">
      <c r="A70" s="16">
        <v>46234</v>
      </c>
      <c r="B70" s="51" t="s">
        <v>213</v>
      </c>
      <c r="C70" s="19">
        <v>480</v>
      </c>
      <c r="D70" s="19">
        <v>240</v>
      </c>
      <c r="E70" s="19">
        <v>480</v>
      </c>
      <c r="F70" s="31">
        <f t="shared" si="6"/>
        <v>1200</v>
      </c>
      <c r="G70" s="47">
        <f>IF(B70="","",IFERROR(INDEX(Currais!$C$3:$C$8,MATCH(B70,Currais!$A$3:$A$8,0)),""))</f>
        <v>46</v>
      </c>
      <c r="H70" s="33">
        <f t="shared" si="7"/>
        <v>26.086956521739129</v>
      </c>
      <c r="I70" s="52">
        <f>IF(F70="","",IFERROR(INDEX(Currais!$K$3:$K$8,MATCH(B70,Currais!$A$3:$A$8,0)),0))</f>
        <v>0.45771000000000006</v>
      </c>
      <c r="J70" s="20">
        <f t="shared" si="8"/>
        <v>549.25200000000007</v>
      </c>
      <c r="K70" s="53" t="s">
        <v>557</v>
      </c>
    </row>
    <row r="71" spans="1:11" ht="15" customHeight="1" x14ac:dyDescent="0.3">
      <c r="A71" s="16">
        <v>46235</v>
      </c>
      <c r="B71" s="51" t="s">
        <v>213</v>
      </c>
      <c r="C71" s="19">
        <v>480</v>
      </c>
      <c r="D71" s="19">
        <v>240</v>
      </c>
      <c r="E71" s="19">
        <v>480</v>
      </c>
      <c r="F71" s="31">
        <f t="shared" si="6"/>
        <v>1200</v>
      </c>
      <c r="G71" s="47">
        <f>IF(B71="","",IFERROR(INDEX(Currais!$C$3:$C$8,MATCH(B71,Currais!$A$3:$A$8,0)),""))</f>
        <v>46</v>
      </c>
      <c r="H71" s="33">
        <f t="shared" si="7"/>
        <v>26.086956521739129</v>
      </c>
      <c r="I71" s="52">
        <f>IF(F71="","",IFERROR(INDEX(Currais!$K$3:$K$8,MATCH(B71,Currais!$A$3:$A$8,0)),0))</f>
        <v>0.45771000000000006</v>
      </c>
      <c r="J71" s="20">
        <f t="shared" si="8"/>
        <v>549.25200000000007</v>
      </c>
      <c r="K71" s="53" t="s">
        <v>557</v>
      </c>
    </row>
    <row r="72" spans="1:11" ht="15" customHeight="1" x14ac:dyDescent="0.3">
      <c r="A72" s="16">
        <v>46236</v>
      </c>
      <c r="B72" s="51" t="s">
        <v>213</v>
      </c>
      <c r="C72" s="19">
        <v>480</v>
      </c>
      <c r="D72" s="19">
        <v>240</v>
      </c>
      <c r="E72" s="19">
        <v>480</v>
      </c>
      <c r="F72" s="31">
        <f t="shared" si="6"/>
        <v>1200</v>
      </c>
      <c r="G72" s="47">
        <f>IF(B72="","",IFERROR(INDEX(Currais!$C$3:$C$8,MATCH(B72,Currais!$A$3:$A$8,0)),""))</f>
        <v>46</v>
      </c>
      <c r="H72" s="33">
        <f t="shared" si="7"/>
        <v>26.086956521739129</v>
      </c>
      <c r="I72" s="52">
        <f>IF(F72="","",IFERROR(INDEX(Currais!$K$3:$K$8,MATCH(B72,Currais!$A$3:$A$8,0)),0))</f>
        <v>0.45771000000000006</v>
      </c>
      <c r="J72" s="20">
        <f t="shared" si="8"/>
        <v>549.25200000000007</v>
      </c>
      <c r="K72" s="53" t="s">
        <v>557</v>
      </c>
    </row>
    <row r="73" spans="1:11" ht="15" customHeight="1" x14ac:dyDescent="0.3">
      <c r="A73" s="16">
        <v>46237</v>
      </c>
      <c r="B73" s="51" t="s">
        <v>213</v>
      </c>
      <c r="C73" s="19">
        <v>480</v>
      </c>
      <c r="D73" s="19">
        <v>240</v>
      </c>
      <c r="E73" s="19">
        <v>480</v>
      </c>
      <c r="F73" s="31">
        <f t="shared" si="6"/>
        <v>1200</v>
      </c>
      <c r="G73" s="47">
        <f>IF(B73="","",IFERROR(INDEX(Currais!$C$3:$C$8,MATCH(B73,Currais!$A$3:$A$8,0)),""))</f>
        <v>46</v>
      </c>
      <c r="H73" s="33">
        <f t="shared" si="7"/>
        <v>26.086956521739129</v>
      </c>
      <c r="I73" s="52">
        <f>IF(F73="","",IFERROR(INDEX(Currais!$K$3:$K$8,MATCH(B73,Currais!$A$3:$A$8,0)),0))</f>
        <v>0.45771000000000006</v>
      </c>
      <c r="J73" s="20">
        <f t="shared" si="8"/>
        <v>549.25200000000007</v>
      </c>
      <c r="K73" s="53" t="s">
        <v>557</v>
      </c>
    </row>
    <row r="74" spans="1:11" ht="15" customHeight="1" x14ac:dyDescent="0.3">
      <c r="A74" s="16">
        <v>46199</v>
      </c>
      <c r="B74" s="51" t="s">
        <v>40</v>
      </c>
      <c r="C74" s="19">
        <v>680</v>
      </c>
      <c r="D74" s="19">
        <v>340</v>
      </c>
      <c r="E74" s="19">
        <v>680</v>
      </c>
      <c r="F74" s="31">
        <f t="shared" si="6"/>
        <v>1700</v>
      </c>
      <c r="G74" s="47">
        <f>IF(B74="","",IFERROR(INDEX(Currais!$C$3:$C$8,MATCH(B74,Currais!$A$3:$A$8,0)),""))</f>
        <v>165</v>
      </c>
      <c r="H74" s="33">
        <f t="shared" si="7"/>
        <v>10.303030303030303</v>
      </c>
      <c r="I74" s="52">
        <f>IF(F74="","",IFERROR(INDEX(Currais!$K$3:$K$8,MATCH(B74,Currais!$A$3:$A$8,0)),0))</f>
        <v>0.52245000000000008</v>
      </c>
      <c r="J74" s="20">
        <f t="shared" si="8"/>
        <v>888.16500000000019</v>
      </c>
      <c r="K74" s="53" t="s">
        <v>556</v>
      </c>
    </row>
    <row r="75" spans="1:11" ht="15" customHeight="1" x14ac:dyDescent="0.3">
      <c r="A75" s="16">
        <v>46200</v>
      </c>
      <c r="B75" s="51" t="s">
        <v>40</v>
      </c>
      <c r="C75" s="19">
        <v>680</v>
      </c>
      <c r="D75" s="19">
        <v>340</v>
      </c>
      <c r="E75" s="19">
        <v>680</v>
      </c>
      <c r="F75" s="31">
        <f t="shared" si="6"/>
        <v>1700</v>
      </c>
      <c r="G75" s="47">
        <f>IF(B75="","",IFERROR(INDEX(Currais!$C$3:$C$8,MATCH(B75,Currais!$A$3:$A$8,0)),""))</f>
        <v>165</v>
      </c>
      <c r="H75" s="33">
        <f t="shared" si="7"/>
        <v>10.303030303030303</v>
      </c>
      <c r="I75" s="52">
        <f>IF(F75="","",IFERROR(INDEX(Currais!$K$3:$K$8,MATCH(B75,Currais!$A$3:$A$8,0)),0))</f>
        <v>0.52245000000000008</v>
      </c>
      <c r="J75" s="20">
        <f t="shared" si="8"/>
        <v>888.16500000000019</v>
      </c>
      <c r="K75" s="53" t="s">
        <v>556</v>
      </c>
    </row>
    <row r="76" spans="1:11" ht="15" customHeight="1" x14ac:dyDescent="0.3">
      <c r="A76" s="16">
        <v>46201</v>
      </c>
      <c r="B76" s="51" t="s">
        <v>40</v>
      </c>
      <c r="C76" s="19">
        <v>680</v>
      </c>
      <c r="D76" s="19">
        <v>340</v>
      </c>
      <c r="E76" s="19">
        <v>680</v>
      </c>
      <c r="F76" s="31">
        <f t="shared" si="6"/>
        <v>1700</v>
      </c>
      <c r="G76" s="47">
        <f>IF(B76="","",IFERROR(INDEX(Currais!$C$3:$C$8,MATCH(B76,Currais!$A$3:$A$8,0)),""))</f>
        <v>165</v>
      </c>
      <c r="H76" s="33">
        <f t="shared" si="7"/>
        <v>10.303030303030303</v>
      </c>
      <c r="I76" s="52">
        <f>IF(F76="","",IFERROR(INDEX(Currais!$K$3:$K$8,MATCH(B76,Currais!$A$3:$A$8,0)),0))</f>
        <v>0.52245000000000008</v>
      </c>
      <c r="J76" s="20">
        <f t="shared" si="8"/>
        <v>888.16500000000019</v>
      </c>
      <c r="K76" s="53" t="s">
        <v>556</v>
      </c>
    </row>
    <row r="77" spans="1:11" ht="15" customHeight="1" x14ac:dyDescent="0.3">
      <c r="A77" s="16">
        <v>46202</v>
      </c>
      <c r="B77" s="51" t="s">
        <v>40</v>
      </c>
      <c r="C77" s="19">
        <v>720</v>
      </c>
      <c r="D77" s="19">
        <v>360</v>
      </c>
      <c r="E77" s="19">
        <v>720</v>
      </c>
      <c r="F77" s="31">
        <f t="shared" si="6"/>
        <v>1800</v>
      </c>
      <c r="G77" s="47">
        <f>IF(B77="","",IFERROR(INDEX(Currais!$C$3:$C$8,MATCH(B77,Currais!$A$3:$A$8,0)),""))</f>
        <v>165</v>
      </c>
      <c r="H77" s="33">
        <f t="shared" si="7"/>
        <v>10.909090909090908</v>
      </c>
      <c r="I77" s="52">
        <f>IF(F77="","",IFERROR(INDEX(Currais!$K$3:$K$8,MATCH(B77,Currais!$A$3:$A$8,0)),0))</f>
        <v>0.52245000000000008</v>
      </c>
      <c r="J77" s="20">
        <f t="shared" si="8"/>
        <v>940.4100000000002</v>
      </c>
      <c r="K77" s="53" t="s">
        <v>556</v>
      </c>
    </row>
    <row r="78" spans="1:11" ht="15" customHeight="1" x14ac:dyDescent="0.3">
      <c r="A78" s="16">
        <v>46203</v>
      </c>
      <c r="B78" s="51" t="s">
        <v>40</v>
      </c>
      <c r="C78" s="19">
        <v>720</v>
      </c>
      <c r="D78" s="19">
        <v>360</v>
      </c>
      <c r="E78" s="19">
        <v>720</v>
      </c>
      <c r="F78" s="31">
        <f t="shared" si="6"/>
        <v>1800</v>
      </c>
      <c r="G78" s="47">
        <f>IF(B78="","",IFERROR(INDEX(Currais!$C$3:$C$8,MATCH(B78,Currais!$A$3:$A$8,0)),""))</f>
        <v>165</v>
      </c>
      <c r="H78" s="33">
        <f t="shared" si="7"/>
        <v>10.909090909090908</v>
      </c>
      <c r="I78" s="52">
        <f>IF(F78="","",IFERROR(INDEX(Currais!$K$3:$K$8,MATCH(B78,Currais!$A$3:$A$8,0)),0))</f>
        <v>0.52245000000000008</v>
      </c>
      <c r="J78" s="20">
        <f t="shared" si="8"/>
        <v>940.4100000000002</v>
      </c>
      <c r="K78" s="53" t="s">
        <v>556</v>
      </c>
    </row>
    <row r="79" spans="1:11" ht="15" customHeight="1" x14ac:dyDescent="0.3">
      <c r="A79" s="16">
        <v>46204</v>
      </c>
      <c r="B79" s="51" t="s">
        <v>40</v>
      </c>
      <c r="C79" s="19">
        <v>720</v>
      </c>
      <c r="D79" s="19">
        <v>360</v>
      </c>
      <c r="E79" s="19">
        <v>720</v>
      </c>
      <c r="F79" s="31">
        <f t="shared" si="6"/>
        <v>1800</v>
      </c>
      <c r="G79" s="47">
        <f>IF(B79="","",IFERROR(INDEX(Currais!$C$3:$C$8,MATCH(B79,Currais!$A$3:$A$8,0)),""))</f>
        <v>165</v>
      </c>
      <c r="H79" s="33">
        <f t="shared" si="7"/>
        <v>10.909090909090908</v>
      </c>
      <c r="I79" s="52">
        <f>IF(F79="","",IFERROR(INDEX(Currais!$K$3:$K$8,MATCH(B79,Currais!$A$3:$A$8,0)),0))</f>
        <v>0.52245000000000008</v>
      </c>
      <c r="J79" s="20">
        <f t="shared" si="8"/>
        <v>940.4100000000002</v>
      </c>
      <c r="K79" s="53" t="s">
        <v>556</v>
      </c>
    </row>
    <row r="80" spans="1:11" ht="15" customHeight="1" x14ac:dyDescent="0.3">
      <c r="A80" s="16">
        <v>46205</v>
      </c>
      <c r="B80" s="51" t="s">
        <v>40</v>
      </c>
      <c r="C80" s="19">
        <v>760</v>
      </c>
      <c r="D80" s="19">
        <v>380</v>
      </c>
      <c r="E80" s="19">
        <v>760</v>
      </c>
      <c r="F80" s="31">
        <f t="shared" si="6"/>
        <v>1900</v>
      </c>
      <c r="G80" s="47">
        <f>IF(B80="","",IFERROR(INDEX(Currais!$C$3:$C$8,MATCH(B80,Currais!$A$3:$A$8,0)),""))</f>
        <v>165</v>
      </c>
      <c r="H80" s="33">
        <f t="shared" si="7"/>
        <v>11.515151515151516</v>
      </c>
      <c r="I80" s="52">
        <f>IF(F80="","",IFERROR(INDEX(Currais!$K$3:$K$8,MATCH(B80,Currais!$A$3:$A$8,0)),0))</f>
        <v>0.52245000000000008</v>
      </c>
      <c r="J80" s="20">
        <f t="shared" si="8"/>
        <v>992.6550000000002</v>
      </c>
      <c r="K80" s="53" t="s">
        <v>556</v>
      </c>
    </row>
    <row r="81" spans="1:11" ht="15" customHeight="1" x14ac:dyDescent="0.3">
      <c r="A81" s="16">
        <v>46206</v>
      </c>
      <c r="B81" s="51" t="s">
        <v>40</v>
      </c>
      <c r="C81" s="19">
        <v>760</v>
      </c>
      <c r="D81" s="19">
        <v>380</v>
      </c>
      <c r="E81" s="19">
        <v>760</v>
      </c>
      <c r="F81" s="31">
        <f t="shared" si="6"/>
        <v>1900</v>
      </c>
      <c r="G81" s="47">
        <f>IF(B81="","",IFERROR(INDEX(Currais!$C$3:$C$8,MATCH(B81,Currais!$A$3:$A$8,0)),""))</f>
        <v>165</v>
      </c>
      <c r="H81" s="33">
        <f t="shared" si="7"/>
        <v>11.515151515151516</v>
      </c>
      <c r="I81" s="52">
        <f>IF(F81="","",IFERROR(INDEX(Currais!$K$3:$K$8,MATCH(B81,Currais!$A$3:$A$8,0)),0))</f>
        <v>0.52245000000000008</v>
      </c>
      <c r="J81" s="20">
        <f t="shared" si="8"/>
        <v>992.6550000000002</v>
      </c>
      <c r="K81" s="53" t="s">
        <v>556</v>
      </c>
    </row>
    <row r="82" spans="1:11" ht="15" customHeight="1" x14ac:dyDescent="0.3">
      <c r="A82" s="16">
        <v>46207</v>
      </c>
      <c r="B82" s="51" t="s">
        <v>40</v>
      </c>
      <c r="C82" s="19">
        <v>760</v>
      </c>
      <c r="D82" s="19">
        <v>380</v>
      </c>
      <c r="E82" s="19">
        <v>760</v>
      </c>
      <c r="F82" s="31">
        <f t="shared" si="6"/>
        <v>1900</v>
      </c>
      <c r="G82" s="47">
        <f>IF(B82="","",IFERROR(INDEX(Currais!$C$3:$C$8,MATCH(B82,Currais!$A$3:$A$8,0)),""))</f>
        <v>165</v>
      </c>
      <c r="H82" s="33">
        <f t="shared" si="7"/>
        <v>11.515151515151516</v>
      </c>
      <c r="I82" s="52">
        <f>IF(F82="","",IFERROR(INDEX(Currais!$K$3:$K$8,MATCH(B82,Currais!$A$3:$A$8,0)),0))</f>
        <v>0.52245000000000008</v>
      </c>
      <c r="J82" s="20">
        <f t="shared" si="8"/>
        <v>992.6550000000002</v>
      </c>
      <c r="K82" s="53" t="s">
        <v>556</v>
      </c>
    </row>
    <row r="83" spans="1:11" ht="15" customHeight="1" x14ac:dyDescent="0.3">
      <c r="A83" s="16">
        <v>46208</v>
      </c>
      <c r="B83" s="51" t="s">
        <v>40</v>
      </c>
      <c r="C83" s="19">
        <v>800</v>
      </c>
      <c r="D83" s="19">
        <v>400</v>
      </c>
      <c r="E83" s="19">
        <v>800</v>
      </c>
      <c r="F83" s="31">
        <f t="shared" si="6"/>
        <v>2000</v>
      </c>
      <c r="G83" s="47">
        <f>IF(B83="","",IFERROR(INDEX(Currais!$C$3:$C$8,MATCH(B83,Currais!$A$3:$A$8,0)),""))</f>
        <v>165</v>
      </c>
      <c r="H83" s="33">
        <f t="shared" si="7"/>
        <v>12.121212121212121</v>
      </c>
      <c r="I83" s="52">
        <f>IF(F83="","",IFERROR(INDEX(Currais!$K$3:$K$8,MATCH(B83,Currais!$A$3:$A$8,0)),0))</f>
        <v>0.52245000000000008</v>
      </c>
      <c r="J83" s="20">
        <f t="shared" si="8"/>
        <v>1044.9000000000001</v>
      </c>
      <c r="K83" s="53" t="s">
        <v>556</v>
      </c>
    </row>
    <row r="84" spans="1:11" ht="15" customHeight="1" x14ac:dyDescent="0.3">
      <c r="A84" s="16">
        <v>46209</v>
      </c>
      <c r="B84" s="51" t="s">
        <v>40</v>
      </c>
      <c r="C84" s="19">
        <v>800</v>
      </c>
      <c r="D84" s="19">
        <v>400</v>
      </c>
      <c r="E84" s="19">
        <v>800</v>
      </c>
      <c r="F84" s="31">
        <f t="shared" si="6"/>
        <v>2000</v>
      </c>
      <c r="G84" s="47">
        <f>IF(B84="","",IFERROR(INDEX(Currais!$C$3:$C$8,MATCH(B84,Currais!$A$3:$A$8,0)),""))</f>
        <v>165</v>
      </c>
      <c r="H84" s="33">
        <f t="shared" si="7"/>
        <v>12.121212121212121</v>
      </c>
      <c r="I84" s="52">
        <f>IF(F84="","",IFERROR(INDEX(Currais!$K$3:$K$8,MATCH(B84,Currais!$A$3:$A$8,0)),0))</f>
        <v>0.52245000000000008</v>
      </c>
      <c r="J84" s="20">
        <f t="shared" si="8"/>
        <v>1044.9000000000001</v>
      </c>
      <c r="K84" s="53" t="s">
        <v>556</v>
      </c>
    </row>
    <row r="85" spans="1:11" ht="15" customHeight="1" x14ac:dyDescent="0.3">
      <c r="A85" s="16">
        <v>46210</v>
      </c>
      <c r="B85" s="51" t="s">
        <v>40</v>
      </c>
      <c r="C85" s="19">
        <v>800</v>
      </c>
      <c r="D85" s="19">
        <v>400</v>
      </c>
      <c r="E85" s="19">
        <v>800</v>
      </c>
      <c r="F85" s="31">
        <f t="shared" si="6"/>
        <v>2000</v>
      </c>
      <c r="G85" s="47">
        <f>IF(B85="","",IFERROR(INDEX(Currais!$C$3:$C$8,MATCH(B85,Currais!$A$3:$A$8,0)),""))</f>
        <v>165</v>
      </c>
      <c r="H85" s="33">
        <f t="shared" si="7"/>
        <v>12.121212121212121</v>
      </c>
      <c r="I85" s="52">
        <f>IF(F85="","",IFERROR(INDEX(Currais!$K$3:$K$8,MATCH(B85,Currais!$A$3:$A$8,0)),0))</f>
        <v>0.52245000000000008</v>
      </c>
      <c r="J85" s="20">
        <f t="shared" si="8"/>
        <v>1044.9000000000001</v>
      </c>
      <c r="K85" s="53" t="s">
        <v>556</v>
      </c>
    </row>
    <row r="86" spans="1:11" ht="15" customHeight="1" x14ac:dyDescent="0.3">
      <c r="A86" s="16">
        <v>46211</v>
      </c>
      <c r="B86" s="51" t="s">
        <v>40</v>
      </c>
      <c r="C86" s="19">
        <v>840</v>
      </c>
      <c r="D86" s="19">
        <v>420</v>
      </c>
      <c r="E86" s="19">
        <v>840</v>
      </c>
      <c r="F86" s="31">
        <f t="shared" si="6"/>
        <v>2100</v>
      </c>
      <c r="G86" s="47">
        <f>IF(B86="","",IFERROR(INDEX(Currais!$C$3:$C$8,MATCH(B86,Currais!$A$3:$A$8,0)),""))</f>
        <v>165</v>
      </c>
      <c r="H86" s="33">
        <f t="shared" si="7"/>
        <v>12.727272727272727</v>
      </c>
      <c r="I86" s="52">
        <f>IF(F86="","",IFERROR(INDEX(Currais!$K$3:$K$8,MATCH(B86,Currais!$A$3:$A$8,0)),0))</f>
        <v>0.52245000000000008</v>
      </c>
      <c r="J86" s="20">
        <f t="shared" si="8"/>
        <v>1097.1450000000002</v>
      </c>
      <c r="K86" s="53" t="s">
        <v>556</v>
      </c>
    </row>
    <row r="87" spans="1:11" ht="15" customHeight="1" x14ac:dyDescent="0.3">
      <c r="A87" s="16">
        <v>46212</v>
      </c>
      <c r="B87" s="51" t="s">
        <v>40</v>
      </c>
      <c r="C87" s="19">
        <v>840</v>
      </c>
      <c r="D87" s="19">
        <v>420</v>
      </c>
      <c r="E87" s="19">
        <v>840</v>
      </c>
      <c r="F87" s="31">
        <f t="shared" si="6"/>
        <v>2100</v>
      </c>
      <c r="G87" s="47">
        <f>IF(B87="","",IFERROR(INDEX(Currais!$C$3:$C$8,MATCH(B87,Currais!$A$3:$A$8,0)),""))</f>
        <v>165</v>
      </c>
      <c r="H87" s="33">
        <f t="shared" si="7"/>
        <v>12.727272727272727</v>
      </c>
      <c r="I87" s="52">
        <f>IF(F87="","",IFERROR(INDEX(Currais!$K$3:$K$8,MATCH(B87,Currais!$A$3:$A$8,0)),0))</f>
        <v>0.52245000000000008</v>
      </c>
      <c r="J87" s="20">
        <f t="shared" si="8"/>
        <v>1097.1450000000002</v>
      </c>
      <c r="K87" s="53" t="s">
        <v>556</v>
      </c>
    </row>
    <row r="88" spans="1:11" ht="15" customHeight="1" x14ac:dyDescent="0.3">
      <c r="A88" s="16">
        <v>46213</v>
      </c>
      <c r="B88" s="51" t="s">
        <v>40</v>
      </c>
      <c r="C88" s="19">
        <v>840</v>
      </c>
      <c r="D88" s="19">
        <v>420</v>
      </c>
      <c r="E88" s="19">
        <v>840</v>
      </c>
      <c r="F88" s="31">
        <f t="shared" si="6"/>
        <v>2100</v>
      </c>
      <c r="G88" s="47">
        <f>IF(B88="","",IFERROR(INDEX(Currais!$C$3:$C$8,MATCH(B88,Currais!$A$3:$A$8,0)),""))</f>
        <v>165</v>
      </c>
      <c r="H88" s="33">
        <f t="shared" si="7"/>
        <v>12.727272727272727</v>
      </c>
      <c r="I88" s="52">
        <f>IF(F88="","",IFERROR(INDEX(Currais!$K$3:$K$8,MATCH(B88,Currais!$A$3:$A$8,0)),0))</f>
        <v>0.52245000000000008</v>
      </c>
      <c r="J88" s="20">
        <f t="shared" si="8"/>
        <v>1097.1450000000002</v>
      </c>
      <c r="K88" s="53" t="s">
        <v>556</v>
      </c>
    </row>
    <row r="89" spans="1:11" ht="15" customHeight="1" x14ac:dyDescent="0.3">
      <c r="A89" s="16">
        <v>46214</v>
      </c>
      <c r="B89" s="51" t="s">
        <v>40</v>
      </c>
      <c r="C89" s="19">
        <v>880</v>
      </c>
      <c r="D89" s="19">
        <v>440</v>
      </c>
      <c r="E89" s="19">
        <v>880</v>
      </c>
      <c r="F89" s="31">
        <f t="shared" si="6"/>
        <v>2200</v>
      </c>
      <c r="G89" s="47">
        <f>IF(B89="","",IFERROR(INDEX(Currais!$C$3:$C$8,MATCH(B89,Currais!$A$3:$A$8,0)),""))</f>
        <v>165</v>
      </c>
      <c r="H89" s="33">
        <f t="shared" si="7"/>
        <v>13.333333333333334</v>
      </c>
      <c r="I89" s="52">
        <f>IF(F89="","",IFERROR(INDEX(Currais!$K$3:$K$8,MATCH(B89,Currais!$A$3:$A$8,0)),0))</f>
        <v>0.52245000000000008</v>
      </c>
      <c r="J89" s="20">
        <f t="shared" si="8"/>
        <v>1149.3900000000001</v>
      </c>
      <c r="K89" s="53" t="s">
        <v>556</v>
      </c>
    </row>
    <row r="90" spans="1:11" ht="15" customHeight="1" x14ac:dyDescent="0.3">
      <c r="A90" s="16">
        <v>46215</v>
      </c>
      <c r="B90" s="51" t="s">
        <v>40</v>
      </c>
      <c r="C90" s="19">
        <v>880</v>
      </c>
      <c r="D90" s="19">
        <v>440</v>
      </c>
      <c r="E90" s="19">
        <v>880</v>
      </c>
      <c r="F90" s="31">
        <f t="shared" si="6"/>
        <v>2200</v>
      </c>
      <c r="G90" s="47">
        <f>IF(B90="","",IFERROR(INDEX(Currais!$C$3:$C$8,MATCH(B90,Currais!$A$3:$A$8,0)),""))</f>
        <v>165</v>
      </c>
      <c r="H90" s="33">
        <f t="shared" si="7"/>
        <v>13.333333333333334</v>
      </c>
      <c r="I90" s="52">
        <f>IF(F90="","",IFERROR(INDEX(Currais!$K$3:$K$8,MATCH(B90,Currais!$A$3:$A$8,0)),0))</f>
        <v>0.52245000000000008</v>
      </c>
      <c r="J90" s="20">
        <f t="shared" si="8"/>
        <v>1149.3900000000001</v>
      </c>
      <c r="K90" s="53" t="s">
        <v>556</v>
      </c>
    </row>
    <row r="91" spans="1:11" ht="15" customHeight="1" x14ac:dyDescent="0.3">
      <c r="A91" s="16">
        <v>46216</v>
      </c>
      <c r="B91" s="51" t="s">
        <v>40</v>
      </c>
      <c r="C91" s="19">
        <v>880</v>
      </c>
      <c r="D91" s="19">
        <v>440</v>
      </c>
      <c r="E91" s="19">
        <v>880</v>
      </c>
      <c r="F91" s="31">
        <f t="shared" si="6"/>
        <v>2200</v>
      </c>
      <c r="G91" s="47">
        <f>IF(B91="","",IFERROR(INDEX(Currais!$C$3:$C$8,MATCH(B91,Currais!$A$3:$A$8,0)),""))</f>
        <v>165</v>
      </c>
      <c r="H91" s="33">
        <f t="shared" si="7"/>
        <v>13.333333333333334</v>
      </c>
      <c r="I91" s="52">
        <f>IF(F91="","",IFERROR(INDEX(Currais!$K$3:$K$8,MATCH(B91,Currais!$A$3:$A$8,0)),0))</f>
        <v>0.52245000000000008</v>
      </c>
      <c r="J91" s="20">
        <f t="shared" si="8"/>
        <v>1149.3900000000001</v>
      </c>
      <c r="K91" s="53" t="s">
        <v>556</v>
      </c>
    </row>
    <row r="92" spans="1:11" ht="15" customHeight="1" x14ac:dyDescent="0.3">
      <c r="A92" s="16">
        <v>46217</v>
      </c>
      <c r="B92" s="51" t="s">
        <v>40</v>
      </c>
      <c r="C92" s="19">
        <v>920</v>
      </c>
      <c r="D92" s="19">
        <v>460</v>
      </c>
      <c r="E92" s="19">
        <v>920</v>
      </c>
      <c r="F92" s="31">
        <f t="shared" si="6"/>
        <v>2300</v>
      </c>
      <c r="G92" s="47">
        <f>IF(B92="","",IFERROR(INDEX(Currais!$C$3:$C$8,MATCH(B92,Currais!$A$3:$A$8,0)),""))</f>
        <v>165</v>
      </c>
      <c r="H92" s="33">
        <f t="shared" si="7"/>
        <v>13.939393939393939</v>
      </c>
      <c r="I92" s="52">
        <f>IF(F92="","",IFERROR(INDEX(Currais!$K$3:$K$8,MATCH(B92,Currais!$A$3:$A$8,0)),0))</f>
        <v>0.52245000000000008</v>
      </c>
      <c r="J92" s="20">
        <f t="shared" si="8"/>
        <v>1201.6350000000002</v>
      </c>
      <c r="K92" s="53" t="s">
        <v>556</v>
      </c>
    </row>
    <row r="93" spans="1:11" ht="15" customHeight="1" x14ac:dyDescent="0.3">
      <c r="A93" s="16">
        <v>46218</v>
      </c>
      <c r="B93" s="51" t="s">
        <v>40</v>
      </c>
      <c r="C93" s="19">
        <v>920</v>
      </c>
      <c r="D93" s="19">
        <v>460</v>
      </c>
      <c r="E93" s="19">
        <v>920</v>
      </c>
      <c r="F93" s="31">
        <f t="shared" si="6"/>
        <v>2300</v>
      </c>
      <c r="G93" s="47">
        <f>IF(B93="","",IFERROR(INDEX(Currais!$C$3:$C$8,MATCH(B93,Currais!$A$3:$A$8,0)),""))</f>
        <v>165</v>
      </c>
      <c r="H93" s="33">
        <f t="shared" si="7"/>
        <v>13.939393939393939</v>
      </c>
      <c r="I93" s="52">
        <f>IF(F93="","",IFERROR(INDEX(Currais!$K$3:$K$8,MATCH(B93,Currais!$A$3:$A$8,0)),0))</f>
        <v>0.52245000000000008</v>
      </c>
      <c r="J93" s="20">
        <f t="shared" si="8"/>
        <v>1201.6350000000002</v>
      </c>
      <c r="K93" s="53" t="s">
        <v>556</v>
      </c>
    </row>
    <row r="94" spans="1:11" ht="15" customHeight="1" x14ac:dyDescent="0.3">
      <c r="A94" s="16">
        <v>46219</v>
      </c>
      <c r="B94" s="51" t="s">
        <v>40</v>
      </c>
      <c r="C94" s="19">
        <v>920</v>
      </c>
      <c r="D94" s="19">
        <v>460</v>
      </c>
      <c r="E94" s="19">
        <v>920</v>
      </c>
      <c r="F94" s="31">
        <f t="shared" si="6"/>
        <v>2300</v>
      </c>
      <c r="G94" s="47">
        <f>IF(B94="","",IFERROR(INDEX(Currais!$C$3:$C$8,MATCH(B94,Currais!$A$3:$A$8,0)),""))</f>
        <v>165</v>
      </c>
      <c r="H94" s="33">
        <f t="shared" si="7"/>
        <v>13.939393939393939</v>
      </c>
      <c r="I94" s="52">
        <f>IF(F94="","",IFERROR(INDEX(Currais!$K$3:$K$8,MATCH(B94,Currais!$A$3:$A$8,0)),0))</f>
        <v>0.52245000000000008</v>
      </c>
      <c r="J94" s="20">
        <f t="shared" si="8"/>
        <v>1201.6350000000002</v>
      </c>
      <c r="K94" s="53" t="s">
        <v>556</v>
      </c>
    </row>
    <row r="95" spans="1:11" ht="15" customHeight="1" x14ac:dyDescent="0.3">
      <c r="A95" s="16">
        <v>46220</v>
      </c>
      <c r="B95" s="51" t="s">
        <v>40</v>
      </c>
      <c r="C95" s="19">
        <v>960</v>
      </c>
      <c r="D95" s="19">
        <v>480</v>
      </c>
      <c r="E95" s="19">
        <v>960</v>
      </c>
      <c r="F95" s="31">
        <f t="shared" si="6"/>
        <v>2400</v>
      </c>
      <c r="G95" s="47">
        <f>IF(B95="","",IFERROR(INDEX(Currais!$C$3:$C$8,MATCH(B95,Currais!$A$3:$A$8,0)),""))</f>
        <v>165</v>
      </c>
      <c r="H95" s="33">
        <f t="shared" si="7"/>
        <v>14.545454545454545</v>
      </c>
      <c r="I95" s="52">
        <f>IF(F95="","",IFERROR(INDEX(Currais!$K$3:$K$8,MATCH(B95,Currais!$A$3:$A$8,0)),0))</f>
        <v>0.52245000000000008</v>
      </c>
      <c r="J95" s="20">
        <f t="shared" si="8"/>
        <v>1253.8800000000001</v>
      </c>
      <c r="K95" s="53" t="s">
        <v>556</v>
      </c>
    </row>
    <row r="96" spans="1:11" ht="15" customHeight="1" x14ac:dyDescent="0.3">
      <c r="A96" s="16">
        <v>46221</v>
      </c>
      <c r="B96" s="51" t="s">
        <v>40</v>
      </c>
      <c r="C96" s="19">
        <v>960</v>
      </c>
      <c r="D96" s="19">
        <v>480</v>
      </c>
      <c r="E96" s="19">
        <v>960</v>
      </c>
      <c r="F96" s="31">
        <f t="shared" si="6"/>
        <v>2400</v>
      </c>
      <c r="G96" s="47">
        <f>IF(B96="","",IFERROR(INDEX(Currais!$C$3:$C$8,MATCH(B96,Currais!$A$3:$A$8,0)),""))</f>
        <v>165</v>
      </c>
      <c r="H96" s="33">
        <f t="shared" si="7"/>
        <v>14.545454545454545</v>
      </c>
      <c r="I96" s="52">
        <f>IF(F96="","",IFERROR(INDEX(Currais!$K$3:$K$8,MATCH(B96,Currais!$A$3:$A$8,0)),0))</f>
        <v>0.52245000000000008</v>
      </c>
      <c r="J96" s="20">
        <f t="shared" si="8"/>
        <v>1253.8800000000001</v>
      </c>
      <c r="K96" s="53" t="s">
        <v>556</v>
      </c>
    </row>
    <row r="97" spans="1:11" ht="15" customHeight="1" x14ac:dyDescent="0.3">
      <c r="A97" s="16">
        <v>46222</v>
      </c>
      <c r="B97" s="51" t="s">
        <v>40</v>
      </c>
      <c r="C97" s="19">
        <v>960</v>
      </c>
      <c r="D97" s="19">
        <v>480</v>
      </c>
      <c r="E97" s="19">
        <v>960</v>
      </c>
      <c r="F97" s="31">
        <f t="shared" si="6"/>
        <v>2400</v>
      </c>
      <c r="G97" s="47">
        <f>IF(B97="","",IFERROR(INDEX(Currais!$C$3:$C$8,MATCH(B97,Currais!$A$3:$A$8,0)),""))</f>
        <v>165</v>
      </c>
      <c r="H97" s="33">
        <f t="shared" si="7"/>
        <v>14.545454545454545</v>
      </c>
      <c r="I97" s="52">
        <f>IF(F97="","",IFERROR(INDEX(Currais!$K$3:$K$8,MATCH(B97,Currais!$A$3:$A$8,0)),0))</f>
        <v>0.52245000000000008</v>
      </c>
      <c r="J97" s="20">
        <f t="shared" si="8"/>
        <v>1253.8800000000001</v>
      </c>
      <c r="K97" s="53" t="s">
        <v>556</v>
      </c>
    </row>
    <row r="98" spans="1:11" ht="15" customHeight="1" x14ac:dyDescent="0.3">
      <c r="A98" s="16">
        <v>46223</v>
      </c>
      <c r="B98" s="51" t="s">
        <v>40</v>
      </c>
      <c r="C98" s="19">
        <v>1000</v>
      </c>
      <c r="D98" s="19">
        <v>500</v>
      </c>
      <c r="E98" s="19">
        <v>1000</v>
      </c>
      <c r="F98" s="31">
        <f t="shared" si="6"/>
        <v>2500</v>
      </c>
      <c r="G98" s="47">
        <f>IF(B98="","",IFERROR(INDEX(Currais!$C$3:$C$8,MATCH(B98,Currais!$A$3:$A$8,0)),""))</f>
        <v>165</v>
      </c>
      <c r="H98" s="33">
        <f t="shared" si="7"/>
        <v>15.151515151515152</v>
      </c>
      <c r="I98" s="52">
        <f>IF(F98="","",IFERROR(INDEX(Currais!$K$3:$K$8,MATCH(B98,Currais!$A$3:$A$8,0)),0))</f>
        <v>0.52245000000000008</v>
      </c>
      <c r="J98" s="20">
        <f t="shared" si="8"/>
        <v>1306.1250000000002</v>
      </c>
      <c r="K98" s="53" t="s">
        <v>556</v>
      </c>
    </row>
    <row r="99" spans="1:11" ht="15" customHeight="1" x14ac:dyDescent="0.3">
      <c r="A99" s="16">
        <v>46224</v>
      </c>
      <c r="B99" s="51" t="s">
        <v>40</v>
      </c>
      <c r="C99" s="19">
        <v>1000</v>
      </c>
      <c r="D99" s="19">
        <v>500</v>
      </c>
      <c r="E99" s="19">
        <v>1000</v>
      </c>
      <c r="F99" s="31">
        <f t="shared" si="6"/>
        <v>2500</v>
      </c>
      <c r="G99" s="47">
        <f>IF(B99="","",IFERROR(INDEX(Currais!$C$3:$C$8,MATCH(B99,Currais!$A$3:$A$8,0)),""))</f>
        <v>165</v>
      </c>
      <c r="H99" s="33">
        <f t="shared" si="7"/>
        <v>15.151515151515152</v>
      </c>
      <c r="I99" s="52">
        <f>IF(F99="","",IFERROR(INDEX(Currais!$K$3:$K$8,MATCH(B99,Currais!$A$3:$A$8,0)),0))</f>
        <v>0.52245000000000008</v>
      </c>
      <c r="J99" s="20">
        <f t="shared" si="8"/>
        <v>1306.1250000000002</v>
      </c>
      <c r="K99" s="53" t="s">
        <v>556</v>
      </c>
    </row>
    <row r="100" spans="1:11" ht="15" customHeight="1" x14ac:dyDescent="0.3">
      <c r="A100" s="16">
        <v>46225</v>
      </c>
      <c r="B100" s="51" t="s">
        <v>40</v>
      </c>
      <c r="C100" s="19">
        <v>1000</v>
      </c>
      <c r="D100" s="19">
        <v>500</v>
      </c>
      <c r="E100" s="19">
        <v>1000</v>
      </c>
      <c r="F100" s="31">
        <f t="shared" ref="F100:F131" si="9">IF(AND(C100="",D100="",E100=""),"",N(C100)+N(D100)+N(E100))</f>
        <v>2500</v>
      </c>
      <c r="G100" s="47">
        <f>IF(B100="","",IFERROR(INDEX(Currais!$C$3:$C$8,MATCH(B100,Currais!$A$3:$A$8,0)),""))</f>
        <v>165</v>
      </c>
      <c r="H100" s="33">
        <f t="shared" ref="H100:H131" si="10">IF(OR(F100="",G100="",G100=0),"",F100/G100)</f>
        <v>15.151515151515152</v>
      </c>
      <c r="I100" s="52">
        <f>IF(F100="","",IFERROR(INDEX(Currais!$K$3:$K$8,MATCH(B100,Currais!$A$3:$A$8,0)),0))</f>
        <v>0.52245000000000008</v>
      </c>
      <c r="J100" s="20">
        <f t="shared" ref="J100:J131" si="11">IF(F100="","",F100*I100)</f>
        <v>1306.1250000000002</v>
      </c>
      <c r="K100" s="53" t="s">
        <v>556</v>
      </c>
    </row>
    <row r="101" spans="1:11" ht="15" customHeight="1" x14ac:dyDescent="0.3">
      <c r="A101" s="16">
        <v>46226</v>
      </c>
      <c r="B101" s="51" t="s">
        <v>40</v>
      </c>
      <c r="C101" s="19">
        <v>1040</v>
      </c>
      <c r="D101" s="19">
        <v>520</v>
      </c>
      <c r="E101" s="19">
        <v>1040</v>
      </c>
      <c r="F101" s="31">
        <f t="shared" si="9"/>
        <v>2600</v>
      </c>
      <c r="G101" s="47">
        <f>IF(B101="","",IFERROR(INDEX(Currais!$C$3:$C$8,MATCH(B101,Currais!$A$3:$A$8,0)),""))</f>
        <v>165</v>
      </c>
      <c r="H101" s="33">
        <f t="shared" si="10"/>
        <v>15.757575757575758</v>
      </c>
      <c r="I101" s="52">
        <f>IF(F101="","",IFERROR(INDEX(Currais!$K$3:$K$8,MATCH(B101,Currais!$A$3:$A$8,0)),0))</f>
        <v>0.52245000000000008</v>
      </c>
      <c r="J101" s="20">
        <f t="shared" si="11"/>
        <v>1358.3700000000001</v>
      </c>
      <c r="K101" s="53" t="s">
        <v>557</v>
      </c>
    </row>
    <row r="102" spans="1:11" ht="15" customHeight="1" x14ac:dyDescent="0.3">
      <c r="A102" s="16">
        <v>46227</v>
      </c>
      <c r="B102" s="51" t="s">
        <v>40</v>
      </c>
      <c r="C102" s="19">
        <v>1040</v>
      </c>
      <c r="D102" s="19">
        <v>520</v>
      </c>
      <c r="E102" s="19">
        <v>1040</v>
      </c>
      <c r="F102" s="31">
        <f t="shared" si="9"/>
        <v>2600</v>
      </c>
      <c r="G102" s="47">
        <f>IF(B102="","",IFERROR(INDEX(Currais!$C$3:$C$8,MATCH(B102,Currais!$A$3:$A$8,0)),""))</f>
        <v>165</v>
      </c>
      <c r="H102" s="33">
        <f t="shared" si="10"/>
        <v>15.757575757575758</v>
      </c>
      <c r="I102" s="52">
        <f>IF(F102="","",IFERROR(INDEX(Currais!$K$3:$K$8,MATCH(B102,Currais!$A$3:$A$8,0)),0))</f>
        <v>0.52245000000000008</v>
      </c>
      <c r="J102" s="20">
        <f t="shared" si="11"/>
        <v>1358.3700000000001</v>
      </c>
      <c r="K102" s="53" t="s">
        <v>557</v>
      </c>
    </row>
    <row r="103" spans="1:11" ht="15" customHeight="1" x14ac:dyDescent="0.3">
      <c r="A103" s="16">
        <v>46228</v>
      </c>
      <c r="B103" s="51" t="s">
        <v>40</v>
      </c>
      <c r="C103" s="19">
        <v>1040</v>
      </c>
      <c r="D103" s="19">
        <v>520</v>
      </c>
      <c r="E103" s="19">
        <v>1040</v>
      </c>
      <c r="F103" s="31">
        <f t="shared" si="9"/>
        <v>2600</v>
      </c>
      <c r="G103" s="47">
        <f>IF(B103="","",IFERROR(INDEX(Currais!$C$3:$C$8,MATCH(B103,Currais!$A$3:$A$8,0)),""))</f>
        <v>165</v>
      </c>
      <c r="H103" s="33">
        <f t="shared" si="10"/>
        <v>15.757575757575758</v>
      </c>
      <c r="I103" s="52">
        <f>IF(F103="","",IFERROR(INDEX(Currais!$K$3:$K$8,MATCH(B103,Currais!$A$3:$A$8,0)),0))</f>
        <v>0.52245000000000008</v>
      </c>
      <c r="J103" s="20">
        <f t="shared" si="11"/>
        <v>1358.3700000000001</v>
      </c>
      <c r="K103" s="53" t="s">
        <v>557</v>
      </c>
    </row>
    <row r="104" spans="1:11" ht="15" customHeight="1" x14ac:dyDescent="0.3">
      <c r="A104" s="16">
        <v>46229</v>
      </c>
      <c r="B104" s="51" t="s">
        <v>40</v>
      </c>
      <c r="C104" s="19">
        <v>1040</v>
      </c>
      <c r="D104" s="19">
        <v>520</v>
      </c>
      <c r="E104" s="19">
        <v>1040</v>
      </c>
      <c r="F104" s="31">
        <f t="shared" si="9"/>
        <v>2600</v>
      </c>
      <c r="G104" s="47">
        <f>IF(B104="","",IFERROR(INDEX(Currais!$C$3:$C$8,MATCH(B104,Currais!$A$3:$A$8,0)),""))</f>
        <v>165</v>
      </c>
      <c r="H104" s="33">
        <f t="shared" si="10"/>
        <v>15.757575757575758</v>
      </c>
      <c r="I104" s="52">
        <f>IF(F104="","",IFERROR(INDEX(Currais!$K$3:$K$8,MATCH(B104,Currais!$A$3:$A$8,0)),0))</f>
        <v>0.52245000000000008</v>
      </c>
      <c r="J104" s="20">
        <f t="shared" si="11"/>
        <v>1358.3700000000001</v>
      </c>
      <c r="K104" s="53" t="s">
        <v>557</v>
      </c>
    </row>
    <row r="105" spans="1:11" ht="15" customHeight="1" x14ac:dyDescent="0.3">
      <c r="A105" s="16">
        <v>46230</v>
      </c>
      <c r="B105" s="51" t="s">
        <v>40</v>
      </c>
      <c r="C105" s="19">
        <v>1040</v>
      </c>
      <c r="D105" s="19">
        <v>520</v>
      </c>
      <c r="E105" s="19">
        <v>1040</v>
      </c>
      <c r="F105" s="31">
        <f t="shared" si="9"/>
        <v>2600</v>
      </c>
      <c r="G105" s="47">
        <f>IF(B105="","",IFERROR(INDEX(Currais!$C$3:$C$8,MATCH(B105,Currais!$A$3:$A$8,0)),""))</f>
        <v>165</v>
      </c>
      <c r="H105" s="33">
        <f t="shared" si="10"/>
        <v>15.757575757575758</v>
      </c>
      <c r="I105" s="52">
        <f>IF(F105="","",IFERROR(INDEX(Currais!$K$3:$K$8,MATCH(B105,Currais!$A$3:$A$8,0)),0))</f>
        <v>0.52245000000000008</v>
      </c>
      <c r="J105" s="20">
        <f t="shared" si="11"/>
        <v>1358.3700000000001</v>
      </c>
      <c r="K105" s="53" t="s">
        <v>557</v>
      </c>
    </row>
    <row r="106" spans="1:11" ht="15" customHeight="1" x14ac:dyDescent="0.3">
      <c r="A106" s="16">
        <v>46231</v>
      </c>
      <c r="B106" s="51" t="s">
        <v>40</v>
      </c>
      <c r="C106" s="19">
        <v>1040</v>
      </c>
      <c r="D106" s="19">
        <v>520</v>
      </c>
      <c r="E106" s="19">
        <v>1040</v>
      </c>
      <c r="F106" s="31">
        <f t="shared" si="9"/>
        <v>2600</v>
      </c>
      <c r="G106" s="47">
        <f>IF(B106="","",IFERROR(INDEX(Currais!$C$3:$C$8,MATCH(B106,Currais!$A$3:$A$8,0)),""))</f>
        <v>165</v>
      </c>
      <c r="H106" s="33">
        <f t="shared" si="10"/>
        <v>15.757575757575758</v>
      </c>
      <c r="I106" s="52">
        <f>IF(F106="","",IFERROR(INDEX(Currais!$K$3:$K$8,MATCH(B106,Currais!$A$3:$A$8,0)),0))</f>
        <v>0.52245000000000008</v>
      </c>
      <c r="J106" s="20">
        <f t="shared" si="11"/>
        <v>1358.3700000000001</v>
      </c>
      <c r="K106" s="53" t="s">
        <v>557</v>
      </c>
    </row>
    <row r="107" spans="1:11" ht="15" customHeight="1" x14ac:dyDescent="0.3">
      <c r="A107" s="16">
        <v>46232</v>
      </c>
      <c r="B107" s="51" t="s">
        <v>40</v>
      </c>
      <c r="C107" s="19">
        <v>1040</v>
      </c>
      <c r="D107" s="19">
        <v>520</v>
      </c>
      <c r="E107" s="19">
        <v>1040</v>
      </c>
      <c r="F107" s="31">
        <f t="shared" si="9"/>
        <v>2600</v>
      </c>
      <c r="G107" s="47">
        <f>IF(B107="","",IFERROR(INDEX(Currais!$C$3:$C$8,MATCH(B107,Currais!$A$3:$A$8,0)),""))</f>
        <v>165</v>
      </c>
      <c r="H107" s="33">
        <f t="shared" si="10"/>
        <v>15.757575757575758</v>
      </c>
      <c r="I107" s="52">
        <f>IF(F107="","",IFERROR(INDEX(Currais!$K$3:$K$8,MATCH(B107,Currais!$A$3:$A$8,0)),0))</f>
        <v>0.52245000000000008</v>
      </c>
      <c r="J107" s="20">
        <f t="shared" si="11"/>
        <v>1358.3700000000001</v>
      </c>
      <c r="K107" s="53" t="s">
        <v>557</v>
      </c>
    </row>
    <row r="108" spans="1:11" ht="15" customHeight="1" x14ac:dyDescent="0.3">
      <c r="A108" s="16">
        <v>46233</v>
      </c>
      <c r="B108" s="51" t="s">
        <v>40</v>
      </c>
      <c r="C108" s="19">
        <v>1040</v>
      </c>
      <c r="D108" s="19">
        <v>520</v>
      </c>
      <c r="E108" s="19">
        <v>1040</v>
      </c>
      <c r="F108" s="31">
        <f t="shared" si="9"/>
        <v>2600</v>
      </c>
      <c r="G108" s="47">
        <f>IF(B108="","",IFERROR(INDEX(Currais!$C$3:$C$8,MATCH(B108,Currais!$A$3:$A$8,0)),""))</f>
        <v>165</v>
      </c>
      <c r="H108" s="33">
        <f t="shared" si="10"/>
        <v>15.757575757575758</v>
      </c>
      <c r="I108" s="52">
        <f>IF(F108="","",IFERROR(INDEX(Currais!$K$3:$K$8,MATCH(B108,Currais!$A$3:$A$8,0)),0))</f>
        <v>0.52245000000000008</v>
      </c>
      <c r="J108" s="20">
        <f t="shared" si="11"/>
        <v>1358.3700000000001</v>
      </c>
      <c r="K108" s="53" t="s">
        <v>557</v>
      </c>
    </row>
    <row r="109" spans="1:11" ht="15" customHeight="1" x14ac:dyDescent="0.3">
      <c r="A109" s="16">
        <v>46234</v>
      </c>
      <c r="B109" s="51" t="s">
        <v>40</v>
      </c>
      <c r="C109" s="19">
        <v>1040</v>
      </c>
      <c r="D109" s="19">
        <v>520</v>
      </c>
      <c r="E109" s="19">
        <v>1040</v>
      </c>
      <c r="F109" s="31">
        <f t="shared" si="9"/>
        <v>2600</v>
      </c>
      <c r="G109" s="47">
        <f>IF(B109="","",IFERROR(INDEX(Currais!$C$3:$C$8,MATCH(B109,Currais!$A$3:$A$8,0)),""))</f>
        <v>165</v>
      </c>
      <c r="H109" s="33">
        <f t="shared" si="10"/>
        <v>15.757575757575758</v>
      </c>
      <c r="I109" s="52">
        <f>IF(F109="","",IFERROR(INDEX(Currais!$K$3:$K$8,MATCH(B109,Currais!$A$3:$A$8,0)),0))</f>
        <v>0.52245000000000008</v>
      </c>
      <c r="J109" s="20">
        <f t="shared" si="11"/>
        <v>1358.3700000000001</v>
      </c>
      <c r="K109" s="53" t="s">
        <v>557</v>
      </c>
    </row>
    <row r="110" spans="1:11" ht="15" customHeight="1" x14ac:dyDescent="0.3">
      <c r="A110" s="16">
        <v>46235</v>
      </c>
      <c r="B110" s="51" t="s">
        <v>40</v>
      </c>
      <c r="C110" s="19">
        <v>1040</v>
      </c>
      <c r="D110" s="19">
        <v>520</v>
      </c>
      <c r="E110" s="19">
        <v>1040</v>
      </c>
      <c r="F110" s="31">
        <f t="shared" si="9"/>
        <v>2600</v>
      </c>
      <c r="G110" s="47">
        <f>IF(B110="","",IFERROR(INDEX(Currais!$C$3:$C$8,MATCH(B110,Currais!$A$3:$A$8,0)),""))</f>
        <v>165</v>
      </c>
      <c r="H110" s="33">
        <f t="shared" si="10"/>
        <v>15.757575757575758</v>
      </c>
      <c r="I110" s="52">
        <f>IF(F110="","",IFERROR(INDEX(Currais!$K$3:$K$8,MATCH(B110,Currais!$A$3:$A$8,0)),0))</f>
        <v>0.52245000000000008</v>
      </c>
      <c r="J110" s="20">
        <f t="shared" si="11"/>
        <v>1358.3700000000001</v>
      </c>
      <c r="K110" s="53" t="s">
        <v>557</v>
      </c>
    </row>
    <row r="111" spans="1:11" ht="15" customHeight="1" x14ac:dyDescent="0.3">
      <c r="A111" s="16">
        <v>46236</v>
      </c>
      <c r="B111" s="51" t="s">
        <v>40</v>
      </c>
      <c r="C111" s="19">
        <v>1040</v>
      </c>
      <c r="D111" s="19">
        <v>520</v>
      </c>
      <c r="E111" s="19">
        <v>1040</v>
      </c>
      <c r="F111" s="31">
        <f t="shared" si="9"/>
        <v>2600</v>
      </c>
      <c r="G111" s="47">
        <f>IF(B111="","",IFERROR(INDEX(Currais!$C$3:$C$8,MATCH(B111,Currais!$A$3:$A$8,0)),""))</f>
        <v>165</v>
      </c>
      <c r="H111" s="33">
        <f t="shared" si="10"/>
        <v>15.757575757575758</v>
      </c>
      <c r="I111" s="52">
        <f>IF(F111="","",IFERROR(INDEX(Currais!$K$3:$K$8,MATCH(B111,Currais!$A$3:$A$8,0)),0))</f>
        <v>0.52245000000000008</v>
      </c>
      <c r="J111" s="20">
        <f t="shared" si="11"/>
        <v>1358.3700000000001</v>
      </c>
      <c r="K111" s="53" t="s">
        <v>557</v>
      </c>
    </row>
    <row r="112" spans="1:11" ht="15" customHeight="1" x14ac:dyDescent="0.3">
      <c r="A112" s="16">
        <v>46237</v>
      </c>
      <c r="B112" s="51" t="s">
        <v>40</v>
      </c>
      <c r="C112" s="19">
        <v>1040</v>
      </c>
      <c r="D112" s="19">
        <v>520</v>
      </c>
      <c r="E112" s="19">
        <v>1040</v>
      </c>
      <c r="F112" s="31">
        <f t="shared" si="9"/>
        <v>2600</v>
      </c>
      <c r="G112" s="47">
        <f>IF(B112="","",IFERROR(INDEX(Currais!$C$3:$C$8,MATCH(B112,Currais!$A$3:$A$8,0)),""))</f>
        <v>165</v>
      </c>
      <c r="H112" s="33">
        <f t="shared" si="10"/>
        <v>15.757575757575758</v>
      </c>
      <c r="I112" s="52">
        <f>IF(F112="","",IFERROR(INDEX(Currais!$K$3:$K$8,MATCH(B112,Currais!$A$3:$A$8,0)),0))</f>
        <v>0.52245000000000008</v>
      </c>
      <c r="J112" s="20">
        <f t="shared" si="11"/>
        <v>1358.3700000000001</v>
      </c>
      <c r="K112" s="53" t="s">
        <v>557</v>
      </c>
    </row>
    <row r="113" spans="1:11" ht="15" customHeight="1" x14ac:dyDescent="0.3">
      <c r="A113" s="16">
        <v>46203</v>
      </c>
      <c r="B113" s="51" t="s">
        <v>9</v>
      </c>
      <c r="C113" s="19">
        <v>280</v>
      </c>
      <c r="D113" s="19">
        <v>140</v>
      </c>
      <c r="E113" s="19">
        <v>280</v>
      </c>
      <c r="F113" s="31">
        <f t="shared" si="9"/>
        <v>700</v>
      </c>
      <c r="G113" s="47">
        <f>IF(B113="","",IFERROR(INDEX(Currais!$C$3:$C$8,MATCH(B113,Currais!$A$3:$A$8,0)),""))</f>
        <v>29</v>
      </c>
      <c r="H113" s="33">
        <f t="shared" si="10"/>
        <v>24.137931034482758</v>
      </c>
      <c r="I113" s="52">
        <f>IF(F113="","",IFERROR(INDEX(Currais!$K$3:$K$8,MATCH(B113,Currais!$A$3:$A$8,0)),0))</f>
        <v>0.66905000000000003</v>
      </c>
      <c r="J113" s="20">
        <f t="shared" si="11"/>
        <v>468.33500000000004</v>
      </c>
      <c r="K113" s="53" t="s">
        <v>558</v>
      </c>
    </row>
    <row r="114" spans="1:11" ht="15" customHeight="1" x14ac:dyDescent="0.3">
      <c r="A114" s="16">
        <v>46204</v>
      </c>
      <c r="B114" s="51" t="s">
        <v>9</v>
      </c>
      <c r="C114" s="19">
        <v>280</v>
      </c>
      <c r="D114" s="19">
        <v>140</v>
      </c>
      <c r="E114" s="19">
        <v>280</v>
      </c>
      <c r="F114" s="31">
        <f t="shared" si="9"/>
        <v>700</v>
      </c>
      <c r="G114" s="47">
        <f>IF(B114="","",IFERROR(INDEX(Currais!$C$3:$C$8,MATCH(B114,Currais!$A$3:$A$8,0)),""))</f>
        <v>29</v>
      </c>
      <c r="H114" s="33">
        <f t="shared" si="10"/>
        <v>24.137931034482758</v>
      </c>
      <c r="I114" s="52">
        <f>IF(F114="","",IFERROR(INDEX(Currais!$K$3:$K$8,MATCH(B114,Currais!$A$3:$A$8,0)),0))</f>
        <v>0.66905000000000003</v>
      </c>
      <c r="J114" s="20">
        <f t="shared" si="11"/>
        <v>468.33500000000004</v>
      </c>
      <c r="K114" s="53" t="s">
        <v>558</v>
      </c>
    </row>
    <row r="115" spans="1:11" ht="15" customHeight="1" x14ac:dyDescent="0.3">
      <c r="A115" s="16">
        <v>46205</v>
      </c>
      <c r="B115" s="51" t="s">
        <v>9</v>
      </c>
      <c r="C115" s="19">
        <v>280</v>
      </c>
      <c r="D115" s="19">
        <v>140</v>
      </c>
      <c r="E115" s="19">
        <v>280</v>
      </c>
      <c r="F115" s="31">
        <f t="shared" si="9"/>
        <v>700</v>
      </c>
      <c r="G115" s="47">
        <f>IF(B115="","",IFERROR(INDEX(Currais!$C$3:$C$8,MATCH(B115,Currais!$A$3:$A$8,0)),""))</f>
        <v>29</v>
      </c>
      <c r="H115" s="33">
        <f t="shared" si="10"/>
        <v>24.137931034482758</v>
      </c>
      <c r="I115" s="52">
        <f>IF(F115="","",IFERROR(INDEX(Currais!$K$3:$K$8,MATCH(B115,Currais!$A$3:$A$8,0)),0))</f>
        <v>0.66905000000000003</v>
      </c>
      <c r="J115" s="20">
        <f t="shared" si="11"/>
        <v>468.33500000000004</v>
      </c>
      <c r="K115" s="53" t="s">
        <v>558</v>
      </c>
    </row>
    <row r="116" spans="1:11" ht="15" customHeight="1" x14ac:dyDescent="0.3">
      <c r="A116" s="16">
        <v>46206</v>
      </c>
      <c r="B116" s="51" t="s">
        <v>9</v>
      </c>
      <c r="C116" s="19">
        <v>280</v>
      </c>
      <c r="D116" s="19">
        <v>140</v>
      </c>
      <c r="E116" s="19">
        <v>280</v>
      </c>
      <c r="F116" s="31">
        <f t="shared" si="9"/>
        <v>700</v>
      </c>
      <c r="G116" s="47">
        <f>IF(B116="","",IFERROR(INDEX(Currais!$C$3:$C$8,MATCH(B116,Currais!$A$3:$A$8,0)),""))</f>
        <v>29</v>
      </c>
      <c r="H116" s="33">
        <f t="shared" si="10"/>
        <v>24.137931034482758</v>
      </c>
      <c r="I116" s="52">
        <f>IF(F116="","",IFERROR(INDEX(Currais!$K$3:$K$8,MATCH(B116,Currais!$A$3:$A$8,0)),0))</f>
        <v>0.66905000000000003</v>
      </c>
      <c r="J116" s="20">
        <f t="shared" si="11"/>
        <v>468.33500000000004</v>
      </c>
      <c r="K116" s="53" t="s">
        <v>558</v>
      </c>
    </row>
    <row r="117" spans="1:11" ht="15" customHeight="1" x14ac:dyDescent="0.3">
      <c r="A117" s="16">
        <v>46207</v>
      </c>
      <c r="B117" s="51" t="s">
        <v>9</v>
      </c>
      <c r="C117" s="19">
        <v>280</v>
      </c>
      <c r="D117" s="19">
        <v>140</v>
      </c>
      <c r="E117" s="19">
        <v>280</v>
      </c>
      <c r="F117" s="31">
        <f t="shared" si="9"/>
        <v>700</v>
      </c>
      <c r="G117" s="47">
        <f>IF(B117="","",IFERROR(INDEX(Currais!$C$3:$C$8,MATCH(B117,Currais!$A$3:$A$8,0)),""))</f>
        <v>29</v>
      </c>
      <c r="H117" s="33">
        <f t="shared" si="10"/>
        <v>24.137931034482758</v>
      </c>
      <c r="I117" s="52">
        <f>IF(F117="","",IFERROR(INDEX(Currais!$K$3:$K$8,MATCH(B117,Currais!$A$3:$A$8,0)),0))</f>
        <v>0.66905000000000003</v>
      </c>
      <c r="J117" s="20">
        <f t="shared" si="11"/>
        <v>468.33500000000004</v>
      </c>
      <c r="K117" s="53" t="s">
        <v>558</v>
      </c>
    </row>
    <row r="118" spans="1:11" ht="15" customHeight="1" x14ac:dyDescent="0.3">
      <c r="A118" s="16">
        <v>46208</v>
      </c>
      <c r="B118" s="51" t="s">
        <v>9</v>
      </c>
      <c r="C118" s="19">
        <v>280</v>
      </c>
      <c r="D118" s="19">
        <v>140</v>
      </c>
      <c r="E118" s="19">
        <v>280</v>
      </c>
      <c r="F118" s="31">
        <f t="shared" si="9"/>
        <v>700</v>
      </c>
      <c r="G118" s="47">
        <f>IF(B118="","",IFERROR(INDEX(Currais!$C$3:$C$8,MATCH(B118,Currais!$A$3:$A$8,0)),""))</f>
        <v>29</v>
      </c>
      <c r="H118" s="33">
        <f t="shared" si="10"/>
        <v>24.137931034482758</v>
      </c>
      <c r="I118" s="52">
        <f>IF(F118="","",IFERROR(INDEX(Currais!$K$3:$K$8,MATCH(B118,Currais!$A$3:$A$8,0)),0))</f>
        <v>0.66905000000000003</v>
      </c>
      <c r="J118" s="20">
        <f t="shared" si="11"/>
        <v>468.33500000000004</v>
      </c>
      <c r="K118" s="53" t="s">
        <v>558</v>
      </c>
    </row>
    <row r="119" spans="1:11" ht="15" customHeight="1" x14ac:dyDescent="0.3">
      <c r="A119" s="16">
        <v>46209</v>
      </c>
      <c r="B119" s="51" t="s">
        <v>9</v>
      </c>
      <c r="C119" s="19">
        <v>280</v>
      </c>
      <c r="D119" s="19">
        <v>140</v>
      </c>
      <c r="E119" s="19">
        <v>280</v>
      </c>
      <c r="F119" s="31">
        <f t="shared" si="9"/>
        <v>700</v>
      </c>
      <c r="G119" s="47">
        <f>IF(B119="","",IFERROR(INDEX(Currais!$C$3:$C$8,MATCH(B119,Currais!$A$3:$A$8,0)),""))</f>
        <v>29</v>
      </c>
      <c r="H119" s="33">
        <f t="shared" si="10"/>
        <v>24.137931034482758</v>
      </c>
      <c r="I119" s="52">
        <f>IF(F119="","",IFERROR(INDEX(Currais!$K$3:$K$8,MATCH(B119,Currais!$A$3:$A$8,0)),0))</f>
        <v>0.66905000000000003</v>
      </c>
      <c r="J119" s="20">
        <f t="shared" si="11"/>
        <v>468.33500000000004</v>
      </c>
      <c r="K119" s="53" t="s">
        <v>558</v>
      </c>
    </row>
    <row r="120" spans="1:11" ht="15" customHeight="1" x14ac:dyDescent="0.3">
      <c r="A120" s="16">
        <v>46210</v>
      </c>
      <c r="B120" s="51" t="s">
        <v>9</v>
      </c>
      <c r="C120" s="19">
        <v>280</v>
      </c>
      <c r="D120" s="19">
        <v>140</v>
      </c>
      <c r="E120" s="19">
        <v>280</v>
      </c>
      <c r="F120" s="31">
        <f t="shared" si="9"/>
        <v>700</v>
      </c>
      <c r="G120" s="47">
        <f>IF(B120="","",IFERROR(INDEX(Currais!$C$3:$C$8,MATCH(B120,Currais!$A$3:$A$8,0)),""))</f>
        <v>29</v>
      </c>
      <c r="H120" s="33">
        <f t="shared" si="10"/>
        <v>24.137931034482758</v>
      </c>
      <c r="I120" s="52">
        <f>IF(F120="","",IFERROR(INDEX(Currais!$K$3:$K$8,MATCH(B120,Currais!$A$3:$A$8,0)),0))</f>
        <v>0.66905000000000003</v>
      </c>
      <c r="J120" s="20">
        <f t="shared" si="11"/>
        <v>468.33500000000004</v>
      </c>
      <c r="K120" s="53" t="s">
        <v>558</v>
      </c>
    </row>
    <row r="121" spans="1:11" ht="15" customHeight="1" x14ac:dyDescent="0.3">
      <c r="A121" s="16">
        <v>46211</v>
      </c>
      <c r="B121" s="51" t="s">
        <v>9</v>
      </c>
      <c r="C121" s="19">
        <v>280</v>
      </c>
      <c r="D121" s="19">
        <v>140</v>
      </c>
      <c r="E121" s="19">
        <v>280</v>
      </c>
      <c r="F121" s="31">
        <f t="shared" si="9"/>
        <v>700</v>
      </c>
      <c r="G121" s="47">
        <f>IF(B121="","",IFERROR(INDEX(Currais!$C$3:$C$8,MATCH(B121,Currais!$A$3:$A$8,0)),""))</f>
        <v>29</v>
      </c>
      <c r="H121" s="33">
        <f t="shared" si="10"/>
        <v>24.137931034482758</v>
      </c>
      <c r="I121" s="52">
        <f>IF(F121="","",IFERROR(INDEX(Currais!$K$3:$K$8,MATCH(B121,Currais!$A$3:$A$8,0)),0))</f>
        <v>0.66905000000000003</v>
      </c>
      <c r="J121" s="20">
        <f t="shared" si="11"/>
        <v>468.33500000000004</v>
      </c>
      <c r="K121" s="53" t="s">
        <v>558</v>
      </c>
    </row>
    <row r="122" spans="1:11" ht="15" customHeight="1" x14ac:dyDescent="0.3">
      <c r="A122" s="16">
        <v>46212</v>
      </c>
      <c r="B122" s="51" t="s">
        <v>9</v>
      </c>
      <c r="C122" s="19">
        <v>280</v>
      </c>
      <c r="D122" s="19">
        <v>140</v>
      </c>
      <c r="E122" s="19">
        <v>280</v>
      </c>
      <c r="F122" s="31">
        <f t="shared" si="9"/>
        <v>700</v>
      </c>
      <c r="G122" s="47">
        <f>IF(B122="","",IFERROR(INDEX(Currais!$C$3:$C$8,MATCH(B122,Currais!$A$3:$A$8,0)),""))</f>
        <v>29</v>
      </c>
      <c r="H122" s="33">
        <f t="shared" si="10"/>
        <v>24.137931034482758</v>
      </c>
      <c r="I122" s="52">
        <f>IF(F122="","",IFERROR(INDEX(Currais!$K$3:$K$8,MATCH(B122,Currais!$A$3:$A$8,0)),0))</f>
        <v>0.66905000000000003</v>
      </c>
      <c r="J122" s="20">
        <f t="shared" si="11"/>
        <v>468.33500000000004</v>
      </c>
      <c r="K122" s="53" t="s">
        <v>558</v>
      </c>
    </row>
    <row r="123" spans="1:11" ht="15" customHeight="1" x14ac:dyDescent="0.3">
      <c r="A123" s="16">
        <v>46213</v>
      </c>
      <c r="B123" s="51" t="s">
        <v>9</v>
      </c>
      <c r="C123" s="19">
        <v>280</v>
      </c>
      <c r="D123" s="19">
        <v>140</v>
      </c>
      <c r="E123" s="19">
        <v>280</v>
      </c>
      <c r="F123" s="31">
        <f t="shared" si="9"/>
        <v>700</v>
      </c>
      <c r="G123" s="47">
        <f>IF(B123="","",IFERROR(INDEX(Currais!$C$3:$C$8,MATCH(B123,Currais!$A$3:$A$8,0)),""))</f>
        <v>29</v>
      </c>
      <c r="H123" s="33">
        <f t="shared" si="10"/>
        <v>24.137931034482758</v>
      </c>
      <c r="I123" s="52">
        <f>IF(F123="","",IFERROR(INDEX(Currais!$K$3:$K$8,MATCH(B123,Currais!$A$3:$A$8,0)),0))</f>
        <v>0.66905000000000003</v>
      </c>
      <c r="J123" s="20">
        <f t="shared" si="11"/>
        <v>468.33500000000004</v>
      </c>
      <c r="K123" s="53" t="s">
        <v>558</v>
      </c>
    </row>
    <row r="124" spans="1:11" ht="15" customHeight="1" x14ac:dyDescent="0.3">
      <c r="A124" s="16">
        <v>46214</v>
      </c>
      <c r="B124" s="51" t="s">
        <v>9</v>
      </c>
      <c r="C124" s="19">
        <v>280</v>
      </c>
      <c r="D124" s="19">
        <v>140</v>
      </c>
      <c r="E124" s="19">
        <v>280</v>
      </c>
      <c r="F124" s="31">
        <f t="shared" si="9"/>
        <v>700</v>
      </c>
      <c r="G124" s="47">
        <f>IF(B124="","",IFERROR(INDEX(Currais!$C$3:$C$8,MATCH(B124,Currais!$A$3:$A$8,0)),""))</f>
        <v>29</v>
      </c>
      <c r="H124" s="33">
        <f t="shared" si="10"/>
        <v>24.137931034482758</v>
      </c>
      <c r="I124" s="52">
        <f>IF(F124="","",IFERROR(INDEX(Currais!$K$3:$K$8,MATCH(B124,Currais!$A$3:$A$8,0)),0))</f>
        <v>0.66905000000000003</v>
      </c>
      <c r="J124" s="20">
        <f t="shared" si="11"/>
        <v>468.33500000000004</v>
      </c>
      <c r="K124" s="53" t="s">
        <v>558</v>
      </c>
    </row>
    <row r="125" spans="1:11" ht="15" customHeight="1" x14ac:dyDescent="0.3">
      <c r="A125" s="16">
        <v>46215</v>
      </c>
      <c r="B125" s="51" t="s">
        <v>9</v>
      </c>
      <c r="C125" s="19">
        <v>280</v>
      </c>
      <c r="D125" s="19">
        <v>140</v>
      </c>
      <c r="E125" s="19">
        <v>280</v>
      </c>
      <c r="F125" s="31">
        <f t="shared" si="9"/>
        <v>700</v>
      </c>
      <c r="G125" s="47">
        <f>IF(B125="","",IFERROR(INDEX(Currais!$C$3:$C$8,MATCH(B125,Currais!$A$3:$A$8,0)),""))</f>
        <v>29</v>
      </c>
      <c r="H125" s="33">
        <f t="shared" si="10"/>
        <v>24.137931034482758</v>
      </c>
      <c r="I125" s="52">
        <f>IF(F125="","",IFERROR(INDEX(Currais!$K$3:$K$8,MATCH(B125,Currais!$A$3:$A$8,0)),0))</f>
        <v>0.66905000000000003</v>
      </c>
      <c r="J125" s="20">
        <f t="shared" si="11"/>
        <v>468.33500000000004</v>
      </c>
      <c r="K125" s="53" t="s">
        <v>558</v>
      </c>
    </row>
    <row r="126" spans="1:11" ht="15" customHeight="1" x14ac:dyDescent="0.3">
      <c r="A126" s="16">
        <v>46216</v>
      </c>
      <c r="B126" s="51" t="s">
        <v>9</v>
      </c>
      <c r="C126" s="19">
        <v>280</v>
      </c>
      <c r="D126" s="19">
        <v>140</v>
      </c>
      <c r="E126" s="19">
        <v>280</v>
      </c>
      <c r="F126" s="31">
        <f t="shared" si="9"/>
        <v>700</v>
      </c>
      <c r="G126" s="47">
        <f>IF(B126="","",IFERROR(INDEX(Currais!$C$3:$C$8,MATCH(B126,Currais!$A$3:$A$8,0)),""))</f>
        <v>29</v>
      </c>
      <c r="H126" s="33">
        <f t="shared" si="10"/>
        <v>24.137931034482758</v>
      </c>
      <c r="I126" s="52">
        <f>IF(F126="","",IFERROR(INDEX(Currais!$K$3:$K$8,MATCH(B126,Currais!$A$3:$A$8,0)),0))</f>
        <v>0.66905000000000003</v>
      </c>
      <c r="J126" s="20">
        <f t="shared" si="11"/>
        <v>468.33500000000004</v>
      </c>
      <c r="K126" s="53" t="s">
        <v>558</v>
      </c>
    </row>
    <row r="127" spans="1:11" ht="15" customHeight="1" x14ac:dyDescent="0.3">
      <c r="A127" s="16">
        <v>46217</v>
      </c>
      <c r="B127" s="51" t="s">
        <v>9</v>
      </c>
      <c r="C127" s="19">
        <v>280</v>
      </c>
      <c r="D127" s="19">
        <v>140</v>
      </c>
      <c r="E127" s="19">
        <v>280</v>
      </c>
      <c r="F127" s="31">
        <f t="shared" si="9"/>
        <v>700</v>
      </c>
      <c r="G127" s="47">
        <f>IF(B127="","",IFERROR(INDEX(Currais!$C$3:$C$8,MATCH(B127,Currais!$A$3:$A$8,0)),""))</f>
        <v>29</v>
      </c>
      <c r="H127" s="33">
        <f t="shared" si="10"/>
        <v>24.137931034482758</v>
      </c>
      <c r="I127" s="52">
        <f>IF(F127="","",IFERROR(INDEX(Currais!$K$3:$K$8,MATCH(B127,Currais!$A$3:$A$8,0)),0))</f>
        <v>0.66905000000000003</v>
      </c>
      <c r="J127" s="20">
        <f t="shared" si="11"/>
        <v>468.33500000000004</v>
      </c>
      <c r="K127" s="53" t="s">
        <v>558</v>
      </c>
    </row>
    <row r="128" spans="1:11" ht="15" customHeight="1" x14ac:dyDescent="0.3">
      <c r="A128" s="16">
        <v>46218</v>
      </c>
      <c r="B128" s="51" t="s">
        <v>9</v>
      </c>
      <c r="C128" s="19">
        <v>280</v>
      </c>
      <c r="D128" s="19">
        <v>140</v>
      </c>
      <c r="E128" s="19">
        <v>280</v>
      </c>
      <c r="F128" s="31">
        <f t="shared" si="9"/>
        <v>700</v>
      </c>
      <c r="G128" s="47">
        <f>IF(B128="","",IFERROR(INDEX(Currais!$C$3:$C$8,MATCH(B128,Currais!$A$3:$A$8,0)),""))</f>
        <v>29</v>
      </c>
      <c r="H128" s="33">
        <f t="shared" si="10"/>
        <v>24.137931034482758</v>
      </c>
      <c r="I128" s="52">
        <f>IF(F128="","",IFERROR(INDEX(Currais!$K$3:$K$8,MATCH(B128,Currais!$A$3:$A$8,0)),0))</f>
        <v>0.66905000000000003</v>
      </c>
      <c r="J128" s="20">
        <f t="shared" si="11"/>
        <v>468.33500000000004</v>
      </c>
      <c r="K128" s="53" t="s">
        <v>558</v>
      </c>
    </row>
    <row r="129" spans="1:11" ht="15" customHeight="1" x14ac:dyDescent="0.3">
      <c r="A129" s="16">
        <v>46219</v>
      </c>
      <c r="B129" s="51" t="s">
        <v>9</v>
      </c>
      <c r="C129" s="19">
        <v>280</v>
      </c>
      <c r="D129" s="19">
        <v>140</v>
      </c>
      <c r="E129" s="19">
        <v>280</v>
      </c>
      <c r="F129" s="31">
        <f t="shared" si="9"/>
        <v>700</v>
      </c>
      <c r="G129" s="47">
        <f>IF(B129="","",IFERROR(INDEX(Currais!$C$3:$C$8,MATCH(B129,Currais!$A$3:$A$8,0)),""))</f>
        <v>29</v>
      </c>
      <c r="H129" s="33">
        <f t="shared" si="10"/>
        <v>24.137931034482758</v>
      </c>
      <c r="I129" s="52">
        <f>IF(F129="","",IFERROR(INDEX(Currais!$K$3:$K$8,MATCH(B129,Currais!$A$3:$A$8,0)),0))</f>
        <v>0.66905000000000003</v>
      </c>
      <c r="J129" s="20">
        <f t="shared" si="11"/>
        <v>468.33500000000004</v>
      </c>
      <c r="K129" s="53" t="s">
        <v>558</v>
      </c>
    </row>
    <row r="130" spans="1:11" ht="15" customHeight="1" x14ac:dyDescent="0.3">
      <c r="A130" s="16">
        <v>46220</v>
      </c>
      <c r="B130" s="51" t="s">
        <v>9</v>
      </c>
      <c r="C130" s="19">
        <v>280</v>
      </c>
      <c r="D130" s="19">
        <v>140</v>
      </c>
      <c r="E130" s="19">
        <v>280</v>
      </c>
      <c r="F130" s="31">
        <f t="shared" si="9"/>
        <v>700</v>
      </c>
      <c r="G130" s="47">
        <f>IF(B130="","",IFERROR(INDEX(Currais!$C$3:$C$8,MATCH(B130,Currais!$A$3:$A$8,0)),""))</f>
        <v>29</v>
      </c>
      <c r="H130" s="33">
        <f t="shared" si="10"/>
        <v>24.137931034482758</v>
      </c>
      <c r="I130" s="52">
        <f>IF(F130="","",IFERROR(INDEX(Currais!$K$3:$K$8,MATCH(B130,Currais!$A$3:$A$8,0)),0))</f>
        <v>0.66905000000000003</v>
      </c>
      <c r="J130" s="20">
        <f t="shared" si="11"/>
        <v>468.33500000000004</v>
      </c>
      <c r="K130" s="53" t="s">
        <v>558</v>
      </c>
    </row>
    <row r="131" spans="1:11" ht="15" customHeight="1" x14ac:dyDescent="0.3">
      <c r="A131" s="16">
        <v>46221</v>
      </c>
      <c r="B131" s="51" t="s">
        <v>9</v>
      </c>
      <c r="C131" s="19">
        <v>280</v>
      </c>
      <c r="D131" s="19">
        <v>140</v>
      </c>
      <c r="E131" s="19">
        <v>280</v>
      </c>
      <c r="F131" s="31">
        <f t="shared" si="9"/>
        <v>700</v>
      </c>
      <c r="G131" s="47">
        <f>IF(B131="","",IFERROR(INDEX(Currais!$C$3:$C$8,MATCH(B131,Currais!$A$3:$A$8,0)),""))</f>
        <v>29</v>
      </c>
      <c r="H131" s="33">
        <f t="shared" si="10"/>
        <v>24.137931034482758</v>
      </c>
      <c r="I131" s="52">
        <f>IF(F131="","",IFERROR(INDEX(Currais!$K$3:$K$8,MATCH(B131,Currais!$A$3:$A$8,0)),0))</f>
        <v>0.66905000000000003</v>
      </c>
      <c r="J131" s="20">
        <f t="shared" si="11"/>
        <v>468.33500000000004</v>
      </c>
      <c r="K131" s="53" t="s">
        <v>558</v>
      </c>
    </row>
    <row r="132" spans="1:11" ht="15" customHeight="1" x14ac:dyDescent="0.3">
      <c r="A132" s="16">
        <v>46222</v>
      </c>
      <c r="B132" s="51" t="s">
        <v>9</v>
      </c>
      <c r="C132" s="19">
        <v>280</v>
      </c>
      <c r="D132" s="19">
        <v>140</v>
      </c>
      <c r="E132" s="19">
        <v>280</v>
      </c>
      <c r="F132" s="31">
        <f t="shared" ref="F132:F163" si="12">IF(AND(C132="",D132="",E132=""),"",N(C132)+N(D132)+N(E132))</f>
        <v>700</v>
      </c>
      <c r="G132" s="47">
        <f>IF(B132="","",IFERROR(INDEX(Currais!$C$3:$C$8,MATCH(B132,Currais!$A$3:$A$8,0)),""))</f>
        <v>29</v>
      </c>
      <c r="H132" s="33">
        <f t="shared" ref="H132:H163" si="13">IF(OR(F132="",G132="",G132=0),"",F132/G132)</f>
        <v>24.137931034482758</v>
      </c>
      <c r="I132" s="52">
        <f>IF(F132="","",IFERROR(INDEX(Currais!$K$3:$K$8,MATCH(B132,Currais!$A$3:$A$8,0)),0))</f>
        <v>0.66905000000000003</v>
      </c>
      <c r="J132" s="20">
        <f t="shared" ref="J132:J163" si="14">IF(F132="","",F132*I132)</f>
        <v>468.33500000000004</v>
      </c>
      <c r="K132" s="53" t="s">
        <v>558</v>
      </c>
    </row>
    <row r="133" spans="1:11" ht="15" customHeight="1" x14ac:dyDescent="0.3">
      <c r="A133" s="16">
        <v>46223</v>
      </c>
      <c r="B133" s="51" t="s">
        <v>9</v>
      </c>
      <c r="C133" s="19">
        <v>280</v>
      </c>
      <c r="D133" s="19">
        <v>140</v>
      </c>
      <c r="E133" s="19">
        <v>280</v>
      </c>
      <c r="F133" s="31">
        <f t="shared" si="12"/>
        <v>700</v>
      </c>
      <c r="G133" s="47">
        <f>IF(B133="","",IFERROR(INDEX(Currais!$C$3:$C$8,MATCH(B133,Currais!$A$3:$A$8,0)),""))</f>
        <v>29</v>
      </c>
      <c r="H133" s="33">
        <f t="shared" si="13"/>
        <v>24.137931034482758</v>
      </c>
      <c r="I133" s="52">
        <f>IF(F133="","",IFERROR(INDEX(Currais!$K$3:$K$8,MATCH(B133,Currais!$A$3:$A$8,0)),0))</f>
        <v>0.66905000000000003</v>
      </c>
      <c r="J133" s="20">
        <f t="shared" si="14"/>
        <v>468.33500000000004</v>
      </c>
      <c r="K133" s="53" t="s">
        <v>558</v>
      </c>
    </row>
    <row r="134" spans="1:11" ht="15" customHeight="1" x14ac:dyDescent="0.3">
      <c r="A134" s="16">
        <v>46224</v>
      </c>
      <c r="B134" s="51" t="s">
        <v>9</v>
      </c>
      <c r="C134" s="19">
        <v>280</v>
      </c>
      <c r="D134" s="19">
        <v>140</v>
      </c>
      <c r="E134" s="19">
        <v>280</v>
      </c>
      <c r="F134" s="31">
        <f t="shared" si="12"/>
        <v>700</v>
      </c>
      <c r="G134" s="47">
        <f>IF(B134="","",IFERROR(INDEX(Currais!$C$3:$C$8,MATCH(B134,Currais!$A$3:$A$8,0)),""))</f>
        <v>29</v>
      </c>
      <c r="H134" s="33">
        <f t="shared" si="13"/>
        <v>24.137931034482758</v>
      </c>
      <c r="I134" s="52">
        <f>IF(F134="","",IFERROR(INDEX(Currais!$K$3:$K$8,MATCH(B134,Currais!$A$3:$A$8,0)),0))</f>
        <v>0.66905000000000003</v>
      </c>
      <c r="J134" s="20">
        <f t="shared" si="14"/>
        <v>468.33500000000004</v>
      </c>
      <c r="K134" s="53" t="s">
        <v>558</v>
      </c>
    </row>
    <row r="135" spans="1:11" ht="15" customHeight="1" x14ac:dyDescent="0.3">
      <c r="A135" s="16">
        <v>46225</v>
      </c>
      <c r="B135" s="51" t="s">
        <v>9</v>
      </c>
      <c r="C135" s="19">
        <v>280</v>
      </c>
      <c r="D135" s="19">
        <v>140</v>
      </c>
      <c r="E135" s="19">
        <v>280</v>
      </c>
      <c r="F135" s="31">
        <f t="shared" si="12"/>
        <v>700</v>
      </c>
      <c r="G135" s="47">
        <f>IF(B135="","",IFERROR(INDEX(Currais!$C$3:$C$8,MATCH(B135,Currais!$A$3:$A$8,0)),""))</f>
        <v>29</v>
      </c>
      <c r="H135" s="33">
        <f t="shared" si="13"/>
        <v>24.137931034482758</v>
      </c>
      <c r="I135" s="52">
        <f>IF(F135="","",IFERROR(INDEX(Currais!$K$3:$K$8,MATCH(B135,Currais!$A$3:$A$8,0)),0))</f>
        <v>0.66905000000000003</v>
      </c>
      <c r="J135" s="20">
        <f t="shared" si="14"/>
        <v>468.33500000000004</v>
      </c>
      <c r="K135" s="53" t="s">
        <v>558</v>
      </c>
    </row>
    <row r="136" spans="1:11" ht="15" customHeight="1" x14ac:dyDescent="0.3">
      <c r="A136" s="16">
        <v>46226</v>
      </c>
      <c r="B136" s="51" t="s">
        <v>9</v>
      </c>
      <c r="C136" s="19">
        <v>280</v>
      </c>
      <c r="D136" s="19">
        <v>140</v>
      </c>
      <c r="E136" s="19">
        <v>280</v>
      </c>
      <c r="F136" s="31">
        <f t="shared" si="12"/>
        <v>700</v>
      </c>
      <c r="G136" s="47">
        <f>IF(B136="","",IFERROR(INDEX(Currais!$C$3:$C$8,MATCH(B136,Currais!$A$3:$A$8,0)),""))</f>
        <v>29</v>
      </c>
      <c r="H136" s="33">
        <f t="shared" si="13"/>
        <v>24.137931034482758</v>
      </c>
      <c r="I136" s="52">
        <f>IF(F136="","",IFERROR(INDEX(Currais!$K$3:$K$8,MATCH(B136,Currais!$A$3:$A$8,0)),0))</f>
        <v>0.66905000000000003</v>
      </c>
      <c r="J136" s="20">
        <f t="shared" si="14"/>
        <v>468.33500000000004</v>
      </c>
      <c r="K136" s="53" t="s">
        <v>558</v>
      </c>
    </row>
    <row r="137" spans="1:11" ht="15" customHeight="1" x14ac:dyDescent="0.3">
      <c r="A137" s="16">
        <v>46227</v>
      </c>
      <c r="B137" s="51" t="s">
        <v>9</v>
      </c>
      <c r="C137" s="19">
        <v>280</v>
      </c>
      <c r="D137" s="19">
        <v>140</v>
      </c>
      <c r="E137" s="19">
        <v>280</v>
      </c>
      <c r="F137" s="31">
        <f t="shared" si="12"/>
        <v>700</v>
      </c>
      <c r="G137" s="47">
        <f>IF(B137="","",IFERROR(INDEX(Currais!$C$3:$C$8,MATCH(B137,Currais!$A$3:$A$8,0)),""))</f>
        <v>29</v>
      </c>
      <c r="H137" s="33">
        <f t="shared" si="13"/>
        <v>24.137931034482758</v>
      </c>
      <c r="I137" s="52">
        <f>IF(F137="","",IFERROR(INDEX(Currais!$K$3:$K$8,MATCH(B137,Currais!$A$3:$A$8,0)),0))</f>
        <v>0.66905000000000003</v>
      </c>
      <c r="J137" s="20">
        <f t="shared" si="14"/>
        <v>468.33500000000004</v>
      </c>
      <c r="K137" s="53" t="s">
        <v>558</v>
      </c>
    </row>
    <row r="138" spans="1:11" ht="15" customHeight="1" x14ac:dyDescent="0.3">
      <c r="A138" s="16">
        <v>46228</v>
      </c>
      <c r="B138" s="51" t="s">
        <v>9</v>
      </c>
      <c r="C138" s="19">
        <v>280</v>
      </c>
      <c r="D138" s="19">
        <v>140</v>
      </c>
      <c r="E138" s="19">
        <v>280</v>
      </c>
      <c r="F138" s="31">
        <f t="shared" si="12"/>
        <v>700</v>
      </c>
      <c r="G138" s="47">
        <f>IF(B138="","",IFERROR(INDEX(Currais!$C$3:$C$8,MATCH(B138,Currais!$A$3:$A$8,0)),""))</f>
        <v>29</v>
      </c>
      <c r="H138" s="33">
        <f t="shared" si="13"/>
        <v>24.137931034482758</v>
      </c>
      <c r="I138" s="52">
        <f>IF(F138="","",IFERROR(INDEX(Currais!$K$3:$K$8,MATCH(B138,Currais!$A$3:$A$8,0)),0))</f>
        <v>0.66905000000000003</v>
      </c>
      <c r="J138" s="20">
        <f t="shared" si="14"/>
        <v>468.33500000000004</v>
      </c>
      <c r="K138" s="53" t="s">
        <v>558</v>
      </c>
    </row>
    <row r="139" spans="1:11" ht="15" customHeight="1" x14ac:dyDescent="0.3">
      <c r="A139" s="16">
        <v>46229</v>
      </c>
      <c r="B139" s="51" t="s">
        <v>9</v>
      </c>
      <c r="C139" s="19">
        <v>280</v>
      </c>
      <c r="D139" s="19">
        <v>140</v>
      </c>
      <c r="E139" s="19">
        <v>280</v>
      </c>
      <c r="F139" s="31">
        <f t="shared" si="12"/>
        <v>700</v>
      </c>
      <c r="G139" s="47">
        <f>IF(B139="","",IFERROR(INDEX(Currais!$C$3:$C$8,MATCH(B139,Currais!$A$3:$A$8,0)),""))</f>
        <v>29</v>
      </c>
      <c r="H139" s="33">
        <f t="shared" si="13"/>
        <v>24.137931034482758</v>
      </c>
      <c r="I139" s="52">
        <f>IF(F139="","",IFERROR(INDEX(Currais!$K$3:$K$8,MATCH(B139,Currais!$A$3:$A$8,0)),0))</f>
        <v>0.66905000000000003</v>
      </c>
      <c r="J139" s="20">
        <f t="shared" si="14"/>
        <v>468.33500000000004</v>
      </c>
      <c r="K139" s="53" t="s">
        <v>558</v>
      </c>
    </row>
    <row r="140" spans="1:11" ht="15" customHeight="1" x14ac:dyDescent="0.3">
      <c r="A140" s="16">
        <v>46230</v>
      </c>
      <c r="B140" s="51" t="s">
        <v>9</v>
      </c>
      <c r="C140" s="19">
        <v>280</v>
      </c>
      <c r="D140" s="19">
        <v>140</v>
      </c>
      <c r="E140" s="19">
        <v>280</v>
      </c>
      <c r="F140" s="31">
        <f t="shared" si="12"/>
        <v>700</v>
      </c>
      <c r="G140" s="47">
        <f>IF(B140="","",IFERROR(INDEX(Currais!$C$3:$C$8,MATCH(B140,Currais!$A$3:$A$8,0)),""))</f>
        <v>29</v>
      </c>
      <c r="H140" s="33">
        <f t="shared" si="13"/>
        <v>24.137931034482758</v>
      </c>
      <c r="I140" s="52">
        <f>IF(F140="","",IFERROR(INDEX(Currais!$K$3:$K$8,MATCH(B140,Currais!$A$3:$A$8,0)),0))</f>
        <v>0.66905000000000003</v>
      </c>
      <c r="J140" s="20">
        <f t="shared" si="14"/>
        <v>468.33500000000004</v>
      </c>
      <c r="K140" s="53" t="s">
        <v>558</v>
      </c>
    </row>
    <row r="141" spans="1:11" ht="15" customHeight="1" x14ac:dyDescent="0.3">
      <c r="A141" s="16">
        <v>46231</v>
      </c>
      <c r="B141" s="51" t="s">
        <v>9</v>
      </c>
      <c r="C141" s="19">
        <v>280</v>
      </c>
      <c r="D141" s="19">
        <v>140</v>
      </c>
      <c r="E141" s="19">
        <v>280</v>
      </c>
      <c r="F141" s="31">
        <f t="shared" si="12"/>
        <v>700</v>
      </c>
      <c r="G141" s="47">
        <f>IF(B141="","",IFERROR(INDEX(Currais!$C$3:$C$8,MATCH(B141,Currais!$A$3:$A$8,0)),""))</f>
        <v>29</v>
      </c>
      <c r="H141" s="33">
        <f t="shared" si="13"/>
        <v>24.137931034482758</v>
      </c>
      <c r="I141" s="52">
        <f>IF(F141="","",IFERROR(INDEX(Currais!$K$3:$K$8,MATCH(B141,Currais!$A$3:$A$8,0)),0))</f>
        <v>0.66905000000000003</v>
      </c>
      <c r="J141" s="20">
        <f t="shared" si="14"/>
        <v>468.33500000000004</v>
      </c>
      <c r="K141" s="53" t="s">
        <v>558</v>
      </c>
    </row>
    <row r="142" spans="1:11" ht="15" customHeight="1" x14ac:dyDescent="0.3">
      <c r="A142" s="16">
        <v>46232</v>
      </c>
      <c r="B142" s="51" t="s">
        <v>9</v>
      </c>
      <c r="C142" s="19">
        <v>280</v>
      </c>
      <c r="D142" s="19">
        <v>140</v>
      </c>
      <c r="E142" s="19">
        <v>280</v>
      </c>
      <c r="F142" s="31">
        <f t="shared" si="12"/>
        <v>700</v>
      </c>
      <c r="G142" s="47">
        <f>IF(B142="","",IFERROR(INDEX(Currais!$C$3:$C$8,MATCH(B142,Currais!$A$3:$A$8,0)),""))</f>
        <v>29</v>
      </c>
      <c r="H142" s="33">
        <f t="shared" si="13"/>
        <v>24.137931034482758</v>
      </c>
      <c r="I142" s="52">
        <f>IF(F142="","",IFERROR(INDEX(Currais!$K$3:$K$8,MATCH(B142,Currais!$A$3:$A$8,0)),0))</f>
        <v>0.66905000000000003</v>
      </c>
      <c r="J142" s="20">
        <f t="shared" si="14"/>
        <v>468.33500000000004</v>
      </c>
      <c r="K142" s="53" t="s">
        <v>558</v>
      </c>
    </row>
    <row r="143" spans="1:11" ht="15" customHeight="1" x14ac:dyDescent="0.3">
      <c r="A143" s="16">
        <v>46233</v>
      </c>
      <c r="B143" s="51" t="s">
        <v>9</v>
      </c>
      <c r="C143" s="19">
        <v>280</v>
      </c>
      <c r="D143" s="19">
        <v>140</v>
      </c>
      <c r="E143" s="19">
        <v>280</v>
      </c>
      <c r="F143" s="31">
        <f t="shared" si="12"/>
        <v>700</v>
      </c>
      <c r="G143" s="47">
        <f>IF(B143="","",IFERROR(INDEX(Currais!$C$3:$C$8,MATCH(B143,Currais!$A$3:$A$8,0)),""))</f>
        <v>29</v>
      </c>
      <c r="H143" s="33">
        <f t="shared" si="13"/>
        <v>24.137931034482758</v>
      </c>
      <c r="I143" s="52">
        <f>IF(F143="","",IFERROR(INDEX(Currais!$K$3:$K$8,MATCH(B143,Currais!$A$3:$A$8,0)),0))</f>
        <v>0.66905000000000003</v>
      </c>
      <c r="J143" s="20">
        <f t="shared" si="14"/>
        <v>468.33500000000004</v>
      </c>
      <c r="K143" s="53" t="s">
        <v>558</v>
      </c>
    </row>
    <row r="144" spans="1:11" ht="15" customHeight="1" x14ac:dyDescent="0.3">
      <c r="A144" s="16">
        <v>46234</v>
      </c>
      <c r="B144" s="51" t="s">
        <v>9</v>
      </c>
      <c r="C144" s="19">
        <v>280</v>
      </c>
      <c r="D144" s="19">
        <v>140</v>
      </c>
      <c r="E144" s="19">
        <v>280</v>
      </c>
      <c r="F144" s="31">
        <f t="shared" si="12"/>
        <v>700</v>
      </c>
      <c r="G144" s="47">
        <f>IF(B144="","",IFERROR(INDEX(Currais!$C$3:$C$8,MATCH(B144,Currais!$A$3:$A$8,0)),""))</f>
        <v>29</v>
      </c>
      <c r="H144" s="33">
        <f t="shared" si="13"/>
        <v>24.137931034482758</v>
      </c>
      <c r="I144" s="52">
        <f>IF(F144="","",IFERROR(INDEX(Currais!$K$3:$K$8,MATCH(B144,Currais!$A$3:$A$8,0)),0))</f>
        <v>0.66905000000000003</v>
      </c>
      <c r="J144" s="20">
        <f t="shared" si="14"/>
        <v>468.33500000000004</v>
      </c>
      <c r="K144" s="53" t="s">
        <v>558</v>
      </c>
    </row>
    <row r="145" spans="1:11" ht="15" customHeight="1" x14ac:dyDescent="0.3">
      <c r="A145" s="16">
        <v>46235</v>
      </c>
      <c r="B145" s="51" t="s">
        <v>9</v>
      </c>
      <c r="C145" s="19">
        <v>280</v>
      </c>
      <c r="D145" s="19">
        <v>140</v>
      </c>
      <c r="E145" s="19">
        <v>280</v>
      </c>
      <c r="F145" s="31">
        <f t="shared" si="12"/>
        <v>700</v>
      </c>
      <c r="G145" s="47">
        <f>IF(B145="","",IFERROR(INDEX(Currais!$C$3:$C$8,MATCH(B145,Currais!$A$3:$A$8,0)),""))</f>
        <v>29</v>
      </c>
      <c r="H145" s="33">
        <f t="shared" si="13"/>
        <v>24.137931034482758</v>
      </c>
      <c r="I145" s="52">
        <f>IF(F145="","",IFERROR(INDEX(Currais!$K$3:$K$8,MATCH(B145,Currais!$A$3:$A$8,0)),0))</f>
        <v>0.66905000000000003</v>
      </c>
      <c r="J145" s="20">
        <f t="shared" si="14"/>
        <v>468.33500000000004</v>
      </c>
      <c r="K145" s="53" t="s">
        <v>558</v>
      </c>
    </row>
    <row r="146" spans="1:11" ht="15" customHeight="1" x14ac:dyDescent="0.3">
      <c r="A146" s="16">
        <v>46236</v>
      </c>
      <c r="B146" s="51" t="s">
        <v>9</v>
      </c>
      <c r="C146" s="19">
        <v>280</v>
      </c>
      <c r="D146" s="19">
        <v>140</v>
      </c>
      <c r="E146" s="19">
        <v>280</v>
      </c>
      <c r="F146" s="31">
        <f t="shared" si="12"/>
        <v>700</v>
      </c>
      <c r="G146" s="47">
        <f>IF(B146="","",IFERROR(INDEX(Currais!$C$3:$C$8,MATCH(B146,Currais!$A$3:$A$8,0)),""))</f>
        <v>29</v>
      </c>
      <c r="H146" s="33">
        <f t="shared" si="13"/>
        <v>24.137931034482758</v>
      </c>
      <c r="I146" s="52">
        <f>IF(F146="","",IFERROR(INDEX(Currais!$K$3:$K$8,MATCH(B146,Currais!$A$3:$A$8,0)),0))</f>
        <v>0.66905000000000003</v>
      </c>
      <c r="J146" s="20">
        <f t="shared" si="14"/>
        <v>468.33500000000004</v>
      </c>
      <c r="K146" s="53" t="s">
        <v>558</v>
      </c>
    </row>
    <row r="147" spans="1:11" ht="15" customHeight="1" x14ac:dyDescent="0.3">
      <c r="A147" s="16">
        <v>46237</v>
      </c>
      <c r="B147" s="51" t="s">
        <v>9</v>
      </c>
      <c r="C147" s="19">
        <v>280</v>
      </c>
      <c r="D147" s="19">
        <v>140</v>
      </c>
      <c r="E147" s="19">
        <v>280</v>
      </c>
      <c r="F147" s="31">
        <f t="shared" si="12"/>
        <v>700</v>
      </c>
      <c r="G147" s="47">
        <f>IF(B147="","",IFERROR(INDEX(Currais!$C$3:$C$8,MATCH(B147,Currais!$A$3:$A$8,0)),""))</f>
        <v>29</v>
      </c>
      <c r="H147" s="33">
        <f t="shared" si="13"/>
        <v>24.137931034482758</v>
      </c>
      <c r="I147" s="52">
        <f>IF(F147="","",IFERROR(INDEX(Currais!$K$3:$K$8,MATCH(B147,Currais!$A$3:$A$8,0)),0))</f>
        <v>0.66905000000000003</v>
      </c>
      <c r="J147" s="20">
        <f t="shared" si="14"/>
        <v>468.33500000000004</v>
      </c>
      <c r="K147" s="53" t="s">
        <v>558</v>
      </c>
    </row>
    <row r="148" spans="1:11" ht="15" customHeight="1" x14ac:dyDescent="0.3">
      <c r="A148" s="54">
        <v>46238</v>
      </c>
      <c r="B148" s="51" t="s">
        <v>9</v>
      </c>
      <c r="C148" s="19">
        <v>280</v>
      </c>
      <c r="D148" s="19">
        <v>140</v>
      </c>
      <c r="E148" s="19">
        <v>280</v>
      </c>
      <c r="F148" s="31">
        <f t="shared" si="12"/>
        <v>700</v>
      </c>
      <c r="G148" s="47">
        <f>IF(B148="","",IFERROR(INDEX(Currais!$C$3:$C$8,MATCH(B148,Currais!$A$3:$A$8,0)),""))</f>
        <v>29</v>
      </c>
      <c r="H148" s="33">
        <f t="shared" si="13"/>
        <v>24.137931034482758</v>
      </c>
      <c r="I148" s="52">
        <f>IF(F148="","",IFERROR(INDEX(Currais!$K$3:$K$8,MATCH(B148,Currais!$A$3:$A$8,0)),0))</f>
        <v>0.66905000000000003</v>
      </c>
      <c r="J148" s="20">
        <f t="shared" si="14"/>
        <v>468.33500000000004</v>
      </c>
      <c r="K148" s="21"/>
    </row>
    <row r="149" spans="1:11" ht="15" customHeight="1" x14ac:dyDescent="0.3">
      <c r="A149" s="54">
        <v>46239</v>
      </c>
      <c r="B149" s="51" t="s">
        <v>9</v>
      </c>
      <c r="C149" s="19">
        <v>280</v>
      </c>
      <c r="D149" s="19">
        <v>140</v>
      </c>
      <c r="E149" s="19">
        <v>280</v>
      </c>
      <c r="F149" s="31">
        <f t="shared" si="12"/>
        <v>700</v>
      </c>
      <c r="G149" s="47">
        <f>IF(B149="","",IFERROR(INDEX(Currais!$C$3:$C$8,MATCH(B149,Currais!$A$3:$A$8,0)),""))</f>
        <v>29</v>
      </c>
      <c r="H149" s="33">
        <f t="shared" si="13"/>
        <v>24.137931034482758</v>
      </c>
      <c r="I149" s="52">
        <f>IF(F149="","",IFERROR(INDEX(Currais!$K$3:$K$8,MATCH(B149,Currais!$A$3:$A$8,0)),0))</f>
        <v>0.66905000000000003</v>
      </c>
      <c r="J149" s="20">
        <f t="shared" si="14"/>
        <v>468.33500000000004</v>
      </c>
      <c r="K149" s="21"/>
    </row>
    <row r="150" spans="1:11" ht="15" customHeight="1" x14ac:dyDescent="0.3">
      <c r="A150" s="54">
        <v>46240</v>
      </c>
      <c r="B150" s="51" t="s">
        <v>9</v>
      </c>
      <c r="C150" s="19">
        <v>280</v>
      </c>
      <c r="D150" s="19">
        <v>140</v>
      </c>
      <c r="E150" s="19">
        <v>280</v>
      </c>
      <c r="F150" s="31">
        <f t="shared" si="12"/>
        <v>700</v>
      </c>
      <c r="G150" s="47">
        <f>IF(B150="","",IFERROR(INDEX(Currais!$C$3:$C$8,MATCH(B150,Currais!$A$3:$A$8,0)),""))</f>
        <v>29</v>
      </c>
      <c r="H150" s="33">
        <f t="shared" si="13"/>
        <v>24.137931034482758</v>
      </c>
      <c r="I150" s="52">
        <f>IF(F150="","",IFERROR(INDEX(Currais!$K$3:$K$8,MATCH(B150,Currais!$A$3:$A$8,0)),0))</f>
        <v>0.66905000000000003</v>
      </c>
      <c r="J150" s="20">
        <f t="shared" si="14"/>
        <v>468.33500000000004</v>
      </c>
      <c r="K150" s="21"/>
    </row>
    <row r="151" spans="1:11" ht="15" customHeight="1" x14ac:dyDescent="0.3">
      <c r="A151" s="54">
        <v>46241</v>
      </c>
      <c r="B151" s="51" t="s">
        <v>9</v>
      </c>
      <c r="C151" s="19">
        <v>280</v>
      </c>
      <c r="D151" s="19">
        <v>140</v>
      </c>
      <c r="E151" s="19">
        <v>280</v>
      </c>
      <c r="F151" s="31">
        <f t="shared" si="12"/>
        <v>700</v>
      </c>
      <c r="G151" s="47">
        <f>IF(B151="","",IFERROR(INDEX(Currais!$C$3:$C$8,MATCH(B151,Currais!$A$3:$A$8,0)),""))</f>
        <v>29</v>
      </c>
      <c r="H151" s="33">
        <f t="shared" si="13"/>
        <v>24.137931034482758</v>
      </c>
      <c r="I151" s="52">
        <f>IF(F151="","",IFERROR(INDEX(Currais!$K$3:$K$8,MATCH(B151,Currais!$A$3:$A$8,0)),0))</f>
        <v>0.66905000000000003</v>
      </c>
      <c r="J151" s="20">
        <f t="shared" si="14"/>
        <v>468.33500000000004</v>
      </c>
      <c r="K151" s="21"/>
    </row>
    <row r="152" spans="1:11" ht="15" customHeight="1" x14ac:dyDescent="0.3">
      <c r="A152" s="54">
        <v>46242</v>
      </c>
      <c r="B152" s="51" t="s">
        <v>9</v>
      </c>
      <c r="C152" s="19">
        <v>280</v>
      </c>
      <c r="D152" s="19">
        <v>140</v>
      </c>
      <c r="E152" s="19">
        <v>280</v>
      </c>
      <c r="F152" s="31">
        <f t="shared" si="12"/>
        <v>700</v>
      </c>
      <c r="G152" s="47">
        <f>IF(B152="","",IFERROR(INDEX(Currais!$C$3:$C$8,MATCH(B152,Currais!$A$3:$A$8,0)),""))</f>
        <v>29</v>
      </c>
      <c r="H152" s="33">
        <f t="shared" si="13"/>
        <v>24.137931034482758</v>
      </c>
      <c r="I152" s="52">
        <f>IF(F152="","",IFERROR(INDEX(Currais!$K$3:$K$8,MATCH(B152,Currais!$A$3:$A$8,0)),0))</f>
        <v>0.66905000000000003</v>
      </c>
      <c r="J152" s="20">
        <f t="shared" si="14"/>
        <v>468.33500000000004</v>
      </c>
      <c r="K152" s="21"/>
    </row>
    <row r="153" spans="1:11" ht="15" customHeight="1" x14ac:dyDescent="0.3">
      <c r="A153" s="54">
        <v>46243</v>
      </c>
      <c r="B153" s="51" t="s">
        <v>9</v>
      </c>
      <c r="C153" s="19">
        <v>280</v>
      </c>
      <c r="D153" s="19">
        <v>140</v>
      </c>
      <c r="E153" s="19">
        <v>280</v>
      </c>
      <c r="F153" s="31">
        <f t="shared" si="12"/>
        <v>700</v>
      </c>
      <c r="G153" s="47">
        <f>IF(B153="","",IFERROR(INDEX(Currais!$C$3:$C$8,MATCH(B153,Currais!$A$3:$A$8,0)),""))</f>
        <v>29</v>
      </c>
      <c r="H153" s="33">
        <f t="shared" si="13"/>
        <v>24.137931034482758</v>
      </c>
      <c r="I153" s="52">
        <f>IF(F153="","",IFERROR(INDEX(Currais!$K$3:$K$8,MATCH(B153,Currais!$A$3:$A$8,0)),0))</f>
        <v>0.66905000000000003</v>
      </c>
      <c r="J153" s="20">
        <f t="shared" si="14"/>
        <v>468.33500000000004</v>
      </c>
      <c r="K153" s="21"/>
    </row>
    <row r="154" spans="1:11" ht="15" customHeight="1" x14ac:dyDescent="0.3">
      <c r="A154" s="54">
        <v>46244</v>
      </c>
      <c r="B154" s="51" t="s">
        <v>9</v>
      </c>
      <c r="C154" s="19">
        <v>280</v>
      </c>
      <c r="D154" s="19">
        <v>140</v>
      </c>
      <c r="E154" s="19">
        <v>280</v>
      </c>
      <c r="F154" s="31">
        <f t="shared" si="12"/>
        <v>700</v>
      </c>
      <c r="G154" s="47">
        <f>IF(B154="","",IFERROR(INDEX(Currais!$C$3:$C$8,MATCH(B154,Currais!$A$3:$A$8,0)),""))</f>
        <v>29</v>
      </c>
      <c r="H154" s="33">
        <f t="shared" si="13"/>
        <v>24.137931034482758</v>
      </c>
      <c r="I154" s="52">
        <f>IF(F154="","",IFERROR(INDEX(Currais!$K$3:$K$8,MATCH(B154,Currais!$A$3:$A$8,0)),0))</f>
        <v>0.66905000000000003</v>
      </c>
      <c r="J154" s="20">
        <f t="shared" si="14"/>
        <v>468.33500000000004</v>
      </c>
      <c r="K154" s="21"/>
    </row>
    <row r="155" spans="1:11" ht="15" customHeight="1" x14ac:dyDescent="0.3">
      <c r="A155" s="54">
        <v>46245</v>
      </c>
      <c r="B155" s="51" t="s">
        <v>9</v>
      </c>
      <c r="C155" s="19">
        <v>280</v>
      </c>
      <c r="D155" s="19">
        <v>140</v>
      </c>
      <c r="E155" s="19">
        <v>280</v>
      </c>
      <c r="F155" s="31">
        <f t="shared" si="12"/>
        <v>700</v>
      </c>
      <c r="G155" s="47">
        <f>IF(B155="","",IFERROR(INDEX(Currais!$C$3:$C$8,MATCH(B155,Currais!$A$3:$A$8,0)),""))</f>
        <v>29</v>
      </c>
      <c r="H155" s="33">
        <f t="shared" si="13"/>
        <v>24.137931034482758</v>
      </c>
      <c r="I155" s="52">
        <f>IF(F155="","",IFERROR(INDEX(Currais!$K$3:$K$8,MATCH(B155,Currais!$A$3:$A$8,0)),0))</f>
        <v>0.66905000000000003</v>
      </c>
      <c r="J155" s="20">
        <f t="shared" si="14"/>
        <v>468.33500000000004</v>
      </c>
      <c r="K155" s="21"/>
    </row>
    <row r="156" spans="1:11" ht="15" customHeight="1" x14ac:dyDescent="0.3">
      <c r="A156" s="16"/>
      <c r="B156" s="51"/>
      <c r="C156" s="19"/>
      <c r="D156" s="19"/>
      <c r="E156" s="19"/>
      <c r="F156" s="31" t="str">
        <f t="shared" si="12"/>
        <v/>
      </c>
      <c r="G156" s="47" t="str">
        <f>IF(B156="","",IFERROR(INDEX(Currais!$C$3:$C$8,MATCH(B156,Currais!$A$3:$A$8,0)),""))</f>
        <v/>
      </c>
      <c r="H156" s="33" t="str">
        <f t="shared" si="13"/>
        <v/>
      </c>
      <c r="I156" s="52" t="str">
        <f>IF(F156="","",IFERROR(INDEX(Currais!$K$3:$K$8,MATCH(B156,Currais!$A$3:$A$8,0)),0))</f>
        <v/>
      </c>
      <c r="J156" s="20" t="str">
        <f t="shared" si="14"/>
        <v/>
      </c>
      <c r="K156" s="21"/>
    </row>
    <row r="157" spans="1:11" ht="15" customHeight="1" x14ac:dyDescent="0.3">
      <c r="A157" s="16"/>
      <c r="B157" s="51"/>
      <c r="C157" s="19"/>
      <c r="D157" s="19"/>
      <c r="E157" s="19"/>
      <c r="F157" s="31" t="str">
        <f t="shared" si="12"/>
        <v/>
      </c>
      <c r="G157" s="47" t="str">
        <f>IF(B157="","",IFERROR(INDEX(Currais!$C$3:$C$8,MATCH(B157,Currais!$A$3:$A$8,0)),""))</f>
        <v/>
      </c>
      <c r="H157" s="33" t="str">
        <f t="shared" si="13"/>
        <v/>
      </c>
      <c r="I157" s="52" t="str">
        <f>IF(F157="","",IFERROR(INDEX(Currais!$K$3:$K$8,MATCH(B157,Currais!$A$3:$A$8,0)),0))</f>
        <v/>
      </c>
      <c r="J157" s="20" t="str">
        <f t="shared" si="14"/>
        <v/>
      </c>
      <c r="K157" s="21"/>
    </row>
    <row r="158" spans="1:11" ht="15" customHeight="1" x14ac:dyDescent="0.3">
      <c r="A158" s="16"/>
      <c r="B158" s="51"/>
      <c r="C158" s="19"/>
      <c r="D158" s="19"/>
      <c r="E158" s="19"/>
      <c r="F158" s="31" t="str">
        <f t="shared" si="12"/>
        <v/>
      </c>
      <c r="G158" s="47" t="str">
        <f>IF(B158="","",IFERROR(INDEX(Currais!$C$3:$C$8,MATCH(B158,Currais!$A$3:$A$8,0)),""))</f>
        <v/>
      </c>
      <c r="H158" s="33" t="str">
        <f t="shared" si="13"/>
        <v/>
      </c>
      <c r="I158" s="52" t="str">
        <f>IF(F158="","",IFERROR(INDEX(Currais!$K$3:$K$8,MATCH(B158,Currais!$A$3:$A$8,0)),0))</f>
        <v/>
      </c>
      <c r="J158" s="20" t="str">
        <f t="shared" si="14"/>
        <v/>
      </c>
      <c r="K158" s="21"/>
    </row>
    <row r="159" spans="1:11" ht="15" customHeight="1" x14ac:dyDescent="0.3">
      <c r="A159" s="16"/>
      <c r="B159" s="51"/>
      <c r="C159" s="19"/>
      <c r="D159" s="19"/>
      <c r="E159" s="19"/>
      <c r="F159" s="31" t="str">
        <f t="shared" si="12"/>
        <v/>
      </c>
      <c r="G159" s="47" t="str">
        <f>IF(B159="","",IFERROR(INDEX(Currais!$C$3:$C$8,MATCH(B159,Currais!$A$3:$A$8,0)),""))</f>
        <v/>
      </c>
      <c r="H159" s="33" t="str">
        <f t="shared" si="13"/>
        <v/>
      </c>
      <c r="I159" s="52" t="str">
        <f>IF(F159="","",IFERROR(INDEX(Currais!$K$3:$K$8,MATCH(B159,Currais!$A$3:$A$8,0)),0))</f>
        <v/>
      </c>
      <c r="J159" s="20" t="str">
        <f t="shared" si="14"/>
        <v/>
      </c>
      <c r="K159" s="21"/>
    </row>
    <row r="160" spans="1:11" ht="15" customHeight="1" x14ac:dyDescent="0.3">
      <c r="A160" s="16"/>
      <c r="B160" s="51"/>
      <c r="C160" s="19"/>
      <c r="D160" s="19"/>
      <c r="E160" s="19"/>
      <c r="F160" s="31" t="str">
        <f t="shared" si="12"/>
        <v/>
      </c>
      <c r="G160" s="47" t="str">
        <f>IF(B160="","",IFERROR(INDEX(Currais!$C$3:$C$8,MATCH(B160,Currais!$A$3:$A$8,0)),""))</f>
        <v/>
      </c>
      <c r="H160" s="33" t="str">
        <f t="shared" si="13"/>
        <v/>
      </c>
      <c r="I160" s="52" t="str">
        <f>IF(F160="","",IFERROR(INDEX(Currais!$K$3:$K$8,MATCH(B160,Currais!$A$3:$A$8,0)),0))</f>
        <v/>
      </c>
      <c r="J160" s="20" t="str">
        <f t="shared" si="14"/>
        <v/>
      </c>
      <c r="K160" s="21"/>
    </row>
    <row r="161" spans="1:11" ht="15" customHeight="1" x14ac:dyDescent="0.3">
      <c r="A161" s="16"/>
      <c r="B161" s="51"/>
      <c r="C161" s="19"/>
      <c r="D161" s="19"/>
      <c r="E161" s="19"/>
      <c r="F161" s="31" t="str">
        <f t="shared" si="12"/>
        <v/>
      </c>
      <c r="G161" s="47" t="str">
        <f>IF(B161="","",IFERROR(INDEX(Currais!$C$3:$C$8,MATCH(B161,Currais!$A$3:$A$8,0)),""))</f>
        <v/>
      </c>
      <c r="H161" s="33" t="str">
        <f t="shared" si="13"/>
        <v/>
      </c>
      <c r="I161" s="52" t="str">
        <f>IF(F161="","",IFERROR(INDEX(Currais!$K$3:$K$8,MATCH(B161,Currais!$A$3:$A$8,0)),0))</f>
        <v/>
      </c>
      <c r="J161" s="20" t="str">
        <f t="shared" si="14"/>
        <v/>
      </c>
      <c r="K161" s="21"/>
    </row>
    <row r="162" spans="1:11" ht="15" customHeight="1" x14ac:dyDescent="0.3">
      <c r="A162" s="16"/>
      <c r="B162" s="51"/>
      <c r="C162" s="19"/>
      <c r="D162" s="19"/>
      <c r="E162" s="19"/>
      <c r="F162" s="31" t="str">
        <f t="shared" si="12"/>
        <v/>
      </c>
      <c r="G162" s="47" t="str">
        <f>IF(B162="","",IFERROR(INDEX(Currais!$C$3:$C$8,MATCH(B162,Currais!$A$3:$A$8,0)),""))</f>
        <v/>
      </c>
      <c r="H162" s="33" t="str">
        <f t="shared" si="13"/>
        <v/>
      </c>
      <c r="I162" s="52" t="str">
        <f>IF(F162="","",IFERROR(INDEX(Currais!$K$3:$K$8,MATCH(B162,Currais!$A$3:$A$8,0)),0))</f>
        <v/>
      </c>
      <c r="J162" s="20" t="str">
        <f t="shared" si="14"/>
        <v/>
      </c>
      <c r="K162" s="21"/>
    </row>
    <row r="163" spans="1:11" ht="15" customHeight="1" x14ac:dyDescent="0.3">
      <c r="A163" s="16"/>
      <c r="B163" s="51"/>
      <c r="C163" s="19"/>
      <c r="D163" s="19"/>
      <c r="E163" s="19"/>
      <c r="F163" s="31" t="str">
        <f t="shared" si="12"/>
        <v/>
      </c>
      <c r="G163" s="47" t="str">
        <f>IF(B163="","",IFERROR(INDEX(Currais!$C$3:$C$8,MATCH(B163,Currais!$A$3:$A$8,0)),""))</f>
        <v/>
      </c>
      <c r="H163" s="33" t="str">
        <f t="shared" si="13"/>
        <v/>
      </c>
      <c r="I163" s="52" t="str">
        <f>IF(F163="","",IFERROR(INDEX(Currais!$K$3:$K$8,MATCH(B163,Currais!$A$3:$A$8,0)),0))</f>
        <v/>
      </c>
      <c r="J163" s="20" t="str">
        <f t="shared" si="14"/>
        <v/>
      </c>
      <c r="K163" s="21"/>
    </row>
    <row r="164" spans="1:11" ht="15" customHeight="1" x14ac:dyDescent="0.3">
      <c r="A164" s="16"/>
      <c r="B164" s="51"/>
      <c r="C164" s="19"/>
      <c r="D164" s="19"/>
      <c r="E164" s="19"/>
      <c r="F164" s="31" t="str">
        <f t="shared" ref="F164:F195" si="15">IF(AND(C164="",D164="",E164=""),"",N(C164)+N(D164)+N(E164))</f>
        <v/>
      </c>
      <c r="G164" s="47" t="str">
        <f>IF(B164="","",IFERROR(INDEX(Currais!$C$3:$C$8,MATCH(B164,Currais!$A$3:$A$8,0)),""))</f>
        <v/>
      </c>
      <c r="H164" s="33" t="str">
        <f t="shared" ref="H164:H195" si="16">IF(OR(F164="",G164="",G164=0),"",F164/G164)</f>
        <v/>
      </c>
      <c r="I164" s="52" t="str">
        <f>IF(F164="","",IFERROR(INDEX(Currais!$K$3:$K$8,MATCH(B164,Currais!$A$3:$A$8,0)),0))</f>
        <v/>
      </c>
      <c r="J164" s="20" t="str">
        <f t="shared" ref="J164:J195" si="17">IF(F164="","",F164*I164)</f>
        <v/>
      </c>
      <c r="K164" s="21"/>
    </row>
    <row r="165" spans="1:11" ht="15" customHeight="1" x14ac:dyDescent="0.3">
      <c r="A165" s="16"/>
      <c r="B165" s="51"/>
      <c r="C165" s="19"/>
      <c r="D165" s="19"/>
      <c r="E165" s="19"/>
      <c r="F165" s="31" t="str">
        <f t="shared" si="15"/>
        <v/>
      </c>
      <c r="G165" s="47" t="str">
        <f>IF(B165="","",IFERROR(INDEX(Currais!$C$3:$C$8,MATCH(B165,Currais!$A$3:$A$8,0)),""))</f>
        <v/>
      </c>
      <c r="H165" s="33" t="str">
        <f t="shared" si="16"/>
        <v/>
      </c>
      <c r="I165" s="52" t="str">
        <f>IF(F165="","",IFERROR(INDEX(Currais!$K$3:$K$8,MATCH(B165,Currais!$A$3:$A$8,0)),0))</f>
        <v/>
      </c>
      <c r="J165" s="20" t="str">
        <f t="shared" si="17"/>
        <v/>
      </c>
      <c r="K165" s="21"/>
    </row>
    <row r="166" spans="1:11" ht="15" customHeight="1" x14ac:dyDescent="0.3">
      <c r="A166" s="16"/>
      <c r="B166" s="51"/>
      <c r="C166" s="19"/>
      <c r="D166" s="19"/>
      <c r="E166" s="19"/>
      <c r="F166" s="31" t="str">
        <f t="shared" si="15"/>
        <v/>
      </c>
      <c r="G166" s="47" t="str">
        <f>IF(B166="","",IFERROR(INDEX(Currais!$C$3:$C$8,MATCH(B166,Currais!$A$3:$A$8,0)),""))</f>
        <v/>
      </c>
      <c r="H166" s="33" t="str">
        <f t="shared" si="16"/>
        <v/>
      </c>
      <c r="I166" s="52" t="str">
        <f>IF(F166="","",IFERROR(INDEX(Currais!$K$3:$K$8,MATCH(B166,Currais!$A$3:$A$8,0)),0))</f>
        <v/>
      </c>
      <c r="J166" s="20" t="str">
        <f t="shared" si="17"/>
        <v/>
      </c>
      <c r="K166" s="21"/>
    </row>
    <row r="167" spans="1:11" ht="15" customHeight="1" x14ac:dyDescent="0.3">
      <c r="A167" s="16"/>
      <c r="B167" s="51"/>
      <c r="C167" s="19"/>
      <c r="D167" s="19"/>
      <c r="E167" s="19"/>
      <c r="F167" s="31" t="str">
        <f t="shared" si="15"/>
        <v/>
      </c>
      <c r="G167" s="47" t="str">
        <f>IF(B167="","",IFERROR(INDEX(Currais!$C$3:$C$8,MATCH(B167,Currais!$A$3:$A$8,0)),""))</f>
        <v/>
      </c>
      <c r="H167" s="33" t="str">
        <f t="shared" si="16"/>
        <v/>
      </c>
      <c r="I167" s="52" t="str">
        <f>IF(F167="","",IFERROR(INDEX(Currais!$K$3:$K$8,MATCH(B167,Currais!$A$3:$A$8,0)),0))</f>
        <v/>
      </c>
      <c r="J167" s="20" t="str">
        <f t="shared" si="17"/>
        <v/>
      </c>
      <c r="K167" s="21"/>
    </row>
    <row r="168" spans="1:11" ht="15" customHeight="1" x14ac:dyDescent="0.3">
      <c r="A168" s="16"/>
      <c r="B168" s="51"/>
      <c r="C168" s="19"/>
      <c r="D168" s="19"/>
      <c r="E168" s="19"/>
      <c r="F168" s="31" t="str">
        <f t="shared" si="15"/>
        <v/>
      </c>
      <c r="G168" s="47" t="str">
        <f>IF(B168="","",IFERROR(INDEX(Currais!$C$3:$C$8,MATCH(B168,Currais!$A$3:$A$8,0)),""))</f>
        <v/>
      </c>
      <c r="H168" s="33" t="str">
        <f t="shared" si="16"/>
        <v/>
      </c>
      <c r="I168" s="52" t="str">
        <f>IF(F168="","",IFERROR(INDEX(Currais!$K$3:$K$8,MATCH(B168,Currais!$A$3:$A$8,0)),0))</f>
        <v/>
      </c>
      <c r="J168" s="20" t="str">
        <f t="shared" si="17"/>
        <v/>
      </c>
      <c r="K168" s="21"/>
    </row>
    <row r="169" spans="1:11" ht="15" customHeight="1" x14ac:dyDescent="0.3">
      <c r="A169" s="16"/>
      <c r="B169" s="51"/>
      <c r="C169" s="19"/>
      <c r="D169" s="19"/>
      <c r="E169" s="19"/>
      <c r="F169" s="31" t="str">
        <f t="shared" si="15"/>
        <v/>
      </c>
      <c r="G169" s="47" t="str">
        <f>IF(B169="","",IFERROR(INDEX(Currais!$C$3:$C$8,MATCH(B169,Currais!$A$3:$A$8,0)),""))</f>
        <v/>
      </c>
      <c r="H169" s="33" t="str">
        <f t="shared" si="16"/>
        <v/>
      </c>
      <c r="I169" s="52" t="str">
        <f>IF(F169="","",IFERROR(INDEX(Currais!$K$3:$K$8,MATCH(B169,Currais!$A$3:$A$8,0)),0))</f>
        <v/>
      </c>
      <c r="J169" s="20" t="str">
        <f t="shared" si="17"/>
        <v/>
      </c>
      <c r="K169" s="21"/>
    </row>
    <row r="170" spans="1:11" ht="15" customHeight="1" x14ac:dyDescent="0.3">
      <c r="A170" s="16"/>
      <c r="B170" s="51"/>
      <c r="C170" s="19"/>
      <c r="D170" s="19"/>
      <c r="E170" s="19"/>
      <c r="F170" s="31" t="str">
        <f t="shared" si="15"/>
        <v/>
      </c>
      <c r="G170" s="47" t="str">
        <f>IF(B170="","",IFERROR(INDEX(Currais!$C$3:$C$8,MATCH(B170,Currais!$A$3:$A$8,0)),""))</f>
        <v/>
      </c>
      <c r="H170" s="33" t="str">
        <f t="shared" si="16"/>
        <v/>
      </c>
      <c r="I170" s="52" t="str">
        <f>IF(F170="","",IFERROR(INDEX(Currais!$K$3:$K$8,MATCH(B170,Currais!$A$3:$A$8,0)),0))</f>
        <v/>
      </c>
      <c r="J170" s="20" t="str">
        <f t="shared" si="17"/>
        <v/>
      </c>
      <c r="K170" s="21"/>
    </row>
    <row r="171" spans="1:11" ht="15" customHeight="1" x14ac:dyDescent="0.3">
      <c r="A171" s="16"/>
      <c r="B171" s="51"/>
      <c r="C171" s="19"/>
      <c r="D171" s="19"/>
      <c r="E171" s="19"/>
      <c r="F171" s="31" t="str">
        <f t="shared" si="15"/>
        <v/>
      </c>
      <c r="G171" s="47" t="str">
        <f>IF(B171="","",IFERROR(INDEX(Currais!$C$3:$C$8,MATCH(B171,Currais!$A$3:$A$8,0)),""))</f>
        <v/>
      </c>
      <c r="H171" s="33" t="str">
        <f t="shared" si="16"/>
        <v/>
      </c>
      <c r="I171" s="52" t="str">
        <f>IF(F171="","",IFERROR(INDEX(Currais!$K$3:$K$8,MATCH(B171,Currais!$A$3:$A$8,0)),0))</f>
        <v/>
      </c>
      <c r="J171" s="20" t="str">
        <f t="shared" si="17"/>
        <v/>
      </c>
      <c r="K171" s="21"/>
    </row>
    <row r="172" spans="1:11" ht="15" customHeight="1" x14ac:dyDescent="0.3">
      <c r="A172" s="16"/>
      <c r="B172" s="51"/>
      <c r="C172" s="19"/>
      <c r="D172" s="19"/>
      <c r="E172" s="19"/>
      <c r="F172" s="31" t="str">
        <f t="shared" si="15"/>
        <v/>
      </c>
      <c r="G172" s="47" t="str">
        <f>IF(B172="","",IFERROR(INDEX(Currais!$C$3:$C$8,MATCH(B172,Currais!$A$3:$A$8,0)),""))</f>
        <v/>
      </c>
      <c r="H172" s="33" t="str">
        <f t="shared" si="16"/>
        <v/>
      </c>
      <c r="I172" s="52" t="str">
        <f>IF(F172="","",IFERROR(INDEX(Currais!$K$3:$K$8,MATCH(B172,Currais!$A$3:$A$8,0)),0))</f>
        <v/>
      </c>
      <c r="J172" s="20" t="str">
        <f t="shared" si="17"/>
        <v/>
      </c>
      <c r="K172" s="21"/>
    </row>
    <row r="173" spans="1:11" ht="15" customHeight="1" x14ac:dyDescent="0.3">
      <c r="A173" s="16"/>
      <c r="B173" s="51"/>
      <c r="C173" s="19"/>
      <c r="D173" s="19"/>
      <c r="E173" s="19"/>
      <c r="F173" s="31" t="str">
        <f t="shared" si="15"/>
        <v/>
      </c>
      <c r="G173" s="47" t="str">
        <f>IF(B173="","",IFERROR(INDEX(Currais!$C$3:$C$8,MATCH(B173,Currais!$A$3:$A$8,0)),""))</f>
        <v/>
      </c>
      <c r="H173" s="33" t="str">
        <f t="shared" si="16"/>
        <v/>
      </c>
      <c r="I173" s="52" t="str">
        <f>IF(F173="","",IFERROR(INDEX(Currais!$K$3:$K$8,MATCH(B173,Currais!$A$3:$A$8,0)),0))</f>
        <v/>
      </c>
      <c r="J173" s="20" t="str">
        <f t="shared" si="17"/>
        <v/>
      </c>
      <c r="K173" s="21"/>
    </row>
    <row r="174" spans="1:11" ht="15" customHeight="1" x14ac:dyDescent="0.3">
      <c r="A174" s="16"/>
      <c r="B174" s="51"/>
      <c r="C174" s="19"/>
      <c r="D174" s="19"/>
      <c r="E174" s="19"/>
      <c r="F174" s="31" t="str">
        <f t="shared" si="15"/>
        <v/>
      </c>
      <c r="G174" s="47" t="str">
        <f>IF(B174="","",IFERROR(INDEX(Currais!$C$3:$C$8,MATCH(B174,Currais!$A$3:$A$8,0)),""))</f>
        <v/>
      </c>
      <c r="H174" s="33" t="str">
        <f t="shared" si="16"/>
        <v/>
      </c>
      <c r="I174" s="52" t="str">
        <f>IF(F174="","",IFERROR(INDEX(Currais!$K$3:$K$8,MATCH(B174,Currais!$A$3:$A$8,0)),0))</f>
        <v/>
      </c>
      <c r="J174" s="20" t="str">
        <f t="shared" si="17"/>
        <v/>
      </c>
      <c r="K174" s="21"/>
    </row>
    <row r="175" spans="1:11" ht="15" customHeight="1" x14ac:dyDescent="0.3">
      <c r="A175" s="16"/>
      <c r="B175" s="51"/>
      <c r="C175" s="19"/>
      <c r="D175" s="19"/>
      <c r="E175" s="19"/>
      <c r="F175" s="31" t="str">
        <f t="shared" si="15"/>
        <v/>
      </c>
      <c r="G175" s="47" t="str">
        <f>IF(B175="","",IFERROR(INDEX(Currais!$C$3:$C$8,MATCH(B175,Currais!$A$3:$A$8,0)),""))</f>
        <v/>
      </c>
      <c r="H175" s="33" t="str">
        <f t="shared" si="16"/>
        <v/>
      </c>
      <c r="I175" s="52" t="str">
        <f>IF(F175="","",IFERROR(INDEX(Currais!$K$3:$K$8,MATCH(B175,Currais!$A$3:$A$8,0)),0))</f>
        <v/>
      </c>
      <c r="J175" s="20" t="str">
        <f t="shared" si="17"/>
        <v/>
      </c>
      <c r="K175" s="21"/>
    </row>
    <row r="176" spans="1:11" ht="15" customHeight="1" x14ac:dyDescent="0.3">
      <c r="A176" s="16"/>
      <c r="B176" s="51"/>
      <c r="C176" s="19"/>
      <c r="D176" s="19"/>
      <c r="E176" s="19"/>
      <c r="F176" s="31" t="str">
        <f t="shared" si="15"/>
        <v/>
      </c>
      <c r="G176" s="47" t="str">
        <f>IF(B176="","",IFERROR(INDEX(Currais!$C$3:$C$8,MATCH(B176,Currais!$A$3:$A$8,0)),""))</f>
        <v/>
      </c>
      <c r="H176" s="33" t="str">
        <f t="shared" si="16"/>
        <v/>
      </c>
      <c r="I176" s="52" t="str">
        <f>IF(F176="","",IFERROR(INDEX(Currais!$K$3:$K$8,MATCH(B176,Currais!$A$3:$A$8,0)),0))</f>
        <v/>
      </c>
      <c r="J176" s="20" t="str">
        <f t="shared" si="17"/>
        <v/>
      </c>
      <c r="K176" s="21"/>
    </row>
    <row r="177" spans="1:11" ht="15" customHeight="1" x14ac:dyDescent="0.3">
      <c r="A177" s="16"/>
      <c r="B177" s="51"/>
      <c r="C177" s="19"/>
      <c r="D177" s="19"/>
      <c r="E177" s="19"/>
      <c r="F177" s="31" t="str">
        <f t="shared" si="15"/>
        <v/>
      </c>
      <c r="G177" s="47" t="str">
        <f>IF(B177="","",IFERROR(INDEX(Currais!$C$3:$C$8,MATCH(B177,Currais!$A$3:$A$8,0)),""))</f>
        <v/>
      </c>
      <c r="H177" s="33" t="str">
        <f t="shared" si="16"/>
        <v/>
      </c>
      <c r="I177" s="52" t="str">
        <f>IF(F177="","",IFERROR(INDEX(Currais!$K$3:$K$8,MATCH(B177,Currais!$A$3:$A$8,0)),0))</f>
        <v/>
      </c>
      <c r="J177" s="20" t="str">
        <f t="shared" si="17"/>
        <v/>
      </c>
      <c r="K177" s="21"/>
    </row>
    <row r="178" spans="1:11" ht="15" customHeight="1" x14ac:dyDescent="0.3">
      <c r="A178" s="16"/>
      <c r="B178" s="51"/>
      <c r="C178" s="19"/>
      <c r="D178" s="19"/>
      <c r="E178" s="19"/>
      <c r="F178" s="31" t="str">
        <f t="shared" si="15"/>
        <v/>
      </c>
      <c r="G178" s="47" t="str">
        <f>IF(B178="","",IFERROR(INDEX(Currais!$C$3:$C$8,MATCH(B178,Currais!$A$3:$A$8,0)),""))</f>
        <v/>
      </c>
      <c r="H178" s="33" t="str">
        <f t="shared" si="16"/>
        <v/>
      </c>
      <c r="I178" s="52" t="str">
        <f>IF(F178="","",IFERROR(INDEX(Currais!$K$3:$K$8,MATCH(B178,Currais!$A$3:$A$8,0)),0))</f>
        <v/>
      </c>
      <c r="J178" s="20" t="str">
        <f t="shared" si="17"/>
        <v/>
      </c>
      <c r="K178" s="21"/>
    </row>
    <row r="179" spans="1:11" ht="15" customHeight="1" x14ac:dyDescent="0.3">
      <c r="A179" s="16"/>
      <c r="B179" s="51"/>
      <c r="C179" s="19"/>
      <c r="D179" s="19"/>
      <c r="E179" s="19"/>
      <c r="F179" s="31" t="str">
        <f t="shared" si="15"/>
        <v/>
      </c>
      <c r="G179" s="47" t="str">
        <f>IF(B179="","",IFERROR(INDEX(Currais!$C$3:$C$8,MATCH(B179,Currais!$A$3:$A$8,0)),""))</f>
        <v/>
      </c>
      <c r="H179" s="33" t="str">
        <f t="shared" si="16"/>
        <v/>
      </c>
      <c r="I179" s="52" t="str">
        <f>IF(F179="","",IFERROR(INDEX(Currais!$K$3:$K$8,MATCH(B179,Currais!$A$3:$A$8,0)),0))</f>
        <v/>
      </c>
      <c r="J179" s="20" t="str">
        <f t="shared" si="17"/>
        <v/>
      </c>
      <c r="K179" s="21"/>
    </row>
    <row r="180" spans="1:11" ht="15" customHeight="1" x14ac:dyDescent="0.3">
      <c r="A180" s="16"/>
      <c r="B180" s="51"/>
      <c r="C180" s="19"/>
      <c r="D180" s="19"/>
      <c r="E180" s="19"/>
      <c r="F180" s="31" t="str">
        <f t="shared" si="15"/>
        <v/>
      </c>
      <c r="G180" s="47" t="str">
        <f>IF(B180="","",IFERROR(INDEX(Currais!$C$3:$C$8,MATCH(B180,Currais!$A$3:$A$8,0)),""))</f>
        <v/>
      </c>
      <c r="H180" s="33" t="str">
        <f t="shared" si="16"/>
        <v/>
      </c>
      <c r="I180" s="52" t="str">
        <f>IF(F180="","",IFERROR(INDEX(Currais!$K$3:$K$8,MATCH(B180,Currais!$A$3:$A$8,0)),0))</f>
        <v/>
      </c>
      <c r="J180" s="20" t="str">
        <f t="shared" si="17"/>
        <v/>
      </c>
      <c r="K180" s="21"/>
    </row>
    <row r="181" spans="1:11" ht="15" customHeight="1" x14ac:dyDescent="0.3">
      <c r="A181" s="16"/>
      <c r="B181" s="51"/>
      <c r="C181" s="19"/>
      <c r="D181" s="19"/>
      <c r="E181" s="19"/>
      <c r="F181" s="31" t="str">
        <f t="shared" si="15"/>
        <v/>
      </c>
      <c r="G181" s="47" t="str">
        <f>IF(B181="","",IFERROR(INDEX(Currais!$C$3:$C$8,MATCH(B181,Currais!$A$3:$A$8,0)),""))</f>
        <v/>
      </c>
      <c r="H181" s="33" t="str">
        <f t="shared" si="16"/>
        <v/>
      </c>
      <c r="I181" s="52" t="str">
        <f>IF(F181="","",IFERROR(INDEX(Currais!$K$3:$K$8,MATCH(B181,Currais!$A$3:$A$8,0)),0))</f>
        <v/>
      </c>
      <c r="J181" s="20" t="str">
        <f t="shared" si="17"/>
        <v/>
      </c>
      <c r="K181" s="21"/>
    </row>
    <row r="182" spans="1:11" ht="15" customHeight="1" x14ac:dyDescent="0.3">
      <c r="A182" s="16"/>
      <c r="B182" s="51"/>
      <c r="C182" s="19"/>
      <c r="D182" s="19"/>
      <c r="E182" s="19"/>
      <c r="F182" s="31" t="str">
        <f t="shared" si="15"/>
        <v/>
      </c>
      <c r="G182" s="47" t="str">
        <f>IF(B182="","",IFERROR(INDEX(Currais!$C$3:$C$8,MATCH(B182,Currais!$A$3:$A$8,0)),""))</f>
        <v/>
      </c>
      <c r="H182" s="33" t="str">
        <f t="shared" si="16"/>
        <v/>
      </c>
      <c r="I182" s="52" t="str">
        <f>IF(F182="","",IFERROR(INDEX(Currais!$K$3:$K$8,MATCH(B182,Currais!$A$3:$A$8,0)),0))</f>
        <v/>
      </c>
      <c r="J182" s="20" t="str">
        <f t="shared" si="17"/>
        <v/>
      </c>
      <c r="K182" s="21"/>
    </row>
    <row r="183" spans="1:11" ht="15" customHeight="1" x14ac:dyDescent="0.3">
      <c r="A183" s="16"/>
      <c r="B183" s="51"/>
      <c r="C183" s="19"/>
      <c r="D183" s="19"/>
      <c r="E183" s="19"/>
      <c r="F183" s="31" t="str">
        <f t="shared" si="15"/>
        <v/>
      </c>
      <c r="G183" s="47" t="str">
        <f>IF(B183="","",IFERROR(INDEX(Currais!$C$3:$C$8,MATCH(B183,Currais!$A$3:$A$8,0)),""))</f>
        <v/>
      </c>
      <c r="H183" s="33" t="str">
        <f t="shared" si="16"/>
        <v/>
      </c>
      <c r="I183" s="52" t="str">
        <f>IF(F183="","",IFERROR(INDEX(Currais!$K$3:$K$8,MATCH(B183,Currais!$A$3:$A$8,0)),0))</f>
        <v/>
      </c>
      <c r="J183" s="20" t="str">
        <f t="shared" si="17"/>
        <v/>
      </c>
      <c r="K183" s="21"/>
    </row>
    <row r="184" spans="1:11" ht="15" customHeight="1" x14ac:dyDescent="0.3">
      <c r="A184" s="16"/>
      <c r="B184" s="51"/>
      <c r="C184" s="19"/>
      <c r="D184" s="19"/>
      <c r="E184" s="19"/>
      <c r="F184" s="31" t="str">
        <f t="shared" si="15"/>
        <v/>
      </c>
      <c r="G184" s="47" t="str">
        <f>IF(B184="","",IFERROR(INDEX(Currais!$C$3:$C$8,MATCH(B184,Currais!$A$3:$A$8,0)),""))</f>
        <v/>
      </c>
      <c r="H184" s="33" t="str">
        <f t="shared" si="16"/>
        <v/>
      </c>
      <c r="I184" s="52" t="str">
        <f>IF(F184="","",IFERROR(INDEX(Currais!$K$3:$K$8,MATCH(B184,Currais!$A$3:$A$8,0)),0))</f>
        <v/>
      </c>
      <c r="J184" s="20" t="str">
        <f t="shared" si="17"/>
        <v/>
      </c>
      <c r="K184" s="21"/>
    </row>
    <row r="185" spans="1:11" ht="15" customHeight="1" x14ac:dyDescent="0.3">
      <c r="A185" s="16"/>
      <c r="B185" s="51"/>
      <c r="C185" s="19"/>
      <c r="D185" s="19"/>
      <c r="E185" s="19"/>
      <c r="F185" s="31" t="str">
        <f t="shared" si="15"/>
        <v/>
      </c>
      <c r="G185" s="47" t="str">
        <f>IF(B185="","",IFERROR(INDEX(Currais!$C$3:$C$8,MATCH(B185,Currais!$A$3:$A$8,0)),""))</f>
        <v/>
      </c>
      <c r="H185" s="33" t="str">
        <f t="shared" si="16"/>
        <v/>
      </c>
      <c r="I185" s="52" t="str">
        <f>IF(F185="","",IFERROR(INDEX(Currais!$K$3:$K$8,MATCH(B185,Currais!$A$3:$A$8,0)),0))</f>
        <v/>
      </c>
      <c r="J185" s="20" t="str">
        <f t="shared" si="17"/>
        <v/>
      </c>
      <c r="K185" s="21"/>
    </row>
    <row r="186" spans="1:11" ht="15" customHeight="1" x14ac:dyDescent="0.3">
      <c r="A186" s="16"/>
      <c r="B186" s="51"/>
      <c r="C186" s="19"/>
      <c r="D186" s="19"/>
      <c r="E186" s="19"/>
      <c r="F186" s="31" t="str">
        <f t="shared" si="15"/>
        <v/>
      </c>
      <c r="G186" s="47" t="str">
        <f>IF(B186="","",IFERROR(INDEX(Currais!$C$3:$C$8,MATCH(B186,Currais!$A$3:$A$8,0)),""))</f>
        <v/>
      </c>
      <c r="H186" s="33" t="str">
        <f t="shared" si="16"/>
        <v/>
      </c>
      <c r="I186" s="52" t="str">
        <f>IF(F186="","",IFERROR(INDEX(Currais!$K$3:$K$8,MATCH(B186,Currais!$A$3:$A$8,0)),0))</f>
        <v/>
      </c>
      <c r="J186" s="20" t="str">
        <f t="shared" si="17"/>
        <v/>
      </c>
      <c r="K186" s="21"/>
    </row>
    <row r="187" spans="1:11" ht="15" customHeight="1" x14ac:dyDescent="0.3">
      <c r="A187" s="16"/>
      <c r="B187" s="51"/>
      <c r="C187" s="19"/>
      <c r="D187" s="19"/>
      <c r="E187" s="19"/>
      <c r="F187" s="31" t="str">
        <f t="shared" si="15"/>
        <v/>
      </c>
      <c r="G187" s="47" t="str">
        <f>IF(B187="","",IFERROR(INDEX(Currais!$C$3:$C$8,MATCH(B187,Currais!$A$3:$A$8,0)),""))</f>
        <v/>
      </c>
      <c r="H187" s="33" t="str">
        <f t="shared" si="16"/>
        <v/>
      </c>
      <c r="I187" s="52" t="str">
        <f>IF(F187="","",IFERROR(INDEX(Currais!$K$3:$K$8,MATCH(B187,Currais!$A$3:$A$8,0)),0))</f>
        <v/>
      </c>
      <c r="J187" s="20" t="str">
        <f t="shared" si="17"/>
        <v/>
      </c>
      <c r="K187" s="21"/>
    </row>
    <row r="188" spans="1:11" ht="15" customHeight="1" x14ac:dyDescent="0.3">
      <c r="A188" s="16"/>
      <c r="B188" s="51"/>
      <c r="C188" s="19"/>
      <c r="D188" s="19"/>
      <c r="E188" s="19"/>
      <c r="F188" s="31" t="str">
        <f t="shared" si="15"/>
        <v/>
      </c>
      <c r="G188" s="47" t="str">
        <f>IF(B188="","",IFERROR(INDEX(Currais!$C$3:$C$8,MATCH(B188,Currais!$A$3:$A$8,0)),""))</f>
        <v/>
      </c>
      <c r="H188" s="33" t="str">
        <f t="shared" si="16"/>
        <v/>
      </c>
      <c r="I188" s="52" t="str">
        <f>IF(F188="","",IFERROR(INDEX(Currais!$K$3:$K$8,MATCH(B188,Currais!$A$3:$A$8,0)),0))</f>
        <v/>
      </c>
      <c r="J188" s="20" t="str">
        <f t="shared" si="17"/>
        <v/>
      </c>
      <c r="K188" s="21"/>
    </row>
    <row r="189" spans="1:11" ht="15" customHeight="1" x14ac:dyDescent="0.3">
      <c r="A189" s="16"/>
      <c r="B189" s="51"/>
      <c r="C189" s="19"/>
      <c r="D189" s="19"/>
      <c r="E189" s="19"/>
      <c r="F189" s="31" t="str">
        <f t="shared" si="15"/>
        <v/>
      </c>
      <c r="G189" s="47" t="str">
        <f>IF(B189="","",IFERROR(INDEX(Currais!$C$3:$C$8,MATCH(B189,Currais!$A$3:$A$8,0)),""))</f>
        <v/>
      </c>
      <c r="H189" s="33" t="str">
        <f t="shared" si="16"/>
        <v/>
      </c>
      <c r="I189" s="52" t="str">
        <f>IF(F189="","",IFERROR(INDEX(Currais!$K$3:$K$8,MATCH(B189,Currais!$A$3:$A$8,0)),0))</f>
        <v/>
      </c>
      <c r="J189" s="20" t="str">
        <f t="shared" si="17"/>
        <v/>
      </c>
      <c r="K189" s="21"/>
    </row>
    <row r="190" spans="1:11" ht="15" customHeight="1" x14ac:dyDescent="0.3">
      <c r="A190" s="16"/>
      <c r="B190" s="51"/>
      <c r="C190" s="19"/>
      <c r="D190" s="19"/>
      <c r="E190" s="19"/>
      <c r="F190" s="31" t="str">
        <f t="shared" si="15"/>
        <v/>
      </c>
      <c r="G190" s="47" t="str">
        <f>IF(B190="","",IFERROR(INDEX(Currais!$C$3:$C$8,MATCH(B190,Currais!$A$3:$A$8,0)),""))</f>
        <v/>
      </c>
      <c r="H190" s="33" t="str">
        <f t="shared" si="16"/>
        <v/>
      </c>
      <c r="I190" s="52" t="str">
        <f>IF(F190="","",IFERROR(INDEX(Currais!$K$3:$K$8,MATCH(B190,Currais!$A$3:$A$8,0)),0))</f>
        <v/>
      </c>
      <c r="J190" s="20" t="str">
        <f t="shared" si="17"/>
        <v/>
      </c>
      <c r="K190" s="21"/>
    </row>
    <row r="191" spans="1:11" ht="15" customHeight="1" x14ac:dyDescent="0.3">
      <c r="A191" s="16"/>
      <c r="B191" s="51"/>
      <c r="C191" s="19"/>
      <c r="D191" s="19"/>
      <c r="E191" s="19"/>
      <c r="F191" s="31" t="str">
        <f t="shared" si="15"/>
        <v/>
      </c>
      <c r="G191" s="47" t="str">
        <f>IF(B191="","",IFERROR(INDEX(Currais!$C$3:$C$8,MATCH(B191,Currais!$A$3:$A$8,0)),""))</f>
        <v/>
      </c>
      <c r="H191" s="33" t="str">
        <f t="shared" si="16"/>
        <v/>
      </c>
      <c r="I191" s="52" t="str">
        <f>IF(F191="","",IFERROR(INDEX(Currais!$K$3:$K$8,MATCH(B191,Currais!$A$3:$A$8,0)),0))</f>
        <v/>
      </c>
      <c r="J191" s="20" t="str">
        <f t="shared" si="17"/>
        <v/>
      </c>
      <c r="K191" s="21"/>
    </row>
    <row r="192" spans="1:11" ht="15" customHeight="1" x14ac:dyDescent="0.3">
      <c r="A192" s="16"/>
      <c r="B192" s="51"/>
      <c r="C192" s="19"/>
      <c r="D192" s="19"/>
      <c r="E192" s="19"/>
      <c r="F192" s="31" t="str">
        <f t="shared" si="15"/>
        <v/>
      </c>
      <c r="G192" s="47" t="str">
        <f>IF(B192="","",IFERROR(INDEX(Currais!$C$3:$C$8,MATCH(B192,Currais!$A$3:$A$8,0)),""))</f>
        <v/>
      </c>
      <c r="H192" s="33" t="str">
        <f t="shared" si="16"/>
        <v/>
      </c>
      <c r="I192" s="52" t="str">
        <f>IF(F192="","",IFERROR(INDEX(Currais!$K$3:$K$8,MATCH(B192,Currais!$A$3:$A$8,0)),0))</f>
        <v/>
      </c>
      <c r="J192" s="20" t="str">
        <f t="shared" si="17"/>
        <v/>
      </c>
      <c r="K192" s="21"/>
    </row>
    <row r="193" spans="1:11" ht="15" customHeight="1" x14ac:dyDescent="0.3">
      <c r="A193" s="16"/>
      <c r="B193" s="51"/>
      <c r="C193" s="19"/>
      <c r="D193" s="19"/>
      <c r="E193" s="19"/>
      <c r="F193" s="31" t="str">
        <f t="shared" si="15"/>
        <v/>
      </c>
      <c r="G193" s="47" t="str">
        <f>IF(B193="","",IFERROR(INDEX(Currais!$C$3:$C$8,MATCH(B193,Currais!$A$3:$A$8,0)),""))</f>
        <v/>
      </c>
      <c r="H193" s="33" t="str">
        <f t="shared" si="16"/>
        <v/>
      </c>
      <c r="I193" s="52" t="str">
        <f>IF(F193="","",IFERROR(INDEX(Currais!$K$3:$K$8,MATCH(B193,Currais!$A$3:$A$8,0)),0))</f>
        <v/>
      </c>
      <c r="J193" s="20" t="str">
        <f t="shared" si="17"/>
        <v/>
      </c>
      <c r="K193" s="21"/>
    </row>
    <row r="194" spans="1:11" ht="15" customHeight="1" x14ac:dyDescent="0.3">
      <c r="A194" s="16"/>
      <c r="B194" s="51"/>
      <c r="C194" s="19"/>
      <c r="D194" s="19"/>
      <c r="E194" s="19"/>
      <c r="F194" s="31" t="str">
        <f t="shared" si="15"/>
        <v/>
      </c>
      <c r="G194" s="47" t="str">
        <f>IF(B194="","",IFERROR(INDEX(Currais!$C$3:$C$8,MATCH(B194,Currais!$A$3:$A$8,0)),""))</f>
        <v/>
      </c>
      <c r="H194" s="33" t="str">
        <f t="shared" si="16"/>
        <v/>
      </c>
      <c r="I194" s="52" t="str">
        <f>IF(F194="","",IFERROR(INDEX(Currais!$K$3:$K$8,MATCH(B194,Currais!$A$3:$A$8,0)),0))</f>
        <v/>
      </c>
      <c r="J194" s="20" t="str">
        <f t="shared" si="17"/>
        <v/>
      </c>
      <c r="K194" s="21"/>
    </row>
    <row r="195" spans="1:11" ht="15" customHeight="1" x14ac:dyDescent="0.3">
      <c r="A195" s="16"/>
      <c r="B195" s="51"/>
      <c r="C195" s="19"/>
      <c r="D195" s="19"/>
      <c r="E195" s="19"/>
      <c r="F195" s="31" t="str">
        <f t="shared" si="15"/>
        <v/>
      </c>
      <c r="G195" s="47" t="str">
        <f>IF(B195="","",IFERROR(INDEX(Currais!$C$3:$C$8,MATCH(B195,Currais!$A$3:$A$8,0)),""))</f>
        <v/>
      </c>
      <c r="H195" s="33" t="str">
        <f t="shared" si="16"/>
        <v/>
      </c>
      <c r="I195" s="52" t="str">
        <f>IF(F195="","",IFERROR(INDEX(Currais!$K$3:$K$8,MATCH(B195,Currais!$A$3:$A$8,0)),0))</f>
        <v/>
      </c>
      <c r="J195" s="20" t="str">
        <f t="shared" si="17"/>
        <v/>
      </c>
      <c r="K195" s="21"/>
    </row>
    <row r="196" spans="1:11" ht="15" customHeight="1" x14ac:dyDescent="0.3">
      <c r="A196" s="16"/>
      <c r="B196" s="51"/>
      <c r="C196" s="19"/>
      <c r="D196" s="19"/>
      <c r="E196" s="19"/>
      <c r="F196" s="31" t="str">
        <f t="shared" ref="F196:F227" si="18">IF(AND(C196="",D196="",E196=""),"",N(C196)+N(D196)+N(E196))</f>
        <v/>
      </c>
      <c r="G196" s="47" t="str">
        <f>IF(B196="","",IFERROR(INDEX(Currais!$C$3:$C$8,MATCH(B196,Currais!$A$3:$A$8,0)),""))</f>
        <v/>
      </c>
      <c r="H196" s="33" t="str">
        <f t="shared" ref="H196:H227" si="19">IF(OR(F196="",G196="",G196=0),"",F196/G196)</f>
        <v/>
      </c>
      <c r="I196" s="52" t="str">
        <f>IF(F196="","",IFERROR(INDEX(Currais!$K$3:$K$8,MATCH(B196,Currais!$A$3:$A$8,0)),0))</f>
        <v/>
      </c>
      <c r="J196" s="20" t="str">
        <f t="shared" ref="J196:J227" si="20">IF(F196="","",F196*I196)</f>
        <v/>
      </c>
      <c r="K196" s="21"/>
    </row>
    <row r="197" spans="1:11" ht="15" customHeight="1" x14ac:dyDescent="0.3">
      <c r="A197" s="16"/>
      <c r="B197" s="51"/>
      <c r="C197" s="19"/>
      <c r="D197" s="19"/>
      <c r="E197" s="19"/>
      <c r="F197" s="31" t="str">
        <f t="shared" si="18"/>
        <v/>
      </c>
      <c r="G197" s="47" t="str">
        <f>IF(B197="","",IFERROR(INDEX(Currais!$C$3:$C$8,MATCH(B197,Currais!$A$3:$A$8,0)),""))</f>
        <v/>
      </c>
      <c r="H197" s="33" t="str">
        <f t="shared" si="19"/>
        <v/>
      </c>
      <c r="I197" s="52" t="str">
        <f>IF(F197="","",IFERROR(INDEX(Currais!$K$3:$K$8,MATCH(B197,Currais!$A$3:$A$8,0)),0))</f>
        <v/>
      </c>
      <c r="J197" s="20" t="str">
        <f t="shared" si="20"/>
        <v/>
      </c>
      <c r="K197" s="21"/>
    </row>
    <row r="198" spans="1:11" ht="15" customHeight="1" x14ac:dyDescent="0.3">
      <c r="A198" s="16"/>
      <c r="B198" s="51"/>
      <c r="C198" s="19"/>
      <c r="D198" s="19"/>
      <c r="E198" s="19"/>
      <c r="F198" s="31" t="str">
        <f t="shared" si="18"/>
        <v/>
      </c>
      <c r="G198" s="47" t="str">
        <f>IF(B198="","",IFERROR(INDEX(Currais!$C$3:$C$8,MATCH(B198,Currais!$A$3:$A$8,0)),""))</f>
        <v/>
      </c>
      <c r="H198" s="33" t="str">
        <f t="shared" si="19"/>
        <v/>
      </c>
      <c r="I198" s="52" t="str">
        <f>IF(F198="","",IFERROR(INDEX(Currais!$K$3:$K$8,MATCH(B198,Currais!$A$3:$A$8,0)),0))</f>
        <v/>
      </c>
      <c r="J198" s="20" t="str">
        <f t="shared" si="20"/>
        <v/>
      </c>
      <c r="K198" s="21"/>
    </row>
    <row r="199" spans="1:11" ht="15" customHeight="1" x14ac:dyDescent="0.3">
      <c r="A199" s="16"/>
      <c r="B199" s="51"/>
      <c r="C199" s="19"/>
      <c r="D199" s="19"/>
      <c r="E199" s="19"/>
      <c r="F199" s="31" t="str">
        <f t="shared" si="18"/>
        <v/>
      </c>
      <c r="G199" s="47" t="str">
        <f>IF(B199="","",IFERROR(INDEX(Currais!$C$3:$C$8,MATCH(B199,Currais!$A$3:$A$8,0)),""))</f>
        <v/>
      </c>
      <c r="H199" s="33" t="str">
        <f t="shared" si="19"/>
        <v/>
      </c>
      <c r="I199" s="52" t="str">
        <f>IF(F199="","",IFERROR(INDEX(Currais!$K$3:$K$8,MATCH(B199,Currais!$A$3:$A$8,0)),0))</f>
        <v/>
      </c>
      <c r="J199" s="20" t="str">
        <f t="shared" si="20"/>
        <v/>
      </c>
      <c r="K199" s="21"/>
    </row>
    <row r="200" spans="1:11" ht="15" customHeight="1" x14ac:dyDescent="0.3">
      <c r="A200" s="16"/>
      <c r="B200" s="51"/>
      <c r="C200" s="19"/>
      <c r="D200" s="19"/>
      <c r="E200" s="19"/>
      <c r="F200" s="31" t="str">
        <f t="shared" si="18"/>
        <v/>
      </c>
      <c r="G200" s="47" t="str">
        <f>IF(B200="","",IFERROR(INDEX(Currais!$C$3:$C$8,MATCH(B200,Currais!$A$3:$A$8,0)),""))</f>
        <v/>
      </c>
      <c r="H200" s="33" t="str">
        <f t="shared" si="19"/>
        <v/>
      </c>
      <c r="I200" s="52" t="str">
        <f>IF(F200="","",IFERROR(INDEX(Currais!$K$3:$K$8,MATCH(B200,Currais!$A$3:$A$8,0)),0))</f>
        <v/>
      </c>
      <c r="J200" s="20" t="str">
        <f t="shared" si="20"/>
        <v/>
      </c>
      <c r="K200" s="21"/>
    </row>
    <row r="201" spans="1:11" ht="15" customHeight="1" x14ac:dyDescent="0.3">
      <c r="A201" s="16"/>
      <c r="B201" s="51"/>
      <c r="C201" s="19"/>
      <c r="D201" s="19"/>
      <c r="E201" s="19"/>
      <c r="F201" s="31" t="str">
        <f t="shared" si="18"/>
        <v/>
      </c>
      <c r="G201" s="47" t="str">
        <f>IF(B201="","",IFERROR(INDEX(Currais!$C$3:$C$8,MATCH(B201,Currais!$A$3:$A$8,0)),""))</f>
        <v/>
      </c>
      <c r="H201" s="33" t="str">
        <f t="shared" si="19"/>
        <v/>
      </c>
      <c r="I201" s="52" t="str">
        <f>IF(F201="","",IFERROR(INDEX(Currais!$K$3:$K$8,MATCH(B201,Currais!$A$3:$A$8,0)),0))</f>
        <v/>
      </c>
      <c r="J201" s="20" t="str">
        <f t="shared" si="20"/>
        <v/>
      </c>
      <c r="K201" s="21"/>
    </row>
    <row r="202" spans="1:11" ht="15" customHeight="1" x14ac:dyDescent="0.3">
      <c r="A202" s="16"/>
      <c r="B202" s="51"/>
      <c r="C202" s="19"/>
      <c r="D202" s="19"/>
      <c r="E202" s="19"/>
      <c r="F202" s="31" t="str">
        <f t="shared" si="18"/>
        <v/>
      </c>
      <c r="G202" s="47" t="str">
        <f>IF(B202="","",IFERROR(INDEX(Currais!$C$3:$C$8,MATCH(B202,Currais!$A$3:$A$8,0)),""))</f>
        <v/>
      </c>
      <c r="H202" s="33" t="str">
        <f t="shared" si="19"/>
        <v/>
      </c>
      <c r="I202" s="52" t="str">
        <f>IF(F202="","",IFERROR(INDEX(Currais!$K$3:$K$8,MATCH(B202,Currais!$A$3:$A$8,0)),0))</f>
        <v/>
      </c>
      <c r="J202" s="20" t="str">
        <f t="shared" si="20"/>
        <v/>
      </c>
      <c r="K202" s="21"/>
    </row>
    <row r="203" spans="1:11" ht="15" customHeight="1" x14ac:dyDescent="0.3">
      <c r="A203" s="16"/>
      <c r="B203" s="51"/>
      <c r="C203" s="19"/>
      <c r="D203" s="19"/>
      <c r="E203" s="19"/>
      <c r="F203" s="31" t="str">
        <f t="shared" si="18"/>
        <v/>
      </c>
      <c r="G203" s="47" t="str">
        <f>IF(B203="","",IFERROR(INDEX(Currais!$C$3:$C$8,MATCH(B203,Currais!$A$3:$A$8,0)),""))</f>
        <v/>
      </c>
      <c r="H203" s="33" t="str">
        <f t="shared" si="19"/>
        <v/>
      </c>
      <c r="I203" s="52" t="str">
        <f>IF(F203="","",IFERROR(INDEX(Currais!$K$3:$K$8,MATCH(B203,Currais!$A$3:$A$8,0)),0))</f>
        <v/>
      </c>
      <c r="J203" s="20" t="str">
        <f t="shared" si="20"/>
        <v/>
      </c>
      <c r="K203" s="21"/>
    </row>
  </sheetData>
  <mergeCells count="2">
    <mergeCell ref="A2:K2"/>
    <mergeCell ref="A1:K1"/>
  </mergeCells>
  <dataValidations count="1">
    <dataValidation type="list" allowBlank="1" sqref="B4:B203" xr:uid="{00000000-0002-0000-0700-000000000000}">
      <formula1>"2,3,4,4-TN,(a definir),5"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M12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2" customWidth="1"/>
    <col min="3" max="4" width="10" customWidth="1"/>
    <col min="5" max="5" width="16" customWidth="1"/>
    <col min="6" max="6" width="14" customWidth="1"/>
    <col min="7" max="8" width="15" customWidth="1"/>
    <col min="9" max="10" width="16" customWidth="1"/>
    <col min="11" max="11" width="14" customWidth="1"/>
    <col min="12" max="12" width="12" customWidth="1"/>
    <col min="13" max="13" width="16" customWidth="1"/>
  </cols>
  <sheetData>
    <row r="2" spans="2:13" ht="24" customHeight="1" x14ac:dyDescent="0.3">
      <c r="B2" s="127" t="s">
        <v>559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3" spans="2:13" ht="39.75" customHeight="1" x14ac:dyDescent="0.3">
      <c r="B3" s="131" t="s">
        <v>560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5" spans="2:13" ht="31.5" customHeight="1" x14ac:dyDescent="0.3">
      <c r="B5" s="15" t="s">
        <v>561</v>
      </c>
      <c r="C5" s="15" t="s">
        <v>535</v>
      </c>
      <c r="D5" s="15" t="s">
        <v>562</v>
      </c>
      <c r="E5" s="15" t="s">
        <v>563</v>
      </c>
      <c r="F5" s="15" t="s">
        <v>538</v>
      </c>
      <c r="G5" s="15" t="s">
        <v>564</v>
      </c>
      <c r="H5" s="15" t="s">
        <v>547</v>
      </c>
      <c r="I5" s="15" t="s">
        <v>565</v>
      </c>
      <c r="J5" s="15" t="s">
        <v>566</v>
      </c>
      <c r="K5" s="15" t="s">
        <v>567</v>
      </c>
      <c r="L5" s="15" t="s">
        <v>568</v>
      </c>
      <c r="M5" s="15" t="s">
        <v>569</v>
      </c>
    </row>
    <row r="6" spans="2:13" ht="15" customHeight="1" x14ac:dyDescent="0.3">
      <c r="B6" s="44" t="s">
        <v>207</v>
      </c>
      <c r="C6" s="44">
        <f>IFERROR(INDEX(Currais!$C$3:$C$8,MATCH(B6,Currais!$A$3:$A$8,0)),0)</f>
        <v>38</v>
      </c>
      <c r="D6" s="55">
        <f>IFERROR(Parâmetros!$C$4-_xlfn.MINIFS(Cadastro_Animais!$F$3:$F$5001,Cadastro_Animais!$E$3:$E$5001,B6),"")</f>
        <v>43</v>
      </c>
      <c r="E6" s="27">
        <f>IFERROR(INDEX(Calculadora_Trato!$I$8:$I$13,MATCH(B6,Calculadora_Trato!$B$8:$B$13,0)),0)</f>
        <v>503.28000000000003</v>
      </c>
      <c r="F6" s="56">
        <f>IFERROR(INDEX(Currais!$K$3:$K$8,MATCH(B6,Currais!$A$3:$A$8,0)),0)</f>
        <v>0.45771000000000006</v>
      </c>
      <c r="G6" s="46">
        <f t="shared" ref="G6:G11" si="0">E6*F6</f>
        <v>230.35628880000004</v>
      </c>
      <c r="H6" s="57">
        <f t="shared" ref="H6:H12" si="1">IF(C6=0,"",G6/C6)</f>
        <v>6.0620076000000012</v>
      </c>
      <c r="I6" s="46">
        <f t="shared" ref="I6:I11" si="2">IF(D6="","",G6*D6)</f>
        <v>9905.3204184000024</v>
      </c>
      <c r="J6" s="46">
        <f>SUMIFS(Trato_Diario!$J$4:$J$203,Trato_Diario!$B$4:$B$203,B6)</f>
        <v>18766.109999999997</v>
      </c>
      <c r="K6" s="46">
        <f t="shared" ref="K6:K12" si="3">IF(C6=0,"",I6/C6)</f>
        <v>260.66632680000004</v>
      </c>
      <c r="L6" s="29">
        <f>SUMIFS(Cadastro_Animais!$N$3:$N$5001,Cadastro_Animais!$E$3:$E$5001,B6)</f>
        <v>0</v>
      </c>
      <c r="M6" s="46" t="str">
        <f t="shared" ref="M6:M12" si="4">IF(L6&lt;=0,"",I6/L6)</f>
        <v/>
      </c>
    </row>
    <row r="7" spans="2:13" ht="15" customHeight="1" x14ac:dyDescent="0.3">
      <c r="B7" s="47" t="s">
        <v>213</v>
      </c>
      <c r="C7" s="47">
        <f>IFERROR(INDEX(Currais!$C$3:$C$8,MATCH(B7,Currais!$A$3:$A$8,0)),0)</f>
        <v>46</v>
      </c>
      <c r="D7" s="58">
        <f>IFERROR(Parâmetros!$C$4-_xlfn.MINIFS(Cadastro_Animais!$F$3:$F$5001,Cadastro_Animais!$E$3:$E$5001,B7),"")</f>
        <v>43</v>
      </c>
      <c r="E7" s="31">
        <f>IFERROR(INDEX(Calculadora_Trato!$I$8:$I$13,MATCH(B7,Calculadora_Trato!$B$8:$B$13,0)),0)</f>
        <v>575.13599999999997</v>
      </c>
      <c r="F7" s="52">
        <f>IFERROR(INDEX(Currais!$K$3:$K$8,MATCH(B7,Currais!$A$3:$A$8,0)),0)</f>
        <v>0.45771000000000006</v>
      </c>
      <c r="G7" s="20">
        <f t="shared" si="0"/>
        <v>263.24549856000004</v>
      </c>
      <c r="H7" s="59">
        <f t="shared" si="1"/>
        <v>5.7227282295652184</v>
      </c>
      <c r="I7" s="20">
        <f t="shared" si="2"/>
        <v>11319.556438080002</v>
      </c>
      <c r="J7" s="20">
        <f>SUMIFS(Trato_Diario!$J$4:$J$203,Trato_Diario!$B$4:$B$203,B7)</f>
        <v>17164.125000000007</v>
      </c>
      <c r="K7" s="20">
        <f t="shared" si="3"/>
        <v>246.0773138713044</v>
      </c>
      <c r="L7" s="33">
        <f>SUMIFS(Cadastro_Animais!$N$3:$N$5001,Cadastro_Animais!$E$3:$E$5001,B7)</f>
        <v>114.97466666666671</v>
      </c>
      <c r="M7" s="20">
        <f t="shared" si="4"/>
        <v>98.452613660516505</v>
      </c>
    </row>
    <row r="8" spans="2:13" ht="15" customHeight="1" x14ac:dyDescent="0.3">
      <c r="B8" s="44" t="s">
        <v>40</v>
      </c>
      <c r="C8" s="44">
        <f>IFERROR(INDEX(Currais!$C$3:$C$8,MATCH(B8,Currais!$A$3:$A$8,0)),0)</f>
        <v>165</v>
      </c>
      <c r="D8" s="55">
        <f>IFERROR(Parâmetros!$C$4-_xlfn.MINIFS(Cadastro_Animais!$F$3:$F$5001,Cadastro_Animais!$E$3:$E$5001,B8),"")</f>
        <v>47</v>
      </c>
      <c r="E8" s="27">
        <f>IFERROR(INDEX(Calculadora_Trato!$I$8:$I$13,MATCH(B8,Calculadora_Trato!$B$8:$B$13,0)),0)</f>
        <v>869.928</v>
      </c>
      <c r="F8" s="56">
        <f>IFERROR(INDEX(Currais!$K$3:$K$8,MATCH(B8,Currais!$A$3:$A$8,0)),0)</f>
        <v>0.52245000000000008</v>
      </c>
      <c r="G8" s="46">
        <f t="shared" si="0"/>
        <v>454.49388360000006</v>
      </c>
      <c r="H8" s="57">
        <f t="shared" si="1"/>
        <v>2.754508385454546</v>
      </c>
      <c r="I8" s="46">
        <f t="shared" si="2"/>
        <v>21361.212529200002</v>
      </c>
      <c r="J8" s="46">
        <f>SUMIFS(Trato_Diario!$J$4:$J$203,Trato_Diario!$B$4:$B$203,B8)</f>
        <v>45923.355000000032</v>
      </c>
      <c r="K8" s="46">
        <f t="shared" si="3"/>
        <v>129.46189411636365</v>
      </c>
      <c r="L8" s="29">
        <f>SUMIFS(Cadastro_Animais!$N$3:$N$5001,Cadastro_Animais!$E$3:$E$5001,B8)</f>
        <v>0</v>
      </c>
      <c r="M8" s="46" t="str">
        <f t="shared" si="4"/>
        <v/>
      </c>
    </row>
    <row r="9" spans="2:13" ht="15" customHeight="1" x14ac:dyDescent="0.3">
      <c r="B9" s="47" t="s">
        <v>9</v>
      </c>
      <c r="C9" s="47">
        <f>IFERROR(INDEX(Currais!$C$3:$C$8,MATCH(B9,Currais!$A$3:$A$8,0)),0)</f>
        <v>29</v>
      </c>
      <c r="D9" s="58">
        <f>IFERROR(Parâmetros!$C$4-_xlfn.MINIFS(Cadastro_Animais!$F$3:$F$5001,Cadastro_Animais!$E$3:$E$5001,B9),"")</f>
        <v>43</v>
      </c>
      <c r="E9" s="31">
        <f>IFERROR(INDEX(Calculadora_Trato!$I$8:$I$13,MATCH(B9,Calculadora_Trato!$B$8:$B$13,0)),0)</f>
        <v>388.87200000000007</v>
      </c>
      <c r="F9" s="52">
        <f>IFERROR(INDEX(Currais!$K$3:$K$8,MATCH(B9,Currais!$A$3:$A$8,0)),0)</f>
        <v>0.66905000000000003</v>
      </c>
      <c r="G9" s="20">
        <f t="shared" si="0"/>
        <v>260.17481160000006</v>
      </c>
      <c r="H9" s="59">
        <f t="shared" si="1"/>
        <v>8.9715452275862084</v>
      </c>
      <c r="I9" s="20">
        <f t="shared" si="2"/>
        <v>11187.516898800002</v>
      </c>
      <c r="J9" s="20">
        <f>SUMIFS(Trato_Diario!$J$4:$J$203,Trato_Diario!$B$4:$B$203,B9)</f>
        <v>20138.404999999981</v>
      </c>
      <c r="K9" s="20">
        <f t="shared" si="3"/>
        <v>385.77644478620698</v>
      </c>
      <c r="L9" s="33">
        <f>SUMIFS(Cadastro_Animais!$N$3:$N$5001,Cadastro_Animais!$E$3:$E$5001,B9)</f>
        <v>96.848666666666659</v>
      </c>
      <c r="M9" s="20">
        <f t="shared" si="4"/>
        <v>115.51544573458251</v>
      </c>
    </row>
    <row r="10" spans="2:13" ht="15" customHeight="1" x14ac:dyDescent="0.3">
      <c r="B10" s="44" t="s">
        <v>299</v>
      </c>
      <c r="C10" s="44">
        <f>IFERROR(INDEX(Currais!$C$3:$C$8,MATCH(B10,Currais!$A$3:$A$8,0)),0)</f>
        <v>70</v>
      </c>
      <c r="D10" s="55">
        <f>IFERROR(Parâmetros!$C$4-_xlfn.MINIFS(Cadastro_Animais!$F$3:$F$5001,Cadastro_Animais!$E$3:$E$5001,B10),"")</f>
        <v>21</v>
      </c>
      <c r="E10" s="27">
        <f>IFERROR(INDEX(Calculadora_Trato!$I$8:$I$13,MATCH(B10,Calculadora_Trato!$B$8:$B$13,0)),0)</f>
        <v>574.60800000000006</v>
      </c>
      <c r="F10" s="56">
        <f>IFERROR(INDEX(Currais!$K$3:$K$8,MATCH(B10,Currais!$A$3:$A$8,0)),0)</f>
        <v>0.66905000000000003</v>
      </c>
      <c r="G10" s="46">
        <f t="shared" si="0"/>
        <v>384.44148240000004</v>
      </c>
      <c r="H10" s="57">
        <f t="shared" si="1"/>
        <v>5.492021177142858</v>
      </c>
      <c r="I10" s="46">
        <f t="shared" si="2"/>
        <v>8073.2711304000004</v>
      </c>
      <c r="J10" s="46">
        <f>SUMIFS(Trato_Diario!$J$4:$J$203,Trato_Diario!$B$4:$B$203,B10)</f>
        <v>0</v>
      </c>
      <c r="K10" s="46">
        <f t="shared" si="3"/>
        <v>115.33244472000001</v>
      </c>
      <c r="L10" s="29">
        <f>SUMIFS(Cadastro_Animais!$N$3:$N$5001,Cadastro_Animais!$E$3:$E$5001,B10)</f>
        <v>0</v>
      </c>
      <c r="M10" s="46" t="str">
        <f t="shared" si="4"/>
        <v/>
      </c>
    </row>
    <row r="11" spans="2:13" ht="15" customHeight="1" x14ac:dyDescent="0.3">
      <c r="B11" s="47" t="s">
        <v>372</v>
      </c>
      <c r="C11" s="47">
        <f>IFERROR(INDEX(Currais!$C$3:$C$8,MATCH(B11,Currais!$A$3:$A$8,0)),0)</f>
        <v>37</v>
      </c>
      <c r="D11" s="58">
        <f>IFERROR(Parâmetros!$C$4-_xlfn.MINIFS(Cadastro_Animais!$F$3:$F$5001,Cadastro_Animais!$E$3:$E$5001,B11),"")</f>
        <v>14</v>
      </c>
      <c r="E11" s="31">
        <f>IFERROR(INDEX(Calculadora_Trato!$I$8:$I$13,MATCH(B11,Calculadora_Trato!$B$8:$B$13,0)),0)</f>
        <v>312.12000000000006</v>
      </c>
      <c r="F11" s="52">
        <f>IFERROR(INDEX(Currais!$K$3:$K$8,MATCH(B11,Currais!$A$3:$A$8,0)),0)</f>
        <v>0.57515000000000005</v>
      </c>
      <c r="G11" s="20">
        <f t="shared" si="0"/>
        <v>179.51581800000005</v>
      </c>
      <c r="H11" s="59">
        <f t="shared" si="1"/>
        <v>4.8517788648648663</v>
      </c>
      <c r="I11" s="20">
        <f t="shared" si="2"/>
        <v>2513.2214520000007</v>
      </c>
      <c r="J11" s="20">
        <f>SUMIFS(Trato_Diario!$J$4:$J$203,Trato_Diario!$B$4:$B$203,B11)</f>
        <v>0</v>
      </c>
      <c r="K11" s="20">
        <f t="shared" si="3"/>
        <v>67.924904108108123</v>
      </c>
      <c r="L11" s="33">
        <f>SUMIFS(Cadastro_Animais!$N$3:$N$5001,Cadastro_Animais!$E$3:$E$5001,B11)</f>
        <v>0</v>
      </c>
      <c r="M11" s="20" t="str">
        <f t="shared" si="4"/>
        <v/>
      </c>
    </row>
    <row r="12" spans="2:13" ht="15" customHeight="1" x14ac:dyDescent="0.3">
      <c r="B12" s="48" t="s">
        <v>548</v>
      </c>
      <c r="C12" s="49">
        <f>SUM(C6:C11)</f>
        <v>385</v>
      </c>
      <c r="D12" s="39"/>
      <c r="E12" s="39"/>
      <c r="F12" s="39"/>
      <c r="G12" s="50">
        <f>SUM(G6:G11)</f>
        <v>1772.2277829600005</v>
      </c>
      <c r="H12" s="50">
        <f t="shared" si="1"/>
        <v>4.6031890466493515</v>
      </c>
      <c r="I12" s="50">
        <f>SUM(I6:I11)</f>
        <v>64360.098866880013</v>
      </c>
      <c r="J12" s="50">
        <f>SUM(J6:J11)</f>
        <v>101991.99500000001</v>
      </c>
      <c r="K12" s="50">
        <f t="shared" si="3"/>
        <v>167.1690879659221</v>
      </c>
      <c r="L12" s="60">
        <f>SUM(L6:L11)</f>
        <v>211.82333333333338</v>
      </c>
      <c r="M12" s="50">
        <f t="shared" si="4"/>
        <v>303.83857082260374</v>
      </c>
    </row>
  </sheetData>
  <mergeCells count="2">
    <mergeCell ref="B3:M3"/>
    <mergeCell ref="B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01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24" customWidth="1"/>
    <col min="2" max="8" width="14" customWidth="1"/>
  </cols>
  <sheetData>
    <row r="1" spans="1:8" ht="24" customHeight="1" x14ac:dyDescent="0.3">
      <c r="A1" s="127" t="s">
        <v>570</v>
      </c>
      <c r="B1" s="125"/>
      <c r="C1" s="125"/>
      <c r="D1" s="125"/>
      <c r="E1" s="125"/>
      <c r="F1" s="125"/>
      <c r="G1" s="125"/>
      <c r="H1" s="125"/>
    </row>
    <row r="2" spans="1:8" ht="39.75" customHeight="1" x14ac:dyDescent="0.3">
      <c r="A2" s="131" t="s">
        <v>571</v>
      </c>
      <c r="B2" s="125"/>
      <c r="C2" s="125"/>
      <c r="D2" s="125"/>
      <c r="E2" s="125"/>
      <c r="F2" s="125"/>
      <c r="G2" s="125"/>
      <c r="H2" s="125"/>
    </row>
    <row r="4" spans="1:8" ht="30" customHeight="1" x14ac:dyDescent="0.3">
      <c r="A4" s="39"/>
      <c r="B4" s="15" t="s">
        <v>572</v>
      </c>
      <c r="C4" s="15" t="s">
        <v>573</v>
      </c>
      <c r="D4" s="15" t="s">
        <v>574</v>
      </c>
      <c r="E4" s="15" t="s">
        <v>575</v>
      </c>
      <c r="F4" s="15" t="s">
        <v>576</v>
      </c>
      <c r="G4" s="15" t="s">
        <v>577</v>
      </c>
      <c r="H4" s="61" t="s">
        <v>578</v>
      </c>
    </row>
    <row r="5" spans="1:8" ht="14.25" customHeight="1" x14ac:dyDescent="0.3">
      <c r="A5" s="62" t="s">
        <v>579</v>
      </c>
      <c r="B5" s="63" t="s">
        <v>207</v>
      </c>
      <c r="C5" s="63" t="s">
        <v>213</v>
      </c>
      <c r="D5" s="63" t="s">
        <v>40</v>
      </c>
      <c r="E5" s="63" t="s">
        <v>9</v>
      </c>
      <c r="F5" s="63" t="s">
        <v>299</v>
      </c>
      <c r="G5" s="63" t="s">
        <v>372</v>
      </c>
      <c r="H5" s="64"/>
    </row>
    <row r="6" spans="1:8" ht="14.25" customHeight="1" x14ac:dyDescent="0.3">
      <c r="A6" s="65" t="s">
        <v>580</v>
      </c>
      <c r="B6" s="66">
        <f>IFERROR(INDEX(Currais!$C$3:$C$8,MATCH(B$5,Currais!$A$3:$A$8,0)),0)</f>
        <v>38</v>
      </c>
      <c r="C6" s="66">
        <f>IFERROR(INDEX(Currais!$C$3:$C$8,MATCH(C$5,Currais!$A$3:$A$8,0)),0)</f>
        <v>46</v>
      </c>
      <c r="D6" s="66">
        <f>IFERROR(INDEX(Currais!$C$3:$C$8,MATCH(D$5,Currais!$A$3:$A$8,0)),0)</f>
        <v>165</v>
      </c>
      <c r="E6" s="66">
        <f>IFERROR(INDEX(Currais!$C$3:$C$8,MATCH(E$5,Currais!$A$3:$A$8,0)),0)</f>
        <v>29</v>
      </c>
      <c r="F6" s="66">
        <f>IFERROR(INDEX(Currais!$C$3:$C$8,MATCH(F$5,Currais!$A$3:$A$8,0)),0)</f>
        <v>70</v>
      </c>
      <c r="G6" s="66">
        <f>IFERROR(INDEX(Currais!$C$3:$C$8,MATCH(G$5,Currais!$A$3:$A$8,0)),0)</f>
        <v>37</v>
      </c>
      <c r="H6" s="67">
        <f>SUM(B6:G6)</f>
        <v>385</v>
      </c>
    </row>
    <row r="7" spans="1:8" ht="14.25" customHeight="1" x14ac:dyDescent="0.3">
      <c r="A7" s="65" t="s">
        <v>581</v>
      </c>
      <c r="B7" s="66">
        <f>COUNTIFS(Trato_Diario!$B$4:$B$203,B$5,Trato_Diario!$F$4:$F$203,"&lt;&gt;")</f>
        <v>35</v>
      </c>
      <c r="C7" s="66">
        <f>COUNTIFS(Trato_Diario!$B$4:$B$203,C$5,Trato_Diario!$F$4:$F$203,"&lt;&gt;")</f>
        <v>35</v>
      </c>
      <c r="D7" s="66">
        <f>COUNTIFS(Trato_Diario!$B$4:$B$203,D$5,Trato_Diario!$F$4:$F$203,"&lt;&gt;")</f>
        <v>39</v>
      </c>
      <c r="E7" s="66">
        <f>COUNTIFS(Trato_Diario!$B$4:$B$203,E$5,Trato_Diario!$F$4:$F$203,"&lt;&gt;")</f>
        <v>43</v>
      </c>
      <c r="F7" s="66">
        <f>COUNTIFS(Trato_Diario!$B$4:$B$203,F$5,Trato_Diario!$F$4:$F$203,"&lt;&gt;")</f>
        <v>0</v>
      </c>
      <c r="G7" s="66">
        <f>COUNTIFS(Trato_Diario!$B$4:$B$203,G$5,Trato_Diario!$F$4:$F$203,"&lt;&gt;")</f>
        <v>0</v>
      </c>
      <c r="H7" s="68"/>
    </row>
    <row r="8" spans="1:8" ht="14.25" customHeight="1" x14ac:dyDescent="0.3">
      <c r="A8" s="69" t="s">
        <v>582</v>
      </c>
      <c r="B8" s="70">
        <f>IFERROR(SUMIFS(Trato_Diario!$J$4:$J$203,Trato_Diario!$B$4:$B$203,B$5)/SUMIFS(Trato_Diario!$G$4:$G$203,Trato_Diario!$B$4:$B$203,B$5),"")</f>
        <v>14.109857142857141</v>
      </c>
      <c r="C8" s="70">
        <f>IFERROR(SUMIFS(Trato_Diario!$J$4:$J$203,Trato_Diario!$B$4:$B$203,C$5)/SUMIFS(Trato_Diario!$G$4:$G$203,Trato_Diario!$B$4:$B$203,C$5),"")</f>
        <v>10.660947204968949</v>
      </c>
      <c r="D8" s="70">
        <f>IFERROR(SUMIFS(Trato_Diario!$J$4:$J$203,Trato_Diario!$B$4:$B$203,D$5)/SUMIFS(Trato_Diario!$G$4:$G$203,Trato_Diario!$B$4:$B$203,D$5),"")</f>
        <v>7.1364965034965087</v>
      </c>
      <c r="E8" s="70">
        <f>IFERROR(SUMIFS(Trato_Diario!$J$4:$J$203,Trato_Diario!$B$4:$B$203,E$5)/SUMIFS(Trato_Diario!$G$4:$G$203,Trato_Diario!$B$4:$B$203,E$5),"")</f>
        <v>16.149482758620675</v>
      </c>
      <c r="F8" s="70" t="str">
        <f>IFERROR(SUMIFS(Trato_Diario!$J$4:$J$203,Trato_Diario!$B$4:$B$203,F$5)/SUMIFS(Trato_Diario!$G$4:$G$203,Trato_Diario!$B$4:$B$203,F$5),"")</f>
        <v/>
      </c>
      <c r="G8" s="70" t="str">
        <f>IFERROR(SUMIFS(Trato_Diario!$J$4:$J$203,Trato_Diario!$B$4:$B$203,G$5)/SUMIFS(Trato_Diario!$G$4:$G$203,Trato_Diario!$B$4:$B$203,G$5),"")</f>
        <v/>
      </c>
      <c r="H8" s="70">
        <f>IFERROR(SUM(Trato_Diario!$J$4:$J$203)/SUM(Trato_Diario!$G$4:$G$203),"")</f>
        <v>9.601957729241219</v>
      </c>
    </row>
    <row r="10" spans="1:8" ht="14.25" customHeight="1" x14ac:dyDescent="0.3">
      <c r="A10" s="126" t="s">
        <v>583</v>
      </c>
      <c r="B10" s="125"/>
      <c r="C10" s="125"/>
      <c r="D10" s="125"/>
      <c r="E10" s="125"/>
      <c r="F10" s="125"/>
      <c r="G10" s="125"/>
      <c r="H10" s="125"/>
    </row>
    <row r="11" spans="1:8" ht="27.75" customHeight="1" x14ac:dyDescent="0.3">
      <c r="A11" s="61" t="s">
        <v>1</v>
      </c>
      <c r="B11" s="15" t="s">
        <v>572</v>
      </c>
      <c r="C11" s="15" t="s">
        <v>573</v>
      </c>
      <c r="D11" s="15" t="s">
        <v>574</v>
      </c>
      <c r="E11" s="15" t="s">
        <v>575</v>
      </c>
      <c r="F11" s="15" t="s">
        <v>576</v>
      </c>
      <c r="G11" s="15" t="s">
        <v>577</v>
      </c>
      <c r="H11" s="61" t="s">
        <v>578</v>
      </c>
    </row>
    <row r="12" spans="1:8" ht="14.25" customHeight="1" x14ac:dyDescent="0.3">
      <c r="A12" s="71">
        <v>46199</v>
      </c>
      <c r="B12" s="46" t="str">
        <f>IF(OR($A12&gt;MAX(Trato_Diario!$A$4:$A$203),SUMIFS(Trato_Diario!$G$4:$G$203,Trato_Diario!$B$4:$B$203,B$5,Trato_Diario!$A$4:$A$203,$A12)=0),"",SUMIFS(Trato_Diario!$J$4:$J$203,Trato_Diario!$B$4:$B$203,B$5,Trato_Diario!$A$4:$A$203,$A12)/SUMIFS(Trato_Diario!$G$4:$G$203,Trato_Diario!$B$4:$B$203,B$5,Trato_Diario!$A$4:$A$203,$A12))</f>
        <v/>
      </c>
      <c r="C12" s="46" t="str">
        <f>IF(OR($A12&gt;MAX(Trato_Diario!$A$4:$A$203),SUMIFS(Trato_Diario!$G$4:$G$203,Trato_Diario!$B$4:$B$203,C$5,Trato_Diario!$A$4:$A$203,$A12)=0),"",SUMIFS(Trato_Diario!$J$4:$J$203,Trato_Diario!$B$4:$B$203,C$5,Trato_Diario!$A$4:$A$203,$A12)/SUMIFS(Trato_Diario!$G$4:$G$203,Trato_Diario!$B$4:$B$203,C$5,Trato_Diario!$A$4:$A$203,$A12))</f>
        <v/>
      </c>
      <c r="D12" s="46">
        <f>IF(OR($A12&gt;MAX(Trato_Diario!$A$4:$A$203),SUMIFS(Trato_Diario!$G$4:$G$203,Trato_Diario!$B$4:$B$203,D$5,Trato_Diario!$A$4:$A$203,$A12)=0),"",SUMIFS(Trato_Diario!$J$4:$J$203,Trato_Diario!$B$4:$B$203,D$5,Trato_Diario!$A$4:$A$203,$A12)/SUMIFS(Trato_Diario!$G$4:$G$203,Trato_Diario!$B$4:$B$203,D$5,Trato_Diario!$A$4:$A$203,$A12))</f>
        <v>5.3828181818181831</v>
      </c>
      <c r="E12" s="46" t="str">
        <f>IF(OR($A12&gt;MAX(Trato_Diario!$A$4:$A$203),SUMIFS(Trato_Diario!$G$4:$G$203,Trato_Diario!$B$4:$B$203,E$5,Trato_Diario!$A$4:$A$203,$A12)=0),"",SUMIFS(Trato_Diario!$J$4:$J$203,Trato_Diario!$B$4:$B$203,E$5,Trato_Diario!$A$4:$A$203,$A12)/SUMIFS(Trato_Diario!$G$4:$G$203,Trato_Diario!$B$4:$B$203,E$5,Trato_Diario!$A$4:$A$203,$A12))</f>
        <v/>
      </c>
      <c r="F12" s="46" t="str">
        <f>IF(OR($A12&gt;MAX(Trato_Diario!$A$4:$A$203),SUMIFS(Trato_Diario!$G$4:$G$203,Trato_Diario!$B$4:$B$203,F$5,Trato_Diario!$A$4:$A$203,$A12)=0),"",SUMIFS(Trato_Diario!$J$4:$J$203,Trato_Diario!$B$4:$B$203,F$5,Trato_Diario!$A$4:$A$203,$A12)/SUMIFS(Trato_Diario!$G$4:$G$203,Trato_Diario!$B$4:$B$203,F$5,Trato_Diario!$A$4:$A$203,$A12))</f>
        <v/>
      </c>
      <c r="G12" s="46" t="str">
        <f>IF(OR($A12&gt;MAX(Trato_Diario!$A$4:$A$203),SUMIFS(Trato_Diario!$G$4:$G$203,Trato_Diario!$B$4:$B$203,G$5,Trato_Diario!$A$4:$A$203,$A12)=0),"",SUMIFS(Trato_Diario!$J$4:$J$203,Trato_Diario!$B$4:$B$203,G$5,Trato_Diario!$A$4:$A$203,$A12)/SUMIFS(Trato_Diario!$G$4:$G$203,Trato_Diario!$B$4:$B$203,G$5,Trato_Diario!$A$4:$A$203,$A12))</f>
        <v/>
      </c>
      <c r="H12" s="57">
        <f>IF(OR($A12&gt;MAX(Trato_Diario!$A$4:$A$203),SUMIFS(Trato_Diario!$G$4:$G$203,Trato_Diario!$A$4:$A$203,$A12)=0),"",SUMIFS(Trato_Diario!$J$4:$J$203,Trato_Diario!$A$4:$A$203,$A12)/SUMIFS(Trato_Diario!$G$4:$G$203,Trato_Diario!$A$4:$A$203,$A12))</f>
        <v>5.3828181818181831</v>
      </c>
    </row>
    <row r="13" spans="1:8" ht="14.25" customHeight="1" x14ac:dyDescent="0.3">
      <c r="A13" s="72">
        <v>46200</v>
      </c>
      <c r="B13" s="20" t="str">
        <f>IF(OR($A13&gt;MAX(Trato_Diario!$A$4:$A$203),SUMIFS(Trato_Diario!$G$4:$G$203,Trato_Diario!$B$4:$B$203,B$5,Trato_Diario!$A$4:$A$203,$A13)=0),"",SUMIFS(Trato_Diario!$J$4:$J$203,Trato_Diario!$B$4:$B$203,B$5,Trato_Diario!$A$4:$A$203,$A13)/SUMIFS(Trato_Diario!$G$4:$G$203,Trato_Diario!$B$4:$B$203,B$5,Trato_Diario!$A$4:$A$203,$A13))</f>
        <v/>
      </c>
      <c r="C13" s="20" t="str">
        <f>IF(OR($A13&gt;MAX(Trato_Diario!$A$4:$A$203),SUMIFS(Trato_Diario!$G$4:$G$203,Trato_Diario!$B$4:$B$203,C$5,Trato_Diario!$A$4:$A$203,$A13)=0),"",SUMIFS(Trato_Diario!$J$4:$J$203,Trato_Diario!$B$4:$B$203,C$5,Trato_Diario!$A$4:$A$203,$A13)/SUMIFS(Trato_Diario!$G$4:$G$203,Trato_Diario!$B$4:$B$203,C$5,Trato_Diario!$A$4:$A$203,$A13))</f>
        <v/>
      </c>
      <c r="D13" s="20">
        <f>IF(OR($A13&gt;MAX(Trato_Diario!$A$4:$A$203),SUMIFS(Trato_Diario!$G$4:$G$203,Trato_Diario!$B$4:$B$203,D$5,Trato_Diario!$A$4:$A$203,$A13)=0),"",SUMIFS(Trato_Diario!$J$4:$J$203,Trato_Diario!$B$4:$B$203,D$5,Trato_Diario!$A$4:$A$203,$A13)/SUMIFS(Trato_Diario!$G$4:$G$203,Trato_Diario!$B$4:$B$203,D$5,Trato_Diario!$A$4:$A$203,$A13))</f>
        <v>5.3828181818181831</v>
      </c>
      <c r="E13" s="20" t="str">
        <f>IF(OR($A13&gt;MAX(Trato_Diario!$A$4:$A$203),SUMIFS(Trato_Diario!$G$4:$G$203,Trato_Diario!$B$4:$B$203,E$5,Trato_Diario!$A$4:$A$203,$A13)=0),"",SUMIFS(Trato_Diario!$J$4:$J$203,Trato_Diario!$B$4:$B$203,E$5,Trato_Diario!$A$4:$A$203,$A13)/SUMIFS(Trato_Diario!$G$4:$G$203,Trato_Diario!$B$4:$B$203,E$5,Trato_Diario!$A$4:$A$203,$A13))</f>
        <v/>
      </c>
      <c r="F13" s="20" t="str">
        <f>IF(OR($A13&gt;MAX(Trato_Diario!$A$4:$A$203),SUMIFS(Trato_Diario!$G$4:$G$203,Trato_Diario!$B$4:$B$203,F$5,Trato_Diario!$A$4:$A$203,$A13)=0),"",SUMIFS(Trato_Diario!$J$4:$J$203,Trato_Diario!$B$4:$B$203,F$5,Trato_Diario!$A$4:$A$203,$A13)/SUMIFS(Trato_Diario!$G$4:$G$203,Trato_Diario!$B$4:$B$203,F$5,Trato_Diario!$A$4:$A$203,$A13))</f>
        <v/>
      </c>
      <c r="G13" s="20" t="str">
        <f>IF(OR($A13&gt;MAX(Trato_Diario!$A$4:$A$203),SUMIFS(Trato_Diario!$G$4:$G$203,Trato_Diario!$B$4:$B$203,G$5,Trato_Diario!$A$4:$A$203,$A13)=0),"",SUMIFS(Trato_Diario!$J$4:$J$203,Trato_Diario!$B$4:$B$203,G$5,Trato_Diario!$A$4:$A$203,$A13)/SUMIFS(Trato_Diario!$G$4:$G$203,Trato_Diario!$B$4:$B$203,G$5,Trato_Diario!$A$4:$A$203,$A13))</f>
        <v/>
      </c>
      <c r="H13" s="59">
        <f>IF(OR($A13&gt;MAX(Trato_Diario!$A$4:$A$203),SUMIFS(Trato_Diario!$G$4:$G$203,Trato_Diario!$A$4:$A$203,$A13)=0),"",SUMIFS(Trato_Diario!$J$4:$J$203,Trato_Diario!$A$4:$A$203,$A13)/SUMIFS(Trato_Diario!$G$4:$G$203,Trato_Diario!$A$4:$A$203,$A13))</f>
        <v>5.3828181818181831</v>
      </c>
    </row>
    <row r="14" spans="1:8" ht="14.25" customHeight="1" x14ac:dyDescent="0.3">
      <c r="A14" s="71">
        <v>46201</v>
      </c>
      <c r="B14" s="46" t="str">
        <f>IF(OR($A14&gt;MAX(Trato_Diario!$A$4:$A$203),SUMIFS(Trato_Diario!$G$4:$G$203,Trato_Diario!$B$4:$B$203,B$5,Trato_Diario!$A$4:$A$203,$A14)=0),"",SUMIFS(Trato_Diario!$J$4:$J$203,Trato_Diario!$B$4:$B$203,B$5,Trato_Diario!$A$4:$A$203,$A14)/SUMIFS(Trato_Diario!$G$4:$G$203,Trato_Diario!$B$4:$B$203,B$5,Trato_Diario!$A$4:$A$203,$A14))</f>
        <v/>
      </c>
      <c r="C14" s="46" t="str">
        <f>IF(OR($A14&gt;MAX(Trato_Diario!$A$4:$A$203),SUMIFS(Trato_Diario!$G$4:$G$203,Trato_Diario!$B$4:$B$203,C$5,Trato_Diario!$A$4:$A$203,$A14)=0),"",SUMIFS(Trato_Diario!$J$4:$J$203,Trato_Diario!$B$4:$B$203,C$5,Trato_Diario!$A$4:$A$203,$A14)/SUMIFS(Trato_Diario!$G$4:$G$203,Trato_Diario!$B$4:$B$203,C$5,Trato_Diario!$A$4:$A$203,$A14))</f>
        <v/>
      </c>
      <c r="D14" s="46">
        <f>IF(OR($A14&gt;MAX(Trato_Diario!$A$4:$A$203),SUMIFS(Trato_Diario!$G$4:$G$203,Trato_Diario!$B$4:$B$203,D$5,Trato_Diario!$A$4:$A$203,$A14)=0),"",SUMIFS(Trato_Diario!$J$4:$J$203,Trato_Diario!$B$4:$B$203,D$5,Trato_Diario!$A$4:$A$203,$A14)/SUMIFS(Trato_Diario!$G$4:$G$203,Trato_Diario!$B$4:$B$203,D$5,Trato_Diario!$A$4:$A$203,$A14))</f>
        <v>5.3828181818181831</v>
      </c>
      <c r="E14" s="46" t="str">
        <f>IF(OR($A14&gt;MAX(Trato_Diario!$A$4:$A$203),SUMIFS(Trato_Diario!$G$4:$G$203,Trato_Diario!$B$4:$B$203,E$5,Trato_Diario!$A$4:$A$203,$A14)=0),"",SUMIFS(Trato_Diario!$J$4:$J$203,Trato_Diario!$B$4:$B$203,E$5,Trato_Diario!$A$4:$A$203,$A14)/SUMIFS(Trato_Diario!$G$4:$G$203,Trato_Diario!$B$4:$B$203,E$5,Trato_Diario!$A$4:$A$203,$A14))</f>
        <v/>
      </c>
      <c r="F14" s="46" t="str">
        <f>IF(OR($A14&gt;MAX(Trato_Diario!$A$4:$A$203),SUMIFS(Trato_Diario!$G$4:$G$203,Trato_Diario!$B$4:$B$203,F$5,Trato_Diario!$A$4:$A$203,$A14)=0),"",SUMIFS(Trato_Diario!$J$4:$J$203,Trato_Diario!$B$4:$B$203,F$5,Trato_Diario!$A$4:$A$203,$A14)/SUMIFS(Trato_Diario!$G$4:$G$203,Trato_Diario!$B$4:$B$203,F$5,Trato_Diario!$A$4:$A$203,$A14))</f>
        <v/>
      </c>
      <c r="G14" s="46" t="str">
        <f>IF(OR($A14&gt;MAX(Trato_Diario!$A$4:$A$203),SUMIFS(Trato_Diario!$G$4:$G$203,Trato_Diario!$B$4:$B$203,G$5,Trato_Diario!$A$4:$A$203,$A14)=0),"",SUMIFS(Trato_Diario!$J$4:$J$203,Trato_Diario!$B$4:$B$203,G$5,Trato_Diario!$A$4:$A$203,$A14)/SUMIFS(Trato_Diario!$G$4:$G$203,Trato_Diario!$B$4:$B$203,G$5,Trato_Diario!$A$4:$A$203,$A14))</f>
        <v/>
      </c>
      <c r="H14" s="57">
        <f>IF(OR($A14&gt;MAX(Trato_Diario!$A$4:$A$203),SUMIFS(Trato_Diario!$G$4:$G$203,Trato_Diario!$A$4:$A$203,$A14)=0),"",SUMIFS(Trato_Diario!$J$4:$J$203,Trato_Diario!$A$4:$A$203,$A14)/SUMIFS(Trato_Diario!$G$4:$G$203,Trato_Diario!$A$4:$A$203,$A14))</f>
        <v>5.3828181818181831</v>
      </c>
    </row>
    <row r="15" spans="1:8" ht="14.25" customHeight="1" x14ac:dyDescent="0.3">
      <c r="A15" s="72">
        <v>46202</v>
      </c>
      <c r="B15" s="20" t="str">
        <f>IF(OR($A15&gt;MAX(Trato_Diario!$A$4:$A$203),SUMIFS(Trato_Diario!$G$4:$G$203,Trato_Diario!$B$4:$B$203,B$5,Trato_Diario!$A$4:$A$203,$A15)=0),"",SUMIFS(Trato_Diario!$J$4:$J$203,Trato_Diario!$B$4:$B$203,B$5,Trato_Diario!$A$4:$A$203,$A15)/SUMIFS(Trato_Diario!$G$4:$G$203,Trato_Diario!$B$4:$B$203,B$5,Trato_Diario!$A$4:$A$203,$A15))</f>
        <v/>
      </c>
      <c r="C15" s="20" t="str">
        <f>IF(OR($A15&gt;MAX(Trato_Diario!$A$4:$A$203),SUMIFS(Trato_Diario!$G$4:$G$203,Trato_Diario!$B$4:$B$203,C$5,Trato_Diario!$A$4:$A$203,$A15)=0),"",SUMIFS(Trato_Diario!$J$4:$J$203,Trato_Diario!$B$4:$B$203,C$5,Trato_Diario!$A$4:$A$203,$A15)/SUMIFS(Trato_Diario!$G$4:$G$203,Trato_Diario!$B$4:$B$203,C$5,Trato_Diario!$A$4:$A$203,$A15))</f>
        <v/>
      </c>
      <c r="D15" s="20">
        <f>IF(OR($A15&gt;MAX(Trato_Diario!$A$4:$A$203),SUMIFS(Trato_Diario!$G$4:$G$203,Trato_Diario!$B$4:$B$203,D$5,Trato_Diario!$A$4:$A$203,$A15)=0),"",SUMIFS(Trato_Diario!$J$4:$J$203,Trato_Diario!$B$4:$B$203,D$5,Trato_Diario!$A$4:$A$203,$A15)/SUMIFS(Trato_Diario!$G$4:$G$203,Trato_Diario!$B$4:$B$203,D$5,Trato_Diario!$A$4:$A$203,$A15))</f>
        <v>5.6994545454545467</v>
      </c>
      <c r="E15" s="20" t="str">
        <f>IF(OR($A15&gt;MAX(Trato_Diario!$A$4:$A$203),SUMIFS(Trato_Diario!$G$4:$G$203,Trato_Diario!$B$4:$B$203,E$5,Trato_Diario!$A$4:$A$203,$A15)=0),"",SUMIFS(Trato_Diario!$J$4:$J$203,Trato_Diario!$B$4:$B$203,E$5,Trato_Diario!$A$4:$A$203,$A15)/SUMIFS(Trato_Diario!$G$4:$G$203,Trato_Diario!$B$4:$B$203,E$5,Trato_Diario!$A$4:$A$203,$A15))</f>
        <v/>
      </c>
      <c r="F15" s="20" t="str">
        <f>IF(OR($A15&gt;MAX(Trato_Diario!$A$4:$A$203),SUMIFS(Trato_Diario!$G$4:$G$203,Trato_Diario!$B$4:$B$203,F$5,Trato_Diario!$A$4:$A$203,$A15)=0),"",SUMIFS(Trato_Diario!$J$4:$J$203,Trato_Diario!$B$4:$B$203,F$5,Trato_Diario!$A$4:$A$203,$A15)/SUMIFS(Trato_Diario!$G$4:$G$203,Trato_Diario!$B$4:$B$203,F$5,Trato_Diario!$A$4:$A$203,$A15))</f>
        <v/>
      </c>
      <c r="G15" s="20" t="str">
        <f>IF(OR($A15&gt;MAX(Trato_Diario!$A$4:$A$203),SUMIFS(Trato_Diario!$G$4:$G$203,Trato_Diario!$B$4:$B$203,G$5,Trato_Diario!$A$4:$A$203,$A15)=0),"",SUMIFS(Trato_Diario!$J$4:$J$203,Trato_Diario!$B$4:$B$203,G$5,Trato_Diario!$A$4:$A$203,$A15)/SUMIFS(Trato_Diario!$G$4:$G$203,Trato_Diario!$B$4:$B$203,G$5,Trato_Diario!$A$4:$A$203,$A15))</f>
        <v/>
      </c>
      <c r="H15" s="59">
        <f>IF(OR($A15&gt;MAX(Trato_Diario!$A$4:$A$203),SUMIFS(Trato_Diario!$G$4:$G$203,Trato_Diario!$A$4:$A$203,$A15)=0),"",SUMIFS(Trato_Diario!$J$4:$J$203,Trato_Diario!$A$4:$A$203,$A15)/SUMIFS(Trato_Diario!$G$4:$G$203,Trato_Diario!$A$4:$A$203,$A15))</f>
        <v>5.6994545454545467</v>
      </c>
    </row>
    <row r="16" spans="1:8" ht="14.25" customHeight="1" x14ac:dyDescent="0.3">
      <c r="A16" s="71">
        <v>46203</v>
      </c>
      <c r="B16" s="46">
        <f>IF(OR($A16&gt;MAX(Trato_Diario!$A$4:$A$203),SUMIFS(Trato_Diario!$G$4:$G$203,Trato_Diario!$B$4:$B$203,B$5,Trato_Diario!$A$4:$A$203,$A16)=0),"",SUMIFS(Trato_Diario!$J$4:$J$203,Trato_Diario!$B$4:$B$203,B$5,Trato_Diario!$A$4:$A$203,$A16)/SUMIFS(Trato_Diario!$G$4:$G$203,Trato_Diario!$B$4:$B$203,B$5,Trato_Diario!$A$4:$A$203,$A16))</f>
        <v>9.636000000000001</v>
      </c>
      <c r="C16" s="46">
        <f>IF(OR($A16&gt;MAX(Trato_Diario!$A$4:$A$203),SUMIFS(Trato_Diario!$G$4:$G$203,Trato_Diario!$B$4:$B$203,C$5,Trato_Diario!$A$4:$A$203,$A16)=0),"",SUMIFS(Trato_Diario!$J$4:$J$203,Trato_Diario!$B$4:$B$203,C$5,Trato_Diario!$A$4:$A$203,$A16)/SUMIFS(Trato_Diario!$G$4:$G$203,Trato_Diario!$B$4:$B$203,C$5,Trato_Diario!$A$4:$A$203,$A16))</f>
        <v>6.9651521739130446</v>
      </c>
      <c r="D16" s="46">
        <f>IF(OR($A16&gt;MAX(Trato_Diario!$A$4:$A$203),SUMIFS(Trato_Diario!$G$4:$G$203,Trato_Diario!$B$4:$B$203,D$5,Trato_Diario!$A$4:$A$203,$A16)=0),"",SUMIFS(Trato_Diario!$J$4:$J$203,Trato_Diario!$B$4:$B$203,D$5,Trato_Diario!$A$4:$A$203,$A16)/SUMIFS(Trato_Diario!$G$4:$G$203,Trato_Diario!$B$4:$B$203,D$5,Trato_Diario!$A$4:$A$203,$A16))</f>
        <v>5.6994545454545467</v>
      </c>
      <c r="E16" s="46">
        <f>IF(OR($A16&gt;MAX(Trato_Diario!$A$4:$A$203),SUMIFS(Trato_Diario!$G$4:$G$203,Trato_Diario!$B$4:$B$203,E$5,Trato_Diario!$A$4:$A$203,$A16)=0),"",SUMIFS(Trato_Diario!$J$4:$J$203,Trato_Diario!$B$4:$B$203,E$5,Trato_Diario!$A$4:$A$203,$A16)/SUMIFS(Trato_Diario!$G$4:$G$203,Trato_Diario!$B$4:$B$203,E$5,Trato_Diario!$A$4:$A$203,$A16))</f>
        <v>16.149482758620692</v>
      </c>
      <c r="F16" s="46" t="str">
        <f>IF(OR($A16&gt;MAX(Trato_Diario!$A$4:$A$203),SUMIFS(Trato_Diario!$G$4:$G$203,Trato_Diario!$B$4:$B$203,F$5,Trato_Diario!$A$4:$A$203,$A16)=0),"",SUMIFS(Trato_Diario!$J$4:$J$203,Trato_Diario!$B$4:$B$203,F$5,Trato_Diario!$A$4:$A$203,$A16)/SUMIFS(Trato_Diario!$G$4:$G$203,Trato_Diario!$B$4:$B$203,F$5,Trato_Diario!$A$4:$A$203,$A16))</f>
        <v/>
      </c>
      <c r="G16" s="46" t="str">
        <f>IF(OR($A16&gt;MAX(Trato_Diario!$A$4:$A$203),SUMIFS(Trato_Diario!$G$4:$G$203,Trato_Diario!$B$4:$B$203,G$5,Trato_Diario!$A$4:$A$203,$A16)=0),"",SUMIFS(Trato_Diario!$J$4:$J$203,Trato_Diario!$B$4:$B$203,G$5,Trato_Diario!$A$4:$A$203,$A16)/SUMIFS(Trato_Diario!$G$4:$G$203,Trato_Diario!$B$4:$B$203,G$5,Trato_Diario!$A$4:$A$203,$A16))</f>
        <v/>
      </c>
      <c r="H16" s="57">
        <f>IF(OR($A16&gt;MAX(Trato_Diario!$A$4:$A$203),SUMIFS(Trato_Diario!$G$4:$G$203,Trato_Diario!$A$4:$A$203,$A16)=0),"",SUMIFS(Trato_Diario!$J$4:$J$203,Trato_Diario!$A$4:$A$203,$A16)/SUMIFS(Trato_Diario!$G$4:$G$203,Trato_Diario!$A$4:$A$203,$A16))</f>
        <v>7.5370863309352529</v>
      </c>
    </row>
    <row r="17" spans="1:8" ht="14.25" customHeight="1" x14ac:dyDescent="0.3">
      <c r="A17" s="72">
        <v>46204</v>
      </c>
      <c r="B17" s="20">
        <f>IF(OR($A17&gt;MAX(Trato_Diario!$A$4:$A$203),SUMIFS(Trato_Diario!$G$4:$G$203,Trato_Diario!$B$4:$B$203,B$5,Trato_Diario!$A$4:$A$203,$A17)=0),"",SUMIFS(Trato_Diario!$J$4:$J$203,Trato_Diario!$B$4:$B$203,B$5,Trato_Diario!$A$4:$A$203,$A17)/SUMIFS(Trato_Diario!$G$4:$G$203,Trato_Diario!$B$4:$B$203,B$5,Trato_Diario!$A$4:$A$203,$A17))</f>
        <v>9.636000000000001</v>
      </c>
      <c r="C17" s="20">
        <f>IF(OR($A17&gt;MAX(Trato_Diario!$A$4:$A$203),SUMIFS(Trato_Diario!$G$4:$G$203,Trato_Diario!$B$4:$B$203,C$5,Trato_Diario!$A$4:$A$203,$A17)=0),"",SUMIFS(Trato_Diario!$J$4:$J$203,Trato_Diario!$B$4:$B$203,C$5,Trato_Diario!$A$4:$A$203,$A17)/SUMIFS(Trato_Diario!$G$4:$G$203,Trato_Diario!$B$4:$B$203,C$5,Trato_Diario!$A$4:$A$203,$A17))</f>
        <v>6.9651521739130446</v>
      </c>
      <c r="D17" s="20">
        <f>IF(OR($A17&gt;MAX(Trato_Diario!$A$4:$A$203),SUMIFS(Trato_Diario!$G$4:$G$203,Trato_Diario!$B$4:$B$203,D$5,Trato_Diario!$A$4:$A$203,$A17)=0),"",SUMIFS(Trato_Diario!$J$4:$J$203,Trato_Diario!$B$4:$B$203,D$5,Trato_Diario!$A$4:$A$203,$A17)/SUMIFS(Trato_Diario!$G$4:$G$203,Trato_Diario!$B$4:$B$203,D$5,Trato_Diario!$A$4:$A$203,$A17))</f>
        <v>5.6994545454545467</v>
      </c>
      <c r="E17" s="20">
        <f>IF(OR($A17&gt;MAX(Trato_Diario!$A$4:$A$203),SUMIFS(Trato_Diario!$G$4:$G$203,Trato_Diario!$B$4:$B$203,E$5,Trato_Diario!$A$4:$A$203,$A17)=0),"",SUMIFS(Trato_Diario!$J$4:$J$203,Trato_Diario!$B$4:$B$203,E$5,Trato_Diario!$A$4:$A$203,$A17)/SUMIFS(Trato_Diario!$G$4:$G$203,Trato_Diario!$B$4:$B$203,E$5,Trato_Diario!$A$4:$A$203,$A17))</f>
        <v>16.149482758620692</v>
      </c>
      <c r="F17" s="20" t="str">
        <f>IF(OR($A17&gt;MAX(Trato_Diario!$A$4:$A$203),SUMIFS(Trato_Diario!$G$4:$G$203,Trato_Diario!$B$4:$B$203,F$5,Trato_Diario!$A$4:$A$203,$A17)=0),"",SUMIFS(Trato_Diario!$J$4:$J$203,Trato_Diario!$B$4:$B$203,F$5,Trato_Diario!$A$4:$A$203,$A17)/SUMIFS(Trato_Diario!$G$4:$G$203,Trato_Diario!$B$4:$B$203,F$5,Trato_Diario!$A$4:$A$203,$A17))</f>
        <v/>
      </c>
      <c r="G17" s="20" t="str">
        <f>IF(OR($A17&gt;MAX(Trato_Diario!$A$4:$A$203),SUMIFS(Trato_Diario!$G$4:$G$203,Trato_Diario!$B$4:$B$203,G$5,Trato_Diario!$A$4:$A$203,$A17)=0),"",SUMIFS(Trato_Diario!$J$4:$J$203,Trato_Diario!$B$4:$B$203,G$5,Trato_Diario!$A$4:$A$203,$A17)/SUMIFS(Trato_Diario!$G$4:$G$203,Trato_Diario!$B$4:$B$203,G$5,Trato_Diario!$A$4:$A$203,$A17))</f>
        <v/>
      </c>
      <c r="H17" s="59">
        <f>IF(OR($A17&gt;MAX(Trato_Diario!$A$4:$A$203),SUMIFS(Trato_Diario!$G$4:$G$203,Trato_Diario!$A$4:$A$203,$A17)=0),"",SUMIFS(Trato_Diario!$J$4:$J$203,Trato_Diario!$A$4:$A$203,$A17)/SUMIFS(Trato_Diario!$G$4:$G$203,Trato_Diario!$A$4:$A$203,$A17))</f>
        <v>7.5370863309352529</v>
      </c>
    </row>
    <row r="18" spans="1:8" ht="14.25" customHeight="1" x14ac:dyDescent="0.3">
      <c r="A18" s="71">
        <v>46205</v>
      </c>
      <c r="B18" s="46">
        <f>IF(OR($A18&gt;MAX(Trato_Diario!$A$4:$A$203),SUMIFS(Trato_Diario!$G$4:$G$203,Trato_Diario!$B$4:$B$203,B$5,Trato_Diario!$A$4:$A$203,$A18)=0),"",SUMIFS(Trato_Diario!$J$4:$J$203,Trato_Diario!$B$4:$B$203,B$5,Trato_Diario!$A$4:$A$203,$A18)/SUMIFS(Trato_Diario!$G$4:$G$203,Trato_Diario!$B$4:$B$203,B$5,Trato_Diario!$A$4:$A$203,$A18))</f>
        <v>9.636000000000001</v>
      </c>
      <c r="C18" s="46">
        <f>IF(OR($A18&gt;MAX(Trato_Diario!$A$4:$A$203),SUMIFS(Trato_Diario!$G$4:$G$203,Trato_Diario!$B$4:$B$203,C$5,Trato_Diario!$A$4:$A$203,$A18)=0),"",SUMIFS(Trato_Diario!$J$4:$J$203,Trato_Diario!$B$4:$B$203,C$5,Trato_Diario!$A$4:$A$203,$A18)/SUMIFS(Trato_Diario!$G$4:$G$203,Trato_Diario!$B$4:$B$203,C$5,Trato_Diario!$A$4:$A$203,$A18))</f>
        <v>6.9651521739130446</v>
      </c>
      <c r="D18" s="46">
        <f>IF(OR($A18&gt;MAX(Trato_Diario!$A$4:$A$203),SUMIFS(Trato_Diario!$G$4:$G$203,Trato_Diario!$B$4:$B$203,D$5,Trato_Diario!$A$4:$A$203,$A18)=0),"",SUMIFS(Trato_Diario!$J$4:$J$203,Trato_Diario!$B$4:$B$203,D$5,Trato_Diario!$A$4:$A$203,$A18)/SUMIFS(Trato_Diario!$G$4:$G$203,Trato_Diario!$B$4:$B$203,D$5,Trato_Diario!$A$4:$A$203,$A18))</f>
        <v>6.0160909090909103</v>
      </c>
      <c r="E18" s="46">
        <f>IF(OR($A18&gt;MAX(Trato_Diario!$A$4:$A$203),SUMIFS(Trato_Diario!$G$4:$G$203,Trato_Diario!$B$4:$B$203,E$5,Trato_Diario!$A$4:$A$203,$A18)=0),"",SUMIFS(Trato_Diario!$J$4:$J$203,Trato_Diario!$B$4:$B$203,E$5,Trato_Diario!$A$4:$A$203,$A18)/SUMIFS(Trato_Diario!$G$4:$G$203,Trato_Diario!$B$4:$B$203,E$5,Trato_Diario!$A$4:$A$203,$A18))</f>
        <v>16.149482758620692</v>
      </c>
      <c r="F18" s="46" t="str">
        <f>IF(OR($A18&gt;MAX(Trato_Diario!$A$4:$A$203),SUMIFS(Trato_Diario!$G$4:$G$203,Trato_Diario!$B$4:$B$203,F$5,Trato_Diario!$A$4:$A$203,$A18)=0),"",SUMIFS(Trato_Diario!$J$4:$J$203,Trato_Diario!$B$4:$B$203,F$5,Trato_Diario!$A$4:$A$203,$A18)/SUMIFS(Trato_Diario!$G$4:$G$203,Trato_Diario!$B$4:$B$203,F$5,Trato_Diario!$A$4:$A$203,$A18))</f>
        <v/>
      </c>
      <c r="G18" s="46" t="str">
        <f>IF(OR($A18&gt;MAX(Trato_Diario!$A$4:$A$203),SUMIFS(Trato_Diario!$G$4:$G$203,Trato_Diario!$B$4:$B$203,G$5,Trato_Diario!$A$4:$A$203,$A18)=0),"",SUMIFS(Trato_Diario!$J$4:$J$203,Trato_Diario!$B$4:$B$203,G$5,Trato_Diario!$A$4:$A$203,$A18)/SUMIFS(Trato_Diario!$G$4:$G$203,Trato_Diario!$B$4:$B$203,G$5,Trato_Diario!$A$4:$A$203,$A18))</f>
        <v/>
      </c>
      <c r="H18" s="57">
        <f>IF(OR($A18&gt;MAX(Trato_Diario!$A$4:$A$203),SUMIFS(Trato_Diario!$G$4:$G$203,Trato_Diario!$A$4:$A$203,$A18)=0),"",SUMIFS(Trato_Diario!$J$4:$J$203,Trato_Diario!$A$4:$A$203,$A18)/SUMIFS(Trato_Diario!$G$4:$G$203,Trato_Diario!$A$4:$A$203,$A18))</f>
        <v>7.7250179856115118</v>
      </c>
    </row>
    <row r="19" spans="1:8" ht="14.25" customHeight="1" x14ac:dyDescent="0.3">
      <c r="A19" s="72">
        <v>46206</v>
      </c>
      <c r="B19" s="20">
        <f>IF(OR($A19&gt;MAX(Trato_Diario!$A$4:$A$203),SUMIFS(Trato_Diario!$G$4:$G$203,Trato_Diario!$B$4:$B$203,B$5,Trato_Diario!$A$4:$A$203,$A19)=0),"",SUMIFS(Trato_Diario!$J$4:$J$203,Trato_Diario!$B$4:$B$203,B$5,Trato_Diario!$A$4:$A$203,$A19)/SUMIFS(Trato_Diario!$G$4:$G$203,Trato_Diario!$B$4:$B$203,B$5,Trato_Diario!$A$4:$A$203,$A19))</f>
        <v>10.840500000000002</v>
      </c>
      <c r="C19" s="20">
        <f>IF(OR($A19&gt;MAX(Trato_Diario!$A$4:$A$203),SUMIFS(Trato_Diario!$G$4:$G$203,Trato_Diario!$B$4:$B$203,C$5,Trato_Diario!$A$4:$A$203,$A19)=0),"",SUMIFS(Trato_Diario!$J$4:$J$203,Trato_Diario!$B$4:$B$203,C$5,Trato_Diario!$A$4:$A$203,$A19)/SUMIFS(Trato_Diario!$G$4:$G$203,Trato_Diario!$B$4:$B$203,C$5,Trato_Diario!$A$4:$A$203,$A19))</f>
        <v>7.9601739130434792</v>
      </c>
      <c r="D19" s="20">
        <f>IF(OR($A19&gt;MAX(Trato_Diario!$A$4:$A$203),SUMIFS(Trato_Diario!$G$4:$G$203,Trato_Diario!$B$4:$B$203,D$5,Trato_Diario!$A$4:$A$203,$A19)=0),"",SUMIFS(Trato_Diario!$J$4:$J$203,Trato_Diario!$B$4:$B$203,D$5,Trato_Diario!$A$4:$A$203,$A19)/SUMIFS(Trato_Diario!$G$4:$G$203,Trato_Diario!$B$4:$B$203,D$5,Trato_Diario!$A$4:$A$203,$A19))</f>
        <v>6.0160909090909103</v>
      </c>
      <c r="E19" s="20">
        <f>IF(OR($A19&gt;MAX(Trato_Diario!$A$4:$A$203),SUMIFS(Trato_Diario!$G$4:$G$203,Trato_Diario!$B$4:$B$203,E$5,Trato_Diario!$A$4:$A$203,$A19)=0),"",SUMIFS(Trato_Diario!$J$4:$J$203,Trato_Diario!$B$4:$B$203,E$5,Trato_Diario!$A$4:$A$203,$A19)/SUMIFS(Trato_Diario!$G$4:$G$203,Trato_Diario!$B$4:$B$203,E$5,Trato_Diario!$A$4:$A$203,$A19))</f>
        <v>16.149482758620692</v>
      </c>
      <c r="F19" s="20" t="str">
        <f>IF(OR($A19&gt;MAX(Trato_Diario!$A$4:$A$203),SUMIFS(Trato_Diario!$G$4:$G$203,Trato_Diario!$B$4:$B$203,F$5,Trato_Diario!$A$4:$A$203,$A19)=0),"",SUMIFS(Trato_Diario!$J$4:$J$203,Trato_Diario!$B$4:$B$203,F$5,Trato_Diario!$A$4:$A$203,$A19)/SUMIFS(Trato_Diario!$G$4:$G$203,Trato_Diario!$B$4:$B$203,F$5,Trato_Diario!$A$4:$A$203,$A19))</f>
        <v/>
      </c>
      <c r="G19" s="20" t="str">
        <f>IF(OR($A19&gt;MAX(Trato_Diario!$A$4:$A$203),SUMIFS(Trato_Diario!$G$4:$G$203,Trato_Diario!$B$4:$B$203,G$5,Trato_Diario!$A$4:$A$203,$A19)=0),"",SUMIFS(Trato_Diario!$J$4:$J$203,Trato_Diario!$B$4:$B$203,G$5,Trato_Diario!$A$4:$A$203,$A19)/SUMIFS(Trato_Diario!$G$4:$G$203,Trato_Diario!$B$4:$B$203,G$5,Trato_Diario!$A$4:$A$203,$A19))</f>
        <v/>
      </c>
      <c r="H19" s="59">
        <f>IF(OR($A19&gt;MAX(Trato_Diario!$A$4:$A$203),SUMIFS(Trato_Diario!$G$4:$G$203,Trato_Diario!$A$4:$A$203,$A19)=0),"",SUMIFS(Trato_Diario!$J$4:$J$203,Trato_Diario!$A$4:$A$203,$A19)/SUMIFS(Trato_Diario!$G$4:$G$203,Trato_Diario!$A$4:$A$203,$A19))</f>
        <v>8.0543057553956867</v>
      </c>
    </row>
    <row r="20" spans="1:8" ht="14.25" customHeight="1" x14ac:dyDescent="0.3">
      <c r="A20" s="71">
        <v>46207</v>
      </c>
      <c r="B20" s="46">
        <f>IF(OR($A20&gt;MAX(Trato_Diario!$A$4:$A$203),SUMIFS(Trato_Diario!$G$4:$G$203,Trato_Diario!$B$4:$B$203,B$5,Trato_Diario!$A$4:$A$203,$A20)=0),"",SUMIFS(Trato_Diario!$J$4:$J$203,Trato_Diario!$B$4:$B$203,B$5,Trato_Diario!$A$4:$A$203,$A20)/SUMIFS(Trato_Diario!$G$4:$G$203,Trato_Diario!$B$4:$B$203,B$5,Trato_Diario!$A$4:$A$203,$A20))</f>
        <v>10.840500000000002</v>
      </c>
      <c r="C20" s="46">
        <f>IF(OR($A20&gt;MAX(Trato_Diario!$A$4:$A$203),SUMIFS(Trato_Diario!$G$4:$G$203,Trato_Diario!$B$4:$B$203,C$5,Trato_Diario!$A$4:$A$203,$A20)=0),"",SUMIFS(Trato_Diario!$J$4:$J$203,Trato_Diario!$B$4:$B$203,C$5,Trato_Diario!$A$4:$A$203,$A20)/SUMIFS(Trato_Diario!$G$4:$G$203,Trato_Diario!$B$4:$B$203,C$5,Trato_Diario!$A$4:$A$203,$A20))</f>
        <v>7.9601739130434792</v>
      </c>
      <c r="D20" s="46">
        <f>IF(OR($A20&gt;MAX(Trato_Diario!$A$4:$A$203),SUMIFS(Trato_Diario!$G$4:$G$203,Trato_Diario!$B$4:$B$203,D$5,Trato_Diario!$A$4:$A$203,$A20)=0),"",SUMIFS(Trato_Diario!$J$4:$J$203,Trato_Diario!$B$4:$B$203,D$5,Trato_Diario!$A$4:$A$203,$A20)/SUMIFS(Trato_Diario!$G$4:$G$203,Trato_Diario!$B$4:$B$203,D$5,Trato_Diario!$A$4:$A$203,$A20))</f>
        <v>6.0160909090909103</v>
      </c>
      <c r="E20" s="46">
        <f>IF(OR($A20&gt;MAX(Trato_Diario!$A$4:$A$203),SUMIFS(Trato_Diario!$G$4:$G$203,Trato_Diario!$B$4:$B$203,E$5,Trato_Diario!$A$4:$A$203,$A20)=0),"",SUMIFS(Trato_Diario!$J$4:$J$203,Trato_Diario!$B$4:$B$203,E$5,Trato_Diario!$A$4:$A$203,$A20)/SUMIFS(Trato_Diario!$G$4:$G$203,Trato_Diario!$B$4:$B$203,E$5,Trato_Diario!$A$4:$A$203,$A20))</f>
        <v>16.149482758620692</v>
      </c>
      <c r="F20" s="46" t="str">
        <f>IF(OR($A20&gt;MAX(Trato_Diario!$A$4:$A$203),SUMIFS(Trato_Diario!$G$4:$G$203,Trato_Diario!$B$4:$B$203,F$5,Trato_Diario!$A$4:$A$203,$A20)=0),"",SUMIFS(Trato_Diario!$J$4:$J$203,Trato_Diario!$B$4:$B$203,F$5,Trato_Diario!$A$4:$A$203,$A20)/SUMIFS(Trato_Diario!$G$4:$G$203,Trato_Diario!$B$4:$B$203,F$5,Trato_Diario!$A$4:$A$203,$A20))</f>
        <v/>
      </c>
      <c r="G20" s="46" t="str">
        <f>IF(OR($A20&gt;MAX(Trato_Diario!$A$4:$A$203),SUMIFS(Trato_Diario!$G$4:$G$203,Trato_Diario!$B$4:$B$203,G$5,Trato_Diario!$A$4:$A$203,$A20)=0),"",SUMIFS(Trato_Diario!$J$4:$J$203,Trato_Diario!$B$4:$B$203,G$5,Trato_Diario!$A$4:$A$203,$A20)/SUMIFS(Trato_Diario!$G$4:$G$203,Trato_Diario!$B$4:$B$203,G$5,Trato_Diario!$A$4:$A$203,$A20))</f>
        <v/>
      </c>
      <c r="H20" s="57">
        <f>IF(OR($A20&gt;MAX(Trato_Diario!$A$4:$A$203),SUMIFS(Trato_Diario!$G$4:$G$203,Trato_Diario!$A$4:$A$203,$A20)=0),"",SUMIFS(Trato_Diario!$J$4:$J$203,Trato_Diario!$A$4:$A$203,$A20)/SUMIFS(Trato_Diario!$G$4:$G$203,Trato_Diario!$A$4:$A$203,$A20))</f>
        <v>8.0543057553956867</v>
      </c>
    </row>
    <row r="21" spans="1:8" ht="14.25" customHeight="1" x14ac:dyDescent="0.3">
      <c r="A21" s="72">
        <v>46208</v>
      </c>
      <c r="B21" s="20">
        <f>IF(OR($A21&gt;MAX(Trato_Diario!$A$4:$A$203),SUMIFS(Trato_Diario!$G$4:$G$203,Trato_Diario!$B$4:$B$203,B$5,Trato_Diario!$A$4:$A$203,$A21)=0),"",SUMIFS(Trato_Diario!$J$4:$J$203,Trato_Diario!$B$4:$B$203,B$5,Trato_Diario!$A$4:$A$203,$A21)/SUMIFS(Trato_Diario!$G$4:$G$203,Trato_Diario!$B$4:$B$203,B$5,Trato_Diario!$A$4:$A$203,$A21))</f>
        <v>10.840500000000002</v>
      </c>
      <c r="C21" s="20">
        <f>IF(OR($A21&gt;MAX(Trato_Diario!$A$4:$A$203),SUMIFS(Trato_Diario!$G$4:$G$203,Trato_Diario!$B$4:$B$203,C$5,Trato_Diario!$A$4:$A$203,$A21)=0),"",SUMIFS(Trato_Diario!$J$4:$J$203,Trato_Diario!$B$4:$B$203,C$5,Trato_Diario!$A$4:$A$203,$A21)/SUMIFS(Trato_Diario!$G$4:$G$203,Trato_Diario!$B$4:$B$203,C$5,Trato_Diario!$A$4:$A$203,$A21))</f>
        <v>7.9601739130434792</v>
      </c>
      <c r="D21" s="20">
        <f>IF(OR($A21&gt;MAX(Trato_Diario!$A$4:$A$203),SUMIFS(Trato_Diario!$G$4:$G$203,Trato_Diario!$B$4:$B$203,D$5,Trato_Diario!$A$4:$A$203,$A21)=0),"",SUMIFS(Trato_Diario!$J$4:$J$203,Trato_Diario!$B$4:$B$203,D$5,Trato_Diario!$A$4:$A$203,$A21)/SUMIFS(Trato_Diario!$G$4:$G$203,Trato_Diario!$B$4:$B$203,D$5,Trato_Diario!$A$4:$A$203,$A21))</f>
        <v>6.332727272727273</v>
      </c>
      <c r="E21" s="20">
        <f>IF(OR($A21&gt;MAX(Trato_Diario!$A$4:$A$203),SUMIFS(Trato_Diario!$G$4:$G$203,Trato_Diario!$B$4:$B$203,E$5,Trato_Diario!$A$4:$A$203,$A21)=0),"",SUMIFS(Trato_Diario!$J$4:$J$203,Trato_Diario!$B$4:$B$203,E$5,Trato_Diario!$A$4:$A$203,$A21)/SUMIFS(Trato_Diario!$G$4:$G$203,Trato_Diario!$B$4:$B$203,E$5,Trato_Diario!$A$4:$A$203,$A21))</f>
        <v>16.149482758620692</v>
      </c>
      <c r="F21" s="20" t="str">
        <f>IF(OR($A21&gt;MAX(Trato_Diario!$A$4:$A$203),SUMIFS(Trato_Diario!$G$4:$G$203,Trato_Diario!$B$4:$B$203,F$5,Trato_Diario!$A$4:$A$203,$A21)=0),"",SUMIFS(Trato_Diario!$J$4:$J$203,Trato_Diario!$B$4:$B$203,F$5,Trato_Diario!$A$4:$A$203,$A21)/SUMIFS(Trato_Diario!$G$4:$G$203,Trato_Diario!$B$4:$B$203,F$5,Trato_Diario!$A$4:$A$203,$A21))</f>
        <v/>
      </c>
      <c r="G21" s="20" t="str">
        <f>IF(OR($A21&gt;MAX(Trato_Diario!$A$4:$A$203),SUMIFS(Trato_Diario!$G$4:$G$203,Trato_Diario!$B$4:$B$203,G$5,Trato_Diario!$A$4:$A$203,$A21)=0),"",SUMIFS(Trato_Diario!$J$4:$J$203,Trato_Diario!$B$4:$B$203,G$5,Trato_Diario!$A$4:$A$203,$A21)/SUMIFS(Trato_Diario!$G$4:$G$203,Trato_Diario!$B$4:$B$203,G$5,Trato_Diario!$A$4:$A$203,$A21))</f>
        <v/>
      </c>
      <c r="H21" s="59">
        <f>IF(OR($A21&gt;MAX(Trato_Diario!$A$4:$A$203),SUMIFS(Trato_Diario!$G$4:$G$203,Trato_Diario!$A$4:$A$203,$A21)=0),"",SUMIFS(Trato_Diario!$J$4:$J$203,Trato_Diario!$A$4:$A$203,$A21)/SUMIFS(Trato_Diario!$G$4:$G$203,Trato_Diario!$A$4:$A$203,$A21))</f>
        <v>8.2422374100719438</v>
      </c>
    </row>
    <row r="22" spans="1:8" ht="14.25" customHeight="1" x14ac:dyDescent="0.3">
      <c r="A22" s="71">
        <v>46209</v>
      </c>
      <c r="B22" s="46">
        <f>IF(OR($A22&gt;MAX(Trato_Diario!$A$4:$A$203),SUMIFS(Trato_Diario!$G$4:$G$203,Trato_Diario!$B$4:$B$203,B$5,Trato_Diario!$A$4:$A$203,$A22)=0),"",SUMIFS(Trato_Diario!$J$4:$J$203,Trato_Diario!$B$4:$B$203,B$5,Trato_Diario!$A$4:$A$203,$A22)/SUMIFS(Trato_Diario!$G$4:$G$203,Trato_Diario!$B$4:$B$203,B$5,Trato_Diario!$A$4:$A$203,$A22))</f>
        <v>12.045000000000002</v>
      </c>
      <c r="C22" s="46">
        <f>IF(OR($A22&gt;MAX(Trato_Diario!$A$4:$A$203),SUMIFS(Trato_Diario!$G$4:$G$203,Trato_Diario!$B$4:$B$203,C$5,Trato_Diario!$A$4:$A$203,$A22)=0),"",SUMIFS(Trato_Diario!$J$4:$J$203,Trato_Diario!$B$4:$B$203,C$5,Trato_Diario!$A$4:$A$203,$A22)/SUMIFS(Trato_Diario!$G$4:$G$203,Trato_Diario!$B$4:$B$203,C$5,Trato_Diario!$A$4:$A$203,$A22))</f>
        <v>8.9551956521739147</v>
      </c>
      <c r="D22" s="46">
        <f>IF(OR($A22&gt;MAX(Trato_Diario!$A$4:$A$203),SUMIFS(Trato_Diario!$G$4:$G$203,Trato_Diario!$B$4:$B$203,D$5,Trato_Diario!$A$4:$A$203,$A22)=0),"",SUMIFS(Trato_Diario!$J$4:$J$203,Trato_Diario!$B$4:$B$203,D$5,Trato_Diario!$A$4:$A$203,$A22)/SUMIFS(Trato_Diario!$G$4:$G$203,Trato_Diario!$B$4:$B$203,D$5,Trato_Diario!$A$4:$A$203,$A22))</f>
        <v>6.332727272727273</v>
      </c>
      <c r="E22" s="46">
        <f>IF(OR($A22&gt;MAX(Trato_Diario!$A$4:$A$203),SUMIFS(Trato_Diario!$G$4:$G$203,Trato_Diario!$B$4:$B$203,E$5,Trato_Diario!$A$4:$A$203,$A22)=0),"",SUMIFS(Trato_Diario!$J$4:$J$203,Trato_Diario!$B$4:$B$203,E$5,Trato_Diario!$A$4:$A$203,$A22)/SUMIFS(Trato_Diario!$G$4:$G$203,Trato_Diario!$B$4:$B$203,E$5,Trato_Diario!$A$4:$A$203,$A22))</f>
        <v>16.149482758620692</v>
      </c>
      <c r="F22" s="46" t="str">
        <f>IF(OR($A22&gt;MAX(Trato_Diario!$A$4:$A$203),SUMIFS(Trato_Diario!$G$4:$G$203,Trato_Diario!$B$4:$B$203,F$5,Trato_Diario!$A$4:$A$203,$A22)=0),"",SUMIFS(Trato_Diario!$J$4:$J$203,Trato_Diario!$B$4:$B$203,F$5,Trato_Diario!$A$4:$A$203,$A22)/SUMIFS(Trato_Diario!$G$4:$G$203,Trato_Diario!$B$4:$B$203,F$5,Trato_Diario!$A$4:$A$203,$A22))</f>
        <v/>
      </c>
      <c r="G22" s="46" t="str">
        <f>IF(OR($A22&gt;MAX(Trato_Diario!$A$4:$A$203),SUMIFS(Trato_Diario!$G$4:$G$203,Trato_Diario!$B$4:$B$203,G$5,Trato_Diario!$A$4:$A$203,$A22)=0),"",SUMIFS(Trato_Diario!$J$4:$J$203,Trato_Diario!$B$4:$B$203,G$5,Trato_Diario!$A$4:$A$203,$A22)/SUMIFS(Trato_Diario!$G$4:$G$203,Trato_Diario!$B$4:$B$203,G$5,Trato_Diario!$A$4:$A$203,$A22))</f>
        <v/>
      </c>
      <c r="H22" s="57">
        <f>IF(OR($A22&gt;MAX(Trato_Diario!$A$4:$A$203),SUMIFS(Trato_Diario!$G$4:$G$203,Trato_Diario!$A$4:$A$203,$A22)=0),"",SUMIFS(Trato_Diario!$J$4:$J$203,Trato_Diario!$A$4:$A$203,$A22)/SUMIFS(Trato_Diario!$G$4:$G$203,Trato_Diario!$A$4:$A$203,$A22))</f>
        <v>8.5715251798561152</v>
      </c>
    </row>
    <row r="23" spans="1:8" ht="14.25" customHeight="1" x14ac:dyDescent="0.3">
      <c r="A23" s="72">
        <v>46210</v>
      </c>
      <c r="B23" s="20">
        <f>IF(OR($A23&gt;MAX(Trato_Diario!$A$4:$A$203),SUMIFS(Trato_Diario!$G$4:$G$203,Trato_Diario!$B$4:$B$203,B$5,Trato_Diario!$A$4:$A$203,$A23)=0),"",SUMIFS(Trato_Diario!$J$4:$J$203,Trato_Diario!$B$4:$B$203,B$5,Trato_Diario!$A$4:$A$203,$A23)/SUMIFS(Trato_Diario!$G$4:$G$203,Trato_Diario!$B$4:$B$203,B$5,Trato_Diario!$A$4:$A$203,$A23))</f>
        <v>12.045000000000002</v>
      </c>
      <c r="C23" s="20">
        <f>IF(OR($A23&gt;MAX(Trato_Diario!$A$4:$A$203),SUMIFS(Trato_Diario!$G$4:$G$203,Trato_Diario!$B$4:$B$203,C$5,Trato_Diario!$A$4:$A$203,$A23)=0),"",SUMIFS(Trato_Diario!$J$4:$J$203,Trato_Diario!$B$4:$B$203,C$5,Trato_Diario!$A$4:$A$203,$A23)/SUMIFS(Trato_Diario!$G$4:$G$203,Trato_Diario!$B$4:$B$203,C$5,Trato_Diario!$A$4:$A$203,$A23))</f>
        <v>8.9551956521739147</v>
      </c>
      <c r="D23" s="20">
        <f>IF(OR($A23&gt;MAX(Trato_Diario!$A$4:$A$203),SUMIFS(Trato_Diario!$G$4:$G$203,Trato_Diario!$B$4:$B$203,D$5,Trato_Diario!$A$4:$A$203,$A23)=0),"",SUMIFS(Trato_Diario!$J$4:$J$203,Trato_Diario!$B$4:$B$203,D$5,Trato_Diario!$A$4:$A$203,$A23)/SUMIFS(Trato_Diario!$G$4:$G$203,Trato_Diario!$B$4:$B$203,D$5,Trato_Diario!$A$4:$A$203,$A23))</f>
        <v>6.332727272727273</v>
      </c>
      <c r="E23" s="20">
        <f>IF(OR($A23&gt;MAX(Trato_Diario!$A$4:$A$203),SUMIFS(Trato_Diario!$G$4:$G$203,Trato_Diario!$B$4:$B$203,E$5,Trato_Diario!$A$4:$A$203,$A23)=0),"",SUMIFS(Trato_Diario!$J$4:$J$203,Trato_Diario!$B$4:$B$203,E$5,Trato_Diario!$A$4:$A$203,$A23)/SUMIFS(Trato_Diario!$G$4:$G$203,Trato_Diario!$B$4:$B$203,E$5,Trato_Diario!$A$4:$A$203,$A23))</f>
        <v>16.149482758620692</v>
      </c>
      <c r="F23" s="20" t="str">
        <f>IF(OR($A23&gt;MAX(Trato_Diario!$A$4:$A$203),SUMIFS(Trato_Diario!$G$4:$G$203,Trato_Diario!$B$4:$B$203,F$5,Trato_Diario!$A$4:$A$203,$A23)=0),"",SUMIFS(Trato_Diario!$J$4:$J$203,Trato_Diario!$B$4:$B$203,F$5,Trato_Diario!$A$4:$A$203,$A23)/SUMIFS(Trato_Diario!$G$4:$G$203,Trato_Diario!$B$4:$B$203,F$5,Trato_Diario!$A$4:$A$203,$A23))</f>
        <v/>
      </c>
      <c r="G23" s="20" t="str">
        <f>IF(OR($A23&gt;MAX(Trato_Diario!$A$4:$A$203),SUMIFS(Trato_Diario!$G$4:$G$203,Trato_Diario!$B$4:$B$203,G$5,Trato_Diario!$A$4:$A$203,$A23)=0),"",SUMIFS(Trato_Diario!$J$4:$J$203,Trato_Diario!$B$4:$B$203,G$5,Trato_Diario!$A$4:$A$203,$A23)/SUMIFS(Trato_Diario!$G$4:$G$203,Trato_Diario!$B$4:$B$203,G$5,Trato_Diario!$A$4:$A$203,$A23))</f>
        <v/>
      </c>
      <c r="H23" s="59">
        <f>IF(OR($A23&gt;MAX(Trato_Diario!$A$4:$A$203),SUMIFS(Trato_Diario!$G$4:$G$203,Trato_Diario!$A$4:$A$203,$A23)=0),"",SUMIFS(Trato_Diario!$J$4:$J$203,Trato_Diario!$A$4:$A$203,$A23)/SUMIFS(Trato_Diario!$G$4:$G$203,Trato_Diario!$A$4:$A$203,$A23))</f>
        <v>8.5715251798561152</v>
      </c>
    </row>
    <row r="24" spans="1:8" ht="14.25" customHeight="1" x14ac:dyDescent="0.3">
      <c r="A24" s="71">
        <v>46211</v>
      </c>
      <c r="B24" s="46">
        <f>IF(OR($A24&gt;MAX(Trato_Diario!$A$4:$A$203),SUMIFS(Trato_Diario!$G$4:$G$203,Trato_Diario!$B$4:$B$203,B$5,Trato_Diario!$A$4:$A$203,$A24)=0),"",SUMIFS(Trato_Diario!$J$4:$J$203,Trato_Diario!$B$4:$B$203,B$5,Trato_Diario!$A$4:$A$203,$A24)/SUMIFS(Trato_Diario!$G$4:$G$203,Trato_Diario!$B$4:$B$203,B$5,Trato_Diario!$A$4:$A$203,$A24))</f>
        <v>12.045000000000002</v>
      </c>
      <c r="C24" s="46">
        <f>IF(OR($A24&gt;MAX(Trato_Diario!$A$4:$A$203),SUMIFS(Trato_Diario!$G$4:$G$203,Trato_Diario!$B$4:$B$203,C$5,Trato_Diario!$A$4:$A$203,$A24)=0),"",SUMIFS(Trato_Diario!$J$4:$J$203,Trato_Diario!$B$4:$B$203,C$5,Trato_Diario!$A$4:$A$203,$A24)/SUMIFS(Trato_Diario!$G$4:$G$203,Trato_Diario!$B$4:$B$203,C$5,Trato_Diario!$A$4:$A$203,$A24))</f>
        <v>8.9551956521739147</v>
      </c>
      <c r="D24" s="46">
        <f>IF(OR($A24&gt;MAX(Trato_Diario!$A$4:$A$203),SUMIFS(Trato_Diario!$G$4:$G$203,Trato_Diario!$B$4:$B$203,D$5,Trato_Diario!$A$4:$A$203,$A24)=0),"",SUMIFS(Trato_Diario!$J$4:$J$203,Trato_Diario!$B$4:$B$203,D$5,Trato_Diario!$A$4:$A$203,$A24)/SUMIFS(Trato_Diario!$G$4:$G$203,Trato_Diario!$B$4:$B$203,D$5,Trato_Diario!$A$4:$A$203,$A24))</f>
        <v>6.6493636363636375</v>
      </c>
      <c r="E24" s="46">
        <f>IF(OR($A24&gt;MAX(Trato_Diario!$A$4:$A$203),SUMIFS(Trato_Diario!$G$4:$G$203,Trato_Diario!$B$4:$B$203,E$5,Trato_Diario!$A$4:$A$203,$A24)=0),"",SUMIFS(Trato_Diario!$J$4:$J$203,Trato_Diario!$B$4:$B$203,E$5,Trato_Diario!$A$4:$A$203,$A24)/SUMIFS(Trato_Diario!$G$4:$G$203,Trato_Diario!$B$4:$B$203,E$5,Trato_Diario!$A$4:$A$203,$A24))</f>
        <v>16.149482758620692</v>
      </c>
      <c r="F24" s="46" t="str">
        <f>IF(OR($A24&gt;MAX(Trato_Diario!$A$4:$A$203),SUMIFS(Trato_Diario!$G$4:$G$203,Trato_Diario!$B$4:$B$203,F$5,Trato_Diario!$A$4:$A$203,$A24)=0),"",SUMIFS(Trato_Diario!$J$4:$J$203,Trato_Diario!$B$4:$B$203,F$5,Trato_Diario!$A$4:$A$203,$A24)/SUMIFS(Trato_Diario!$G$4:$G$203,Trato_Diario!$B$4:$B$203,F$5,Trato_Diario!$A$4:$A$203,$A24))</f>
        <v/>
      </c>
      <c r="G24" s="46" t="str">
        <f>IF(OR($A24&gt;MAX(Trato_Diario!$A$4:$A$203),SUMIFS(Trato_Diario!$G$4:$G$203,Trato_Diario!$B$4:$B$203,G$5,Trato_Diario!$A$4:$A$203,$A24)=0),"",SUMIFS(Trato_Diario!$J$4:$J$203,Trato_Diario!$B$4:$B$203,G$5,Trato_Diario!$A$4:$A$203,$A24)/SUMIFS(Trato_Diario!$G$4:$G$203,Trato_Diario!$B$4:$B$203,G$5,Trato_Diario!$A$4:$A$203,$A24))</f>
        <v/>
      </c>
      <c r="H24" s="57">
        <f>IF(OR($A24&gt;MAX(Trato_Diario!$A$4:$A$203),SUMIFS(Trato_Diario!$G$4:$G$203,Trato_Diario!$A$4:$A$203,$A24)=0),"",SUMIFS(Trato_Diario!$J$4:$J$203,Trato_Diario!$A$4:$A$203,$A24)/SUMIFS(Trato_Diario!$G$4:$G$203,Trato_Diario!$A$4:$A$203,$A24))</f>
        <v>8.7594568345323758</v>
      </c>
    </row>
    <row r="25" spans="1:8" ht="14.25" customHeight="1" x14ac:dyDescent="0.3">
      <c r="A25" s="72">
        <v>46212</v>
      </c>
      <c r="B25" s="20">
        <f>IF(OR($A25&gt;MAX(Trato_Diario!$A$4:$A$203),SUMIFS(Trato_Diario!$G$4:$G$203,Trato_Diario!$B$4:$B$203,B$5,Trato_Diario!$A$4:$A$203,$A25)=0),"",SUMIFS(Trato_Diario!$J$4:$J$203,Trato_Diario!$B$4:$B$203,B$5,Trato_Diario!$A$4:$A$203,$A25)/SUMIFS(Trato_Diario!$G$4:$G$203,Trato_Diario!$B$4:$B$203,B$5,Trato_Diario!$A$4:$A$203,$A25))</f>
        <v>13.249500000000001</v>
      </c>
      <c r="C25" s="20">
        <f>IF(OR($A25&gt;MAX(Trato_Diario!$A$4:$A$203),SUMIFS(Trato_Diario!$G$4:$G$203,Trato_Diario!$B$4:$B$203,C$5,Trato_Diario!$A$4:$A$203,$A25)=0),"",SUMIFS(Trato_Diario!$J$4:$J$203,Trato_Diario!$B$4:$B$203,C$5,Trato_Diario!$A$4:$A$203,$A25)/SUMIFS(Trato_Diario!$G$4:$G$203,Trato_Diario!$B$4:$B$203,C$5,Trato_Diario!$A$4:$A$203,$A25))</f>
        <v>9.9502173913043492</v>
      </c>
      <c r="D25" s="20">
        <f>IF(OR($A25&gt;MAX(Trato_Diario!$A$4:$A$203),SUMIFS(Trato_Diario!$G$4:$G$203,Trato_Diario!$B$4:$B$203,D$5,Trato_Diario!$A$4:$A$203,$A25)=0),"",SUMIFS(Trato_Diario!$J$4:$J$203,Trato_Diario!$B$4:$B$203,D$5,Trato_Diario!$A$4:$A$203,$A25)/SUMIFS(Trato_Diario!$G$4:$G$203,Trato_Diario!$B$4:$B$203,D$5,Trato_Diario!$A$4:$A$203,$A25))</f>
        <v>6.6493636363636375</v>
      </c>
      <c r="E25" s="20">
        <f>IF(OR($A25&gt;MAX(Trato_Diario!$A$4:$A$203),SUMIFS(Trato_Diario!$G$4:$G$203,Trato_Diario!$B$4:$B$203,E$5,Trato_Diario!$A$4:$A$203,$A25)=0),"",SUMIFS(Trato_Diario!$J$4:$J$203,Trato_Diario!$B$4:$B$203,E$5,Trato_Diario!$A$4:$A$203,$A25)/SUMIFS(Trato_Diario!$G$4:$G$203,Trato_Diario!$B$4:$B$203,E$5,Trato_Diario!$A$4:$A$203,$A25))</f>
        <v>16.149482758620692</v>
      </c>
      <c r="F25" s="20" t="str">
        <f>IF(OR($A25&gt;MAX(Trato_Diario!$A$4:$A$203),SUMIFS(Trato_Diario!$G$4:$G$203,Trato_Diario!$B$4:$B$203,F$5,Trato_Diario!$A$4:$A$203,$A25)=0),"",SUMIFS(Trato_Diario!$J$4:$J$203,Trato_Diario!$B$4:$B$203,F$5,Trato_Diario!$A$4:$A$203,$A25)/SUMIFS(Trato_Diario!$G$4:$G$203,Trato_Diario!$B$4:$B$203,F$5,Trato_Diario!$A$4:$A$203,$A25))</f>
        <v/>
      </c>
      <c r="G25" s="20" t="str">
        <f>IF(OR($A25&gt;MAX(Trato_Diario!$A$4:$A$203),SUMIFS(Trato_Diario!$G$4:$G$203,Trato_Diario!$B$4:$B$203,G$5,Trato_Diario!$A$4:$A$203,$A25)=0),"",SUMIFS(Trato_Diario!$J$4:$J$203,Trato_Diario!$B$4:$B$203,G$5,Trato_Diario!$A$4:$A$203,$A25)/SUMIFS(Trato_Diario!$G$4:$G$203,Trato_Diario!$B$4:$B$203,G$5,Trato_Diario!$A$4:$A$203,$A25))</f>
        <v/>
      </c>
      <c r="H25" s="59">
        <f>IF(OR($A25&gt;MAX(Trato_Diario!$A$4:$A$203),SUMIFS(Trato_Diario!$G$4:$G$203,Trato_Diario!$A$4:$A$203,$A25)=0),"",SUMIFS(Trato_Diario!$J$4:$J$203,Trato_Diario!$A$4:$A$203,$A25)/SUMIFS(Trato_Diario!$G$4:$G$203,Trato_Diario!$A$4:$A$203,$A25))</f>
        <v>9.0887446043165472</v>
      </c>
    </row>
    <row r="26" spans="1:8" ht="14.25" customHeight="1" x14ac:dyDescent="0.3">
      <c r="A26" s="71">
        <v>46213</v>
      </c>
      <c r="B26" s="46">
        <f>IF(OR($A26&gt;MAX(Trato_Diario!$A$4:$A$203),SUMIFS(Trato_Diario!$G$4:$G$203,Trato_Diario!$B$4:$B$203,B$5,Trato_Diario!$A$4:$A$203,$A26)=0),"",SUMIFS(Trato_Diario!$J$4:$J$203,Trato_Diario!$B$4:$B$203,B$5,Trato_Diario!$A$4:$A$203,$A26)/SUMIFS(Trato_Diario!$G$4:$G$203,Trato_Diario!$B$4:$B$203,B$5,Trato_Diario!$A$4:$A$203,$A26))</f>
        <v>13.249500000000001</v>
      </c>
      <c r="C26" s="46">
        <f>IF(OR($A26&gt;MAX(Trato_Diario!$A$4:$A$203),SUMIFS(Trato_Diario!$G$4:$G$203,Trato_Diario!$B$4:$B$203,C$5,Trato_Diario!$A$4:$A$203,$A26)=0),"",SUMIFS(Trato_Diario!$J$4:$J$203,Trato_Diario!$B$4:$B$203,C$5,Trato_Diario!$A$4:$A$203,$A26)/SUMIFS(Trato_Diario!$G$4:$G$203,Trato_Diario!$B$4:$B$203,C$5,Trato_Diario!$A$4:$A$203,$A26))</f>
        <v>9.9502173913043492</v>
      </c>
      <c r="D26" s="46">
        <f>IF(OR($A26&gt;MAX(Trato_Diario!$A$4:$A$203),SUMIFS(Trato_Diario!$G$4:$G$203,Trato_Diario!$B$4:$B$203,D$5,Trato_Diario!$A$4:$A$203,$A26)=0),"",SUMIFS(Trato_Diario!$J$4:$J$203,Trato_Diario!$B$4:$B$203,D$5,Trato_Diario!$A$4:$A$203,$A26)/SUMIFS(Trato_Diario!$G$4:$G$203,Trato_Diario!$B$4:$B$203,D$5,Trato_Diario!$A$4:$A$203,$A26))</f>
        <v>6.6493636363636375</v>
      </c>
      <c r="E26" s="46">
        <f>IF(OR($A26&gt;MAX(Trato_Diario!$A$4:$A$203),SUMIFS(Trato_Diario!$G$4:$G$203,Trato_Diario!$B$4:$B$203,E$5,Trato_Diario!$A$4:$A$203,$A26)=0),"",SUMIFS(Trato_Diario!$J$4:$J$203,Trato_Diario!$B$4:$B$203,E$5,Trato_Diario!$A$4:$A$203,$A26)/SUMIFS(Trato_Diario!$G$4:$G$203,Trato_Diario!$B$4:$B$203,E$5,Trato_Diario!$A$4:$A$203,$A26))</f>
        <v>16.149482758620692</v>
      </c>
      <c r="F26" s="46" t="str">
        <f>IF(OR($A26&gt;MAX(Trato_Diario!$A$4:$A$203),SUMIFS(Trato_Diario!$G$4:$G$203,Trato_Diario!$B$4:$B$203,F$5,Trato_Diario!$A$4:$A$203,$A26)=0),"",SUMIFS(Trato_Diario!$J$4:$J$203,Trato_Diario!$B$4:$B$203,F$5,Trato_Diario!$A$4:$A$203,$A26)/SUMIFS(Trato_Diario!$G$4:$G$203,Trato_Diario!$B$4:$B$203,F$5,Trato_Diario!$A$4:$A$203,$A26))</f>
        <v/>
      </c>
      <c r="G26" s="46" t="str">
        <f>IF(OR($A26&gt;MAX(Trato_Diario!$A$4:$A$203),SUMIFS(Trato_Diario!$G$4:$G$203,Trato_Diario!$B$4:$B$203,G$5,Trato_Diario!$A$4:$A$203,$A26)=0),"",SUMIFS(Trato_Diario!$J$4:$J$203,Trato_Diario!$B$4:$B$203,G$5,Trato_Diario!$A$4:$A$203,$A26)/SUMIFS(Trato_Diario!$G$4:$G$203,Trato_Diario!$B$4:$B$203,G$5,Trato_Diario!$A$4:$A$203,$A26))</f>
        <v/>
      </c>
      <c r="H26" s="57">
        <f>IF(OR($A26&gt;MAX(Trato_Diario!$A$4:$A$203),SUMIFS(Trato_Diario!$G$4:$G$203,Trato_Diario!$A$4:$A$203,$A26)=0),"",SUMIFS(Trato_Diario!$J$4:$J$203,Trato_Diario!$A$4:$A$203,$A26)/SUMIFS(Trato_Diario!$G$4:$G$203,Trato_Diario!$A$4:$A$203,$A26))</f>
        <v>9.0887446043165472</v>
      </c>
    </row>
    <row r="27" spans="1:8" ht="14.25" customHeight="1" x14ac:dyDescent="0.3">
      <c r="A27" s="72">
        <v>46214</v>
      </c>
      <c r="B27" s="20">
        <f>IF(OR($A27&gt;MAX(Trato_Diario!$A$4:$A$203),SUMIFS(Trato_Diario!$G$4:$G$203,Trato_Diario!$B$4:$B$203,B$5,Trato_Diario!$A$4:$A$203,$A27)=0),"",SUMIFS(Trato_Diario!$J$4:$J$203,Trato_Diario!$B$4:$B$203,B$5,Trato_Diario!$A$4:$A$203,$A27)/SUMIFS(Trato_Diario!$G$4:$G$203,Trato_Diario!$B$4:$B$203,B$5,Trato_Diario!$A$4:$A$203,$A27))</f>
        <v>13.249500000000001</v>
      </c>
      <c r="C27" s="20">
        <f>IF(OR($A27&gt;MAX(Trato_Diario!$A$4:$A$203),SUMIFS(Trato_Diario!$G$4:$G$203,Trato_Diario!$B$4:$B$203,C$5,Trato_Diario!$A$4:$A$203,$A27)=0),"",SUMIFS(Trato_Diario!$J$4:$J$203,Trato_Diario!$B$4:$B$203,C$5,Trato_Diario!$A$4:$A$203,$A27)/SUMIFS(Trato_Diario!$G$4:$G$203,Trato_Diario!$B$4:$B$203,C$5,Trato_Diario!$A$4:$A$203,$A27))</f>
        <v>9.9502173913043492</v>
      </c>
      <c r="D27" s="20">
        <f>IF(OR($A27&gt;MAX(Trato_Diario!$A$4:$A$203),SUMIFS(Trato_Diario!$G$4:$G$203,Trato_Diario!$B$4:$B$203,D$5,Trato_Diario!$A$4:$A$203,$A27)=0),"",SUMIFS(Trato_Diario!$J$4:$J$203,Trato_Diario!$B$4:$B$203,D$5,Trato_Diario!$A$4:$A$203,$A27)/SUMIFS(Trato_Diario!$G$4:$G$203,Trato_Diario!$B$4:$B$203,D$5,Trato_Diario!$A$4:$A$203,$A27))</f>
        <v>6.9660000000000002</v>
      </c>
      <c r="E27" s="20">
        <f>IF(OR($A27&gt;MAX(Trato_Diario!$A$4:$A$203),SUMIFS(Trato_Diario!$G$4:$G$203,Trato_Diario!$B$4:$B$203,E$5,Trato_Diario!$A$4:$A$203,$A27)=0),"",SUMIFS(Trato_Diario!$J$4:$J$203,Trato_Diario!$B$4:$B$203,E$5,Trato_Diario!$A$4:$A$203,$A27)/SUMIFS(Trato_Diario!$G$4:$G$203,Trato_Diario!$B$4:$B$203,E$5,Trato_Diario!$A$4:$A$203,$A27))</f>
        <v>16.149482758620692</v>
      </c>
      <c r="F27" s="20" t="str">
        <f>IF(OR($A27&gt;MAX(Trato_Diario!$A$4:$A$203),SUMIFS(Trato_Diario!$G$4:$G$203,Trato_Diario!$B$4:$B$203,F$5,Trato_Diario!$A$4:$A$203,$A27)=0),"",SUMIFS(Trato_Diario!$J$4:$J$203,Trato_Diario!$B$4:$B$203,F$5,Trato_Diario!$A$4:$A$203,$A27)/SUMIFS(Trato_Diario!$G$4:$G$203,Trato_Diario!$B$4:$B$203,F$5,Trato_Diario!$A$4:$A$203,$A27))</f>
        <v/>
      </c>
      <c r="G27" s="20" t="str">
        <f>IF(OR($A27&gt;MAX(Trato_Diario!$A$4:$A$203),SUMIFS(Trato_Diario!$G$4:$G$203,Trato_Diario!$B$4:$B$203,G$5,Trato_Diario!$A$4:$A$203,$A27)=0),"",SUMIFS(Trato_Diario!$J$4:$J$203,Trato_Diario!$B$4:$B$203,G$5,Trato_Diario!$A$4:$A$203,$A27)/SUMIFS(Trato_Diario!$G$4:$G$203,Trato_Diario!$B$4:$B$203,G$5,Trato_Diario!$A$4:$A$203,$A27))</f>
        <v/>
      </c>
      <c r="H27" s="59">
        <f>IF(OR($A27&gt;MAX(Trato_Diario!$A$4:$A$203),SUMIFS(Trato_Diario!$G$4:$G$203,Trato_Diario!$A$4:$A$203,$A27)=0),"",SUMIFS(Trato_Diario!$J$4:$J$203,Trato_Diario!$A$4:$A$203,$A27)/SUMIFS(Trato_Diario!$G$4:$G$203,Trato_Diario!$A$4:$A$203,$A27))</f>
        <v>9.276676258992806</v>
      </c>
    </row>
    <row r="28" spans="1:8" ht="14.25" customHeight="1" x14ac:dyDescent="0.3">
      <c r="A28" s="71">
        <v>46215</v>
      </c>
      <c r="B28" s="46">
        <f>IF(OR($A28&gt;MAX(Trato_Diario!$A$4:$A$203),SUMIFS(Trato_Diario!$G$4:$G$203,Trato_Diario!$B$4:$B$203,B$5,Trato_Diario!$A$4:$A$203,$A28)=0),"",SUMIFS(Trato_Diario!$J$4:$J$203,Trato_Diario!$B$4:$B$203,B$5,Trato_Diario!$A$4:$A$203,$A28)/SUMIFS(Trato_Diario!$G$4:$G$203,Trato_Diario!$B$4:$B$203,B$5,Trato_Diario!$A$4:$A$203,$A28))</f>
        <v>14.454000000000002</v>
      </c>
      <c r="C28" s="46">
        <f>IF(OR($A28&gt;MAX(Trato_Diario!$A$4:$A$203),SUMIFS(Trato_Diario!$G$4:$G$203,Trato_Diario!$B$4:$B$203,C$5,Trato_Diario!$A$4:$A$203,$A28)=0),"",SUMIFS(Trato_Diario!$J$4:$J$203,Trato_Diario!$B$4:$B$203,C$5,Trato_Diario!$A$4:$A$203,$A28)/SUMIFS(Trato_Diario!$G$4:$G$203,Trato_Diario!$B$4:$B$203,C$5,Trato_Diario!$A$4:$A$203,$A28))</f>
        <v>10.945239130434784</v>
      </c>
      <c r="D28" s="46">
        <f>IF(OR($A28&gt;MAX(Trato_Diario!$A$4:$A$203),SUMIFS(Trato_Diario!$G$4:$G$203,Trato_Diario!$B$4:$B$203,D$5,Trato_Diario!$A$4:$A$203,$A28)=0),"",SUMIFS(Trato_Diario!$J$4:$J$203,Trato_Diario!$B$4:$B$203,D$5,Trato_Diario!$A$4:$A$203,$A28)/SUMIFS(Trato_Diario!$G$4:$G$203,Trato_Diario!$B$4:$B$203,D$5,Trato_Diario!$A$4:$A$203,$A28))</f>
        <v>6.9660000000000002</v>
      </c>
      <c r="E28" s="46">
        <f>IF(OR($A28&gt;MAX(Trato_Diario!$A$4:$A$203),SUMIFS(Trato_Diario!$G$4:$G$203,Trato_Diario!$B$4:$B$203,E$5,Trato_Diario!$A$4:$A$203,$A28)=0),"",SUMIFS(Trato_Diario!$J$4:$J$203,Trato_Diario!$B$4:$B$203,E$5,Trato_Diario!$A$4:$A$203,$A28)/SUMIFS(Trato_Diario!$G$4:$G$203,Trato_Diario!$B$4:$B$203,E$5,Trato_Diario!$A$4:$A$203,$A28))</f>
        <v>16.149482758620692</v>
      </c>
      <c r="F28" s="46" t="str">
        <f>IF(OR($A28&gt;MAX(Trato_Diario!$A$4:$A$203),SUMIFS(Trato_Diario!$G$4:$G$203,Trato_Diario!$B$4:$B$203,F$5,Trato_Diario!$A$4:$A$203,$A28)=0),"",SUMIFS(Trato_Diario!$J$4:$J$203,Trato_Diario!$B$4:$B$203,F$5,Trato_Diario!$A$4:$A$203,$A28)/SUMIFS(Trato_Diario!$G$4:$G$203,Trato_Diario!$B$4:$B$203,F$5,Trato_Diario!$A$4:$A$203,$A28))</f>
        <v/>
      </c>
      <c r="G28" s="46" t="str">
        <f>IF(OR($A28&gt;MAX(Trato_Diario!$A$4:$A$203),SUMIFS(Trato_Diario!$G$4:$G$203,Trato_Diario!$B$4:$B$203,G$5,Trato_Diario!$A$4:$A$203,$A28)=0),"",SUMIFS(Trato_Diario!$J$4:$J$203,Trato_Diario!$B$4:$B$203,G$5,Trato_Diario!$A$4:$A$203,$A28)/SUMIFS(Trato_Diario!$G$4:$G$203,Trato_Diario!$B$4:$B$203,G$5,Trato_Diario!$A$4:$A$203,$A28))</f>
        <v/>
      </c>
      <c r="H28" s="57">
        <f>IF(OR($A28&gt;MAX(Trato_Diario!$A$4:$A$203),SUMIFS(Trato_Diario!$G$4:$G$203,Trato_Diario!$A$4:$A$203,$A28)=0),"",SUMIFS(Trato_Diario!$J$4:$J$203,Trato_Diario!$A$4:$A$203,$A28)/SUMIFS(Trato_Diario!$G$4:$G$203,Trato_Diario!$A$4:$A$203,$A28))</f>
        <v>9.605964028776981</v>
      </c>
    </row>
    <row r="29" spans="1:8" ht="14.25" customHeight="1" x14ac:dyDescent="0.3">
      <c r="A29" s="72">
        <v>46216</v>
      </c>
      <c r="B29" s="20">
        <f>IF(OR($A29&gt;MAX(Trato_Diario!$A$4:$A$203),SUMIFS(Trato_Diario!$G$4:$G$203,Trato_Diario!$B$4:$B$203,B$5,Trato_Diario!$A$4:$A$203,$A29)=0),"",SUMIFS(Trato_Diario!$J$4:$J$203,Trato_Diario!$B$4:$B$203,B$5,Trato_Diario!$A$4:$A$203,$A29)/SUMIFS(Trato_Diario!$G$4:$G$203,Trato_Diario!$B$4:$B$203,B$5,Trato_Diario!$A$4:$A$203,$A29))</f>
        <v>14.454000000000002</v>
      </c>
      <c r="C29" s="20">
        <f>IF(OR($A29&gt;MAX(Trato_Diario!$A$4:$A$203),SUMIFS(Trato_Diario!$G$4:$G$203,Trato_Diario!$B$4:$B$203,C$5,Trato_Diario!$A$4:$A$203,$A29)=0),"",SUMIFS(Trato_Diario!$J$4:$J$203,Trato_Diario!$B$4:$B$203,C$5,Trato_Diario!$A$4:$A$203,$A29)/SUMIFS(Trato_Diario!$G$4:$G$203,Trato_Diario!$B$4:$B$203,C$5,Trato_Diario!$A$4:$A$203,$A29))</f>
        <v>10.945239130434784</v>
      </c>
      <c r="D29" s="20">
        <f>IF(OR($A29&gt;MAX(Trato_Diario!$A$4:$A$203),SUMIFS(Trato_Diario!$G$4:$G$203,Trato_Diario!$B$4:$B$203,D$5,Trato_Diario!$A$4:$A$203,$A29)=0),"",SUMIFS(Trato_Diario!$J$4:$J$203,Trato_Diario!$B$4:$B$203,D$5,Trato_Diario!$A$4:$A$203,$A29)/SUMIFS(Trato_Diario!$G$4:$G$203,Trato_Diario!$B$4:$B$203,D$5,Trato_Diario!$A$4:$A$203,$A29))</f>
        <v>6.9660000000000002</v>
      </c>
      <c r="E29" s="20">
        <f>IF(OR($A29&gt;MAX(Trato_Diario!$A$4:$A$203),SUMIFS(Trato_Diario!$G$4:$G$203,Trato_Diario!$B$4:$B$203,E$5,Trato_Diario!$A$4:$A$203,$A29)=0),"",SUMIFS(Trato_Diario!$J$4:$J$203,Trato_Diario!$B$4:$B$203,E$5,Trato_Diario!$A$4:$A$203,$A29)/SUMIFS(Trato_Diario!$G$4:$G$203,Trato_Diario!$B$4:$B$203,E$5,Trato_Diario!$A$4:$A$203,$A29))</f>
        <v>16.149482758620692</v>
      </c>
      <c r="F29" s="20" t="str">
        <f>IF(OR($A29&gt;MAX(Trato_Diario!$A$4:$A$203),SUMIFS(Trato_Diario!$G$4:$G$203,Trato_Diario!$B$4:$B$203,F$5,Trato_Diario!$A$4:$A$203,$A29)=0),"",SUMIFS(Trato_Diario!$J$4:$J$203,Trato_Diario!$B$4:$B$203,F$5,Trato_Diario!$A$4:$A$203,$A29)/SUMIFS(Trato_Diario!$G$4:$G$203,Trato_Diario!$B$4:$B$203,F$5,Trato_Diario!$A$4:$A$203,$A29))</f>
        <v/>
      </c>
      <c r="G29" s="20" t="str">
        <f>IF(OR($A29&gt;MAX(Trato_Diario!$A$4:$A$203),SUMIFS(Trato_Diario!$G$4:$G$203,Trato_Diario!$B$4:$B$203,G$5,Trato_Diario!$A$4:$A$203,$A29)=0),"",SUMIFS(Trato_Diario!$J$4:$J$203,Trato_Diario!$B$4:$B$203,G$5,Trato_Diario!$A$4:$A$203,$A29)/SUMIFS(Trato_Diario!$G$4:$G$203,Trato_Diario!$B$4:$B$203,G$5,Trato_Diario!$A$4:$A$203,$A29))</f>
        <v/>
      </c>
      <c r="H29" s="59">
        <f>IF(OR($A29&gt;MAX(Trato_Diario!$A$4:$A$203),SUMIFS(Trato_Diario!$G$4:$G$203,Trato_Diario!$A$4:$A$203,$A29)=0),"",SUMIFS(Trato_Diario!$J$4:$J$203,Trato_Diario!$A$4:$A$203,$A29)/SUMIFS(Trato_Diario!$G$4:$G$203,Trato_Diario!$A$4:$A$203,$A29))</f>
        <v>9.605964028776981</v>
      </c>
    </row>
    <row r="30" spans="1:8" ht="14.25" customHeight="1" x14ac:dyDescent="0.3">
      <c r="A30" s="71">
        <v>46217</v>
      </c>
      <c r="B30" s="46">
        <f>IF(OR($A30&gt;MAX(Trato_Diario!$A$4:$A$203),SUMIFS(Trato_Diario!$G$4:$G$203,Trato_Diario!$B$4:$B$203,B$5,Trato_Diario!$A$4:$A$203,$A30)=0),"",SUMIFS(Trato_Diario!$J$4:$J$203,Trato_Diario!$B$4:$B$203,B$5,Trato_Diario!$A$4:$A$203,$A30)/SUMIFS(Trato_Diario!$G$4:$G$203,Trato_Diario!$B$4:$B$203,B$5,Trato_Diario!$A$4:$A$203,$A30))</f>
        <v>14.454000000000002</v>
      </c>
      <c r="C30" s="46">
        <f>IF(OR($A30&gt;MAX(Trato_Diario!$A$4:$A$203),SUMIFS(Trato_Diario!$G$4:$G$203,Trato_Diario!$B$4:$B$203,C$5,Trato_Diario!$A$4:$A$203,$A30)=0),"",SUMIFS(Trato_Diario!$J$4:$J$203,Trato_Diario!$B$4:$B$203,C$5,Trato_Diario!$A$4:$A$203,$A30)/SUMIFS(Trato_Diario!$G$4:$G$203,Trato_Diario!$B$4:$B$203,C$5,Trato_Diario!$A$4:$A$203,$A30))</f>
        <v>10.945239130434784</v>
      </c>
      <c r="D30" s="46">
        <f>IF(OR($A30&gt;MAX(Trato_Diario!$A$4:$A$203),SUMIFS(Trato_Diario!$G$4:$G$203,Trato_Diario!$B$4:$B$203,D$5,Trato_Diario!$A$4:$A$203,$A30)=0),"",SUMIFS(Trato_Diario!$J$4:$J$203,Trato_Diario!$B$4:$B$203,D$5,Trato_Diario!$A$4:$A$203,$A30)/SUMIFS(Trato_Diario!$G$4:$G$203,Trato_Diario!$B$4:$B$203,D$5,Trato_Diario!$A$4:$A$203,$A30))</f>
        <v>7.2826363636363647</v>
      </c>
      <c r="E30" s="46">
        <f>IF(OR($A30&gt;MAX(Trato_Diario!$A$4:$A$203),SUMIFS(Trato_Diario!$G$4:$G$203,Trato_Diario!$B$4:$B$203,E$5,Trato_Diario!$A$4:$A$203,$A30)=0),"",SUMIFS(Trato_Diario!$J$4:$J$203,Trato_Diario!$B$4:$B$203,E$5,Trato_Diario!$A$4:$A$203,$A30)/SUMIFS(Trato_Diario!$G$4:$G$203,Trato_Diario!$B$4:$B$203,E$5,Trato_Diario!$A$4:$A$203,$A30))</f>
        <v>16.149482758620692</v>
      </c>
      <c r="F30" s="46" t="str">
        <f>IF(OR($A30&gt;MAX(Trato_Diario!$A$4:$A$203),SUMIFS(Trato_Diario!$G$4:$G$203,Trato_Diario!$B$4:$B$203,F$5,Trato_Diario!$A$4:$A$203,$A30)=0),"",SUMIFS(Trato_Diario!$J$4:$J$203,Trato_Diario!$B$4:$B$203,F$5,Trato_Diario!$A$4:$A$203,$A30)/SUMIFS(Trato_Diario!$G$4:$G$203,Trato_Diario!$B$4:$B$203,F$5,Trato_Diario!$A$4:$A$203,$A30))</f>
        <v/>
      </c>
      <c r="G30" s="46" t="str">
        <f>IF(OR($A30&gt;MAX(Trato_Diario!$A$4:$A$203),SUMIFS(Trato_Diario!$G$4:$G$203,Trato_Diario!$B$4:$B$203,G$5,Trato_Diario!$A$4:$A$203,$A30)=0),"",SUMIFS(Trato_Diario!$J$4:$J$203,Trato_Diario!$B$4:$B$203,G$5,Trato_Diario!$A$4:$A$203,$A30)/SUMIFS(Trato_Diario!$G$4:$G$203,Trato_Diario!$B$4:$B$203,G$5,Trato_Diario!$A$4:$A$203,$A30))</f>
        <v/>
      </c>
      <c r="H30" s="57">
        <f>IF(OR($A30&gt;MAX(Trato_Diario!$A$4:$A$203),SUMIFS(Trato_Diario!$G$4:$G$203,Trato_Diario!$A$4:$A$203,$A30)=0),"",SUMIFS(Trato_Diario!$J$4:$J$203,Trato_Diario!$A$4:$A$203,$A30)/SUMIFS(Trato_Diario!$G$4:$G$203,Trato_Diario!$A$4:$A$203,$A30))</f>
        <v>9.7938956834532398</v>
      </c>
    </row>
    <row r="31" spans="1:8" ht="14.25" customHeight="1" x14ac:dyDescent="0.3">
      <c r="A31" s="72">
        <v>46218</v>
      </c>
      <c r="B31" s="20">
        <f>IF(OR($A31&gt;MAX(Trato_Diario!$A$4:$A$203),SUMIFS(Trato_Diario!$G$4:$G$203,Trato_Diario!$B$4:$B$203,B$5,Trato_Diario!$A$4:$A$203,$A31)=0),"",SUMIFS(Trato_Diario!$J$4:$J$203,Trato_Diario!$B$4:$B$203,B$5,Trato_Diario!$A$4:$A$203,$A31)/SUMIFS(Trato_Diario!$G$4:$G$203,Trato_Diario!$B$4:$B$203,B$5,Trato_Diario!$A$4:$A$203,$A31))</f>
        <v>15.6585</v>
      </c>
      <c r="C31" s="20">
        <f>IF(OR($A31&gt;MAX(Trato_Diario!$A$4:$A$203),SUMIFS(Trato_Diario!$G$4:$G$203,Trato_Diario!$B$4:$B$203,C$5,Trato_Diario!$A$4:$A$203,$A31)=0),"",SUMIFS(Trato_Diario!$J$4:$J$203,Trato_Diario!$B$4:$B$203,C$5,Trato_Diario!$A$4:$A$203,$A31)/SUMIFS(Trato_Diario!$G$4:$G$203,Trato_Diario!$B$4:$B$203,C$5,Trato_Diario!$A$4:$A$203,$A31))</f>
        <v>11.940260869565218</v>
      </c>
      <c r="D31" s="20">
        <f>IF(OR($A31&gt;MAX(Trato_Diario!$A$4:$A$203),SUMIFS(Trato_Diario!$G$4:$G$203,Trato_Diario!$B$4:$B$203,D$5,Trato_Diario!$A$4:$A$203,$A31)=0),"",SUMIFS(Trato_Diario!$J$4:$J$203,Trato_Diario!$B$4:$B$203,D$5,Trato_Diario!$A$4:$A$203,$A31)/SUMIFS(Trato_Diario!$G$4:$G$203,Trato_Diario!$B$4:$B$203,D$5,Trato_Diario!$A$4:$A$203,$A31))</f>
        <v>7.2826363636363647</v>
      </c>
      <c r="E31" s="20">
        <f>IF(OR($A31&gt;MAX(Trato_Diario!$A$4:$A$203),SUMIFS(Trato_Diario!$G$4:$G$203,Trato_Diario!$B$4:$B$203,E$5,Trato_Diario!$A$4:$A$203,$A31)=0),"",SUMIFS(Trato_Diario!$J$4:$J$203,Trato_Diario!$B$4:$B$203,E$5,Trato_Diario!$A$4:$A$203,$A31)/SUMIFS(Trato_Diario!$G$4:$G$203,Trato_Diario!$B$4:$B$203,E$5,Trato_Diario!$A$4:$A$203,$A31))</f>
        <v>16.149482758620692</v>
      </c>
      <c r="F31" s="20" t="str">
        <f>IF(OR($A31&gt;MAX(Trato_Diario!$A$4:$A$203),SUMIFS(Trato_Diario!$G$4:$G$203,Trato_Diario!$B$4:$B$203,F$5,Trato_Diario!$A$4:$A$203,$A31)=0),"",SUMIFS(Trato_Diario!$J$4:$J$203,Trato_Diario!$B$4:$B$203,F$5,Trato_Diario!$A$4:$A$203,$A31)/SUMIFS(Trato_Diario!$G$4:$G$203,Trato_Diario!$B$4:$B$203,F$5,Trato_Diario!$A$4:$A$203,$A31))</f>
        <v/>
      </c>
      <c r="G31" s="20" t="str">
        <f>IF(OR($A31&gt;MAX(Trato_Diario!$A$4:$A$203),SUMIFS(Trato_Diario!$G$4:$G$203,Trato_Diario!$B$4:$B$203,G$5,Trato_Diario!$A$4:$A$203,$A31)=0),"",SUMIFS(Trato_Diario!$J$4:$J$203,Trato_Diario!$B$4:$B$203,G$5,Trato_Diario!$A$4:$A$203,$A31)/SUMIFS(Trato_Diario!$G$4:$G$203,Trato_Diario!$B$4:$B$203,G$5,Trato_Diario!$A$4:$A$203,$A31))</f>
        <v/>
      </c>
      <c r="H31" s="59">
        <f>IF(OR($A31&gt;MAX(Trato_Diario!$A$4:$A$203),SUMIFS(Trato_Diario!$G$4:$G$203,Trato_Diario!$A$4:$A$203,$A31)=0),"",SUMIFS(Trato_Diario!$J$4:$J$203,Trato_Diario!$A$4:$A$203,$A31)/SUMIFS(Trato_Diario!$G$4:$G$203,Trato_Diario!$A$4:$A$203,$A31))</f>
        <v>10.123183453237411</v>
      </c>
    </row>
    <row r="32" spans="1:8" ht="14.25" customHeight="1" x14ac:dyDescent="0.3">
      <c r="A32" s="71">
        <v>46219</v>
      </c>
      <c r="B32" s="46">
        <f>IF(OR($A32&gt;MAX(Trato_Diario!$A$4:$A$203),SUMIFS(Trato_Diario!$G$4:$G$203,Trato_Diario!$B$4:$B$203,B$5,Trato_Diario!$A$4:$A$203,$A32)=0),"",SUMIFS(Trato_Diario!$J$4:$J$203,Trato_Diario!$B$4:$B$203,B$5,Trato_Diario!$A$4:$A$203,$A32)/SUMIFS(Trato_Diario!$G$4:$G$203,Trato_Diario!$B$4:$B$203,B$5,Trato_Diario!$A$4:$A$203,$A32))</f>
        <v>15.6585</v>
      </c>
      <c r="C32" s="46">
        <f>IF(OR($A32&gt;MAX(Trato_Diario!$A$4:$A$203),SUMIFS(Trato_Diario!$G$4:$G$203,Trato_Diario!$B$4:$B$203,C$5,Trato_Diario!$A$4:$A$203,$A32)=0),"",SUMIFS(Trato_Diario!$J$4:$J$203,Trato_Diario!$B$4:$B$203,C$5,Trato_Diario!$A$4:$A$203,$A32)/SUMIFS(Trato_Diario!$G$4:$G$203,Trato_Diario!$B$4:$B$203,C$5,Trato_Diario!$A$4:$A$203,$A32))</f>
        <v>11.940260869565218</v>
      </c>
      <c r="D32" s="46">
        <f>IF(OR($A32&gt;MAX(Trato_Diario!$A$4:$A$203),SUMIFS(Trato_Diario!$G$4:$G$203,Trato_Diario!$B$4:$B$203,D$5,Trato_Diario!$A$4:$A$203,$A32)=0),"",SUMIFS(Trato_Diario!$J$4:$J$203,Trato_Diario!$B$4:$B$203,D$5,Trato_Diario!$A$4:$A$203,$A32)/SUMIFS(Trato_Diario!$G$4:$G$203,Trato_Diario!$B$4:$B$203,D$5,Trato_Diario!$A$4:$A$203,$A32))</f>
        <v>7.2826363636363647</v>
      </c>
      <c r="E32" s="46">
        <f>IF(OR($A32&gt;MAX(Trato_Diario!$A$4:$A$203),SUMIFS(Trato_Diario!$G$4:$G$203,Trato_Diario!$B$4:$B$203,E$5,Trato_Diario!$A$4:$A$203,$A32)=0),"",SUMIFS(Trato_Diario!$J$4:$J$203,Trato_Diario!$B$4:$B$203,E$5,Trato_Diario!$A$4:$A$203,$A32)/SUMIFS(Trato_Diario!$G$4:$G$203,Trato_Diario!$B$4:$B$203,E$5,Trato_Diario!$A$4:$A$203,$A32))</f>
        <v>16.149482758620692</v>
      </c>
      <c r="F32" s="46" t="str">
        <f>IF(OR($A32&gt;MAX(Trato_Diario!$A$4:$A$203),SUMIFS(Trato_Diario!$G$4:$G$203,Trato_Diario!$B$4:$B$203,F$5,Trato_Diario!$A$4:$A$203,$A32)=0),"",SUMIFS(Trato_Diario!$J$4:$J$203,Trato_Diario!$B$4:$B$203,F$5,Trato_Diario!$A$4:$A$203,$A32)/SUMIFS(Trato_Diario!$G$4:$G$203,Trato_Diario!$B$4:$B$203,F$5,Trato_Diario!$A$4:$A$203,$A32))</f>
        <v/>
      </c>
      <c r="G32" s="46" t="str">
        <f>IF(OR($A32&gt;MAX(Trato_Diario!$A$4:$A$203),SUMIFS(Trato_Diario!$G$4:$G$203,Trato_Diario!$B$4:$B$203,G$5,Trato_Diario!$A$4:$A$203,$A32)=0),"",SUMIFS(Trato_Diario!$J$4:$J$203,Trato_Diario!$B$4:$B$203,G$5,Trato_Diario!$A$4:$A$203,$A32)/SUMIFS(Trato_Diario!$G$4:$G$203,Trato_Diario!$B$4:$B$203,G$5,Trato_Diario!$A$4:$A$203,$A32))</f>
        <v/>
      </c>
      <c r="H32" s="57">
        <f>IF(OR($A32&gt;MAX(Trato_Diario!$A$4:$A$203),SUMIFS(Trato_Diario!$G$4:$G$203,Trato_Diario!$A$4:$A$203,$A32)=0),"",SUMIFS(Trato_Diario!$J$4:$J$203,Trato_Diario!$A$4:$A$203,$A32)/SUMIFS(Trato_Diario!$G$4:$G$203,Trato_Diario!$A$4:$A$203,$A32))</f>
        <v>10.123183453237411</v>
      </c>
    </row>
    <row r="33" spans="1:8" ht="14.25" customHeight="1" x14ac:dyDescent="0.3">
      <c r="A33" s="72">
        <v>46220</v>
      </c>
      <c r="B33" s="20">
        <f>IF(OR($A33&gt;MAX(Trato_Diario!$A$4:$A$203),SUMIFS(Trato_Diario!$G$4:$G$203,Trato_Diario!$B$4:$B$203,B$5,Trato_Diario!$A$4:$A$203,$A33)=0),"",SUMIFS(Trato_Diario!$J$4:$J$203,Trato_Diario!$B$4:$B$203,B$5,Trato_Diario!$A$4:$A$203,$A33)/SUMIFS(Trato_Diario!$G$4:$G$203,Trato_Diario!$B$4:$B$203,B$5,Trato_Diario!$A$4:$A$203,$A33))</f>
        <v>15.6585</v>
      </c>
      <c r="C33" s="20">
        <f>IF(OR($A33&gt;MAX(Trato_Diario!$A$4:$A$203),SUMIFS(Trato_Diario!$G$4:$G$203,Trato_Diario!$B$4:$B$203,C$5,Trato_Diario!$A$4:$A$203,$A33)=0),"",SUMIFS(Trato_Diario!$J$4:$J$203,Trato_Diario!$B$4:$B$203,C$5,Trato_Diario!$A$4:$A$203,$A33)/SUMIFS(Trato_Diario!$G$4:$G$203,Trato_Diario!$B$4:$B$203,C$5,Trato_Diario!$A$4:$A$203,$A33))</f>
        <v>11.940260869565218</v>
      </c>
      <c r="D33" s="20">
        <f>IF(OR($A33&gt;MAX(Trato_Diario!$A$4:$A$203),SUMIFS(Trato_Diario!$G$4:$G$203,Trato_Diario!$B$4:$B$203,D$5,Trato_Diario!$A$4:$A$203,$A33)=0),"",SUMIFS(Trato_Diario!$J$4:$J$203,Trato_Diario!$B$4:$B$203,D$5,Trato_Diario!$A$4:$A$203,$A33)/SUMIFS(Trato_Diario!$G$4:$G$203,Trato_Diario!$B$4:$B$203,D$5,Trato_Diario!$A$4:$A$203,$A33))</f>
        <v>7.5992727272727283</v>
      </c>
      <c r="E33" s="20">
        <f>IF(OR($A33&gt;MAX(Trato_Diario!$A$4:$A$203),SUMIFS(Trato_Diario!$G$4:$G$203,Trato_Diario!$B$4:$B$203,E$5,Trato_Diario!$A$4:$A$203,$A33)=0),"",SUMIFS(Trato_Diario!$J$4:$J$203,Trato_Diario!$B$4:$B$203,E$5,Trato_Diario!$A$4:$A$203,$A33)/SUMIFS(Trato_Diario!$G$4:$G$203,Trato_Diario!$B$4:$B$203,E$5,Trato_Diario!$A$4:$A$203,$A33))</f>
        <v>16.149482758620692</v>
      </c>
      <c r="F33" s="20" t="str">
        <f>IF(OR($A33&gt;MAX(Trato_Diario!$A$4:$A$203),SUMIFS(Trato_Diario!$G$4:$G$203,Trato_Diario!$B$4:$B$203,F$5,Trato_Diario!$A$4:$A$203,$A33)=0),"",SUMIFS(Trato_Diario!$J$4:$J$203,Trato_Diario!$B$4:$B$203,F$5,Trato_Diario!$A$4:$A$203,$A33)/SUMIFS(Trato_Diario!$G$4:$G$203,Trato_Diario!$B$4:$B$203,F$5,Trato_Diario!$A$4:$A$203,$A33))</f>
        <v/>
      </c>
      <c r="G33" s="20" t="str">
        <f>IF(OR($A33&gt;MAX(Trato_Diario!$A$4:$A$203),SUMIFS(Trato_Diario!$G$4:$G$203,Trato_Diario!$B$4:$B$203,G$5,Trato_Diario!$A$4:$A$203,$A33)=0),"",SUMIFS(Trato_Diario!$J$4:$J$203,Trato_Diario!$B$4:$B$203,G$5,Trato_Diario!$A$4:$A$203,$A33)/SUMIFS(Trato_Diario!$G$4:$G$203,Trato_Diario!$B$4:$B$203,G$5,Trato_Diario!$A$4:$A$203,$A33))</f>
        <v/>
      </c>
      <c r="H33" s="59">
        <f>IF(OR($A33&gt;MAX(Trato_Diario!$A$4:$A$203),SUMIFS(Trato_Diario!$G$4:$G$203,Trato_Diario!$A$4:$A$203,$A33)=0),"",SUMIFS(Trato_Diario!$J$4:$J$203,Trato_Diario!$A$4:$A$203,$A33)/SUMIFS(Trato_Diario!$G$4:$G$203,Trato_Diario!$A$4:$A$203,$A33))</f>
        <v>10.31111510791367</v>
      </c>
    </row>
    <row r="34" spans="1:8" ht="14.25" customHeight="1" x14ac:dyDescent="0.3">
      <c r="A34" s="71">
        <v>46221</v>
      </c>
      <c r="B34" s="46">
        <f>IF(OR($A34&gt;MAX(Trato_Diario!$A$4:$A$203),SUMIFS(Trato_Diario!$G$4:$G$203,Trato_Diario!$B$4:$B$203,B$5,Trato_Diario!$A$4:$A$203,$A34)=0),"",SUMIFS(Trato_Diario!$J$4:$J$203,Trato_Diario!$B$4:$B$203,B$5,Trato_Diario!$A$4:$A$203,$A34)/SUMIFS(Trato_Diario!$G$4:$G$203,Trato_Diario!$B$4:$B$203,B$5,Trato_Diario!$A$4:$A$203,$A34))</f>
        <v>15.6585</v>
      </c>
      <c r="C34" s="46">
        <f>IF(OR($A34&gt;MAX(Trato_Diario!$A$4:$A$203),SUMIFS(Trato_Diario!$G$4:$G$203,Trato_Diario!$B$4:$B$203,C$5,Trato_Diario!$A$4:$A$203,$A34)=0),"",SUMIFS(Trato_Diario!$J$4:$J$203,Trato_Diario!$B$4:$B$203,C$5,Trato_Diario!$A$4:$A$203,$A34)/SUMIFS(Trato_Diario!$G$4:$G$203,Trato_Diario!$B$4:$B$203,C$5,Trato_Diario!$A$4:$A$203,$A34))</f>
        <v>11.940260869565218</v>
      </c>
      <c r="D34" s="46">
        <f>IF(OR($A34&gt;MAX(Trato_Diario!$A$4:$A$203),SUMIFS(Trato_Diario!$G$4:$G$203,Trato_Diario!$B$4:$B$203,D$5,Trato_Diario!$A$4:$A$203,$A34)=0),"",SUMIFS(Trato_Diario!$J$4:$J$203,Trato_Diario!$B$4:$B$203,D$5,Trato_Diario!$A$4:$A$203,$A34)/SUMIFS(Trato_Diario!$G$4:$G$203,Trato_Diario!$B$4:$B$203,D$5,Trato_Diario!$A$4:$A$203,$A34))</f>
        <v>7.5992727272727283</v>
      </c>
      <c r="E34" s="46">
        <f>IF(OR($A34&gt;MAX(Trato_Diario!$A$4:$A$203),SUMIFS(Trato_Diario!$G$4:$G$203,Trato_Diario!$B$4:$B$203,E$5,Trato_Diario!$A$4:$A$203,$A34)=0),"",SUMIFS(Trato_Diario!$J$4:$J$203,Trato_Diario!$B$4:$B$203,E$5,Trato_Diario!$A$4:$A$203,$A34)/SUMIFS(Trato_Diario!$G$4:$G$203,Trato_Diario!$B$4:$B$203,E$5,Trato_Diario!$A$4:$A$203,$A34))</f>
        <v>16.149482758620692</v>
      </c>
      <c r="F34" s="46" t="str">
        <f>IF(OR($A34&gt;MAX(Trato_Diario!$A$4:$A$203),SUMIFS(Trato_Diario!$G$4:$G$203,Trato_Diario!$B$4:$B$203,F$5,Trato_Diario!$A$4:$A$203,$A34)=0),"",SUMIFS(Trato_Diario!$J$4:$J$203,Trato_Diario!$B$4:$B$203,F$5,Trato_Diario!$A$4:$A$203,$A34)/SUMIFS(Trato_Diario!$G$4:$G$203,Trato_Diario!$B$4:$B$203,F$5,Trato_Diario!$A$4:$A$203,$A34))</f>
        <v/>
      </c>
      <c r="G34" s="46" t="str">
        <f>IF(OR($A34&gt;MAX(Trato_Diario!$A$4:$A$203),SUMIFS(Trato_Diario!$G$4:$G$203,Trato_Diario!$B$4:$B$203,G$5,Trato_Diario!$A$4:$A$203,$A34)=0),"",SUMIFS(Trato_Diario!$J$4:$J$203,Trato_Diario!$B$4:$B$203,G$5,Trato_Diario!$A$4:$A$203,$A34)/SUMIFS(Trato_Diario!$G$4:$G$203,Trato_Diario!$B$4:$B$203,G$5,Trato_Diario!$A$4:$A$203,$A34))</f>
        <v/>
      </c>
      <c r="H34" s="57">
        <f>IF(OR($A34&gt;MAX(Trato_Diario!$A$4:$A$203),SUMIFS(Trato_Diario!$G$4:$G$203,Trato_Diario!$A$4:$A$203,$A34)=0),"",SUMIFS(Trato_Diario!$J$4:$J$203,Trato_Diario!$A$4:$A$203,$A34)/SUMIFS(Trato_Diario!$G$4:$G$203,Trato_Diario!$A$4:$A$203,$A34))</f>
        <v>10.31111510791367</v>
      </c>
    </row>
    <row r="35" spans="1:8" ht="14.25" customHeight="1" x14ac:dyDescent="0.3">
      <c r="A35" s="72">
        <v>46222</v>
      </c>
      <c r="B35" s="20">
        <f>IF(OR($A35&gt;MAX(Trato_Diario!$A$4:$A$203),SUMIFS(Trato_Diario!$G$4:$G$203,Trato_Diario!$B$4:$B$203,B$5,Trato_Diario!$A$4:$A$203,$A35)=0),"",SUMIFS(Trato_Diario!$J$4:$J$203,Trato_Diario!$B$4:$B$203,B$5,Trato_Diario!$A$4:$A$203,$A35)/SUMIFS(Trato_Diario!$G$4:$G$203,Trato_Diario!$B$4:$B$203,B$5,Trato_Diario!$A$4:$A$203,$A35))</f>
        <v>15.6585</v>
      </c>
      <c r="C35" s="20">
        <f>IF(OR($A35&gt;MAX(Trato_Diario!$A$4:$A$203),SUMIFS(Trato_Diario!$G$4:$G$203,Trato_Diario!$B$4:$B$203,C$5,Trato_Diario!$A$4:$A$203,$A35)=0),"",SUMIFS(Trato_Diario!$J$4:$J$203,Trato_Diario!$B$4:$B$203,C$5,Trato_Diario!$A$4:$A$203,$A35)/SUMIFS(Trato_Diario!$G$4:$G$203,Trato_Diario!$B$4:$B$203,C$5,Trato_Diario!$A$4:$A$203,$A35))</f>
        <v>11.940260869565218</v>
      </c>
      <c r="D35" s="20">
        <f>IF(OR($A35&gt;MAX(Trato_Diario!$A$4:$A$203),SUMIFS(Trato_Diario!$G$4:$G$203,Trato_Diario!$B$4:$B$203,D$5,Trato_Diario!$A$4:$A$203,$A35)=0),"",SUMIFS(Trato_Diario!$J$4:$J$203,Trato_Diario!$B$4:$B$203,D$5,Trato_Diario!$A$4:$A$203,$A35)/SUMIFS(Trato_Diario!$G$4:$G$203,Trato_Diario!$B$4:$B$203,D$5,Trato_Diario!$A$4:$A$203,$A35))</f>
        <v>7.5992727272727283</v>
      </c>
      <c r="E35" s="20">
        <f>IF(OR($A35&gt;MAX(Trato_Diario!$A$4:$A$203),SUMIFS(Trato_Diario!$G$4:$G$203,Trato_Diario!$B$4:$B$203,E$5,Trato_Diario!$A$4:$A$203,$A35)=0),"",SUMIFS(Trato_Diario!$J$4:$J$203,Trato_Diario!$B$4:$B$203,E$5,Trato_Diario!$A$4:$A$203,$A35)/SUMIFS(Trato_Diario!$G$4:$G$203,Trato_Diario!$B$4:$B$203,E$5,Trato_Diario!$A$4:$A$203,$A35))</f>
        <v>16.149482758620692</v>
      </c>
      <c r="F35" s="20" t="str">
        <f>IF(OR($A35&gt;MAX(Trato_Diario!$A$4:$A$203),SUMIFS(Trato_Diario!$G$4:$G$203,Trato_Diario!$B$4:$B$203,F$5,Trato_Diario!$A$4:$A$203,$A35)=0),"",SUMIFS(Trato_Diario!$J$4:$J$203,Trato_Diario!$B$4:$B$203,F$5,Trato_Diario!$A$4:$A$203,$A35)/SUMIFS(Trato_Diario!$G$4:$G$203,Trato_Diario!$B$4:$B$203,F$5,Trato_Diario!$A$4:$A$203,$A35))</f>
        <v/>
      </c>
      <c r="G35" s="20" t="str">
        <f>IF(OR($A35&gt;MAX(Trato_Diario!$A$4:$A$203),SUMIFS(Trato_Diario!$G$4:$G$203,Trato_Diario!$B$4:$B$203,G$5,Trato_Diario!$A$4:$A$203,$A35)=0),"",SUMIFS(Trato_Diario!$J$4:$J$203,Trato_Diario!$B$4:$B$203,G$5,Trato_Diario!$A$4:$A$203,$A35)/SUMIFS(Trato_Diario!$G$4:$G$203,Trato_Diario!$B$4:$B$203,G$5,Trato_Diario!$A$4:$A$203,$A35))</f>
        <v/>
      </c>
      <c r="H35" s="59">
        <f>IF(OR($A35&gt;MAX(Trato_Diario!$A$4:$A$203),SUMIFS(Trato_Diario!$G$4:$G$203,Trato_Diario!$A$4:$A$203,$A35)=0),"",SUMIFS(Trato_Diario!$J$4:$J$203,Trato_Diario!$A$4:$A$203,$A35)/SUMIFS(Trato_Diario!$G$4:$G$203,Trato_Diario!$A$4:$A$203,$A35))</f>
        <v>10.31111510791367</v>
      </c>
    </row>
    <row r="36" spans="1:8" ht="14.25" customHeight="1" x14ac:dyDescent="0.3">
      <c r="A36" s="71">
        <v>46223</v>
      </c>
      <c r="B36" s="46">
        <f>IF(OR($A36&gt;MAX(Trato_Diario!$A$4:$A$203),SUMIFS(Trato_Diario!$G$4:$G$203,Trato_Diario!$B$4:$B$203,B$5,Trato_Diario!$A$4:$A$203,$A36)=0),"",SUMIFS(Trato_Diario!$J$4:$J$203,Trato_Diario!$B$4:$B$203,B$5,Trato_Diario!$A$4:$A$203,$A36)/SUMIFS(Trato_Diario!$G$4:$G$203,Trato_Diario!$B$4:$B$203,B$5,Trato_Diario!$A$4:$A$203,$A36))</f>
        <v>15.6585</v>
      </c>
      <c r="C36" s="46">
        <f>IF(OR($A36&gt;MAX(Trato_Diario!$A$4:$A$203),SUMIFS(Trato_Diario!$G$4:$G$203,Trato_Diario!$B$4:$B$203,C$5,Trato_Diario!$A$4:$A$203,$A36)=0),"",SUMIFS(Trato_Diario!$J$4:$J$203,Trato_Diario!$B$4:$B$203,C$5,Trato_Diario!$A$4:$A$203,$A36)/SUMIFS(Trato_Diario!$G$4:$G$203,Trato_Diario!$B$4:$B$203,C$5,Trato_Diario!$A$4:$A$203,$A36))</f>
        <v>11.940260869565218</v>
      </c>
      <c r="D36" s="46">
        <f>IF(OR($A36&gt;MAX(Trato_Diario!$A$4:$A$203),SUMIFS(Trato_Diario!$G$4:$G$203,Trato_Diario!$B$4:$B$203,D$5,Trato_Diario!$A$4:$A$203,$A36)=0),"",SUMIFS(Trato_Diario!$J$4:$J$203,Trato_Diario!$B$4:$B$203,D$5,Trato_Diario!$A$4:$A$203,$A36)/SUMIFS(Trato_Diario!$G$4:$G$203,Trato_Diario!$B$4:$B$203,D$5,Trato_Diario!$A$4:$A$203,$A36))</f>
        <v>7.9159090909090919</v>
      </c>
      <c r="E36" s="46">
        <f>IF(OR($A36&gt;MAX(Trato_Diario!$A$4:$A$203),SUMIFS(Trato_Diario!$G$4:$G$203,Trato_Diario!$B$4:$B$203,E$5,Trato_Diario!$A$4:$A$203,$A36)=0),"",SUMIFS(Trato_Diario!$J$4:$J$203,Trato_Diario!$B$4:$B$203,E$5,Trato_Diario!$A$4:$A$203,$A36)/SUMIFS(Trato_Diario!$G$4:$G$203,Trato_Diario!$B$4:$B$203,E$5,Trato_Diario!$A$4:$A$203,$A36))</f>
        <v>16.149482758620692</v>
      </c>
      <c r="F36" s="46" t="str">
        <f>IF(OR($A36&gt;MAX(Trato_Diario!$A$4:$A$203),SUMIFS(Trato_Diario!$G$4:$G$203,Trato_Diario!$B$4:$B$203,F$5,Trato_Diario!$A$4:$A$203,$A36)=0),"",SUMIFS(Trato_Diario!$J$4:$J$203,Trato_Diario!$B$4:$B$203,F$5,Trato_Diario!$A$4:$A$203,$A36)/SUMIFS(Trato_Diario!$G$4:$G$203,Trato_Diario!$B$4:$B$203,F$5,Trato_Diario!$A$4:$A$203,$A36))</f>
        <v/>
      </c>
      <c r="G36" s="46" t="str">
        <f>IF(OR($A36&gt;MAX(Trato_Diario!$A$4:$A$203),SUMIFS(Trato_Diario!$G$4:$G$203,Trato_Diario!$B$4:$B$203,G$5,Trato_Diario!$A$4:$A$203,$A36)=0),"",SUMIFS(Trato_Diario!$J$4:$J$203,Trato_Diario!$B$4:$B$203,G$5,Trato_Diario!$A$4:$A$203,$A36)/SUMIFS(Trato_Diario!$G$4:$G$203,Trato_Diario!$B$4:$B$203,G$5,Trato_Diario!$A$4:$A$203,$A36))</f>
        <v/>
      </c>
      <c r="H36" s="57">
        <f>IF(OR($A36&gt;MAX(Trato_Diario!$A$4:$A$203),SUMIFS(Trato_Diario!$G$4:$G$203,Trato_Diario!$A$4:$A$203,$A36)=0),"",SUMIFS(Trato_Diario!$J$4:$J$203,Trato_Diario!$A$4:$A$203,$A36)/SUMIFS(Trato_Diario!$G$4:$G$203,Trato_Diario!$A$4:$A$203,$A36))</f>
        <v>10.499046762589931</v>
      </c>
    </row>
    <row r="37" spans="1:8" ht="14.25" customHeight="1" x14ac:dyDescent="0.3">
      <c r="A37" s="72">
        <v>46224</v>
      </c>
      <c r="B37" s="20">
        <f>IF(OR($A37&gt;MAX(Trato_Diario!$A$4:$A$203),SUMIFS(Trato_Diario!$G$4:$G$203,Trato_Diario!$B$4:$B$203,B$5,Trato_Diario!$A$4:$A$203,$A37)=0),"",SUMIFS(Trato_Diario!$J$4:$J$203,Trato_Diario!$B$4:$B$203,B$5,Trato_Diario!$A$4:$A$203,$A37)/SUMIFS(Trato_Diario!$G$4:$G$203,Trato_Diario!$B$4:$B$203,B$5,Trato_Diario!$A$4:$A$203,$A37))</f>
        <v>15.6585</v>
      </c>
      <c r="C37" s="20">
        <f>IF(OR($A37&gt;MAX(Trato_Diario!$A$4:$A$203),SUMIFS(Trato_Diario!$G$4:$G$203,Trato_Diario!$B$4:$B$203,C$5,Trato_Diario!$A$4:$A$203,$A37)=0),"",SUMIFS(Trato_Diario!$J$4:$J$203,Trato_Diario!$B$4:$B$203,C$5,Trato_Diario!$A$4:$A$203,$A37)/SUMIFS(Trato_Diario!$G$4:$G$203,Trato_Diario!$B$4:$B$203,C$5,Trato_Diario!$A$4:$A$203,$A37))</f>
        <v>11.940260869565218</v>
      </c>
      <c r="D37" s="20">
        <f>IF(OR($A37&gt;MAX(Trato_Diario!$A$4:$A$203),SUMIFS(Trato_Diario!$G$4:$G$203,Trato_Diario!$B$4:$B$203,D$5,Trato_Diario!$A$4:$A$203,$A37)=0),"",SUMIFS(Trato_Diario!$J$4:$J$203,Trato_Diario!$B$4:$B$203,D$5,Trato_Diario!$A$4:$A$203,$A37)/SUMIFS(Trato_Diario!$G$4:$G$203,Trato_Diario!$B$4:$B$203,D$5,Trato_Diario!$A$4:$A$203,$A37))</f>
        <v>7.9159090909090919</v>
      </c>
      <c r="E37" s="20">
        <f>IF(OR($A37&gt;MAX(Trato_Diario!$A$4:$A$203),SUMIFS(Trato_Diario!$G$4:$G$203,Trato_Diario!$B$4:$B$203,E$5,Trato_Diario!$A$4:$A$203,$A37)=0),"",SUMIFS(Trato_Diario!$J$4:$J$203,Trato_Diario!$B$4:$B$203,E$5,Trato_Diario!$A$4:$A$203,$A37)/SUMIFS(Trato_Diario!$G$4:$G$203,Trato_Diario!$B$4:$B$203,E$5,Trato_Diario!$A$4:$A$203,$A37))</f>
        <v>16.149482758620692</v>
      </c>
      <c r="F37" s="20" t="str">
        <f>IF(OR($A37&gt;MAX(Trato_Diario!$A$4:$A$203),SUMIFS(Trato_Diario!$G$4:$G$203,Trato_Diario!$B$4:$B$203,F$5,Trato_Diario!$A$4:$A$203,$A37)=0),"",SUMIFS(Trato_Diario!$J$4:$J$203,Trato_Diario!$B$4:$B$203,F$5,Trato_Diario!$A$4:$A$203,$A37)/SUMIFS(Trato_Diario!$G$4:$G$203,Trato_Diario!$B$4:$B$203,F$5,Trato_Diario!$A$4:$A$203,$A37))</f>
        <v/>
      </c>
      <c r="G37" s="20" t="str">
        <f>IF(OR($A37&gt;MAX(Trato_Diario!$A$4:$A$203),SUMIFS(Trato_Diario!$G$4:$G$203,Trato_Diario!$B$4:$B$203,G$5,Trato_Diario!$A$4:$A$203,$A37)=0),"",SUMIFS(Trato_Diario!$J$4:$J$203,Trato_Diario!$B$4:$B$203,G$5,Trato_Diario!$A$4:$A$203,$A37)/SUMIFS(Trato_Diario!$G$4:$G$203,Trato_Diario!$B$4:$B$203,G$5,Trato_Diario!$A$4:$A$203,$A37))</f>
        <v/>
      </c>
      <c r="H37" s="59">
        <f>IF(OR($A37&gt;MAX(Trato_Diario!$A$4:$A$203),SUMIFS(Trato_Diario!$G$4:$G$203,Trato_Diario!$A$4:$A$203,$A37)=0),"",SUMIFS(Trato_Diario!$J$4:$J$203,Trato_Diario!$A$4:$A$203,$A37)/SUMIFS(Trato_Diario!$G$4:$G$203,Trato_Diario!$A$4:$A$203,$A37))</f>
        <v>10.499046762589931</v>
      </c>
    </row>
    <row r="38" spans="1:8" ht="14.25" customHeight="1" x14ac:dyDescent="0.3">
      <c r="A38" s="71">
        <v>46225</v>
      </c>
      <c r="B38" s="46">
        <f>IF(OR($A38&gt;MAX(Trato_Diario!$A$4:$A$203),SUMIFS(Trato_Diario!$G$4:$G$203,Trato_Diario!$B$4:$B$203,B$5,Trato_Diario!$A$4:$A$203,$A38)=0),"",SUMIFS(Trato_Diario!$J$4:$J$203,Trato_Diario!$B$4:$B$203,B$5,Trato_Diario!$A$4:$A$203,$A38)/SUMIFS(Trato_Diario!$G$4:$G$203,Trato_Diario!$B$4:$B$203,B$5,Trato_Diario!$A$4:$A$203,$A38))</f>
        <v>15.6585</v>
      </c>
      <c r="C38" s="46">
        <f>IF(OR($A38&gt;MAX(Trato_Diario!$A$4:$A$203),SUMIFS(Trato_Diario!$G$4:$G$203,Trato_Diario!$B$4:$B$203,C$5,Trato_Diario!$A$4:$A$203,$A38)=0),"",SUMIFS(Trato_Diario!$J$4:$J$203,Trato_Diario!$B$4:$B$203,C$5,Trato_Diario!$A$4:$A$203,$A38)/SUMIFS(Trato_Diario!$G$4:$G$203,Trato_Diario!$B$4:$B$203,C$5,Trato_Diario!$A$4:$A$203,$A38))</f>
        <v>11.940260869565218</v>
      </c>
      <c r="D38" s="46">
        <f>IF(OR($A38&gt;MAX(Trato_Diario!$A$4:$A$203),SUMIFS(Trato_Diario!$G$4:$G$203,Trato_Diario!$B$4:$B$203,D$5,Trato_Diario!$A$4:$A$203,$A38)=0),"",SUMIFS(Trato_Diario!$J$4:$J$203,Trato_Diario!$B$4:$B$203,D$5,Trato_Diario!$A$4:$A$203,$A38)/SUMIFS(Trato_Diario!$G$4:$G$203,Trato_Diario!$B$4:$B$203,D$5,Trato_Diario!$A$4:$A$203,$A38))</f>
        <v>7.9159090909090919</v>
      </c>
      <c r="E38" s="46">
        <f>IF(OR($A38&gt;MAX(Trato_Diario!$A$4:$A$203),SUMIFS(Trato_Diario!$G$4:$G$203,Trato_Diario!$B$4:$B$203,E$5,Trato_Diario!$A$4:$A$203,$A38)=0),"",SUMIFS(Trato_Diario!$J$4:$J$203,Trato_Diario!$B$4:$B$203,E$5,Trato_Diario!$A$4:$A$203,$A38)/SUMIFS(Trato_Diario!$G$4:$G$203,Trato_Diario!$B$4:$B$203,E$5,Trato_Diario!$A$4:$A$203,$A38))</f>
        <v>16.149482758620692</v>
      </c>
      <c r="F38" s="46" t="str">
        <f>IF(OR($A38&gt;MAX(Trato_Diario!$A$4:$A$203),SUMIFS(Trato_Diario!$G$4:$G$203,Trato_Diario!$B$4:$B$203,F$5,Trato_Diario!$A$4:$A$203,$A38)=0),"",SUMIFS(Trato_Diario!$J$4:$J$203,Trato_Diario!$B$4:$B$203,F$5,Trato_Diario!$A$4:$A$203,$A38)/SUMIFS(Trato_Diario!$G$4:$G$203,Trato_Diario!$B$4:$B$203,F$5,Trato_Diario!$A$4:$A$203,$A38))</f>
        <v/>
      </c>
      <c r="G38" s="46" t="str">
        <f>IF(OR($A38&gt;MAX(Trato_Diario!$A$4:$A$203),SUMIFS(Trato_Diario!$G$4:$G$203,Trato_Diario!$B$4:$B$203,G$5,Trato_Diario!$A$4:$A$203,$A38)=0),"",SUMIFS(Trato_Diario!$J$4:$J$203,Trato_Diario!$B$4:$B$203,G$5,Trato_Diario!$A$4:$A$203,$A38)/SUMIFS(Trato_Diario!$G$4:$G$203,Trato_Diario!$B$4:$B$203,G$5,Trato_Diario!$A$4:$A$203,$A38))</f>
        <v/>
      </c>
      <c r="H38" s="57">
        <f>IF(OR($A38&gt;MAX(Trato_Diario!$A$4:$A$203),SUMIFS(Trato_Diario!$G$4:$G$203,Trato_Diario!$A$4:$A$203,$A38)=0),"",SUMIFS(Trato_Diario!$J$4:$J$203,Trato_Diario!$A$4:$A$203,$A38)/SUMIFS(Trato_Diario!$G$4:$G$203,Trato_Diario!$A$4:$A$203,$A38))</f>
        <v>10.499046762589931</v>
      </c>
    </row>
    <row r="39" spans="1:8" ht="14.25" customHeight="1" x14ac:dyDescent="0.3">
      <c r="A39" s="72">
        <v>46226</v>
      </c>
      <c r="B39" s="20">
        <f>IF(OR($A39&gt;MAX(Trato_Diario!$A$4:$A$203),SUMIFS(Trato_Diario!$G$4:$G$203,Trato_Diario!$B$4:$B$203,B$5,Trato_Diario!$A$4:$A$203,$A39)=0),"",SUMIFS(Trato_Diario!$J$4:$J$203,Trato_Diario!$B$4:$B$203,B$5,Trato_Diario!$A$4:$A$203,$A39)/SUMIFS(Trato_Diario!$G$4:$G$203,Trato_Diario!$B$4:$B$203,B$5,Trato_Diario!$A$4:$A$203,$A39))</f>
        <v>15.6585</v>
      </c>
      <c r="C39" s="20">
        <f>IF(OR($A39&gt;MAX(Trato_Diario!$A$4:$A$203),SUMIFS(Trato_Diario!$G$4:$G$203,Trato_Diario!$B$4:$B$203,C$5,Trato_Diario!$A$4:$A$203,$A39)=0),"",SUMIFS(Trato_Diario!$J$4:$J$203,Trato_Diario!$B$4:$B$203,C$5,Trato_Diario!$A$4:$A$203,$A39)/SUMIFS(Trato_Diario!$G$4:$G$203,Trato_Diario!$B$4:$B$203,C$5,Trato_Diario!$A$4:$A$203,$A39))</f>
        <v>11.940260869565218</v>
      </c>
      <c r="D39" s="20">
        <f>IF(OR($A39&gt;MAX(Trato_Diario!$A$4:$A$203),SUMIFS(Trato_Diario!$G$4:$G$203,Trato_Diario!$B$4:$B$203,D$5,Trato_Diario!$A$4:$A$203,$A39)=0),"",SUMIFS(Trato_Diario!$J$4:$J$203,Trato_Diario!$B$4:$B$203,D$5,Trato_Diario!$A$4:$A$203,$A39)/SUMIFS(Trato_Diario!$G$4:$G$203,Trato_Diario!$B$4:$B$203,D$5,Trato_Diario!$A$4:$A$203,$A39))</f>
        <v>8.2325454545454555</v>
      </c>
      <c r="E39" s="20">
        <f>IF(OR($A39&gt;MAX(Trato_Diario!$A$4:$A$203),SUMIFS(Trato_Diario!$G$4:$G$203,Trato_Diario!$B$4:$B$203,E$5,Trato_Diario!$A$4:$A$203,$A39)=0),"",SUMIFS(Trato_Diario!$J$4:$J$203,Trato_Diario!$B$4:$B$203,E$5,Trato_Diario!$A$4:$A$203,$A39)/SUMIFS(Trato_Diario!$G$4:$G$203,Trato_Diario!$B$4:$B$203,E$5,Trato_Diario!$A$4:$A$203,$A39))</f>
        <v>16.149482758620692</v>
      </c>
      <c r="F39" s="20" t="str">
        <f>IF(OR($A39&gt;MAX(Trato_Diario!$A$4:$A$203),SUMIFS(Trato_Diario!$G$4:$G$203,Trato_Diario!$B$4:$B$203,F$5,Trato_Diario!$A$4:$A$203,$A39)=0),"",SUMIFS(Trato_Diario!$J$4:$J$203,Trato_Diario!$B$4:$B$203,F$5,Trato_Diario!$A$4:$A$203,$A39)/SUMIFS(Trato_Diario!$G$4:$G$203,Trato_Diario!$B$4:$B$203,F$5,Trato_Diario!$A$4:$A$203,$A39))</f>
        <v/>
      </c>
      <c r="G39" s="20" t="str">
        <f>IF(OR($A39&gt;MAX(Trato_Diario!$A$4:$A$203),SUMIFS(Trato_Diario!$G$4:$G$203,Trato_Diario!$B$4:$B$203,G$5,Trato_Diario!$A$4:$A$203,$A39)=0),"",SUMIFS(Trato_Diario!$J$4:$J$203,Trato_Diario!$B$4:$B$203,G$5,Trato_Diario!$A$4:$A$203,$A39)/SUMIFS(Trato_Diario!$G$4:$G$203,Trato_Diario!$B$4:$B$203,G$5,Trato_Diario!$A$4:$A$203,$A39))</f>
        <v/>
      </c>
      <c r="H39" s="59">
        <f>IF(OR($A39&gt;MAX(Trato_Diario!$A$4:$A$203),SUMIFS(Trato_Diario!$G$4:$G$203,Trato_Diario!$A$4:$A$203,$A39)=0),"",SUMIFS(Trato_Diario!$J$4:$J$203,Trato_Diario!$A$4:$A$203,$A39)/SUMIFS(Trato_Diario!$G$4:$G$203,Trato_Diario!$A$4:$A$203,$A39))</f>
        <v>10.686978417266189</v>
      </c>
    </row>
    <row r="40" spans="1:8" ht="14.25" customHeight="1" x14ac:dyDescent="0.3">
      <c r="A40" s="71">
        <v>46227</v>
      </c>
      <c r="B40" s="46">
        <f>IF(OR($A40&gt;MAX(Trato_Diario!$A$4:$A$203),SUMIFS(Trato_Diario!$G$4:$G$203,Trato_Diario!$B$4:$B$203,B$5,Trato_Diario!$A$4:$A$203,$A40)=0),"",SUMIFS(Trato_Diario!$J$4:$J$203,Trato_Diario!$B$4:$B$203,B$5,Trato_Diario!$A$4:$A$203,$A40)/SUMIFS(Trato_Diario!$G$4:$G$203,Trato_Diario!$B$4:$B$203,B$5,Trato_Diario!$A$4:$A$203,$A40))</f>
        <v>15.6585</v>
      </c>
      <c r="C40" s="46">
        <f>IF(OR($A40&gt;MAX(Trato_Diario!$A$4:$A$203),SUMIFS(Trato_Diario!$G$4:$G$203,Trato_Diario!$B$4:$B$203,C$5,Trato_Diario!$A$4:$A$203,$A40)=0),"",SUMIFS(Trato_Diario!$J$4:$J$203,Trato_Diario!$B$4:$B$203,C$5,Trato_Diario!$A$4:$A$203,$A40)/SUMIFS(Trato_Diario!$G$4:$G$203,Trato_Diario!$B$4:$B$203,C$5,Trato_Diario!$A$4:$A$203,$A40))</f>
        <v>11.940260869565218</v>
      </c>
      <c r="D40" s="46">
        <f>IF(OR($A40&gt;MAX(Trato_Diario!$A$4:$A$203),SUMIFS(Trato_Diario!$G$4:$G$203,Trato_Diario!$B$4:$B$203,D$5,Trato_Diario!$A$4:$A$203,$A40)=0),"",SUMIFS(Trato_Diario!$J$4:$J$203,Trato_Diario!$B$4:$B$203,D$5,Trato_Diario!$A$4:$A$203,$A40)/SUMIFS(Trato_Diario!$G$4:$G$203,Trato_Diario!$B$4:$B$203,D$5,Trato_Diario!$A$4:$A$203,$A40))</f>
        <v>8.2325454545454555</v>
      </c>
      <c r="E40" s="46">
        <f>IF(OR($A40&gt;MAX(Trato_Diario!$A$4:$A$203),SUMIFS(Trato_Diario!$G$4:$G$203,Trato_Diario!$B$4:$B$203,E$5,Trato_Diario!$A$4:$A$203,$A40)=0),"",SUMIFS(Trato_Diario!$J$4:$J$203,Trato_Diario!$B$4:$B$203,E$5,Trato_Diario!$A$4:$A$203,$A40)/SUMIFS(Trato_Diario!$G$4:$G$203,Trato_Diario!$B$4:$B$203,E$5,Trato_Diario!$A$4:$A$203,$A40))</f>
        <v>16.149482758620692</v>
      </c>
      <c r="F40" s="46" t="str">
        <f>IF(OR($A40&gt;MAX(Trato_Diario!$A$4:$A$203),SUMIFS(Trato_Diario!$G$4:$G$203,Trato_Diario!$B$4:$B$203,F$5,Trato_Diario!$A$4:$A$203,$A40)=0),"",SUMIFS(Trato_Diario!$J$4:$J$203,Trato_Diario!$B$4:$B$203,F$5,Trato_Diario!$A$4:$A$203,$A40)/SUMIFS(Trato_Diario!$G$4:$G$203,Trato_Diario!$B$4:$B$203,F$5,Trato_Diario!$A$4:$A$203,$A40))</f>
        <v/>
      </c>
      <c r="G40" s="46" t="str">
        <f>IF(OR($A40&gt;MAX(Trato_Diario!$A$4:$A$203),SUMIFS(Trato_Diario!$G$4:$G$203,Trato_Diario!$B$4:$B$203,G$5,Trato_Diario!$A$4:$A$203,$A40)=0),"",SUMIFS(Trato_Diario!$J$4:$J$203,Trato_Diario!$B$4:$B$203,G$5,Trato_Diario!$A$4:$A$203,$A40)/SUMIFS(Trato_Diario!$G$4:$G$203,Trato_Diario!$B$4:$B$203,G$5,Trato_Diario!$A$4:$A$203,$A40))</f>
        <v/>
      </c>
      <c r="H40" s="57">
        <f>IF(OR($A40&gt;MAX(Trato_Diario!$A$4:$A$203),SUMIFS(Trato_Diario!$G$4:$G$203,Trato_Diario!$A$4:$A$203,$A40)=0),"",SUMIFS(Trato_Diario!$J$4:$J$203,Trato_Diario!$A$4:$A$203,$A40)/SUMIFS(Trato_Diario!$G$4:$G$203,Trato_Diario!$A$4:$A$203,$A40))</f>
        <v>10.686978417266189</v>
      </c>
    </row>
    <row r="41" spans="1:8" ht="14.25" customHeight="1" x14ac:dyDescent="0.3">
      <c r="A41" s="72">
        <v>46228</v>
      </c>
      <c r="B41" s="20">
        <f>IF(OR($A41&gt;MAX(Trato_Diario!$A$4:$A$203),SUMIFS(Trato_Diario!$G$4:$G$203,Trato_Diario!$B$4:$B$203,B$5,Trato_Diario!$A$4:$A$203,$A41)=0),"",SUMIFS(Trato_Diario!$J$4:$J$203,Trato_Diario!$B$4:$B$203,B$5,Trato_Diario!$A$4:$A$203,$A41)/SUMIFS(Trato_Diario!$G$4:$G$203,Trato_Diario!$B$4:$B$203,B$5,Trato_Diario!$A$4:$A$203,$A41))</f>
        <v>15.6585</v>
      </c>
      <c r="C41" s="20">
        <f>IF(OR($A41&gt;MAX(Trato_Diario!$A$4:$A$203),SUMIFS(Trato_Diario!$G$4:$G$203,Trato_Diario!$B$4:$B$203,C$5,Trato_Diario!$A$4:$A$203,$A41)=0),"",SUMIFS(Trato_Diario!$J$4:$J$203,Trato_Diario!$B$4:$B$203,C$5,Trato_Diario!$A$4:$A$203,$A41)/SUMIFS(Trato_Diario!$G$4:$G$203,Trato_Diario!$B$4:$B$203,C$5,Trato_Diario!$A$4:$A$203,$A41))</f>
        <v>11.940260869565218</v>
      </c>
      <c r="D41" s="20">
        <f>IF(OR($A41&gt;MAX(Trato_Diario!$A$4:$A$203),SUMIFS(Trato_Diario!$G$4:$G$203,Trato_Diario!$B$4:$B$203,D$5,Trato_Diario!$A$4:$A$203,$A41)=0),"",SUMIFS(Trato_Diario!$J$4:$J$203,Trato_Diario!$B$4:$B$203,D$5,Trato_Diario!$A$4:$A$203,$A41)/SUMIFS(Trato_Diario!$G$4:$G$203,Trato_Diario!$B$4:$B$203,D$5,Trato_Diario!$A$4:$A$203,$A41))</f>
        <v>8.2325454545454555</v>
      </c>
      <c r="E41" s="20">
        <f>IF(OR($A41&gt;MAX(Trato_Diario!$A$4:$A$203),SUMIFS(Trato_Diario!$G$4:$G$203,Trato_Diario!$B$4:$B$203,E$5,Trato_Diario!$A$4:$A$203,$A41)=0),"",SUMIFS(Trato_Diario!$J$4:$J$203,Trato_Diario!$B$4:$B$203,E$5,Trato_Diario!$A$4:$A$203,$A41)/SUMIFS(Trato_Diario!$G$4:$G$203,Trato_Diario!$B$4:$B$203,E$5,Trato_Diario!$A$4:$A$203,$A41))</f>
        <v>16.149482758620692</v>
      </c>
      <c r="F41" s="20" t="str">
        <f>IF(OR($A41&gt;MAX(Trato_Diario!$A$4:$A$203),SUMIFS(Trato_Diario!$G$4:$G$203,Trato_Diario!$B$4:$B$203,F$5,Trato_Diario!$A$4:$A$203,$A41)=0),"",SUMIFS(Trato_Diario!$J$4:$J$203,Trato_Diario!$B$4:$B$203,F$5,Trato_Diario!$A$4:$A$203,$A41)/SUMIFS(Trato_Diario!$G$4:$G$203,Trato_Diario!$B$4:$B$203,F$5,Trato_Diario!$A$4:$A$203,$A41))</f>
        <v/>
      </c>
      <c r="G41" s="20" t="str">
        <f>IF(OR($A41&gt;MAX(Trato_Diario!$A$4:$A$203),SUMIFS(Trato_Diario!$G$4:$G$203,Trato_Diario!$B$4:$B$203,G$5,Trato_Diario!$A$4:$A$203,$A41)=0),"",SUMIFS(Trato_Diario!$J$4:$J$203,Trato_Diario!$B$4:$B$203,G$5,Trato_Diario!$A$4:$A$203,$A41)/SUMIFS(Trato_Diario!$G$4:$G$203,Trato_Diario!$B$4:$B$203,G$5,Trato_Diario!$A$4:$A$203,$A41))</f>
        <v/>
      </c>
      <c r="H41" s="59">
        <f>IF(OR($A41&gt;MAX(Trato_Diario!$A$4:$A$203),SUMIFS(Trato_Diario!$G$4:$G$203,Trato_Diario!$A$4:$A$203,$A41)=0),"",SUMIFS(Trato_Diario!$J$4:$J$203,Trato_Diario!$A$4:$A$203,$A41)/SUMIFS(Trato_Diario!$G$4:$G$203,Trato_Diario!$A$4:$A$203,$A41))</f>
        <v>10.686978417266189</v>
      </c>
    </row>
    <row r="42" spans="1:8" ht="14.25" customHeight="1" x14ac:dyDescent="0.3">
      <c r="A42" s="71">
        <v>46229</v>
      </c>
      <c r="B42" s="46">
        <f>IF(OR($A42&gt;MAX(Trato_Diario!$A$4:$A$203),SUMIFS(Trato_Diario!$G$4:$G$203,Trato_Diario!$B$4:$B$203,B$5,Trato_Diario!$A$4:$A$203,$A42)=0),"",SUMIFS(Trato_Diario!$J$4:$J$203,Trato_Diario!$B$4:$B$203,B$5,Trato_Diario!$A$4:$A$203,$A42)/SUMIFS(Trato_Diario!$G$4:$G$203,Trato_Diario!$B$4:$B$203,B$5,Trato_Diario!$A$4:$A$203,$A42))</f>
        <v>15.6585</v>
      </c>
      <c r="C42" s="46">
        <f>IF(OR($A42&gt;MAX(Trato_Diario!$A$4:$A$203),SUMIFS(Trato_Diario!$G$4:$G$203,Trato_Diario!$B$4:$B$203,C$5,Trato_Diario!$A$4:$A$203,$A42)=0),"",SUMIFS(Trato_Diario!$J$4:$J$203,Trato_Diario!$B$4:$B$203,C$5,Trato_Diario!$A$4:$A$203,$A42)/SUMIFS(Trato_Diario!$G$4:$G$203,Trato_Diario!$B$4:$B$203,C$5,Trato_Diario!$A$4:$A$203,$A42))</f>
        <v>11.940260869565218</v>
      </c>
      <c r="D42" s="46">
        <f>IF(OR($A42&gt;MAX(Trato_Diario!$A$4:$A$203),SUMIFS(Trato_Diario!$G$4:$G$203,Trato_Diario!$B$4:$B$203,D$5,Trato_Diario!$A$4:$A$203,$A42)=0),"",SUMIFS(Trato_Diario!$J$4:$J$203,Trato_Diario!$B$4:$B$203,D$5,Trato_Diario!$A$4:$A$203,$A42)/SUMIFS(Trato_Diario!$G$4:$G$203,Trato_Diario!$B$4:$B$203,D$5,Trato_Diario!$A$4:$A$203,$A42))</f>
        <v>8.2325454545454555</v>
      </c>
      <c r="E42" s="46">
        <f>IF(OR($A42&gt;MAX(Trato_Diario!$A$4:$A$203),SUMIFS(Trato_Diario!$G$4:$G$203,Trato_Diario!$B$4:$B$203,E$5,Trato_Diario!$A$4:$A$203,$A42)=0),"",SUMIFS(Trato_Diario!$J$4:$J$203,Trato_Diario!$B$4:$B$203,E$5,Trato_Diario!$A$4:$A$203,$A42)/SUMIFS(Trato_Diario!$G$4:$G$203,Trato_Diario!$B$4:$B$203,E$5,Trato_Diario!$A$4:$A$203,$A42))</f>
        <v>16.149482758620692</v>
      </c>
      <c r="F42" s="46" t="str">
        <f>IF(OR($A42&gt;MAX(Trato_Diario!$A$4:$A$203),SUMIFS(Trato_Diario!$G$4:$G$203,Trato_Diario!$B$4:$B$203,F$5,Trato_Diario!$A$4:$A$203,$A42)=0),"",SUMIFS(Trato_Diario!$J$4:$J$203,Trato_Diario!$B$4:$B$203,F$5,Trato_Diario!$A$4:$A$203,$A42)/SUMIFS(Trato_Diario!$G$4:$G$203,Trato_Diario!$B$4:$B$203,F$5,Trato_Diario!$A$4:$A$203,$A42))</f>
        <v/>
      </c>
      <c r="G42" s="46" t="str">
        <f>IF(OR($A42&gt;MAX(Trato_Diario!$A$4:$A$203),SUMIFS(Trato_Diario!$G$4:$G$203,Trato_Diario!$B$4:$B$203,G$5,Trato_Diario!$A$4:$A$203,$A42)=0),"",SUMIFS(Trato_Diario!$J$4:$J$203,Trato_Diario!$B$4:$B$203,G$5,Trato_Diario!$A$4:$A$203,$A42)/SUMIFS(Trato_Diario!$G$4:$G$203,Trato_Diario!$B$4:$B$203,G$5,Trato_Diario!$A$4:$A$203,$A42))</f>
        <v/>
      </c>
      <c r="H42" s="57">
        <f>IF(OR($A42&gt;MAX(Trato_Diario!$A$4:$A$203),SUMIFS(Trato_Diario!$G$4:$G$203,Trato_Diario!$A$4:$A$203,$A42)=0),"",SUMIFS(Trato_Diario!$J$4:$J$203,Trato_Diario!$A$4:$A$203,$A42)/SUMIFS(Trato_Diario!$G$4:$G$203,Trato_Diario!$A$4:$A$203,$A42))</f>
        <v>10.686978417266189</v>
      </c>
    </row>
    <row r="43" spans="1:8" ht="14.25" customHeight="1" x14ac:dyDescent="0.3">
      <c r="A43" s="72">
        <v>46230</v>
      </c>
      <c r="B43" s="20">
        <f>IF(OR($A43&gt;MAX(Trato_Diario!$A$4:$A$203),SUMIFS(Trato_Diario!$G$4:$G$203,Trato_Diario!$B$4:$B$203,B$5,Trato_Diario!$A$4:$A$203,$A43)=0),"",SUMIFS(Trato_Diario!$J$4:$J$203,Trato_Diario!$B$4:$B$203,B$5,Trato_Diario!$A$4:$A$203,$A43)/SUMIFS(Trato_Diario!$G$4:$G$203,Trato_Diario!$B$4:$B$203,B$5,Trato_Diario!$A$4:$A$203,$A43))</f>
        <v>15.6585</v>
      </c>
      <c r="C43" s="20">
        <f>IF(OR($A43&gt;MAX(Trato_Diario!$A$4:$A$203),SUMIFS(Trato_Diario!$G$4:$G$203,Trato_Diario!$B$4:$B$203,C$5,Trato_Diario!$A$4:$A$203,$A43)=0),"",SUMIFS(Trato_Diario!$J$4:$J$203,Trato_Diario!$B$4:$B$203,C$5,Trato_Diario!$A$4:$A$203,$A43)/SUMIFS(Trato_Diario!$G$4:$G$203,Trato_Diario!$B$4:$B$203,C$5,Trato_Diario!$A$4:$A$203,$A43))</f>
        <v>11.940260869565218</v>
      </c>
      <c r="D43" s="20">
        <f>IF(OR($A43&gt;MAX(Trato_Diario!$A$4:$A$203),SUMIFS(Trato_Diario!$G$4:$G$203,Trato_Diario!$B$4:$B$203,D$5,Trato_Diario!$A$4:$A$203,$A43)=0),"",SUMIFS(Trato_Diario!$J$4:$J$203,Trato_Diario!$B$4:$B$203,D$5,Trato_Diario!$A$4:$A$203,$A43)/SUMIFS(Trato_Diario!$G$4:$G$203,Trato_Diario!$B$4:$B$203,D$5,Trato_Diario!$A$4:$A$203,$A43))</f>
        <v>8.2325454545454555</v>
      </c>
      <c r="E43" s="20">
        <f>IF(OR($A43&gt;MAX(Trato_Diario!$A$4:$A$203),SUMIFS(Trato_Diario!$G$4:$G$203,Trato_Diario!$B$4:$B$203,E$5,Trato_Diario!$A$4:$A$203,$A43)=0),"",SUMIFS(Trato_Diario!$J$4:$J$203,Trato_Diario!$B$4:$B$203,E$5,Trato_Diario!$A$4:$A$203,$A43)/SUMIFS(Trato_Diario!$G$4:$G$203,Trato_Diario!$B$4:$B$203,E$5,Trato_Diario!$A$4:$A$203,$A43))</f>
        <v>16.149482758620692</v>
      </c>
      <c r="F43" s="20" t="str">
        <f>IF(OR($A43&gt;MAX(Trato_Diario!$A$4:$A$203),SUMIFS(Trato_Diario!$G$4:$G$203,Trato_Diario!$B$4:$B$203,F$5,Trato_Diario!$A$4:$A$203,$A43)=0),"",SUMIFS(Trato_Diario!$J$4:$J$203,Trato_Diario!$B$4:$B$203,F$5,Trato_Diario!$A$4:$A$203,$A43)/SUMIFS(Trato_Diario!$G$4:$G$203,Trato_Diario!$B$4:$B$203,F$5,Trato_Diario!$A$4:$A$203,$A43))</f>
        <v/>
      </c>
      <c r="G43" s="20" t="str">
        <f>IF(OR($A43&gt;MAX(Trato_Diario!$A$4:$A$203),SUMIFS(Trato_Diario!$G$4:$G$203,Trato_Diario!$B$4:$B$203,G$5,Trato_Diario!$A$4:$A$203,$A43)=0),"",SUMIFS(Trato_Diario!$J$4:$J$203,Trato_Diario!$B$4:$B$203,G$5,Trato_Diario!$A$4:$A$203,$A43)/SUMIFS(Trato_Diario!$G$4:$G$203,Trato_Diario!$B$4:$B$203,G$5,Trato_Diario!$A$4:$A$203,$A43))</f>
        <v/>
      </c>
      <c r="H43" s="59">
        <f>IF(OR($A43&gt;MAX(Trato_Diario!$A$4:$A$203),SUMIFS(Trato_Diario!$G$4:$G$203,Trato_Diario!$A$4:$A$203,$A43)=0),"",SUMIFS(Trato_Diario!$J$4:$J$203,Trato_Diario!$A$4:$A$203,$A43)/SUMIFS(Trato_Diario!$G$4:$G$203,Trato_Diario!$A$4:$A$203,$A43))</f>
        <v>10.686978417266189</v>
      </c>
    </row>
    <row r="44" spans="1:8" ht="14.25" customHeight="1" x14ac:dyDescent="0.3">
      <c r="A44" s="71">
        <v>46231</v>
      </c>
      <c r="B44" s="46">
        <f>IF(OR($A44&gt;MAX(Trato_Diario!$A$4:$A$203),SUMIFS(Trato_Diario!$G$4:$G$203,Trato_Diario!$B$4:$B$203,B$5,Trato_Diario!$A$4:$A$203,$A44)=0),"",SUMIFS(Trato_Diario!$J$4:$J$203,Trato_Diario!$B$4:$B$203,B$5,Trato_Diario!$A$4:$A$203,$A44)/SUMIFS(Trato_Diario!$G$4:$G$203,Trato_Diario!$B$4:$B$203,B$5,Trato_Diario!$A$4:$A$203,$A44))</f>
        <v>15.6585</v>
      </c>
      <c r="C44" s="46">
        <f>IF(OR($A44&gt;MAX(Trato_Diario!$A$4:$A$203),SUMIFS(Trato_Diario!$G$4:$G$203,Trato_Diario!$B$4:$B$203,C$5,Trato_Diario!$A$4:$A$203,$A44)=0),"",SUMIFS(Trato_Diario!$J$4:$J$203,Trato_Diario!$B$4:$B$203,C$5,Trato_Diario!$A$4:$A$203,$A44)/SUMIFS(Trato_Diario!$G$4:$G$203,Trato_Diario!$B$4:$B$203,C$5,Trato_Diario!$A$4:$A$203,$A44))</f>
        <v>11.940260869565218</v>
      </c>
      <c r="D44" s="46">
        <f>IF(OR($A44&gt;MAX(Trato_Diario!$A$4:$A$203),SUMIFS(Trato_Diario!$G$4:$G$203,Trato_Diario!$B$4:$B$203,D$5,Trato_Diario!$A$4:$A$203,$A44)=0),"",SUMIFS(Trato_Diario!$J$4:$J$203,Trato_Diario!$B$4:$B$203,D$5,Trato_Diario!$A$4:$A$203,$A44)/SUMIFS(Trato_Diario!$G$4:$G$203,Trato_Diario!$B$4:$B$203,D$5,Trato_Diario!$A$4:$A$203,$A44))</f>
        <v>8.2325454545454555</v>
      </c>
      <c r="E44" s="46">
        <f>IF(OR($A44&gt;MAX(Trato_Diario!$A$4:$A$203),SUMIFS(Trato_Diario!$G$4:$G$203,Trato_Diario!$B$4:$B$203,E$5,Trato_Diario!$A$4:$A$203,$A44)=0),"",SUMIFS(Trato_Diario!$J$4:$J$203,Trato_Diario!$B$4:$B$203,E$5,Trato_Diario!$A$4:$A$203,$A44)/SUMIFS(Trato_Diario!$G$4:$G$203,Trato_Diario!$B$4:$B$203,E$5,Trato_Diario!$A$4:$A$203,$A44))</f>
        <v>16.149482758620692</v>
      </c>
      <c r="F44" s="46" t="str">
        <f>IF(OR($A44&gt;MAX(Trato_Diario!$A$4:$A$203),SUMIFS(Trato_Diario!$G$4:$G$203,Trato_Diario!$B$4:$B$203,F$5,Trato_Diario!$A$4:$A$203,$A44)=0),"",SUMIFS(Trato_Diario!$J$4:$J$203,Trato_Diario!$B$4:$B$203,F$5,Trato_Diario!$A$4:$A$203,$A44)/SUMIFS(Trato_Diario!$G$4:$G$203,Trato_Diario!$B$4:$B$203,F$5,Trato_Diario!$A$4:$A$203,$A44))</f>
        <v/>
      </c>
      <c r="G44" s="46" t="str">
        <f>IF(OR($A44&gt;MAX(Trato_Diario!$A$4:$A$203),SUMIFS(Trato_Diario!$G$4:$G$203,Trato_Diario!$B$4:$B$203,G$5,Trato_Diario!$A$4:$A$203,$A44)=0),"",SUMIFS(Trato_Diario!$J$4:$J$203,Trato_Diario!$B$4:$B$203,G$5,Trato_Diario!$A$4:$A$203,$A44)/SUMIFS(Trato_Diario!$G$4:$G$203,Trato_Diario!$B$4:$B$203,G$5,Trato_Diario!$A$4:$A$203,$A44))</f>
        <v/>
      </c>
      <c r="H44" s="57">
        <f>IF(OR($A44&gt;MAX(Trato_Diario!$A$4:$A$203),SUMIFS(Trato_Diario!$G$4:$G$203,Trato_Diario!$A$4:$A$203,$A44)=0),"",SUMIFS(Trato_Diario!$J$4:$J$203,Trato_Diario!$A$4:$A$203,$A44)/SUMIFS(Trato_Diario!$G$4:$G$203,Trato_Diario!$A$4:$A$203,$A44))</f>
        <v>10.686978417266189</v>
      </c>
    </row>
    <row r="45" spans="1:8" ht="14.25" customHeight="1" x14ac:dyDescent="0.3">
      <c r="A45" s="72">
        <v>46232</v>
      </c>
      <c r="B45" s="20">
        <f>IF(OR($A45&gt;MAX(Trato_Diario!$A$4:$A$203),SUMIFS(Trato_Diario!$G$4:$G$203,Trato_Diario!$B$4:$B$203,B$5,Trato_Diario!$A$4:$A$203,$A45)=0),"",SUMIFS(Trato_Diario!$J$4:$J$203,Trato_Diario!$B$4:$B$203,B$5,Trato_Diario!$A$4:$A$203,$A45)/SUMIFS(Trato_Diario!$G$4:$G$203,Trato_Diario!$B$4:$B$203,B$5,Trato_Diario!$A$4:$A$203,$A45))</f>
        <v>15.6585</v>
      </c>
      <c r="C45" s="20">
        <f>IF(OR($A45&gt;MAX(Trato_Diario!$A$4:$A$203),SUMIFS(Trato_Diario!$G$4:$G$203,Trato_Diario!$B$4:$B$203,C$5,Trato_Diario!$A$4:$A$203,$A45)=0),"",SUMIFS(Trato_Diario!$J$4:$J$203,Trato_Diario!$B$4:$B$203,C$5,Trato_Diario!$A$4:$A$203,$A45)/SUMIFS(Trato_Diario!$G$4:$G$203,Trato_Diario!$B$4:$B$203,C$5,Trato_Diario!$A$4:$A$203,$A45))</f>
        <v>11.940260869565218</v>
      </c>
      <c r="D45" s="20">
        <f>IF(OR($A45&gt;MAX(Trato_Diario!$A$4:$A$203),SUMIFS(Trato_Diario!$G$4:$G$203,Trato_Diario!$B$4:$B$203,D$5,Trato_Diario!$A$4:$A$203,$A45)=0),"",SUMIFS(Trato_Diario!$J$4:$J$203,Trato_Diario!$B$4:$B$203,D$5,Trato_Diario!$A$4:$A$203,$A45)/SUMIFS(Trato_Diario!$G$4:$G$203,Trato_Diario!$B$4:$B$203,D$5,Trato_Diario!$A$4:$A$203,$A45))</f>
        <v>8.2325454545454555</v>
      </c>
      <c r="E45" s="20">
        <f>IF(OR($A45&gt;MAX(Trato_Diario!$A$4:$A$203),SUMIFS(Trato_Diario!$G$4:$G$203,Trato_Diario!$B$4:$B$203,E$5,Trato_Diario!$A$4:$A$203,$A45)=0),"",SUMIFS(Trato_Diario!$J$4:$J$203,Trato_Diario!$B$4:$B$203,E$5,Trato_Diario!$A$4:$A$203,$A45)/SUMIFS(Trato_Diario!$G$4:$G$203,Trato_Diario!$B$4:$B$203,E$5,Trato_Diario!$A$4:$A$203,$A45))</f>
        <v>16.149482758620692</v>
      </c>
      <c r="F45" s="20" t="str">
        <f>IF(OR($A45&gt;MAX(Trato_Diario!$A$4:$A$203),SUMIFS(Trato_Diario!$G$4:$G$203,Trato_Diario!$B$4:$B$203,F$5,Trato_Diario!$A$4:$A$203,$A45)=0),"",SUMIFS(Trato_Diario!$J$4:$J$203,Trato_Diario!$B$4:$B$203,F$5,Trato_Diario!$A$4:$A$203,$A45)/SUMIFS(Trato_Diario!$G$4:$G$203,Trato_Diario!$B$4:$B$203,F$5,Trato_Diario!$A$4:$A$203,$A45))</f>
        <v/>
      </c>
      <c r="G45" s="20" t="str">
        <f>IF(OR($A45&gt;MAX(Trato_Diario!$A$4:$A$203),SUMIFS(Trato_Diario!$G$4:$G$203,Trato_Diario!$B$4:$B$203,G$5,Trato_Diario!$A$4:$A$203,$A45)=0),"",SUMIFS(Trato_Diario!$J$4:$J$203,Trato_Diario!$B$4:$B$203,G$5,Trato_Diario!$A$4:$A$203,$A45)/SUMIFS(Trato_Diario!$G$4:$G$203,Trato_Diario!$B$4:$B$203,G$5,Trato_Diario!$A$4:$A$203,$A45))</f>
        <v/>
      </c>
      <c r="H45" s="59">
        <f>IF(OR($A45&gt;MAX(Trato_Diario!$A$4:$A$203),SUMIFS(Trato_Diario!$G$4:$G$203,Trato_Diario!$A$4:$A$203,$A45)=0),"",SUMIFS(Trato_Diario!$J$4:$J$203,Trato_Diario!$A$4:$A$203,$A45)/SUMIFS(Trato_Diario!$G$4:$G$203,Trato_Diario!$A$4:$A$203,$A45))</f>
        <v>10.686978417266189</v>
      </c>
    </row>
    <row r="46" spans="1:8" ht="14.25" customHeight="1" x14ac:dyDescent="0.3">
      <c r="A46" s="71">
        <v>46233</v>
      </c>
      <c r="B46" s="46">
        <f>IF(OR($A46&gt;MAX(Trato_Diario!$A$4:$A$203),SUMIFS(Trato_Diario!$G$4:$G$203,Trato_Diario!$B$4:$B$203,B$5,Trato_Diario!$A$4:$A$203,$A46)=0),"",SUMIFS(Trato_Diario!$J$4:$J$203,Trato_Diario!$B$4:$B$203,B$5,Trato_Diario!$A$4:$A$203,$A46)/SUMIFS(Trato_Diario!$G$4:$G$203,Trato_Diario!$B$4:$B$203,B$5,Trato_Diario!$A$4:$A$203,$A46))</f>
        <v>15.6585</v>
      </c>
      <c r="C46" s="46">
        <f>IF(OR($A46&gt;MAX(Trato_Diario!$A$4:$A$203),SUMIFS(Trato_Diario!$G$4:$G$203,Trato_Diario!$B$4:$B$203,C$5,Trato_Diario!$A$4:$A$203,$A46)=0),"",SUMIFS(Trato_Diario!$J$4:$J$203,Trato_Diario!$B$4:$B$203,C$5,Trato_Diario!$A$4:$A$203,$A46)/SUMIFS(Trato_Diario!$G$4:$G$203,Trato_Diario!$B$4:$B$203,C$5,Trato_Diario!$A$4:$A$203,$A46))</f>
        <v>11.940260869565218</v>
      </c>
      <c r="D46" s="46">
        <f>IF(OR($A46&gt;MAX(Trato_Diario!$A$4:$A$203),SUMIFS(Trato_Diario!$G$4:$G$203,Trato_Diario!$B$4:$B$203,D$5,Trato_Diario!$A$4:$A$203,$A46)=0),"",SUMIFS(Trato_Diario!$J$4:$J$203,Trato_Diario!$B$4:$B$203,D$5,Trato_Diario!$A$4:$A$203,$A46)/SUMIFS(Trato_Diario!$G$4:$G$203,Trato_Diario!$B$4:$B$203,D$5,Trato_Diario!$A$4:$A$203,$A46))</f>
        <v>8.2325454545454555</v>
      </c>
      <c r="E46" s="46">
        <f>IF(OR($A46&gt;MAX(Trato_Diario!$A$4:$A$203),SUMIFS(Trato_Diario!$G$4:$G$203,Trato_Diario!$B$4:$B$203,E$5,Trato_Diario!$A$4:$A$203,$A46)=0),"",SUMIFS(Trato_Diario!$J$4:$J$203,Trato_Diario!$B$4:$B$203,E$5,Trato_Diario!$A$4:$A$203,$A46)/SUMIFS(Trato_Diario!$G$4:$G$203,Trato_Diario!$B$4:$B$203,E$5,Trato_Diario!$A$4:$A$203,$A46))</f>
        <v>16.149482758620692</v>
      </c>
      <c r="F46" s="46" t="str">
        <f>IF(OR($A46&gt;MAX(Trato_Diario!$A$4:$A$203),SUMIFS(Trato_Diario!$G$4:$G$203,Trato_Diario!$B$4:$B$203,F$5,Trato_Diario!$A$4:$A$203,$A46)=0),"",SUMIFS(Trato_Diario!$J$4:$J$203,Trato_Diario!$B$4:$B$203,F$5,Trato_Diario!$A$4:$A$203,$A46)/SUMIFS(Trato_Diario!$G$4:$G$203,Trato_Diario!$B$4:$B$203,F$5,Trato_Diario!$A$4:$A$203,$A46))</f>
        <v/>
      </c>
      <c r="G46" s="46" t="str">
        <f>IF(OR($A46&gt;MAX(Trato_Diario!$A$4:$A$203),SUMIFS(Trato_Diario!$G$4:$G$203,Trato_Diario!$B$4:$B$203,G$5,Trato_Diario!$A$4:$A$203,$A46)=0),"",SUMIFS(Trato_Diario!$J$4:$J$203,Trato_Diario!$B$4:$B$203,G$5,Trato_Diario!$A$4:$A$203,$A46)/SUMIFS(Trato_Diario!$G$4:$G$203,Trato_Diario!$B$4:$B$203,G$5,Trato_Diario!$A$4:$A$203,$A46))</f>
        <v/>
      </c>
      <c r="H46" s="57">
        <f>IF(OR($A46&gt;MAX(Trato_Diario!$A$4:$A$203),SUMIFS(Trato_Diario!$G$4:$G$203,Trato_Diario!$A$4:$A$203,$A46)=0),"",SUMIFS(Trato_Diario!$J$4:$J$203,Trato_Diario!$A$4:$A$203,$A46)/SUMIFS(Trato_Diario!$G$4:$G$203,Trato_Diario!$A$4:$A$203,$A46))</f>
        <v>10.686978417266189</v>
      </c>
    </row>
    <row r="47" spans="1:8" ht="14.25" customHeight="1" x14ac:dyDescent="0.3">
      <c r="A47" s="72">
        <v>46234</v>
      </c>
      <c r="B47" s="20">
        <f>IF(OR($A47&gt;MAX(Trato_Diario!$A$4:$A$203),SUMIFS(Trato_Diario!$G$4:$G$203,Trato_Diario!$B$4:$B$203,B$5,Trato_Diario!$A$4:$A$203,$A47)=0),"",SUMIFS(Trato_Diario!$J$4:$J$203,Trato_Diario!$B$4:$B$203,B$5,Trato_Diario!$A$4:$A$203,$A47)/SUMIFS(Trato_Diario!$G$4:$G$203,Trato_Diario!$B$4:$B$203,B$5,Trato_Diario!$A$4:$A$203,$A47))</f>
        <v>15.6585</v>
      </c>
      <c r="C47" s="20">
        <f>IF(OR($A47&gt;MAX(Trato_Diario!$A$4:$A$203),SUMIFS(Trato_Diario!$G$4:$G$203,Trato_Diario!$B$4:$B$203,C$5,Trato_Diario!$A$4:$A$203,$A47)=0),"",SUMIFS(Trato_Diario!$J$4:$J$203,Trato_Diario!$B$4:$B$203,C$5,Trato_Diario!$A$4:$A$203,$A47)/SUMIFS(Trato_Diario!$G$4:$G$203,Trato_Diario!$B$4:$B$203,C$5,Trato_Diario!$A$4:$A$203,$A47))</f>
        <v>11.940260869565218</v>
      </c>
      <c r="D47" s="20">
        <f>IF(OR($A47&gt;MAX(Trato_Diario!$A$4:$A$203),SUMIFS(Trato_Diario!$G$4:$G$203,Trato_Diario!$B$4:$B$203,D$5,Trato_Diario!$A$4:$A$203,$A47)=0),"",SUMIFS(Trato_Diario!$J$4:$J$203,Trato_Diario!$B$4:$B$203,D$5,Trato_Diario!$A$4:$A$203,$A47)/SUMIFS(Trato_Diario!$G$4:$G$203,Trato_Diario!$B$4:$B$203,D$5,Trato_Diario!$A$4:$A$203,$A47))</f>
        <v>8.2325454545454555</v>
      </c>
      <c r="E47" s="20">
        <f>IF(OR($A47&gt;MAX(Trato_Diario!$A$4:$A$203),SUMIFS(Trato_Diario!$G$4:$G$203,Trato_Diario!$B$4:$B$203,E$5,Trato_Diario!$A$4:$A$203,$A47)=0),"",SUMIFS(Trato_Diario!$J$4:$J$203,Trato_Diario!$B$4:$B$203,E$5,Trato_Diario!$A$4:$A$203,$A47)/SUMIFS(Trato_Diario!$G$4:$G$203,Trato_Diario!$B$4:$B$203,E$5,Trato_Diario!$A$4:$A$203,$A47))</f>
        <v>16.149482758620692</v>
      </c>
      <c r="F47" s="20" t="str">
        <f>IF(OR($A47&gt;MAX(Trato_Diario!$A$4:$A$203),SUMIFS(Trato_Diario!$G$4:$G$203,Trato_Diario!$B$4:$B$203,F$5,Trato_Diario!$A$4:$A$203,$A47)=0),"",SUMIFS(Trato_Diario!$J$4:$J$203,Trato_Diario!$B$4:$B$203,F$5,Trato_Diario!$A$4:$A$203,$A47)/SUMIFS(Trato_Diario!$G$4:$G$203,Trato_Diario!$B$4:$B$203,F$5,Trato_Diario!$A$4:$A$203,$A47))</f>
        <v/>
      </c>
      <c r="G47" s="20" t="str">
        <f>IF(OR($A47&gt;MAX(Trato_Diario!$A$4:$A$203),SUMIFS(Trato_Diario!$G$4:$G$203,Trato_Diario!$B$4:$B$203,G$5,Trato_Diario!$A$4:$A$203,$A47)=0),"",SUMIFS(Trato_Diario!$J$4:$J$203,Trato_Diario!$B$4:$B$203,G$5,Trato_Diario!$A$4:$A$203,$A47)/SUMIFS(Trato_Diario!$G$4:$G$203,Trato_Diario!$B$4:$B$203,G$5,Trato_Diario!$A$4:$A$203,$A47))</f>
        <v/>
      </c>
      <c r="H47" s="59">
        <f>IF(OR($A47&gt;MAX(Trato_Diario!$A$4:$A$203),SUMIFS(Trato_Diario!$G$4:$G$203,Trato_Diario!$A$4:$A$203,$A47)=0),"",SUMIFS(Trato_Diario!$J$4:$J$203,Trato_Diario!$A$4:$A$203,$A47)/SUMIFS(Trato_Diario!$G$4:$G$203,Trato_Diario!$A$4:$A$203,$A47))</f>
        <v>10.686978417266189</v>
      </c>
    </row>
    <row r="48" spans="1:8" ht="14.25" customHeight="1" x14ac:dyDescent="0.3">
      <c r="A48" s="71">
        <v>46235</v>
      </c>
      <c r="B48" s="46">
        <f>IF(OR($A48&gt;MAX(Trato_Diario!$A$4:$A$203),SUMIFS(Trato_Diario!$G$4:$G$203,Trato_Diario!$B$4:$B$203,B$5,Trato_Diario!$A$4:$A$203,$A48)=0),"",SUMIFS(Trato_Diario!$J$4:$J$203,Trato_Diario!$B$4:$B$203,B$5,Trato_Diario!$A$4:$A$203,$A48)/SUMIFS(Trato_Diario!$G$4:$G$203,Trato_Diario!$B$4:$B$203,B$5,Trato_Diario!$A$4:$A$203,$A48))</f>
        <v>15.6585</v>
      </c>
      <c r="C48" s="46">
        <f>IF(OR($A48&gt;MAX(Trato_Diario!$A$4:$A$203),SUMIFS(Trato_Diario!$G$4:$G$203,Trato_Diario!$B$4:$B$203,C$5,Trato_Diario!$A$4:$A$203,$A48)=0),"",SUMIFS(Trato_Diario!$J$4:$J$203,Trato_Diario!$B$4:$B$203,C$5,Trato_Diario!$A$4:$A$203,$A48)/SUMIFS(Trato_Diario!$G$4:$G$203,Trato_Diario!$B$4:$B$203,C$5,Trato_Diario!$A$4:$A$203,$A48))</f>
        <v>11.940260869565218</v>
      </c>
      <c r="D48" s="46">
        <f>IF(OR($A48&gt;MAX(Trato_Diario!$A$4:$A$203),SUMIFS(Trato_Diario!$G$4:$G$203,Trato_Diario!$B$4:$B$203,D$5,Trato_Diario!$A$4:$A$203,$A48)=0),"",SUMIFS(Trato_Diario!$J$4:$J$203,Trato_Diario!$B$4:$B$203,D$5,Trato_Diario!$A$4:$A$203,$A48)/SUMIFS(Trato_Diario!$G$4:$G$203,Trato_Diario!$B$4:$B$203,D$5,Trato_Diario!$A$4:$A$203,$A48))</f>
        <v>8.2325454545454555</v>
      </c>
      <c r="E48" s="46">
        <f>IF(OR($A48&gt;MAX(Trato_Diario!$A$4:$A$203),SUMIFS(Trato_Diario!$G$4:$G$203,Trato_Diario!$B$4:$B$203,E$5,Trato_Diario!$A$4:$A$203,$A48)=0),"",SUMIFS(Trato_Diario!$J$4:$J$203,Trato_Diario!$B$4:$B$203,E$5,Trato_Diario!$A$4:$A$203,$A48)/SUMIFS(Trato_Diario!$G$4:$G$203,Trato_Diario!$B$4:$B$203,E$5,Trato_Diario!$A$4:$A$203,$A48))</f>
        <v>16.149482758620692</v>
      </c>
      <c r="F48" s="46" t="str">
        <f>IF(OR($A48&gt;MAX(Trato_Diario!$A$4:$A$203),SUMIFS(Trato_Diario!$G$4:$G$203,Trato_Diario!$B$4:$B$203,F$5,Trato_Diario!$A$4:$A$203,$A48)=0),"",SUMIFS(Trato_Diario!$J$4:$J$203,Trato_Diario!$B$4:$B$203,F$5,Trato_Diario!$A$4:$A$203,$A48)/SUMIFS(Trato_Diario!$G$4:$G$203,Trato_Diario!$B$4:$B$203,F$5,Trato_Diario!$A$4:$A$203,$A48))</f>
        <v/>
      </c>
      <c r="G48" s="46" t="str">
        <f>IF(OR($A48&gt;MAX(Trato_Diario!$A$4:$A$203),SUMIFS(Trato_Diario!$G$4:$G$203,Trato_Diario!$B$4:$B$203,G$5,Trato_Diario!$A$4:$A$203,$A48)=0),"",SUMIFS(Trato_Diario!$J$4:$J$203,Trato_Diario!$B$4:$B$203,G$5,Trato_Diario!$A$4:$A$203,$A48)/SUMIFS(Trato_Diario!$G$4:$G$203,Trato_Diario!$B$4:$B$203,G$5,Trato_Diario!$A$4:$A$203,$A48))</f>
        <v/>
      </c>
      <c r="H48" s="57">
        <f>IF(OR($A48&gt;MAX(Trato_Diario!$A$4:$A$203),SUMIFS(Trato_Diario!$G$4:$G$203,Trato_Diario!$A$4:$A$203,$A48)=0),"",SUMIFS(Trato_Diario!$J$4:$J$203,Trato_Diario!$A$4:$A$203,$A48)/SUMIFS(Trato_Diario!$G$4:$G$203,Trato_Diario!$A$4:$A$203,$A48))</f>
        <v>10.686978417266189</v>
      </c>
    </row>
    <row r="49" spans="1:8" ht="14.25" customHeight="1" x14ac:dyDescent="0.3">
      <c r="A49" s="72">
        <v>46236</v>
      </c>
      <c r="B49" s="20">
        <f>IF(OR($A49&gt;MAX(Trato_Diario!$A$4:$A$203),SUMIFS(Trato_Diario!$G$4:$G$203,Trato_Diario!$B$4:$B$203,B$5,Trato_Diario!$A$4:$A$203,$A49)=0),"",SUMIFS(Trato_Diario!$J$4:$J$203,Trato_Diario!$B$4:$B$203,B$5,Trato_Diario!$A$4:$A$203,$A49)/SUMIFS(Trato_Diario!$G$4:$G$203,Trato_Diario!$B$4:$B$203,B$5,Trato_Diario!$A$4:$A$203,$A49))</f>
        <v>15.6585</v>
      </c>
      <c r="C49" s="20">
        <f>IF(OR($A49&gt;MAX(Trato_Diario!$A$4:$A$203),SUMIFS(Trato_Diario!$G$4:$G$203,Trato_Diario!$B$4:$B$203,C$5,Trato_Diario!$A$4:$A$203,$A49)=0),"",SUMIFS(Trato_Diario!$J$4:$J$203,Trato_Diario!$B$4:$B$203,C$5,Trato_Diario!$A$4:$A$203,$A49)/SUMIFS(Trato_Diario!$G$4:$G$203,Trato_Diario!$B$4:$B$203,C$5,Trato_Diario!$A$4:$A$203,$A49))</f>
        <v>11.940260869565218</v>
      </c>
      <c r="D49" s="20">
        <f>IF(OR($A49&gt;MAX(Trato_Diario!$A$4:$A$203),SUMIFS(Trato_Diario!$G$4:$G$203,Trato_Diario!$B$4:$B$203,D$5,Trato_Diario!$A$4:$A$203,$A49)=0),"",SUMIFS(Trato_Diario!$J$4:$J$203,Trato_Diario!$B$4:$B$203,D$5,Trato_Diario!$A$4:$A$203,$A49)/SUMIFS(Trato_Diario!$G$4:$G$203,Trato_Diario!$B$4:$B$203,D$5,Trato_Diario!$A$4:$A$203,$A49))</f>
        <v>8.2325454545454555</v>
      </c>
      <c r="E49" s="20">
        <f>IF(OR($A49&gt;MAX(Trato_Diario!$A$4:$A$203),SUMIFS(Trato_Diario!$G$4:$G$203,Trato_Diario!$B$4:$B$203,E$5,Trato_Diario!$A$4:$A$203,$A49)=0),"",SUMIFS(Trato_Diario!$J$4:$J$203,Trato_Diario!$B$4:$B$203,E$5,Trato_Diario!$A$4:$A$203,$A49)/SUMIFS(Trato_Diario!$G$4:$G$203,Trato_Diario!$B$4:$B$203,E$5,Trato_Diario!$A$4:$A$203,$A49))</f>
        <v>16.149482758620692</v>
      </c>
      <c r="F49" s="20" t="str">
        <f>IF(OR($A49&gt;MAX(Trato_Diario!$A$4:$A$203),SUMIFS(Trato_Diario!$G$4:$G$203,Trato_Diario!$B$4:$B$203,F$5,Trato_Diario!$A$4:$A$203,$A49)=0),"",SUMIFS(Trato_Diario!$J$4:$J$203,Trato_Diario!$B$4:$B$203,F$5,Trato_Diario!$A$4:$A$203,$A49)/SUMIFS(Trato_Diario!$G$4:$G$203,Trato_Diario!$B$4:$B$203,F$5,Trato_Diario!$A$4:$A$203,$A49))</f>
        <v/>
      </c>
      <c r="G49" s="20" t="str">
        <f>IF(OR($A49&gt;MAX(Trato_Diario!$A$4:$A$203),SUMIFS(Trato_Diario!$G$4:$G$203,Trato_Diario!$B$4:$B$203,G$5,Trato_Diario!$A$4:$A$203,$A49)=0),"",SUMIFS(Trato_Diario!$J$4:$J$203,Trato_Diario!$B$4:$B$203,G$5,Trato_Diario!$A$4:$A$203,$A49)/SUMIFS(Trato_Diario!$G$4:$G$203,Trato_Diario!$B$4:$B$203,G$5,Trato_Diario!$A$4:$A$203,$A49))</f>
        <v/>
      </c>
      <c r="H49" s="59">
        <f>IF(OR($A49&gt;MAX(Trato_Diario!$A$4:$A$203),SUMIFS(Trato_Diario!$G$4:$G$203,Trato_Diario!$A$4:$A$203,$A49)=0),"",SUMIFS(Trato_Diario!$J$4:$J$203,Trato_Diario!$A$4:$A$203,$A49)/SUMIFS(Trato_Diario!$G$4:$G$203,Trato_Diario!$A$4:$A$203,$A49))</f>
        <v>10.686978417266189</v>
      </c>
    </row>
    <row r="50" spans="1:8" ht="14.25" customHeight="1" x14ac:dyDescent="0.3">
      <c r="A50" s="71">
        <v>46237</v>
      </c>
      <c r="B50" s="46">
        <f>IF(OR($A50&gt;MAX(Trato_Diario!$A$4:$A$203),SUMIFS(Trato_Diario!$G$4:$G$203,Trato_Diario!$B$4:$B$203,B$5,Trato_Diario!$A$4:$A$203,$A50)=0),"",SUMIFS(Trato_Diario!$J$4:$J$203,Trato_Diario!$B$4:$B$203,B$5,Trato_Diario!$A$4:$A$203,$A50)/SUMIFS(Trato_Diario!$G$4:$G$203,Trato_Diario!$B$4:$B$203,B$5,Trato_Diario!$A$4:$A$203,$A50))</f>
        <v>15.6585</v>
      </c>
      <c r="C50" s="46">
        <f>IF(OR($A50&gt;MAX(Trato_Diario!$A$4:$A$203),SUMIFS(Trato_Diario!$G$4:$G$203,Trato_Diario!$B$4:$B$203,C$5,Trato_Diario!$A$4:$A$203,$A50)=0),"",SUMIFS(Trato_Diario!$J$4:$J$203,Trato_Diario!$B$4:$B$203,C$5,Trato_Diario!$A$4:$A$203,$A50)/SUMIFS(Trato_Diario!$G$4:$G$203,Trato_Diario!$B$4:$B$203,C$5,Trato_Diario!$A$4:$A$203,$A50))</f>
        <v>11.940260869565218</v>
      </c>
      <c r="D50" s="46">
        <f>IF(OR($A50&gt;MAX(Trato_Diario!$A$4:$A$203),SUMIFS(Trato_Diario!$G$4:$G$203,Trato_Diario!$B$4:$B$203,D$5,Trato_Diario!$A$4:$A$203,$A50)=0),"",SUMIFS(Trato_Diario!$J$4:$J$203,Trato_Diario!$B$4:$B$203,D$5,Trato_Diario!$A$4:$A$203,$A50)/SUMIFS(Trato_Diario!$G$4:$G$203,Trato_Diario!$B$4:$B$203,D$5,Trato_Diario!$A$4:$A$203,$A50))</f>
        <v>8.2325454545454555</v>
      </c>
      <c r="E50" s="46">
        <f>IF(OR($A50&gt;MAX(Trato_Diario!$A$4:$A$203),SUMIFS(Trato_Diario!$G$4:$G$203,Trato_Diario!$B$4:$B$203,E$5,Trato_Diario!$A$4:$A$203,$A50)=0),"",SUMIFS(Trato_Diario!$J$4:$J$203,Trato_Diario!$B$4:$B$203,E$5,Trato_Diario!$A$4:$A$203,$A50)/SUMIFS(Trato_Diario!$G$4:$G$203,Trato_Diario!$B$4:$B$203,E$5,Trato_Diario!$A$4:$A$203,$A50))</f>
        <v>16.149482758620692</v>
      </c>
      <c r="F50" s="46" t="str">
        <f>IF(OR($A50&gt;MAX(Trato_Diario!$A$4:$A$203),SUMIFS(Trato_Diario!$G$4:$G$203,Trato_Diario!$B$4:$B$203,F$5,Trato_Diario!$A$4:$A$203,$A50)=0),"",SUMIFS(Trato_Diario!$J$4:$J$203,Trato_Diario!$B$4:$B$203,F$5,Trato_Diario!$A$4:$A$203,$A50)/SUMIFS(Trato_Diario!$G$4:$G$203,Trato_Diario!$B$4:$B$203,F$5,Trato_Diario!$A$4:$A$203,$A50))</f>
        <v/>
      </c>
      <c r="G50" s="46" t="str">
        <f>IF(OR($A50&gt;MAX(Trato_Diario!$A$4:$A$203),SUMIFS(Trato_Diario!$G$4:$G$203,Trato_Diario!$B$4:$B$203,G$5,Trato_Diario!$A$4:$A$203,$A50)=0),"",SUMIFS(Trato_Diario!$J$4:$J$203,Trato_Diario!$B$4:$B$203,G$5,Trato_Diario!$A$4:$A$203,$A50)/SUMIFS(Trato_Diario!$G$4:$G$203,Trato_Diario!$B$4:$B$203,G$5,Trato_Diario!$A$4:$A$203,$A50))</f>
        <v/>
      </c>
      <c r="H50" s="57">
        <f>IF(OR($A50&gt;MAX(Trato_Diario!$A$4:$A$203),SUMIFS(Trato_Diario!$G$4:$G$203,Trato_Diario!$A$4:$A$203,$A50)=0),"",SUMIFS(Trato_Diario!$J$4:$J$203,Trato_Diario!$A$4:$A$203,$A50)/SUMIFS(Trato_Diario!$G$4:$G$203,Trato_Diario!$A$4:$A$203,$A50))</f>
        <v>10.686978417266189</v>
      </c>
    </row>
    <row r="51" spans="1:8" ht="14.25" customHeight="1" x14ac:dyDescent="0.3">
      <c r="A51" s="72">
        <v>46238</v>
      </c>
      <c r="B51" s="20" t="str">
        <f>IF(OR($A51&gt;MAX(Trato_Diario!$A$4:$A$203),SUMIFS(Trato_Diario!$G$4:$G$203,Trato_Diario!$B$4:$B$203,B$5,Trato_Diario!$A$4:$A$203,$A51)=0),"",SUMIFS(Trato_Diario!$J$4:$J$203,Trato_Diario!$B$4:$B$203,B$5,Trato_Diario!$A$4:$A$203,$A51)/SUMIFS(Trato_Diario!$G$4:$G$203,Trato_Diario!$B$4:$B$203,B$5,Trato_Diario!$A$4:$A$203,$A51))</f>
        <v/>
      </c>
      <c r="C51" s="20" t="str">
        <f>IF(OR($A51&gt;MAX(Trato_Diario!$A$4:$A$203),SUMIFS(Trato_Diario!$G$4:$G$203,Trato_Diario!$B$4:$B$203,C$5,Trato_Diario!$A$4:$A$203,$A51)=0),"",SUMIFS(Trato_Diario!$J$4:$J$203,Trato_Diario!$B$4:$B$203,C$5,Trato_Diario!$A$4:$A$203,$A51)/SUMIFS(Trato_Diario!$G$4:$G$203,Trato_Diario!$B$4:$B$203,C$5,Trato_Diario!$A$4:$A$203,$A51))</f>
        <v/>
      </c>
      <c r="D51" s="20" t="str">
        <f>IF(OR($A51&gt;MAX(Trato_Diario!$A$4:$A$203),SUMIFS(Trato_Diario!$G$4:$G$203,Trato_Diario!$B$4:$B$203,D$5,Trato_Diario!$A$4:$A$203,$A51)=0),"",SUMIFS(Trato_Diario!$J$4:$J$203,Trato_Diario!$B$4:$B$203,D$5,Trato_Diario!$A$4:$A$203,$A51)/SUMIFS(Trato_Diario!$G$4:$G$203,Trato_Diario!$B$4:$B$203,D$5,Trato_Diario!$A$4:$A$203,$A51))</f>
        <v/>
      </c>
      <c r="E51" s="20">
        <f>IF(OR($A51&gt;MAX(Trato_Diario!$A$4:$A$203),SUMIFS(Trato_Diario!$G$4:$G$203,Trato_Diario!$B$4:$B$203,E$5,Trato_Diario!$A$4:$A$203,$A51)=0),"",SUMIFS(Trato_Diario!$J$4:$J$203,Trato_Diario!$B$4:$B$203,E$5,Trato_Diario!$A$4:$A$203,$A51)/SUMIFS(Trato_Diario!$G$4:$G$203,Trato_Diario!$B$4:$B$203,E$5,Trato_Diario!$A$4:$A$203,$A51))</f>
        <v>16.149482758620692</v>
      </c>
      <c r="F51" s="20" t="str">
        <f>IF(OR($A51&gt;MAX(Trato_Diario!$A$4:$A$203),SUMIFS(Trato_Diario!$G$4:$G$203,Trato_Diario!$B$4:$B$203,F$5,Trato_Diario!$A$4:$A$203,$A51)=0),"",SUMIFS(Trato_Diario!$J$4:$J$203,Trato_Diario!$B$4:$B$203,F$5,Trato_Diario!$A$4:$A$203,$A51)/SUMIFS(Trato_Diario!$G$4:$G$203,Trato_Diario!$B$4:$B$203,F$5,Trato_Diario!$A$4:$A$203,$A51))</f>
        <v/>
      </c>
      <c r="G51" s="20" t="str">
        <f>IF(OR($A51&gt;MAX(Trato_Diario!$A$4:$A$203),SUMIFS(Trato_Diario!$G$4:$G$203,Trato_Diario!$B$4:$B$203,G$5,Trato_Diario!$A$4:$A$203,$A51)=0),"",SUMIFS(Trato_Diario!$J$4:$J$203,Trato_Diario!$B$4:$B$203,G$5,Trato_Diario!$A$4:$A$203,$A51)/SUMIFS(Trato_Diario!$G$4:$G$203,Trato_Diario!$B$4:$B$203,G$5,Trato_Diario!$A$4:$A$203,$A51))</f>
        <v/>
      </c>
      <c r="H51" s="59">
        <f>IF(OR($A51&gt;MAX(Trato_Diario!$A$4:$A$203),SUMIFS(Trato_Diario!$G$4:$G$203,Trato_Diario!$A$4:$A$203,$A51)=0),"",SUMIFS(Trato_Diario!$J$4:$J$203,Trato_Diario!$A$4:$A$203,$A51)/SUMIFS(Trato_Diario!$G$4:$G$203,Trato_Diario!$A$4:$A$203,$A51))</f>
        <v>16.149482758620692</v>
      </c>
    </row>
    <row r="52" spans="1:8" ht="14.25" customHeight="1" x14ac:dyDescent="0.3">
      <c r="A52" s="71">
        <v>46239</v>
      </c>
      <c r="B52" s="46" t="str">
        <f>IF(OR($A52&gt;MAX(Trato_Diario!$A$4:$A$203),SUMIFS(Trato_Diario!$G$4:$G$203,Trato_Diario!$B$4:$B$203,B$5,Trato_Diario!$A$4:$A$203,$A52)=0),"",SUMIFS(Trato_Diario!$J$4:$J$203,Trato_Diario!$B$4:$B$203,B$5,Trato_Diario!$A$4:$A$203,$A52)/SUMIFS(Trato_Diario!$G$4:$G$203,Trato_Diario!$B$4:$B$203,B$5,Trato_Diario!$A$4:$A$203,$A52))</f>
        <v/>
      </c>
      <c r="C52" s="46" t="str">
        <f>IF(OR($A52&gt;MAX(Trato_Diario!$A$4:$A$203),SUMIFS(Trato_Diario!$G$4:$G$203,Trato_Diario!$B$4:$B$203,C$5,Trato_Diario!$A$4:$A$203,$A52)=0),"",SUMIFS(Trato_Diario!$J$4:$J$203,Trato_Diario!$B$4:$B$203,C$5,Trato_Diario!$A$4:$A$203,$A52)/SUMIFS(Trato_Diario!$G$4:$G$203,Trato_Diario!$B$4:$B$203,C$5,Trato_Diario!$A$4:$A$203,$A52))</f>
        <v/>
      </c>
      <c r="D52" s="46" t="str">
        <f>IF(OR($A52&gt;MAX(Trato_Diario!$A$4:$A$203),SUMIFS(Trato_Diario!$G$4:$G$203,Trato_Diario!$B$4:$B$203,D$5,Trato_Diario!$A$4:$A$203,$A52)=0),"",SUMIFS(Trato_Diario!$J$4:$J$203,Trato_Diario!$B$4:$B$203,D$5,Trato_Diario!$A$4:$A$203,$A52)/SUMIFS(Trato_Diario!$G$4:$G$203,Trato_Diario!$B$4:$B$203,D$5,Trato_Diario!$A$4:$A$203,$A52))</f>
        <v/>
      </c>
      <c r="E52" s="46">
        <f>IF(OR($A52&gt;MAX(Trato_Diario!$A$4:$A$203),SUMIFS(Trato_Diario!$G$4:$G$203,Trato_Diario!$B$4:$B$203,E$5,Trato_Diario!$A$4:$A$203,$A52)=0),"",SUMIFS(Trato_Diario!$J$4:$J$203,Trato_Diario!$B$4:$B$203,E$5,Trato_Diario!$A$4:$A$203,$A52)/SUMIFS(Trato_Diario!$G$4:$G$203,Trato_Diario!$B$4:$B$203,E$5,Trato_Diario!$A$4:$A$203,$A52))</f>
        <v>16.149482758620692</v>
      </c>
      <c r="F52" s="46" t="str">
        <f>IF(OR($A52&gt;MAX(Trato_Diario!$A$4:$A$203),SUMIFS(Trato_Diario!$G$4:$G$203,Trato_Diario!$B$4:$B$203,F$5,Trato_Diario!$A$4:$A$203,$A52)=0),"",SUMIFS(Trato_Diario!$J$4:$J$203,Trato_Diario!$B$4:$B$203,F$5,Trato_Diario!$A$4:$A$203,$A52)/SUMIFS(Trato_Diario!$G$4:$G$203,Trato_Diario!$B$4:$B$203,F$5,Trato_Diario!$A$4:$A$203,$A52))</f>
        <v/>
      </c>
      <c r="G52" s="46" t="str">
        <f>IF(OR($A52&gt;MAX(Trato_Diario!$A$4:$A$203),SUMIFS(Trato_Diario!$G$4:$G$203,Trato_Diario!$B$4:$B$203,G$5,Trato_Diario!$A$4:$A$203,$A52)=0),"",SUMIFS(Trato_Diario!$J$4:$J$203,Trato_Diario!$B$4:$B$203,G$5,Trato_Diario!$A$4:$A$203,$A52)/SUMIFS(Trato_Diario!$G$4:$G$203,Trato_Diario!$B$4:$B$203,G$5,Trato_Diario!$A$4:$A$203,$A52))</f>
        <v/>
      </c>
      <c r="H52" s="57">
        <f>IF(OR($A52&gt;MAX(Trato_Diario!$A$4:$A$203),SUMIFS(Trato_Diario!$G$4:$G$203,Trato_Diario!$A$4:$A$203,$A52)=0),"",SUMIFS(Trato_Diario!$J$4:$J$203,Trato_Diario!$A$4:$A$203,$A52)/SUMIFS(Trato_Diario!$G$4:$G$203,Trato_Diario!$A$4:$A$203,$A52))</f>
        <v>16.149482758620692</v>
      </c>
    </row>
    <row r="53" spans="1:8" ht="14.25" customHeight="1" x14ac:dyDescent="0.3">
      <c r="A53" s="72">
        <v>46240</v>
      </c>
      <c r="B53" s="20" t="str">
        <f>IF(OR($A53&gt;MAX(Trato_Diario!$A$4:$A$203),SUMIFS(Trato_Diario!$G$4:$G$203,Trato_Diario!$B$4:$B$203,B$5,Trato_Diario!$A$4:$A$203,$A53)=0),"",SUMIFS(Trato_Diario!$J$4:$J$203,Trato_Diario!$B$4:$B$203,B$5,Trato_Diario!$A$4:$A$203,$A53)/SUMIFS(Trato_Diario!$G$4:$G$203,Trato_Diario!$B$4:$B$203,B$5,Trato_Diario!$A$4:$A$203,$A53))</f>
        <v/>
      </c>
      <c r="C53" s="20" t="str">
        <f>IF(OR($A53&gt;MAX(Trato_Diario!$A$4:$A$203),SUMIFS(Trato_Diario!$G$4:$G$203,Trato_Diario!$B$4:$B$203,C$5,Trato_Diario!$A$4:$A$203,$A53)=0),"",SUMIFS(Trato_Diario!$J$4:$J$203,Trato_Diario!$B$4:$B$203,C$5,Trato_Diario!$A$4:$A$203,$A53)/SUMIFS(Trato_Diario!$G$4:$G$203,Trato_Diario!$B$4:$B$203,C$5,Trato_Diario!$A$4:$A$203,$A53))</f>
        <v/>
      </c>
      <c r="D53" s="20" t="str">
        <f>IF(OR($A53&gt;MAX(Trato_Diario!$A$4:$A$203),SUMIFS(Trato_Diario!$G$4:$G$203,Trato_Diario!$B$4:$B$203,D$5,Trato_Diario!$A$4:$A$203,$A53)=0),"",SUMIFS(Trato_Diario!$J$4:$J$203,Trato_Diario!$B$4:$B$203,D$5,Trato_Diario!$A$4:$A$203,$A53)/SUMIFS(Trato_Diario!$G$4:$G$203,Trato_Diario!$B$4:$B$203,D$5,Trato_Diario!$A$4:$A$203,$A53))</f>
        <v/>
      </c>
      <c r="E53" s="20">
        <f>IF(OR($A53&gt;MAX(Trato_Diario!$A$4:$A$203),SUMIFS(Trato_Diario!$G$4:$G$203,Trato_Diario!$B$4:$B$203,E$5,Trato_Diario!$A$4:$A$203,$A53)=0),"",SUMIFS(Trato_Diario!$J$4:$J$203,Trato_Diario!$B$4:$B$203,E$5,Trato_Diario!$A$4:$A$203,$A53)/SUMIFS(Trato_Diario!$G$4:$G$203,Trato_Diario!$B$4:$B$203,E$5,Trato_Diario!$A$4:$A$203,$A53))</f>
        <v>16.149482758620692</v>
      </c>
      <c r="F53" s="20" t="str">
        <f>IF(OR($A53&gt;MAX(Trato_Diario!$A$4:$A$203),SUMIFS(Trato_Diario!$G$4:$G$203,Trato_Diario!$B$4:$B$203,F$5,Trato_Diario!$A$4:$A$203,$A53)=0),"",SUMIFS(Trato_Diario!$J$4:$J$203,Trato_Diario!$B$4:$B$203,F$5,Trato_Diario!$A$4:$A$203,$A53)/SUMIFS(Trato_Diario!$G$4:$G$203,Trato_Diario!$B$4:$B$203,F$5,Trato_Diario!$A$4:$A$203,$A53))</f>
        <v/>
      </c>
      <c r="G53" s="20" t="str">
        <f>IF(OR($A53&gt;MAX(Trato_Diario!$A$4:$A$203),SUMIFS(Trato_Diario!$G$4:$G$203,Trato_Diario!$B$4:$B$203,G$5,Trato_Diario!$A$4:$A$203,$A53)=0),"",SUMIFS(Trato_Diario!$J$4:$J$203,Trato_Diario!$B$4:$B$203,G$5,Trato_Diario!$A$4:$A$203,$A53)/SUMIFS(Trato_Diario!$G$4:$G$203,Trato_Diario!$B$4:$B$203,G$5,Trato_Diario!$A$4:$A$203,$A53))</f>
        <v/>
      </c>
      <c r="H53" s="59">
        <f>IF(OR($A53&gt;MAX(Trato_Diario!$A$4:$A$203),SUMIFS(Trato_Diario!$G$4:$G$203,Trato_Diario!$A$4:$A$203,$A53)=0),"",SUMIFS(Trato_Diario!$J$4:$J$203,Trato_Diario!$A$4:$A$203,$A53)/SUMIFS(Trato_Diario!$G$4:$G$203,Trato_Diario!$A$4:$A$203,$A53))</f>
        <v>16.149482758620692</v>
      </c>
    </row>
    <row r="54" spans="1:8" ht="14.25" customHeight="1" x14ac:dyDescent="0.3">
      <c r="A54" s="71">
        <v>46241</v>
      </c>
      <c r="B54" s="46" t="str">
        <f>IF(OR($A54&gt;MAX(Trato_Diario!$A$4:$A$203),SUMIFS(Trato_Diario!$G$4:$G$203,Trato_Diario!$B$4:$B$203,B$5,Trato_Diario!$A$4:$A$203,$A54)=0),"",SUMIFS(Trato_Diario!$J$4:$J$203,Trato_Diario!$B$4:$B$203,B$5,Trato_Diario!$A$4:$A$203,$A54)/SUMIFS(Trato_Diario!$G$4:$G$203,Trato_Diario!$B$4:$B$203,B$5,Trato_Diario!$A$4:$A$203,$A54))</f>
        <v/>
      </c>
      <c r="C54" s="46" t="str">
        <f>IF(OR($A54&gt;MAX(Trato_Diario!$A$4:$A$203),SUMIFS(Trato_Diario!$G$4:$G$203,Trato_Diario!$B$4:$B$203,C$5,Trato_Diario!$A$4:$A$203,$A54)=0),"",SUMIFS(Trato_Diario!$J$4:$J$203,Trato_Diario!$B$4:$B$203,C$5,Trato_Diario!$A$4:$A$203,$A54)/SUMIFS(Trato_Diario!$G$4:$G$203,Trato_Diario!$B$4:$B$203,C$5,Trato_Diario!$A$4:$A$203,$A54))</f>
        <v/>
      </c>
      <c r="D54" s="46" t="str">
        <f>IF(OR($A54&gt;MAX(Trato_Diario!$A$4:$A$203),SUMIFS(Trato_Diario!$G$4:$G$203,Trato_Diario!$B$4:$B$203,D$5,Trato_Diario!$A$4:$A$203,$A54)=0),"",SUMIFS(Trato_Diario!$J$4:$J$203,Trato_Diario!$B$4:$B$203,D$5,Trato_Diario!$A$4:$A$203,$A54)/SUMIFS(Trato_Diario!$G$4:$G$203,Trato_Diario!$B$4:$B$203,D$5,Trato_Diario!$A$4:$A$203,$A54))</f>
        <v/>
      </c>
      <c r="E54" s="46">
        <f>IF(OR($A54&gt;MAX(Trato_Diario!$A$4:$A$203),SUMIFS(Trato_Diario!$G$4:$G$203,Trato_Diario!$B$4:$B$203,E$5,Trato_Diario!$A$4:$A$203,$A54)=0),"",SUMIFS(Trato_Diario!$J$4:$J$203,Trato_Diario!$B$4:$B$203,E$5,Trato_Diario!$A$4:$A$203,$A54)/SUMIFS(Trato_Diario!$G$4:$G$203,Trato_Diario!$B$4:$B$203,E$5,Trato_Diario!$A$4:$A$203,$A54))</f>
        <v>16.149482758620692</v>
      </c>
      <c r="F54" s="46" t="str">
        <f>IF(OR($A54&gt;MAX(Trato_Diario!$A$4:$A$203),SUMIFS(Trato_Diario!$G$4:$G$203,Trato_Diario!$B$4:$B$203,F$5,Trato_Diario!$A$4:$A$203,$A54)=0),"",SUMIFS(Trato_Diario!$J$4:$J$203,Trato_Diario!$B$4:$B$203,F$5,Trato_Diario!$A$4:$A$203,$A54)/SUMIFS(Trato_Diario!$G$4:$G$203,Trato_Diario!$B$4:$B$203,F$5,Trato_Diario!$A$4:$A$203,$A54))</f>
        <v/>
      </c>
      <c r="G54" s="46" t="str">
        <f>IF(OR($A54&gt;MAX(Trato_Diario!$A$4:$A$203),SUMIFS(Trato_Diario!$G$4:$G$203,Trato_Diario!$B$4:$B$203,G$5,Trato_Diario!$A$4:$A$203,$A54)=0),"",SUMIFS(Trato_Diario!$J$4:$J$203,Trato_Diario!$B$4:$B$203,G$5,Trato_Diario!$A$4:$A$203,$A54)/SUMIFS(Trato_Diario!$G$4:$G$203,Trato_Diario!$B$4:$B$203,G$5,Trato_Diario!$A$4:$A$203,$A54))</f>
        <v/>
      </c>
      <c r="H54" s="57">
        <f>IF(OR($A54&gt;MAX(Trato_Diario!$A$4:$A$203),SUMIFS(Trato_Diario!$G$4:$G$203,Trato_Diario!$A$4:$A$203,$A54)=0),"",SUMIFS(Trato_Diario!$J$4:$J$203,Trato_Diario!$A$4:$A$203,$A54)/SUMIFS(Trato_Diario!$G$4:$G$203,Trato_Diario!$A$4:$A$203,$A54))</f>
        <v>16.149482758620692</v>
      </c>
    </row>
    <row r="55" spans="1:8" ht="14.25" customHeight="1" x14ac:dyDescent="0.3">
      <c r="A55" s="72">
        <v>46242</v>
      </c>
      <c r="B55" s="20" t="str">
        <f>IF(OR($A55&gt;MAX(Trato_Diario!$A$4:$A$203),SUMIFS(Trato_Diario!$G$4:$G$203,Trato_Diario!$B$4:$B$203,B$5,Trato_Diario!$A$4:$A$203,$A55)=0),"",SUMIFS(Trato_Diario!$J$4:$J$203,Trato_Diario!$B$4:$B$203,B$5,Trato_Diario!$A$4:$A$203,$A55)/SUMIFS(Trato_Diario!$G$4:$G$203,Trato_Diario!$B$4:$B$203,B$5,Trato_Diario!$A$4:$A$203,$A55))</f>
        <v/>
      </c>
      <c r="C55" s="20" t="str">
        <f>IF(OR($A55&gt;MAX(Trato_Diario!$A$4:$A$203),SUMIFS(Trato_Diario!$G$4:$G$203,Trato_Diario!$B$4:$B$203,C$5,Trato_Diario!$A$4:$A$203,$A55)=0),"",SUMIFS(Trato_Diario!$J$4:$J$203,Trato_Diario!$B$4:$B$203,C$5,Trato_Diario!$A$4:$A$203,$A55)/SUMIFS(Trato_Diario!$G$4:$G$203,Trato_Diario!$B$4:$B$203,C$5,Trato_Diario!$A$4:$A$203,$A55))</f>
        <v/>
      </c>
      <c r="D55" s="20" t="str">
        <f>IF(OR($A55&gt;MAX(Trato_Diario!$A$4:$A$203),SUMIFS(Trato_Diario!$G$4:$G$203,Trato_Diario!$B$4:$B$203,D$5,Trato_Diario!$A$4:$A$203,$A55)=0),"",SUMIFS(Trato_Diario!$J$4:$J$203,Trato_Diario!$B$4:$B$203,D$5,Trato_Diario!$A$4:$A$203,$A55)/SUMIFS(Trato_Diario!$G$4:$G$203,Trato_Diario!$B$4:$B$203,D$5,Trato_Diario!$A$4:$A$203,$A55))</f>
        <v/>
      </c>
      <c r="E55" s="20">
        <f>IF(OR($A55&gt;MAX(Trato_Diario!$A$4:$A$203),SUMIFS(Trato_Diario!$G$4:$G$203,Trato_Diario!$B$4:$B$203,E$5,Trato_Diario!$A$4:$A$203,$A55)=0),"",SUMIFS(Trato_Diario!$J$4:$J$203,Trato_Diario!$B$4:$B$203,E$5,Trato_Diario!$A$4:$A$203,$A55)/SUMIFS(Trato_Diario!$G$4:$G$203,Trato_Diario!$B$4:$B$203,E$5,Trato_Diario!$A$4:$A$203,$A55))</f>
        <v>16.149482758620692</v>
      </c>
      <c r="F55" s="20" t="str">
        <f>IF(OR($A55&gt;MAX(Trato_Diario!$A$4:$A$203),SUMIFS(Trato_Diario!$G$4:$G$203,Trato_Diario!$B$4:$B$203,F$5,Trato_Diario!$A$4:$A$203,$A55)=0),"",SUMIFS(Trato_Diario!$J$4:$J$203,Trato_Diario!$B$4:$B$203,F$5,Trato_Diario!$A$4:$A$203,$A55)/SUMIFS(Trato_Diario!$G$4:$G$203,Trato_Diario!$B$4:$B$203,F$5,Trato_Diario!$A$4:$A$203,$A55))</f>
        <v/>
      </c>
      <c r="G55" s="20" t="str">
        <f>IF(OR($A55&gt;MAX(Trato_Diario!$A$4:$A$203),SUMIFS(Trato_Diario!$G$4:$G$203,Trato_Diario!$B$4:$B$203,G$5,Trato_Diario!$A$4:$A$203,$A55)=0),"",SUMIFS(Trato_Diario!$J$4:$J$203,Trato_Diario!$B$4:$B$203,G$5,Trato_Diario!$A$4:$A$203,$A55)/SUMIFS(Trato_Diario!$G$4:$G$203,Trato_Diario!$B$4:$B$203,G$5,Trato_Diario!$A$4:$A$203,$A55))</f>
        <v/>
      </c>
      <c r="H55" s="59">
        <f>IF(OR($A55&gt;MAX(Trato_Diario!$A$4:$A$203),SUMIFS(Trato_Diario!$G$4:$G$203,Trato_Diario!$A$4:$A$203,$A55)=0),"",SUMIFS(Trato_Diario!$J$4:$J$203,Trato_Diario!$A$4:$A$203,$A55)/SUMIFS(Trato_Diario!$G$4:$G$203,Trato_Diario!$A$4:$A$203,$A55))</f>
        <v>16.149482758620692</v>
      </c>
    </row>
    <row r="56" spans="1:8" ht="14.25" customHeight="1" x14ac:dyDescent="0.3">
      <c r="A56" s="71">
        <v>46243</v>
      </c>
      <c r="B56" s="46" t="str">
        <f>IF(OR($A56&gt;MAX(Trato_Diario!$A$4:$A$203),SUMIFS(Trato_Diario!$G$4:$G$203,Trato_Diario!$B$4:$B$203,B$5,Trato_Diario!$A$4:$A$203,$A56)=0),"",SUMIFS(Trato_Diario!$J$4:$J$203,Trato_Diario!$B$4:$B$203,B$5,Trato_Diario!$A$4:$A$203,$A56)/SUMIFS(Trato_Diario!$G$4:$G$203,Trato_Diario!$B$4:$B$203,B$5,Trato_Diario!$A$4:$A$203,$A56))</f>
        <v/>
      </c>
      <c r="C56" s="46" t="str">
        <f>IF(OR($A56&gt;MAX(Trato_Diario!$A$4:$A$203),SUMIFS(Trato_Diario!$G$4:$G$203,Trato_Diario!$B$4:$B$203,C$5,Trato_Diario!$A$4:$A$203,$A56)=0),"",SUMIFS(Trato_Diario!$J$4:$J$203,Trato_Diario!$B$4:$B$203,C$5,Trato_Diario!$A$4:$A$203,$A56)/SUMIFS(Trato_Diario!$G$4:$G$203,Trato_Diario!$B$4:$B$203,C$5,Trato_Diario!$A$4:$A$203,$A56))</f>
        <v/>
      </c>
      <c r="D56" s="46" t="str">
        <f>IF(OR($A56&gt;MAX(Trato_Diario!$A$4:$A$203),SUMIFS(Trato_Diario!$G$4:$G$203,Trato_Diario!$B$4:$B$203,D$5,Trato_Diario!$A$4:$A$203,$A56)=0),"",SUMIFS(Trato_Diario!$J$4:$J$203,Trato_Diario!$B$4:$B$203,D$5,Trato_Diario!$A$4:$A$203,$A56)/SUMIFS(Trato_Diario!$G$4:$G$203,Trato_Diario!$B$4:$B$203,D$5,Trato_Diario!$A$4:$A$203,$A56))</f>
        <v/>
      </c>
      <c r="E56" s="46">
        <f>IF(OR($A56&gt;MAX(Trato_Diario!$A$4:$A$203),SUMIFS(Trato_Diario!$G$4:$G$203,Trato_Diario!$B$4:$B$203,E$5,Trato_Diario!$A$4:$A$203,$A56)=0),"",SUMIFS(Trato_Diario!$J$4:$J$203,Trato_Diario!$B$4:$B$203,E$5,Trato_Diario!$A$4:$A$203,$A56)/SUMIFS(Trato_Diario!$G$4:$G$203,Trato_Diario!$B$4:$B$203,E$5,Trato_Diario!$A$4:$A$203,$A56))</f>
        <v>16.149482758620692</v>
      </c>
      <c r="F56" s="46" t="str">
        <f>IF(OR($A56&gt;MAX(Trato_Diario!$A$4:$A$203),SUMIFS(Trato_Diario!$G$4:$G$203,Trato_Diario!$B$4:$B$203,F$5,Trato_Diario!$A$4:$A$203,$A56)=0),"",SUMIFS(Trato_Diario!$J$4:$J$203,Trato_Diario!$B$4:$B$203,F$5,Trato_Diario!$A$4:$A$203,$A56)/SUMIFS(Trato_Diario!$G$4:$G$203,Trato_Diario!$B$4:$B$203,F$5,Trato_Diario!$A$4:$A$203,$A56))</f>
        <v/>
      </c>
      <c r="G56" s="46" t="str">
        <f>IF(OR($A56&gt;MAX(Trato_Diario!$A$4:$A$203),SUMIFS(Trato_Diario!$G$4:$G$203,Trato_Diario!$B$4:$B$203,G$5,Trato_Diario!$A$4:$A$203,$A56)=0),"",SUMIFS(Trato_Diario!$J$4:$J$203,Trato_Diario!$B$4:$B$203,G$5,Trato_Diario!$A$4:$A$203,$A56)/SUMIFS(Trato_Diario!$G$4:$G$203,Trato_Diario!$B$4:$B$203,G$5,Trato_Diario!$A$4:$A$203,$A56))</f>
        <v/>
      </c>
      <c r="H56" s="57">
        <f>IF(OR($A56&gt;MAX(Trato_Diario!$A$4:$A$203),SUMIFS(Trato_Diario!$G$4:$G$203,Trato_Diario!$A$4:$A$203,$A56)=0),"",SUMIFS(Trato_Diario!$J$4:$J$203,Trato_Diario!$A$4:$A$203,$A56)/SUMIFS(Trato_Diario!$G$4:$G$203,Trato_Diario!$A$4:$A$203,$A56))</f>
        <v>16.149482758620692</v>
      </c>
    </row>
    <row r="57" spans="1:8" ht="14.25" customHeight="1" x14ac:dyDescent="0.3">
      <c r="A57" s="72">
        <v>46244</v>
      </c>
      <c r="B57" s="20" t="str">
        <f>IF(OR($A57&gt;MAX(Trato_Diario!$A$4:$A$203),SUMIFS(Trato_Diario!$G$4:$G$203,Trato_Diario!$B$4:$B$203,B$5,Trato_Diario!$A$4:$A$203,$A57)=0),"",SUMIFS(Trato_Diario!$J$4:$J$203,Trato_Diario!$B$4:$B$203,B$5,Trato_Diario!$A$4:$A$203,$A57)/SUMIFS(Trato_Diario!$G$4:$G$203,Trato_Diario!$B$4:$B$203,B$5,Trato_Diario!$A$4:$A$203,$A57))</f>
        <v/>
      </c>
      <c r="C57" s="20" t="str">
        <f>IF(OR($A57&gt;MAX(Trato_Diario!$A$4:$A$203),SUMIFS(Trato_Diario!$G$4:$G$203,Trato_Diario!$B$4:$B$203,C$5,Trato_Diario!$A$4:$A$203,$A57)=0),"",SUMIFS(Trato_Diario!$J$4:$J$203,Trato_Diario!$B$4:$B$203,C$5,Trato_Diario!$A$4:$A$203,$A57)/SUMIFS(Trato_Diario!$G$4:$G$203,Trato_Diario!$B$4:$B$203,C$5,Trato_Diario!$A$4:$A$203,$A57))</f>
        <v/>
      </c>
      <c r="D57" s="20" t="str">
        <f>IF(OR($A57&gt;MAX(Trato_Diario!$A$4:$A$203),SUMIFS(Trato_Diario!$G$4:$G$203,Trato_Diario!$B$4:$B$203,D$5,Trato_Diario!$A$4:$A$203,$A57)=0),"",SUMIFS(Trato_Diario!$J$4:$J$203,Trato_Diario!$B$4:$B$203,D$5,Trato_Diario!$A$4:$A$203,$A57)/SUMIFS(Trato_Diario!$G$4:$G$203,Trato_Diario!$B$4:$B$203,D$5,Trato_Diario!$A$4:$A$203,$A57))</f>
        <v/>
      </c>
      <c r="E57" s="20">
        <f>IF(OR($A57&gt;MAX(Trato_Diario!$A$4:$A$203),SUMIFS(Trato_Diario!$G$4:$G$203,Trato_Diario!$B$4:$B$203,E$5,Trato_Diario!$A$4:$A$203,$A57)=0),"",SUMIFS(Trato_Diario!$J$4:$J$203,Trato_Diario!$B$4:$B$203,E$5,Trato_Diario!$A$4:$A$203,$A57)/SUMIFS(Trato_Diario!$G$4:$G$203,Trato_Diario!$B$4:$B$203,E$5,Trato_Diario!$A$4:$A$203,$A57))</f>
        <v>16.149482758620692</v>
      </c>
      <c r="F57" s="20" t="str">
        <f>IF(OR($A57&gt;MAX(Trato_Diario!$A$4:$A$203),SUMIFS(Trato_Diario!$G$4:$G$203,Trato_Diario!$B$4:$B$203,F$5,Trato_Diario!$A$4:$A$203,$A57)=0),"",SUMIFS(Trato_Diario!$J$4:$J$203,Trato_Diario!$B$4:$B$203,F$5,Trato_Diario!$A$4:$A$203,$A57)/SUMIFS(Trato_Diario!$G$4:$G$203,Trato_Diario!$B$4:$B$203,F$5,Trato_Diario!$A$4:$A$203,$A57))</f>
        <v/>
      </c>
      <c r="G57" s="20" t="str">
        <f>IF(OR($A57&gt;MAX(Trato_Diario!$A$4:$A$203),SUMIFS(Trato_Diario!$G$4:$G$203,Trato_Diario!$B$4:$B$203,G$5,Trato_Diario!$A$4:$A$203,$A57)=0),"",SUMIFS(Trato_Diario!$J$4:$J$203,Trato_Diario!$B$4:$B$203,G$5,Trato_Diario!$A$4:$A$203,$A57)/SUMIFS(Trato_Diario!$G$4:$G$203,Trato_Diario!$B$4:$B$203,G$5,Trato_Diario!$A$4:$A$203,$A57))</f>
        <v/>
      </c>
      <c r="H57" s="59">
        <f>IF(OR($A57&gt;MAX(Trato_Diario!$A$4:$A$203),SUMIFS(Trato_Diario!$G$4:$G$203,Trato_Diario!$A$4:$A$203,$A57)=0),"",SUMIFS(Trato_Diario!$J$4:$J$203,Trato_Diario!$A$4:$A$203,$A57)/SUMIFS(Trato_Diario!$G$4:$G$203,Trato_Diario!$A$4:$A$203,$A57))</f>
        <v>16.149482758620692</v>
      </c>
    </row>
    <row r="58" spans="1:8" ht="14.25" customHeight="1" x14ac:dyDescent="0.3">
      <c r="A58" s="71">
        <v>46245</v>
      </c>
      <c r="B58" s="46" t="str">
        <f>IF(OR($A58&gt;MAX(Trato_Diario!$A$4:$A$203),SUMIFS(Trato_Diario!$G$4:$G$203,Trato_Diario!$B$4:$B$203,B$5,Trato_Diario!$A$4:$A$203,$A58)=0),"",SUMIFS(Trato_Diario!$J$4:$J$203,Trato_Diario!$B$4:$B$203,B$5,Trato_Diario!$A$4:$A$203,$A58)/SUMIFS(Trato_Diario!$G$4:$G$203,Trato_Diario!$B$4:$B$203,B$5,Trato_Diario!$A$4:$A$203,$A58))</f>
        <v/>
      </c>
      <c r="C58" s="46" t="str">
        <f>IF(OR($A58&gt;MAX(Trato_Diario!$A$4:$A$203),SUMIFS(Trato_Diario!$G$4:$G$203,Trato_Diario!$B$4:$B$203,C$5,Trato_Diario!$A$4:$A$203,$A58)=0),"",SUMIFS(Trato_Diario!$J$4:$J$203,Trato_Diario!$B$4:$B$203,C$5,Trato_Diario!$A$4:$A$203,$A58)/SUMIFS(Trato_Diario!$G$4:$G$203,Trato_Diario!$B$4:$B$203,C$5,Trato_Diario!$A$4:$A$203,$A58))</f>
        <v/>
      </c>
      <c r="D58" s="46" t="str">
        <f>IF(OR($A58&gt;MAX(Trato_Diario!$A$4:$A$203),SUMIFS(Trato_Diario!$G$4:$G$203,Trato_Diario!$B$4:$B$203,D$5,Trato_Diario!$A$4:$A$203,$A58)=0),"",SUMIFS(Trato_Diario!$J$4:$J$203,Trato_Diario!$B$4:$B$203,D$5,Trato_Diario!$A$4:$A$203,$A58)/SUMIFS(Trato_Diario!$G$4:$G$203,Trato_Diario!$B$4:$B$203,D$5,Trato_Diario!$A$4:$A$203,$A58))</f>
        <v/>
      </c>
      <c r="E58" s="46">
        <f>IF(OR($A58&gt;MAX(Trato_Diario!$A$4:$A$203),SUMIFS(Trato_Diario!$G$4:$G$203,Trato_Diario!$B$4:$B$203,E$5,Trato_Diario!$A$4:$A$203,$A58)=0),"",SUMIFS(Trato_Diario!$J$4:$J$203,Trato_Diario!$B$4:$B$203,E$5,Trato_Diario!$A$4:$A$203,$A58)/SUMIFS(Trato_Diario!$G$4:$G$203,Trato_Diario!$B$4:$B$203,E$5,Trato_Diario!$A$4:$A$203,$A58))</f>
        <v>16.149482758620692</v>
      </c>
      <c r="F58" s="46" t="str">
        <f>IF(OR($A58&gt;MAX(Trato_Diario!$A$4:$A$203),SUMIFS(Trato_Diario!$G$4:$G$203,Trato_Diario!$B$4:$B$203,F$5,Trato_Diario!$A$4:$A$203,$A58)=0),"",SUMIFS(Trato_Diario!$J$4:$J$203,Trato_Diario!$B$4:$B$203,F$5,Trato_Diario!$A$4:$A$203,$A58)/SUMIFS(Trato_Diario!$G$4:$G$203,Trato_Diario!$B$4:$B$203,F$5,Trato_Diario!$A$4:$A$203,$A58))</f>
        <v/>
      </c>
      <c r="G58" s="46" t="str">
        <f>IF(OR($A58&gt;MAX(Trato_Diario!$A$4:$A$203),SUMIFS(Trato_Diario!$G$4:$G$203,Trato_Diario!$B$4:$B$203,G$5,Trato_Diario!$A$4:$A$203,$A58)=0),"",SUMIFS(Trato_Diario!$J$4:$J$203,Trato_Diario!$B$4:$B$203,G$5,Trato_Diario!$A$4:$A$203,$A58)/SUMIFS(Trato_Diario!$G$4:$G$203,Trato_Diario!$B$4:$B$203,G$5,Trato_Diario!$A$4:$A$203,$A58))</f>
        <v/>
      </c>
      <c r="H58" s="57">
        <f>IF(OR($A58&gt;MAX(Trato_Diario!$A$4:$A$203),SUMIFS(Trato_Diario!$G$4:$G$203,Trato_Diario!$A$4:$A$203,$A58)=0),"",SUMIFS(Trato_Diario!$J$4:$J$203,Trato_Diario!$A$4:$A$203,$A58)/SUMIFS(Trato_Diario!$G$4:$G$203,Trato_Diario!$A$4:$A$203,$A58))</f>
        <v>16.149482758620692</v>
      </c>
    </row>
    <row r="59" spans="1:8" ht="14.25" customHeight="1" x14ac:dyDescent="0.3">
      <c r="A59" s="72">
        <v>46246</v>
      </c>
      <c r="B59" s="20" t="str">
        <f>IF(OR($A59&gt;MAX(Trato_Diario!$A$4:$A$203),SUMIFS(Trato_Diario!$G$4:$G$203,Trato_Diario!$B$4:$B$203,B$5,Trato_Diario!$A$4:$A$203,$A59)=0),"",SUMIFS(Trato_Diario!$J$4:$J$203,Trato_Diario!$B$4:$B$203,B$5,Trato_Diario!$A$4:$A$203,$A59)/SUMIFS(Trato_Diario!$G$4:$G$203,Trato_Diario!$B$4:$B$203,B$5,Trato_Diario!$A$4:$A$203,$A59))</f>
        <v/>
      </c>
      <c r="C59" s="20" t="str">
        <f>IF(OR($A59&gt;MAX(Trato_Diario!$A$4:$A$203),SUMIFS(Trato_Diario!$G$4:$G$203,Trato_Diario!$B$4:$B$203,C$5,Trato_Diario!$A$4:$A$203,$A59)=0),"",SUMIFS(Trato_Diario!$J$4:$J$203,Trato_Diario!$B$4:$B$203,C$5,Trato_Diario!$A$4:$A$203,$A59)/SUMIFS(Trato_Diario!$G$4:$G$203,Trato_Diario!$B$4:$B$203,C$5,Trato_Diario!$A$4:$A$203,$A59))</f>
        <v/>
      </c>
      <c r="D59" s="20" t="str">
        <f>IF(OR($A59&gt;MAX(Trato_Diario!$A$4:$A$203),SUMIFS(Trato_Diario!$G$4:$G$203,Trato_Diario!$B$4:$B$203,D$5,Trato_Diario!$A$4:$A$203,$A59)=0),"",SUMIFS(Trato_Diario!$J$4:$J$203,Trato_Diario!$B$4:$B$203,D$5,Trato_Diario!$A$4:$A$203,$A59)/SUMIFS(Trato_Diario!$G$4:$G$203,Trato_Diario!$B$4:$B$203,D$5,Trato_Diario!$A$4:$A$203,$A59))</f>
        <v/>
      </c>
      <c r="E59" s="20" t="str">
        <f>IF(OR($A59&gt;MAX(Trato_Diario!$A$4:$A$203),SUMIFS(Trato_Diario!$G$4:$G$203,Trato_Diario!$B$4:$B$203,E$5,Trato_Diario!$A$4:$A$203,$A59)=0),"",SUMIFS(Trato_Diario!$J$4:$J$203,Trato_Diario!$B$4:$B$203,E$5,Trato_Diario!$A$4:$A$203,$A59)/SUMIFS(Trato_Diario!$G$4:$G$203,Trato_Diario!$B$4:$B$203,E$5,Trato_Diario!$A$4:$A$203,$A59))</f>
        <v/>
      </c>
      <c r="F59" s="20" t="str">
        <f>IF(OR($A59&gt;MAX(Trato_Diario!$A$4:$A$203),SUMIFS(Trato_Diario!$G$4:$G$203,Trato_Diario!$B$4:$B$203,F$5,Trato_Diario!$A$4:$A$203,$A59)=0),"",SUMIFS(Trato_Diario!$J$4:$J$203,Trato_Diario!$B$4:$B$203,F$5,Trato_Diario!$A$4:$A$203,$A59)/SUMIFS(Trato_Diario!$G$4:$G$203,Trato_Diario!$B$4:$B$203,F$5,Trato_Diario!$A$4:$A$203,$A59))</f>
        <v/>
      </c>
      <c r="G59" s="20" t="str">
        <f>IF(OR($A59&gt;MAX(Trato_Diario!$A$4:$A$203),SUMIFS(Trato_Diario!$G$4:$G$203,Trato_Diario!$B$4:$B$203,G$5,Trato_Diario!$A$4:$A$203,$A59)=0),"",SUMIFS(Trato_Diario!$J$4:$J$203,Trato_Diario!$B$4:$B$203,G$5,Trato_Diario!$A$4:$A$203,$A59)/SUMIFS(Trato_Diario!$G$4:$G$203,Trato_Diario!$B$4:$B$203,G$5,Trato_Diario!$A$4:$A$203,$A59))</f>
        <v/>
      </c>
      <c r="H59" s="59" t="str">
        <f>IF(OR($A59&gt;MAX(Trato_Diario!$A$4:$A$203),SUMIFS(Trato_Diario!$G$4:$G$203,Trato_Diario!$A$4:$A$203,$A59)=0),"",SUMIFS(Trato_Diario!$J$4:$J$203,Trato_Diario!$A$4:$A$203,$A59)/SUMIFS(Trato_Diario!$G$4:$G$203,Trato_Diario!$A$4:$A$203,$A59))</f>
        <v/>
      </c>
    </row>
    <row r="60" spans="1:8" ht="14.25" customHeight="1" x14ac:dyDescent="0.3">
      <c r="A60" s="71">
        <v>46247</v>
      </c>
      <c r="B60" s="46" t="str">
        <f>IF(OR($A60&gt;MAX(Trato_Diario!$A$4:$A$203),SUMIFS(Trato_Diario!$G$4:$G$203,Trato_Diario!$B$4:$B$203,B$5,Trato_Diario!$A$4:$A$203,$A60)=0),"",SUMIFS(Trato_Diario!$J$4:$J$203,Trato_Diario!$B$4:$B$203,B$5,Trato_Diario!$A$4:$A$203,$A60)/SUMIFS(Trato_Diario!$G$4:$G$203,Trato_Diario!$B$4:$B$203,B$5,Trato_Diario!$A$4:$A$203,$A60))</f>
        <v/>
      </c>
      <c r="C60" s="46" t="str">
        <f>IF(OR($A60&gt;MAX(Trato_Diario!$A$4:$A$203),SUMIFS(Trato_Diario!$G$4:$G$203,Trato_Diario!$B$4:$B$203,C$5,Trato_Diario!$A$4:$A$203,$A60)=0),"",SUMIFS(Trato_Diario!$J$4:$J$203,Trato_Diario!$B$4:$B$203,C$5,Trato_Diario!$A$4:$A$203,$A60)/SUMIFS(Trato_Diario!$G$4:$G$203,Trato_Diario!$B$4:$B$203,C$5,Trato_Diario!$A$4:$A$203,$A60))</f>
        <v/>
      </c>
      <c r="D60" s="46" t="str">
        <f>IF(OR($A60&gt;MAX(Trato_Diario!$A$4:$A$203),SUMIFS(Trato_Diario!$G$4:$G$203,Trato_Diario!$B$4:$B$203,D$5,Trato_Diario!$A$4:$A$203,$A60)=0),"",SUMIFS(Trato_Diario!$J$4:$J$203,Trato_Diario!$B$4:$B$203,D$5,Trato_Diario!$A$4:$A$203,$A60)/SUMIFS(Trato_Diario!$G$4:$G$203,Trato_Diario!$B$4:$B$203,D$5,Trato_Diario!$A$4:$A$203,$A60))</f>
        <v/>
      </c>
      <c r="E60" s="46" t="str">
        <f>IF(OR($A60&gt;MAX(Trato_Diario!$A$4:$A$203),SUMIFS(Trato_Diario!$G$4:$G$203,Trato_Diario!$B$4:$B$203,E$5,Trato_Diario!$A$4:$A$203,$A60)=0),"",SUMIFS(Trato_Diario!$J$4:$J$203,Trato_Diario!$B$4:$B$203,E$5,Trato_Diario!$A$4:$A$203,$A60)/SUMIFS(Trato_Diario!$G$4:$G$203,Trato_Diario!$B$4:$B$203,E$5,Trato_Diario!$A$4:$A$203,$A60))</f>
        <v/>
      </c>
      <c r="F60" s="46" t="str">
        <f>IF(OR($A60&gt;MAX(Trato_Diario!$A$4:$A$203),SUMIFS(Trato_Diario!$G$4:$G$203,Trato_Diario!$B$4:$B$203,F$5,Trato_Diario!$A$4:$A$203,$A60)=0),"",SUMIFS(Trato_Diario!$J$4:$J$203,Trato_Diario!$B$4:$B$203,F$5,Trato_Diario!$A$4:$A$203,$A60)/SUMIFS(Trato_Diario!$G$4:$G$203,Trato_Diario!$B$4:$B$203,F$5,Trato_Diario!$A$4:$A$203,$A60))</f>
        <v/>
      </c>
      <c r="G60" s="46" t="str">
        <f>IF(OR($A60&gt;MAX(Trato_Diario!$A$4:$A$203),SUMIFS(Trato_Diario!$G$4:$G$203,Trato_Diario!$B$4:$B$203,G$5,Trato_Diario!$A$4:$A$203,$A60)=0),"",SUMIFS(Trato_Diario!$J$4:$J$203,Trato_Diario!$B$4:$B$203,G$5,Trato_Diario!$A$4:$A$203,$A60)/SUMIFS(Trato_Diario!$G$4:$G$203,Trato_Diario!$B$4:$B$203,G$5,Trato_Diario!$A$4:$A$203,$A60))</f>
        <v/>
      </c>
      <c r="H60" s="57" t="str">
        <f>IF(OR($A60&gt;MAX(Trato_Diario!$A$4:$A$203),SUMIFS(Trato_Diario!$G$4:$G$203,Trato_Diario!$A$4:$A$203,$A60)=0),"",SUMIFS(Trato_Diario!$J$4:$J$203,Trato_Diario!$A$4:$A$203,$A60)/SUMIFS(Trato_Diario!$G$4:$G$203,Trato_Diario!$A$4:$A$203,$A60))</f>
        <v/>
      </c>
    </row>
    <row r="61" spans="1:8" ht="14.25" customHeight="1" x14ac:dyDescent="0.3">
      <c r="A61" s="72">
        <v>46248</v>
      </c>
      <c r="B61" s="20" t="str">
        <f>IF(OR($A61&gt;MAX(Trato_Diario!$A$4:$A$203),SUMIFS(Trato_Diario!$G$4:$G$203,Trato_Diario!$B$4:$B$203,B$5,Trato_Diario!$A$4:$A$203,$A61)=0),"",SUMIFS(Trato_Diario!$J$4:$J$203,Trato_Diario!$B$4:$B$203,B$5,Trato_Diario!$A$4:$A$203,$A61)/SUMIFS(Trato_Diario!$G$4:$G$203,Trato_Diario!$B$4:$B$203,B$5,Trato_Diario!$A$4:$A$203,$A61))</f>
        <v/>
      </c>
      <c r="C61" s="20" t="str">
        <f>IF(OR($A61&gt;MAX(Trato_Diario!$A$4:$A$203),SUMIFS(Trato_Diario!$G$4:$G$203,Trato_Diario!$B$4:$B$203,C$5,Trato_Diario!$A$4:$A$203,$A61)=0),"",SUMIFS(Trato_Diario!$J$4:$J$203,Trato_Diario!$B$4:$B$203,C$5,Trato_Diario!$A$4:$A$203,$A61)/SUMIFS(Trato_Diario!$G$4:$G$203,Trato_Diario!$B$4:$B$203,C$5,Trato_Diario!$A$4:$A$203,$A61))</f>
        <v/>
      </c>
      <c r="D61" s="20" t="str">
        <f>IF(OR($A61&gt;MAX(Trato_Diario!$A$4:$A$203),SUMIFS(Trato_Diario!$G$4:$G$203,Trato_Diario!$B$4:$B$203,D$5,Trato_Diario!$A$4:$A$203,$A61)=0),"",SUMIFS(Trato_Diario!$J$4:$J$203,Trato_Diario!$B$4:$B$203,D$5,Trato_Diario!$A$4:$A$203,$A61)/SUMIFS(Trato_Diario!$G$4:$G$203,Trato_Diario!$B$4:$B$203,D$5,Trato_Diario!$A$4:$A$203,$A61))</f>
        <v/>
      </c>
      <c r="E61" s="20" t="str">
        <f>IF(OR($A61&gt;MAX(Trato_Diario!$A$4:$A$203),SUMIFS(Trato_Diario!$G$4:$G$203,Trato_Diario!$B$4:$B$203,E$5,Trato_Diario!$A$4:$A$203,$A61)=0),"",SUMIFS(Trato_Diario!$J$4:$J$203,Trato_Diario!$B$4:$B$203,E$5,Trato_Diario!$A$4:$A$203,$A61)/SUMIFS(Trato_Diario!$G$4:$G$203,Trato_Diario!$B$4:$B$203,E$5,Trato_Diario!$A$4:$A$203,$A61))</f>
        <v/>
      </c>
      <c r="F61" s="20" t="str">
        <f>IF(OR($A61&gt;MAX(Trato_Diario!$A$4:$A$203),SUMIFS(Trato_Diario!$G$4:$G$203,Trato_Diario!$B$4:$B$203,F$5,Trato_Diario!$A$4:$A$203,$A61)=0),"",SUMIFS(Trato_Diario!$J$4:$J$203,Trato_Diario!$B$4:$B$203,F$5,Trato_Diario!$A$4:$A$203,$A61)/SUMIFS(Trato_Diario!$G$4:$G$203,Trato_Diario!$B$4:$B$203,F$5,Trato_Diario!$A$4:$A$203,$A61))</f>
        <v/>
      </c>
      <c r="G61" s="20" t="str">
        <f>IF(OR($A61&gt;MAX(Trato_Diario!$A$4:$A$203),SUMIFS(Trato_Diario!$G$4:$G$203,Trato_Diario!$B$4:$B$203,G$5,Trato_Diario!$A$4:$A$203,$A61)=0),"",SUMIFS(Trato_Diario!$J$4:$J$203,Trato_Diario!$B$4:$B$203,G$5,Trato_Diario!$A$4:$A$203,$A61)/SUMIFS(Trato_Diario!$G$4:$G$203,Trato_Diario!$B$4:$B$203,G$5,Trato_Diario!$A$4:$A$203,$A61))</f>
        <v/>
      </c>
      <c r="H61" s="59" t="str">
        <f>IF(OR($A61&gt;MAX(Trato_Diario!$A$4:$A$203),SUMIFS(Trato_Diario!$G$4:$G$203,Trato_Diario!$A$4:$A$203,$A61)=0),"",SUMIFS(Trato_Diario!$J$4:$J$203,Trato_Diario!$A$4:$A$203,$A61)/SUMIFS(Trato_Diario!$G$4:$G$203,Trato_Diario!$A$4:$A$203,$A61))</f>
        <v/>
      </c>
    </row>
    <row r="62" spans="1:8" ht="14.25" customHeight="1" x14ac:dyDescent="0.3">
      <c r="A62" s="71">
        <v>46249</v>
      </c>
      <c r="B62" s="46" t="str">
        <f>IF(OR($A62&gt;MAX(Trato_Diario!$A$4:$A$203),SUMIFS(Trato_Diario!$G$4:$G$203,Trato_Diario!$B$4:$B$203,B$5,Trato_Diario!$A$4:$A$203,$A62)=0),"",SUMIFS(Trato_Diario!$J$4:$J$203,Trato_Diario!$B$4:$B$203,B$5,Trato_Diario!$A$4:$A$203,$A62)/SUMIFS(Trato_Diario!$G$4:$G$203,Trato_Diario!$B$4:$B$203,B$5,Trato_Diario!$A$4:$A$203,$A62))</f>
        <v/>
      </c>
      <c r="C62" s="46" t="str">
        <f>IF(OR($A62&gt;MAX(Trato_Diario!$A$4:$A$203),SUMIFS(Trato_Diario!$G$4:$G$203,Trato_Diario!$B$4:$B$203,C$5,Trato_Diario!$A$4:$A$203,$A62)=0),"",SUMIFS(Trato_Diario!$J$4:$J$203,Trato_Diario!$B$4:$B$203,C$5,Trato_Diario!$A$4:$A$203,$A62)/SUMIFS(Trato_Diario!$G$4:$G$203,Trato_Diario!$B$4:$B$203,C$5,Trato_Diario!$A$4:$A$203,$A62))</f>
        <v/>
      </c>
      <c r="D62" s="46" t="str">
        <f>IF(OR($A62&gt;MAX(Trato_Diario!$A$4:$A$203),SUMIFS(Trato_Diario!$G$4:$G$203,Trato_Diario!$B$4:$B$203,D$5,Trato_Diario!$A$4:$A$203,$A62)=0),"",SUMIFS(Trato_Diario!$J$4:$J$203,Trato_Diario!$B$4:$B$203,D$5,Trato_Diario!$A$4:$A$203,$A62)/SUMIFS(Trato_Diario!$G$4:$G$203,Trato_Diario!$B$4:$B$203,D$5,Trato_Diario!$A$4:$A$203,$A62))</f>
        <v/>
      </c>
      <c r="E62" s="46" t="str">
        <f>IF(OR($A62&gt;MAX(Trato_Diario!$A$4:$A$203),SUMIFS(Trato_Diario!$G$4:$G$203,Trato_Diario!$B$4:$B$203,E$5,Trato_Diario!$A$4:$A$203,$A62)=0),"",SUMIFS(Trato_Diario!$J$4:$J$203,Trato_Diario!$B$4:$B$203,E$5,Trato_Diario!$A$4:$A$203,$A62)/SUMIFS(Trato_Diario!$G$4:$G$203,Trato_Diario!$B$4:$B$203,E$5,Trato_Diario!$A$4:$A$203,$A62))</f>
        <v/>
      </c>
      <c r="F62" s="46" t="str">
        <f>IF(OR($A62&gt;MAX(Trato_Diario!$A$4:$A$203),SUMIFS(Trato_Diario!$G$4:$G$203,Trato_Diario!$B$4:$B$203,F$5,Trato_Diario!$A$4:$A$203,$A62)=0),"",SUMIFS(Trato_Diario!$J$4:$J$203,Trato_Diario!$B$4:$B$203,F$5,Trato_Diario!$A$4:$A$203,$A62)/SUMIFS(Trato_Diario!$G$4:$G$203,Trato_Diario!$B$4:$B$203,F$5,Trato_Diario!$A$4:$A$203,$A62))</f>
        <v/>
      </c>
      <c r="G62" s="46" t="str">
        <f>IF(OR($A62&gt;MAX(Trato_Diario!$A$4:$A$203),SUMIFS(Trato_Diario!$G$4:$G$203,Trato_Diario!$B$4:$B$203,G$5,Trato_Diario!$A$4:$A$203,$A62)=0),"",SUMIFS(Trato_Diario!$J$4:$J$203,Trato_Diario!$B$4:$B$203,G$5,Trato_Diario!$A$4:$A$203,$A62)/SUMIFS(Trato_Diario!$G$4:$G$203,Trato_Diario!$B$4:$B$203,G$5,Trato_Diario!$A$4:$A$203,$A62))</f>
        <v/>
      </c>
      <c r="H62" s="57" t="str">
        <f>IF(OR($A62&gt;MAX(Trato_Diario!$A$4:$A$203),SUMIFS(Trato_Diario!$G$4:$G$203,Trato_Diario!$A$4:$A$203,$A62)=0),"",SUMIFS(Trato_Diario!$J$4:$J$203,Trato_Diario!$A$4:$A$203,$A62)/SUMIFS(Trato_Diario!$G$4:$G$203,Trato_Diario!$A$4:$A$203,$A62))</f>
        <v/>
      </c>
    </row>
    <row r="63" spans="1:8" ht="14.25" customHeight="1" x14ac:dyDescent="0.3">
      <c r="A63" s="72">
        <v>46250</v>
      </c>
      <c r="B63" s="20" t="str">
        <f>IF(OR($A63&gt;MAX(Trato_Diario!$A$4:$A$203),SUMIFS(Trato_Diario!$G$4:$G$203,Trato_Diario!$B$4:$B$203,B$5,Trato_Diario!$A$4:$A$203,$A63)=0),"",SUMIFS(Trato_Diario!$J$4:$J$203,Trato_Diario!$B$4:$B$203,B$5,Trato_Diario!$A$4:$A$203,$A63)/SUMIFS(Trato_Diario!$G$4:$G$203,Trato_Diario!$B$4:$B$203,B$5,Trato_Diario!$A$4:$A$203,$A63))</f>
        <v/>
      </c>
      <c r="C63" s="20" t="str">
        <f>IF(OR($A63&gt;MAX(Trato_Diario!$A$4:$A$203),SUMIFS(Trato_Diario!$G$4:$G$203,Trato_Diario!$B$4:$B$203,C$5,Trato_Diario!$A$4:$A$203,$A63)=0),"",SUMIFS(Trato_Diario!$J$4:$J$203,Trato_Diario!$B$4:$B$203,C$5,Trato_Diario!$A$4:$A$203,$A63)/SUMIFS(Trato_Diario!$G$4:$G$203,Trato_Diario!$B$4:$B$203,C$5,Trato_Diario!$A$4:$A$203,$A63))</f>
        <v/>
      </c>
      <c r="D63" s="20" t="str">
        <f>IF(OR($A63&gt;MAX(Trato_Diario!$A$4:$A$203),SUMIFS(Trato_Diario!$G$4:$G$203,Trato_Diario!$B$4:$B$203,D$5,Trato_Diario!$A$4:$A$203,$A63)=0),"",SUMIFS(Trato_Diario!$J$4:$J$203,Trato_Diario!$B$4:$B$203,D$5,Trato_Diario!$A$4:$A$203,$A63)/SUMIFS(Trato_Diario!$G$4:$G$203,Trato_Diario!$B$4:$B$203,D$5,Trato_Diario!$A$4:$A$203,$A63))</f>
        <v/>
      </c>
      <c r="E63" s="20" t="str">
        <f>IF(OR($A63&gt;MAX(Trato_Diario!$A$4:$A$203),SUMIFS(Trato_Diario!$G$4:$G$203,Trato_Diario!$B$4:$B$203,E$5,Trato_Diario!$A$4:$A$203,$A63)=0),"",SUMIFS(Trato_Diario!$J$4:$J$203,Trato_Diario!$B$4:$B$203,E$5,Trato_Diario!$A$4:$A$203,$A63)/SUMIFS(Trato_Diario!$G$4:$G$203,Trato_Diario!$B$4:$B$203,E$5,Trato_Diario!$A$4:$A$203,$A63))</f>
        <v/>
      </c>
      <c r="F63" s="20" t="str">
        <f>IF(OR($A63&gt;MAX(Trato_Diario!$A$4:$A$203),SUMIFS(Trato_Diario!$G$4:$G$203,Trato_Diario!$B$4:$B$203,F$5,Trato_Diario!$A$4:$A$203,$A63)=0),"",SUMIFS(Trato_Diario!$J$4:$J$203,Trato_Diario!$B$4:$B$203,F$5,Trato_Diario!$A$4:$A$203,$A63)/SUMIFS(Trato_Diario!$G$4:$G$203,Trato_Diario!$B$4:$B$203,F$5,Trato_Diario!$A$4:$A$203,$A63))</f>
        <v/>
      </c>
      <c r="G63" s="20" t="str">
        <f>IF(OR($A63&gt;MAX(Trato_Diario!$A$4:$A$203),SUMIFS(Trato_Diario!$G$4:$G$203,Trato_Diario!$B$4:$B$203,G$5,Trato_Diario!$A$4:$A$203,$A63)=0),"",SUMIFS(Trato_Diario!$J$4:$J$203,Trato_Diario!$B$4:$B$203,G$5,Trato_Diario!$A$4:$A$203,$A63)/SUMIFS(Trato_Diario!$G$4:$G$203,Trato_Diario!$B$4:$B$203,G$5,Trato_Diario!$A$4:$A$203,$A63))</f>
        <v/>
      </c>
      <c r="H63" s="59" t="str">
        <f>IF(OR($A63&gt;MAX(Trato_Diario!$A$4:$A$203),SUMIFS(Trato_Diario!$G$4:$G$203,Trato_Diario!$A$4:$A$203,$A63)=0),"",SUMIFS(Trato_Diario!$J$4:$J$203,Trato_Diario!$A$4:$A$203,$A63)/SUMIFS(Trato_Diario!$G$4:$G$203,Trato_Diario!$A$4:$A$203,$A63))</f>
        <v/>
      </c>
    </row>
    <row r="64" spans="1:8" ht="14.25" customHeight="1" x14ac:dyDescent="0.3">
      <c r="A64" s="71">
        <v>46251</v>
      </c>
      <c r="B64" s="46" t="str">
        <f>IF(OR($A64&gt;MAX(Trato_Diario!$A$4:$A$203),SUMIFS(Trato_Diario!$G$4:$G$203,Trato_Diario!$B$4:$B$203,B$5,Trato_Diario!$A$4:$A$203,$A64)=0),"",SUMIFS(Trato_Diario!$J$4:$J$203,Trato_Diario!$B$4:$B$203,B$5,Trato_Diario!$A$4:$A$203,$A64)/SUMIFS(Trato_Diario!$G$4:$G$203,Trato_Diario!$B$4:$B$203,B$5,Trato_Diario!$A$4:$A$203,$A64))</f>
        <v/>
      </c>
      <c r="C64" s="46" t="str">
        <f>IF(OR($A64&gt;MAX(Trato_Diario!$A$4:$A$203),SUMIFS(Trato_Diario!$G$4:$G$203,Trato_Diario!$B$4:$B$203,C$5,Trato_Diario!$A$4:$A$203,$A64)=0),"",SUMIFS(Trato_Diario!$J$4:$J$203,Trato_Diario!$B$4:$B$203,C$5,Trato_Diario!$A$4:$A$203,$A64)/SUMIFS(Trato_Diario!$G$4:$G$203,Trato_Diario!$B$4:$B$203,C$5,Trato_Diario!$A$4:$A$203,$A64))</f>
        <v/>
      </c>
      <c r="D64" s="46" t="str">
        <f>IF(OR($A64&gt;MAX(Trato_Diario!$A$4:$A$203),SUMIFS(Trato_Diario!$G$4:$G$203,Trato_Diario!$B$4:$B$203,D$5,Trato_Diario!$A$4:$A$203,$A64)=0),"",SUMIFS(Trato_Diario!$J$4:$J$203,Trato_Diario!$B$4:$B$203,D$5,Trato_Diario!$A$4:$A$203,$A64)/SUMIFS(Trato_Diario!$G$4:$G$203,Trato_Diario!$B$4:$B$203,D$5,Trato_Diario!$A$4:$A$203,$A64))</f>
        <v/>
      </c>
      <c r="E64" s="46" t="str">
        <f>IF(OR($A64&gt;MAX(Trato_Diario!$A$4:$A$203),SUMIFS(Trato_Diario!$G$4:$G$203,Trato_Diario!$B$4:$B$203,E$5,Trato_Diario!$A$4:$A$203,$A64)=0),"",SUMIFS(Trato_Diario!$J$4:$J$203,Trato_Diario!$B$4:$B$203,E$5,Trato_Diario!$A$4:$A$203,$A64)/SUMIFS(Trato_Diario!$G$4:$G$203,Trato_Diario!$B$4:$B$203,E$5,Trato_Diario!$A$4:$A$203,$A64))</f>
        <v/>
      </c>
      <c r="F64" s="46" t="str">
        <f>IF(OR($A64&gt;MAX(Trato_Diario!$A$4:$A$203),SUMIFS(Trato_Diario!$G$4:$G$203,Trato_Diario!$B$4:$B$203,F$5,Trato_Diario!$A$4:$A$203,$A64)=0),"",SUMIFS(Trato_Diario!$J$4:$J$203,Trato_Diario!$B$4:$B$203,F$5,Trato_Diario!$A$4:$A$203,$A64)/SUMIFS(Trato_Diario!$G$4:$G$203,Trato_Diario!$B$4:$B$203,F$5,Trato_Diario!$A$4:$A$203,$A64))</f>
        <v/>
      </c>
      <c r="G64" s="46" t="str">
        <f>IF(OR($A64&gt;MAX(Trato_Diario!$A$4:$A$203),SUMIFS(Trato_Diario!$G$4:$G$203,Trato_Diario!$B$4:$B$203,G$5,Trato_Diario!$A$4:$A$203,$A64)=0),"",SUMIFS(Trato_Diario!$J$4:$J$203,Trato_Diario!$B$4:$B$203,G$5,Trato_Diario!$A$4:$A$203,$A64)/SUMIFS(Trato_Diario!$G$4:$G$203,Trato_Diario!$B$4:$B$203,G$5,Trato_Diario!$A$4:$A$203,$A64))</f>
        <v/>
      </c>
      <c r="H64" s="57" t="str">
        <f>IF(OR($A64&gt;MAX(Trato_Diario!$A$4:$A$203),SUMIFS(Trato_Diario!$G$4:$G$203,Trato_Diario!$A$4:$A$203,$A64)=0),"",SUMIFS(Trato_Diario!$J$4:$J$203,Trato_Diario!$A$4:$A$203,$A64)/SUMIFS(Trato_Diario!$G$4:$G$203,Trato_Diario!$A$4:$A$203,$A64))</f>
        <v/>
      </c>
    </row>
    <row r="65" spans="1:8" ht="14.25" customHeight="1" x14ac:dyDescent="0.3">
      <c r="A65" s="72">
        <v>46252</v>
      </c>
      <c r="B65" s="20" t="str">
        <f>IF(OR($A65&gt;MAX(Trato_Diario!$A$4:$A$203),SUMIFS(Trato_Diario!$G$4:$G$203,Trato_Diario!$B$4:$B$203,B$5,Trato_Diario!$A$4:$A$203,$A65)=0),"",SUMIFS(Trato_Diario!$J$4:$J$203,Trato_Diario!$B$4:$B$203,B$5,Trato_Diario!$A$4:$A$203,$A65)/SUMIFS(Trato_Diario!$G$4:$G$203,Trato_Diario!$B$4:$B$203,B$5,Trato_Diario!$A$4:$A$203,$A65))</f>
        <v/>
      </c>
      <c r="C65" s="20" t="str">
        <f>IF(OR($A65&gt;MAX(Trato_Diario!$A$4:$A$203),SUMIFS(Trato_Diario!$G$4:$G$203,Trato_Diario!$B$4:$B$203,C$5,Trato_Diario!$A$4:$A$203,$A65)=0),"",SUMIFS(Trato_Diario!$J$4:$J$203,Trato_Diario!$B$4:$B$203,C$5,Trato_Diario!$A$4:$A$203,$A65)/SUMIFS(Trato_Diario!$G$4:$G$203,Trato_Diario!$B$4:$B$203,C$5,Trato_Diario!$A$4:$A$203,$A65))</f>
        <v/>
      </c>
      <c r="D65" s="20" t="str">
        <f>IF(OR($A65&gt;MAX(Trato_Diario!$A$4:$A$203),SUMIFS(Trato_Diario!$G$4:$G$203,Trato_Diario!$B$4:$B$203,D$5,Trato_Diario!$A$4:$A$203,$A65)=0),"",SUMIFS(Trato_Diario!$J$4:$J$203,Trato_Diario!$B$4:$B$203,D$5,Trato_Diario!$A$4:$A$203,$A65)/SUMIFS(Trato_Diario!$G$4:$G$203,Trato_Diario!$B$4:$B$203,D$5,Trato_Diario!$A$4:$A$203,$A65))</f>
        <v/>
      </c>
      <c r="E65" s="20" t="str">
        <f>IF(OR($A65&gt;MAX(Trato_Diario!$A$4:$A$203),SUMIFS(Trato_Diario!$G$4:$G$203,Trato_Diario!$B$4:$B$203,E$5,Trato_Diario!$A$4:$A$203,$A65)=0),"",SUMIFS(Trato_Diario!$J$4:$J$203,Trato_Diario!$B$4:$B$203,E$5,Trato_Diario!$A$4:$A$203,$A65)/SUMIFS(Trato_Diario!$G$4:$G$203,Trato_Diario!$B$4:$B$203,E$5,Trato_Diario!$A$4:$A$203,$A65))</f>
        <v/>
      </c>
      <c r="F65" s="20" t="str">
        <f>IF(OR($A65&gt;MAX(Trato_Diario!$A$4:$A$203),SUMIFS(Trato_Diario!$G$4:$G$203,Trato_Diario!$B$4:$B$203,F$5,Trato_Diario!$A$4:$A$203,$A65)=0),"",SUMIFS(Trato_Diario!$J$4:$J$203,Trato_Diario!$B$4:$B$203,F$5,Trato_Diario!$A$4:$A$203,$A65)/SUMIFS(Trato_Diario!$G$4:$G$203,Trato_Diario!$B$4:$B$203,F$5,Trato_Diario!$A$4:$A$203,$A65))</f>
        <v/>
      </c>
      <c r="G65" s="20" t="str">
        <f>IF(OR($A65&gt;MAX(Trato_Diario!$A$4:$A$203),SUMIFS(Trato_Diario!$G$4:$G$203,Trato_Diario!$B$4:$B$203,G$5,Trato_Diario!$A$4:$A$203,$A65)=0),"",SUMIFS(Trato_Diario!$J$4:$J$203,Trato_Diario!$B$4:$B$203,G$5,Trato_Diario!$A$4:$A$203,$A65)/SUMIFS(Trato_Diario!$G$4:$G$203,Trato_Diario!$B$4:$B$203,G$5,Trato_Diario!$A$4:$A$203,$A65))</f>
        <v/>
      </c>
      <c r="H65" s="59" t="str">
        <f>IF(OR($A65&gt;MAX(Trato_Diario!$A$4:$A$203),SUMIFS(Trato_Diario!$G$4:$G$203,Trato_Diario!$A$4:$A$203,$A65)=0),"",SUMIFS(Trato_Diario!$J$4:$J$203,Trato_Diario!$A$4:$A$203,$A65)/SUMIFS(Trato_Diario!$G$4:$G$203,Trato_Diario!$A$4:$A$203,$A65))</f>
        <v/>
      </c>
    </row>
    <row r="66" spans="1:8" ht="14.25" customHeight="1" x14ac:dyDescent="0.3">
      <c r="A66" s="71">
        <v>46253</v>
      </c>
      <c r="B66" s="46" t="str">
        <f>IF(OR($A66&gt;MAX(Trato_Diario!$A$4:$A$203),SUMIFS(Trato_Diario!$G$4:$G$203,Trato_Diario!$B$4:$B$203,B$5,Trato_Diario!$A$4:$A$203,$A66)=0),"",SUMIFS(Trato_Diario!$J$4:$J$203,Trato_Diario!$B$4:$B$203,B$5,Trato_Diario!$A$4:$A$203,$A66)/SUMIFS(Trato_Diario!$G$4:$G$203,Trato_Diario!$B$4:$B$203,B$5,Trato_Diario!$A$4:$A$203,$A66))</f>
        <v/>
      </c>
      <c r="C66" s="46" t="str">
        <f>IF(OR($A66&gt;MAX(Trato_Diario!$A$4:$A$203),SUMIFS(Trato_Diario!$G$4:$G$203,Trato_Diario!$B$4:$B$203,C$5,Trato_Diario!$A$4:$A$203,$A66)=0),"",SUMIFS(Trato_Diario!$J$4:$J$203,Trato_Diario!$B$4:$B$203,C$5,Trato_Diario!$A$4:$A$203,$A66)/SUMIFS(Trato_Diario!$G$4:$G$203,Trato_Diario!$B$4:$B$203,C$5,Trato_Diario!$A$4:$A$203,$A66))</f>
        <v/>
      </c>
      <c r="D66" s="46" t="str">
        <f>IF(OR($A66&gt;MAX(Trato_Diario!$A$4:$A$203),SUMIFS(Trato_Diario!$G$4:$G$203,Trato_Diario!$B$4:$B$203,D$5,Trato_Diario!$A$4:$A$203,$A66)=0),"",SUMIFS(Trato_Diario!$J$4:$J$203,Trato_Diario!$B$4:$B$203,D$5,Trato_Diario!$A$4:$A$203,$A66)/SUMIFS(Trato_Diario!$G$4:$G$203,Trato_Diario!$B$4:$B$203,D$5,Trato_Diario!$A$4:$A$203,$A66))</f>
        <v/>
      </c>
      <c r="E66" s="46" t="str">
        <f>IF(OR($A66&gt;MAX(Trato_Diario!$A$4:$A$203),SUMIFS(Trato_Diario!$G$4:$G$203,Trato_Diario!$B$4:$B$203,E$5,Trato_Diario!$A$4:$A$203,$A66)=0),"",SUMIFS(Trato_Diario!$J$4:$J$203,Trato_Diario!$B$4:$B$203,E$5,Trato_Diario!$A$4:$A$203,$A66)/SUMIFS(Trato_Diario!$G$4:$G$203,Trato_Diario!$B$4:$B$203,E$5,Trato_Diario!$A$4:$A$203,$A66))</f>
        <v/>
      </c>
      <c r="F66" s="46" t="str">
        <f>IF(OR($A66&gt;MAX(Trato_Diario!$A$4:$A$203),SUMIFS(Trato_Diario!$G$4:$G$203,Trato_Diario!$B$4:$B$203,F$5,Trato_Diario!$A$4:$A$203,$A66)=0),"",SUMIFS(Trato_Diario!$J$4:$J$203,Trato_Diario!$B$4:$B$203,F$5,Trato_Diario!$A$4:$A$203,$A66)/SUMIFS(Trato_Diario!$G$4:$G$203,Trato_Diario!$B$4:$B$203,F$5,Trato_Diario!$A$4:$A$203,$A66))</f>
        <v/>
      </c>
      <c r="G66" s="46" t="str">
        <f>IF(OR($A66&gt;MAX(Trato_Diario!$A$4:$A$203),SUMIFS(Trato_Diario!$G$4:$G$203,Trato_Diario!$B$4:$B$203,G$5,Trato_Diario!$A$4:$A$203,$A66)=0),"",SUMIFS(Trato_Diario!$J$4:$J$203,Trato_Diario!$B$4:$B$203,G$5,Trato_Diario!$A$4:$A$203,$A66)/SUMIFS(Trato_Diario!$G$4:$G$203,Trato_Diario!$B$4:$B$203,G$5,Trato_Diario!$A$4:$A$203,$A66))</f>
        <v/>
      </c>
      <c r="H66" s="57" t="str">
        <f>IF(OR($A66&gt;MAX(Trato_Diario!$A$4:$A$203),SUMIFS(Trato_Diario!$G$4:$G$203,Trato_Diario!$A$4:$A$203,$A66)=0),"",SUMIFS(Trato_Diario!$J$4:$J$203,Trato_Diario!$A$4:$A$203,$A66)/SUMIFS(Trato_Diario!$G$4:$G$203,Trato_Diario!$A$4:$A$203,$A66))</f>
        <v/>
      </c>
    </row>
    <row r="67" spans="1:8" ht="14.25" customHeight="1" x14ac:dyDescent="0.3">
      <c r="A67" s="72">
        <v>46254</v>
      </c>
      <c r="B67" s="20" t="str">
        <f>IF(OR($A67&gt;MAX(Trato_Diario!$A$4:$A$203),SUMIFS(Trato_Diario!$G$4:$G$203,Trato_Diario!$B$4:$B$203,B$5,Trato_Diario!$A$4:$A$203,$A67)=0),"",SUMIFS(Trato_Diario!$J$4:$J$203,Trato_Diario!$B$4:$B$203,B$5,Trato_Diario!$A$4:$A$203,$A67)/SUMIFS(Trato_Diario!$G$4:$G$203,Trato_Diario!$B$4:$B$203,B$5,Trato_Diario!$A$4:$A$203,$A67))</f>
        <v/>
      </c>
      <c r="C67" s="20" t="str">
        <f>IF(OR($A67&gt;MAX(Trato_Diario!$A$4:$A$203),SUMIFS(Trato_Diario!$G$4:$G$203,Trato_Diario!$B$4:$B$203,C$5,Trato_Diario!$A$4:$A$203,$A67)=0),"",SUMIFS(Trato_Diario!$J$4:$J$203,Trato_Diario!$B$4:$B$203,C$5,Trato_Diario!$A$4:$A$203,$A67)/SUMIFS(Trato_Diario!$G$4:$G$203,Trato_Diario!$B$4:$B$203,C$5,Trato_Diario!$A$4:$A$203,$A67))</f>
        <v/>
      </c>
      <c r="D67" s="20" t="str">
        <f>IF(OR($A67&gt;MAX(Trato_Diario!$A$4:$A$203),SUMIFS(Trato_Diario!$G$4:$G$203,Trato_Diario!$B$4:$B$203,D$5,Trato_Diario!$A$4:$A$203,$A67)=0),"",SUMIFS(Trato_Diario!$J$4:$J$203,Trato_Diario!$B$4:$B$203,D$5,Trato_Diario!$A$4:$A$203,$A67)/SUMIFS(Trato_Diario!$G$4:$G$203,Trato_Diario!$B$4:$B$203,D$5,Trato_Diario!$A$4:$A$203,$A67))</f>
        <v/>
      </c>
      <c r="E67" s="20" t="str">
        <f>IF(OR($A67&gt;MAX(Trato_Diario!$A$4:$A$203),SUMIFS(Trato_Diario!$G$4:$G$203,Trato_Diario!$B$4:$B$203,E$5,Trato_Diario!$A$4:$A$203,$A67)=0),"",SUMIFS(Trato_Diario!$J$4:$J$203,Trato_Diario!$B$4:$B$203,E$5,Trato_Diario!$A$4:$A$203,$A67)/SUMIFS(Trato_Diario!$G$4:$G$203,Trato_Diario!$B$4:$B$203,E$5,Trato_Diario!$A$4:$A$203,$A67))</f>
        <v/>
      </c>
      <c r="F67" s="20" t="str">
        <f>IF(OR($A67&gt;MAX(Trato_Diario!$A$4:$A$203),SUMIFS(Trato_Diario!$G$4:$G$203,Trato_Diario!$B$4:$B$203,F$5,Trato_Diario!$A$4:$A$203,$A67)=0),"",SUMIFS(Trato_Diario!$J$4:$J$203,Trato_Diario!$B$4:$B$203,F$5,Trato_Diario!$A$4:$A$203,$A67)/SUMIFS(Trato_Diario!$G$4:$G$203,Trato_Diario!$B$4:$B$203,F$5,Trato_Diario!$A$4:$A$203,$A67))</f>
        <v/>
      </c>
      <c r="G67" s="20" t="str">
        <f>IF(OR($A67&gt;MAX(Trato_Diario!$A$4:$A$203),SUMIFS(Trato_Diario!$G$4:$G$203,Trato_Diario!$B$4:$B$203,G$5,Trato_Diario!$A$4:$A$203,$A67)=0),"",SUMIFS(Trato_Diario!$J$4:$J$203,Trato_Diario!$B$4:$B$203,G$5,Trato_Diario!$A$4:$A$203,$A67)/SUMIFS(Trato_Diario!$G$4:$G$203,Trato_Diario!$B$4:$B$203,G$5,Trato_Diario!$A$4:$A$203,$A67))</f>
        <v/>
      </c>
      <c r="H67" s="59" t="str">
        <f>IF(OR($A67&gt;MAX(Trato_Diario!$A$4:$A$203),SUMIFS(Trato_Diario!$G$4:$G$203,Trato_Diario!$A$4:$A$203,$A67)=0),"",SUMIFS(Trato_Diario!$J$4:$J$203,Trato_Diario!$A$4:$A$203,$A67)/SUMIFS(Trato_Diario!$G$4:$G$203,Trato_Diario!$A$4:$A$203,$A67))</f>
        <v/>
      </c>
    </row>
    <row r="68" spans="1:8" ht="14.25" customHeight="1" x14ac:dyDescent="0.3">
      <c r="A68" s="71">
        <v>46255</v>
      </c>
      <c r="B68" s="46" t="str">
        <f>IF(OR($A68&gt;MAX(Trato_Diario!$A$4:$A$203),SUMIFS(Trato_Diario!$G$4:$G$203,Trato_Diario!$B$4:$B$203,B$5,Trato_Diario!$A$4:$A$203,$A68)=0),"",SUMIFS(Trato_Diario!$J$4:$J$203,Trato_Diario!$B$4:$B$203,B$5,Trato_Diario!$A$4:$A$203,$A68)/SUMIFS(Trato_Diario!$G$4:$G$203,Trato_Diario!$B$4:$B$203,B$5,Trato_Diario!$A$4:$A$203,$A68))</f>
        <v/>
      </c>
      <c r="C68" s="46" t="str">
        <f>IF(OR($A68&gt;MAX(Trato_Diario!$A$4:$A$203),SUMIFS(Trato_Diario!$G$4:$G$203,Trato_Diario!$B$4:$B$203,C$5,Trato_Diario!$A$4:$A$203,$A68)=0),"",SUMIFS(Trato_Diario!$J$4:$J$203,Trato_Diario!$B$4:$B$203,C$5,Trato_Diario!$A$4:$A$203,$A68)/SUMIFS(Trato_Diario!$G$4:$G$203,Trato_Diario!$B$4:$B$203,C$5,Trato_Diario!$A$4:$A$203,$A68))</f>
        <v/>
      </c>
      <c r="D68" s="46" t="str">
        <f>IF(OR($A68&gt;MAX(Trato_Diario!$A$4:$A$203),SUMIFS(Trato_Diario!$G$4:$G$203,Trato_Diario!$B$4:$B$203,D$5,Trato_Diario!$A$4:$A$203,$A68)=0),"",SUMIFS(Trato_Diario!$J$4:$J$203,Trato_Diario!$B$4:$B$203,D$5,Trato_Diario!$A$4:$A$203,$A68)/SUMIFS(Trato_Diario!$G$4:$G$203,Trato_Diario!$B$4:$B$203,D$5,Trato_Diario!$A$4:$A$203,$A68))</f>
        <v/>
      </c>
      <c r="E68" s="46" t="str">
        <f>IF(OR($A68&gt;MAX(Trato_Diario!$A$4:$A$203),SUMIFS(Trato_Diario!$G$4:$G$203,Trato_Diario!$B$4:$B$203,E$5,Trato_Diario!$A$4:$A$203,$A68)=0),"",SUMIFS(Trato_Diario!$J$4:$J$203,Trato_Diario!$B$4:$B$203,E$5,Trato_Diario!$A$4:$A$203,$A68)/SUMIFS(Trato_Diario!$G$4:$G$203,Trato_Diario!$B$4:$B$203,E$5,Trato_Diario!$A$4:$A$203,$A68))</f>
        <v/>
      </c>
      <c r="F68" s="46" t="str">
        <f>IF(OR($A68&gt;MAX(Trato_Diario!$A$4:$A$203),SUMIFS(Trato_Diario!$G$4:$G$203,Trato_Diario!$B$4:$B$203,F$5,Trato_Diario!$A$4:$A$203,$A68)=0),"",SUMIFS(Trato_Diario!$J$4:$J$203,Trato_Diario!$B$4:$B$203,F$5,Trato_Diario!$A$4:$A$203,$A68)/SUMIFS(Trato_Diario!$G$4:$G$203,Trato_Diario!$B$4:$B$203,F$5,Trato_Diario!$A$4:$A$203,$A68))</f>
        <v/>
      </c>
      <c r="G68" s="46" t="str">
        <f>IF(OR($A68&gt;MAX(Trato_Diario!$A$4:$A$203),SUMIFS(Trato_Diario!$G$4:$G$203,Trato_Diario!$B$4:$B$203,G$5,Trato_Diario!$A$4:$A$203,$A68)=0),"",SUMIFS(Trato_Diario!$J$4:$J$203,Trato_Diario!$B$4:$B$203,G$5,Trato_Diario!$A$4:$A$203,$A68)/SUMIFS(Trato_Diario!$G$4:$G$203,Trato_Diario!$B$4:$B$203,G$5,Trato_Diario!$A$4:$A$203,$A68))</f>
        <v/>
      </c>
      <c r="H68" s="57" t="str">
        <f>IF(OR($A68&gt;MAX(Trato_Diario!$A$4:$A$203),SUMIFS(Trato_Diario!$G$4:$G$203,Trato_Diario!$A$4:$A$203,$A68)=0),"",SUMIFS(Trato_Diario!$J$4:$J$203,Trato_Diario!$A$4:$A$203,$A68)/SUMIFS(Trato_Diario!$G$4:$G$203,Trato_Diario!$A$4:$A$203,$A68))</f>
        <v/>
      </c>
    </row>
    <row r="69" spans="1:8" ht="14.25" customHeight="1" x14ac:dyDescent="0.3">
      <c r="A69" s="72">
        <v>46256</v>
      </c>
      <c r="B69" s="20" t="str">
        <f>IF(OR($A69&gt;MAX(Trato_Diario!$A$4:$A$203),SUMIFS(Trato_Diario!$G$4:$G$203,Trato_Diario!$B$4:$B$203,B$5,Trato_Diario!$A$4:$A$203,$A69)=0),"",SUMIFS(Trato_Diario!$J$4:$J$203,Trato_Diario!$B$4:$B$203,B$5,Trato_Diario!$A$4:$A$203,$A69)/SUMIFS(Trato_Diario!$G$4:$G$203,Trato_Diario!$B$4:$B$203,B$5,Trato_Diario!$A$4:$A$203,$A69))</f>
        <v/>
      </c>
      <c r="C69" s="20" t="str">
        <f>IF(OR($A69&gt;MAX(Trato_Diario!$A$4:$A$203),SUMIFS(Trato_Diario!$G$4:$G$203,Trato_Diario!$B$4:$B$203,C$5,Trato_Diario!$A$4:$A$203,$A69)=0),"",SUMIFS(Trato_Diario!$J$4:$J$203,Trato_Diario!$B$4:$B$203,C$5,Trato_Diario!$A$4:$A$203,$A69)/SUMIFS(Trato_Diario!$G$4:$G$203,Trato_Diario!$B$4:$B$203,C$5,Trato_Diario!$A$4:$A$203,$A69))</f>
        <v/>
      </c>
      <c r="D69" s="20" t="str">
        <f>IF(OR($A69&gt;MAX(Trato_Diario!$A$4:$A$203),SUMIFS(Trato_Diario!$G$4:$G$203,Trato_Diario!$B$4:$B$203,D$5,Trato_Diario!$A$4:$A$203,$A69)=0),"",SUMIFS(Trato_Diario!$J$4:$J$203,Trato_Diario!$B$4:$B$203,D$5,Trato_Diario!$A$4:$A$203,$A69)/SUMIFS(Trato_Diario!$G$4:$G$203,Trato_Diario!$B$4:$B$203,D$5,Trato_Diario!$A$4:$A$203,$A69))</f>
        <v/>
      </c>
      <c r="E69" s="20" t="str">
        <f>IF(OR($A69&gt;MAX(Trato_Diario!$A$4:$A$203),SUMIFS(Trato_Diario!$G$4:$G$203,Trato_Diario!$B$4:$B$203,E$5,Trato_Diario!$A$4:$A$203,$A69)=0),"",SUMIFS(Trato_Diario!$J$4:$J$203,Trato_Diario!$B$4:$B$203,E$5,Trato_Diario!$A$4:$A$203,$A69)/SUMIFS(Trato_Diario!$G$4:$G$203,Trato_Diario!$B$4:$B$203,E$5,Trato_Diario!$A$4:$A$203,$A69))</f>
        <v/>
      </c>
      <c r="F69" s="20" t="str">
        <f>IF(OR($A69&gt;MAX(Trato_Diario!$A$4:$A$203),SUMIFS(Trato_Diario!$G$4:$G$203,Trato_Diario!$B$4:$B$203,F$5,Trato_Diario!$A$4:$A$203,$A69)=0),"",SUMIFS(Trato_Diario!$J$4:$J$203,Trato_Diario!$B$4:$B$203,F$5,Trato_Diario!$A$4:$A$203,$A69)/SUMIFS(Trato_Diario!$G$4:$G$203,Trato_Diario!$B$4:$B$203,F$5,Trato_Diario!$A$4:$A$203,$A69))</f>
        <v/>
      </c>
      <c r="G69" s="20" t="str">
        <f>IF(OR($A69&gt;MAX(Trato_Diario!$A$4:$A$203),SUMIFS(Trato_Diario!$G$4:$G$203,Trato_Diario!$B$4:$B$203,G$5,Trato_Diario!$A$4:$A$203,$A69)=0),"",SUMIFS(Trato_Diario!$J$4:$J$203,Trato_Diario!$B$4:$B$203,G$5,Trato_Diario!$A$4:$A$203,$A69)/SUMIFS(Trato_Diario!$G$4:$G$203,Trato_Diario!$B$4:$B$203,G$5,Trato_Diario!$A$4:$A$203,$A69))</f>
        <v/>
      </c>
      <c r="H69" s="59" t="str">
        <f>IF(OR($A69&gt;MAX(Trato_Diario!$A$4:$A$203),SUMIFS(Trato_Diario!$G$4:$G$203,Trato_Diario!$A$4:$A$203,$A69)=0),"",SUMIFS(Trato_Diario!$J$4:$J$203,Trato_Diario!$A$4:$A$203,$A69)/SUMIFS(Trato_Diario!$G$4:$G$203,Trato_Diario!$A$4:$A$203,$A69))</f>
        <v/>
      </c>
    </row>
    <row r="70" spans="1:8" ht="14.25" customHeight="1" x14ac:dyDescent="0.3">
      <c r="A70" s="71">
        <v>46257</v>
      </c>
      <c r="B70" s="46" t="str">
        <f>IF(OR($A70&gt;MAX(Trato_Diario!$A$4:$A$203),SUMIFS(Trato_Diario!$G$4:$G$203,Trato_Diario!$B$4:$B$203,B$5,Trato_Diario!$A$4:$A$203,$A70)=0),"",SUMIFS(Trato_Diario!$J$4:$J$203,Trato_Diario!$B$4:$B$203,B$5,Trato_Diario!$A$4:$A$203,$A70)/SUMIFS(Trato_Diario!$G$4:$G$203,Trato_Diario!$B$4:$B$203,B$5,Trato_Diario!$A$4:$A$203,$A70))</f>
        <v/>
      </c>
      <c r="C70" s="46" t="str">
        <f>IF(OR($A70&gt;MAX(Trato_Diario!$A$4:$A$203),SUMIFS(Trato_Diario!$G$4:$G$203,Trato_Diario!$B$4:$B$203,C$5,Trato_Diario!$A$4:$A$203,$A70)=0),"",SUMIFS(Trato_Diario!$J$4:$J$203,Trato_Diario!$B$4:$B$203,C$5,Trato_Diario!$A$4:$A$203,$A70)/SUMIFS(Trato_Diario!$G$4:$G$203,Trato_Diario!$B$4:$B$203,C$5,Trato_Diario!$A$4:$A$203,$A70))</f>
        <v/>
      </c>
      <c r="D70" s="46" t="str">
        <f>IF(OR($A70&gt;MAX(Trato_Diario!$A$4:$A$203),SUMIFS(Trato_Diario!$G$4:$G$203,Trato_Diario!$B$4:$B$203,D$5,Trato_Diario!$A$4:$A$203,$A70)=0),"",SUMIFS(Trato_Diario!$J$4:$J$203,Trato_Diario!$B$4:$B$203,D$5,Trato_Diario!$A$4:$A$203,$A70)/SUMIFS(Trato_Diario!$G$4:$G$203,Trato_Diario!$B$4:$B$203,D$5,Trato_Diario!$A$4:$A$203,$A70))</f>
        <v/>
      </c>
      <c r="E70" s="46" t="str">
        <f>IF(OR($A70&gt;MAX(Trato_Diario!$A$4:$A$203),SUMIFS(Trato_Diario!$G$4:$G$203,Trato_Diario!$B$4:$B$203,E$5,Trato_Diario!$A$4:$A$203,$A70)=0),"",SUMIFS(Trato_Diario!$J$4:$J$203,Trato_Diario!$B$4:$B$203,E$5,Trato_Diario!$A$4:$A$203,$A70)/SUMIFS(Trato_Diario!$G$4:$G$203,Trato_Diario!$B$4:$B$203,E$5,Trato_Diario!$A$4:$A$203,$A70))</f>
        <v/>
      </c>
      <c r="F70" s="46" t="str">
        <f>IF(OR($A70&gt;MAX(Trato_Diario!$A$4:$A$203),SUMIFS(Trato_Diario!$G$4:$G$203,Trato_Diario!$B$4:$B$203,F$5,Trato_Diario!$A$4:$A$203,$A70)=0),"",SUMIFS(Trato_Diario!$J$4:$J$203,Trato_Diario!$B$4:$B$203,F$5,Trato_Diario!$A$4:$A$203,$A70)/SUMIFS(Trato_Diario!$G$4:$G$203,Trato_Diario!$B$4:$B$203,F$5,Trato_Diario!$A$4:$A$203,$A70))</f>
        <v/>
      </c>
      <c r="G70" s="46" t="str">
        <f>IF(OR($A70&gt;MAX(Trato_Diario!$A$4:$A$203),SUMIFS(Trato_Diario!$G$4:$G$203,Trato_Diario!$B$4:$B$203,G$5,Trato_Diario!$A$4:$A$203,$A70)=0),"",SUMIFS(Trato_Diario!$J$4:$J$203,Trato_Diario!$B$4:$B$203,G$5,Trato_Diario!$A$4:$A$203,$A70)/SUMIFS(Trato_Diario!$G$4:$G$203,Trato_Diario!$B$4:$B$203,G$5,Trato_Diario!$A$4:$A$203,$A70))</f>
        <v/>
      </c>
      <c r="H70" s="57" t="str">
        <f>IF(OR($A70&gt;MAX(Trato_Diario!$A$4:$A$203),SUMIFS(Trato_Diario!$G$4:$G$203,Trato_Diario!$A$4:$A$203,$A70)=0),"",SUMIFS(Trato_Diario!$J$4:$J$203,Trato_Diario!$A$4:$A$203,$A70)/SUMIFS(Trato_Diario!$G$4:$G$203,Trato_Diario!$A$4:$A$203,$A70))</f>
        <v/>
      </c>
    </row>
    <row r="71" spans="1:8" ht="14.25" customHeight="1" x14ac:dyDescent="0.3">
      <c r="A71" s="72">
        <v>46258</v>
      </c>
      <c r="B71" s="20" t="str">
        <f>IF(OR($A71&gt;MAX(Trato_Diario!$A$4:$A$203),SUMIFS(Trato_Diario!$G$4:$G$203,Trato_Diario!$B$4:$B$203,B$5,Trato_Diario!$A$4:$A$203,$A71)=0),"",SUMIFS(Trato_Diario!$J$4:$J$203,Trato_Diario!$B$4:$B$203,B$5,Trato_Diario!$A$4:$A$203,$A71)/SUMIFS(Trato_Diario!$G$4:$G$203,Trato_Diario!$B$4:$B$203,B$5,Trato_Diario!$A$4:$A$203,$A71))</f>
        <v/>
      </c>
      <c r="C71" s="20" t="str">
        <f>IF(OR($A71&gt;MAX(Trato_Diario!$A$4:$A$203),SUMIFS(Trato_Diario!$G$4:$G$203,Trato_Diario!$B$4:$B$203,C$5,Trato_Diario!$A$4:$A$203,$A71)=0),"",SUMIFS(Trato_Diario!$J$4:$J$203,Trato_Diario!$B$4:$B$203,C$5,Trato_Diario!$A$4:$A$203,$A71)/SUMIFS(Trato_Diario!$G$4:$G$203,Trato_Diario!$B$4:$B$203,C$5,Trato_Diario!$A$4:$A$203,$A71))</f>
        <v/>
      </c>
      <c r="D71" s="20" t="str">
        <f>IF(OR($A71&gt;MAX(Trato_Diario!$A$4:$A$203),SUMIFS(Trato_Diario!$G$4:$G$203,Trato_Diario!$B$4:$B$203,D$5,Trato_Diario!$A$4:$A$203,$A71)=0),"",SUMIFS(Trato_Diario!$J$4:$J$203,Trato_Diario!$B$4:$B$203,D$5,Trato_Diario!$A$4:$A$203,$A71)/SUMIFS(Trato_Diario!$G$4:$G$203,Trato_Diario!$B$4:$B$203,D$5,Trato_Diario!$A$4:$A$203,$A71))</f>
        <v/>
      </c>
      <c r="E71" s="20" t="str">
        <f>IF(OR($A71&gt;MAX(Trato_Diario!$A$4:$A$203),SUMIFS(Trato_Diario!$G$4:$G$203,Trato_Diario!$B$4:$B$203,E$5,Trato_Diario!$A$4:$A$203,$A71)=0),"",SUMIFS(Trato_Diario!$J$4:$J$203,Trato_Diario!$B$4:$B$203,E$5,Trato_Diario!$A$4:$A$203,$A71)/SUMIFS(Trato_Diario!$G$4:$G$203,Trato_Diario!$B$4:$B$203,E$5,Trato_Diario!$A$4:$A$203,$A71))</f>
        <v/>
      </c>
      <c r="F71" s="20" t="str">
        <f>IF(OR($A71&gt;MAX(Trato_Diario!$A$4:$A$203),SUMIFS(Trato_Diario!$G$4:$G$203,Trato_Diario!$B$4:$B$203,F$5,Trato_Diario!$A$4:$A$203,$A71)=0),"",SUMIFS(Trato_Diario!$J$4:$J$203,Trato_Diario!$B$4:$B$203,F$5,Trato_Diario!$A$4:$A$203,$A71)/SUMIFS(Trato_Diario!$G$4:$G$203,Trato_Diario!$B$4:$B$203,F$5,Trato_Diario!$A$4:$A$203,$A71))</f>
        <v/>
      </c>
      <c r="G71" s="20" t="str">
        <f>IF(OR($A71&gt;MAX(Trato_Diario!$A$4:$A$203),SUMIFS(Trato_Diario!$G$4:$G$203,Trato_Diario!$B$4:$B$203,G$5,Trato_Diario!$A$4:$A$203,$A71)=0),"",SUMIFS(Trato_Diario!$J$4:$J$203,Trato_Diario!$B$4:$B$203,G$5,Trato_Diario!$A$4:$A$203,$A71)/SUMIFS(Trato_Diario!$G$4:$G$203,Trato_Diario!$B$4:$B$203,G$5,Trato_Diario!$A$4:$A$203,$A71))</f>
        <v/>
      </c>
      <c r="H71" s="59" t="str">
        <f>IF(OR($A71&gt;MAX(Trato_Diario!$A$4:$A$203),SUMIFS(Trato_Diario!$G$4:$G$203,Trato_Diario!$A$4:$A$203,$A71)=0),"",SUMIFS(Trato_Diario!$J$4:$J$203,Trato_Diario!$A$4:$A$203,$A71)/SUMIFS(Trato_Diario!$G$4:$G$203,Trato_Diario!$A$4:$A$203,$A71))</f>
        <v/>
      </c>
    </row>
    <row r="72" spans="1:8" ht="14.25" customHeight="1" x14ac:dyDescent="0.3">
      <c r="A72" s="71">
        <v>46259</v>
      </c>
      <c r="B72" s="46" t="str">
        <f>IF(OR($A72&gt;MAX(Trato_Diario!$A$4:$A$203),SUMIFS(Trato_Diario!$G$4:$G$203,Trato_Diario!$B$4:$B$203,B$5,Trato_Diario!$A$4:$A$203,$A72)=0),"",SUMIFS(Trato_Diario!$J$4:$J$203,Trato_Diario!$B$4:$B$203,B$5,Trato_Diario!$A$4:$A$203,$A72)/SUMIFS(Trato_Diario!$G$4:$G$203,Trato_Diario!$B$4:$B$203,B$5,Trato_Diario!$A$4:$A$203,$A72))</f>
        <v/>
      </c>
      <c r="C72" s="46" t="str">
        <f>IF(OR($A72&gt;MAX(Trato_Diario!$A$4:$A$203),SUMIFS(Trato_Diario!$G$4:$G$203,Trato_Diario!$B$4:$B$203,C$5,Trato_Diario!$A$4:$A$203,$A72)=0),"",SUMIFS(Trato_Diario!$J$4:$J$203,Trato_Diario!$B$4:$B$203,C$5,Trato_Diario!$A$4:$A$203,$A72)/SUMIFS(Trato_Diario!$G$4:$G$203,Trato_Diario!$B$4:$B$203,C$5,Trato_Diario!$A$4:$A$203,$A72))</f>
        <v/>
      </c>
      <c r="D72" s="46" t="str">
        <f>IF(OR($A72&gt;MAX(Trato_Diario!$A$4:$A$203),SUMIFS(Trato_Diario!$G$4:$G$203,Trato_Diario!$B$4:$B$203,D$5,Trato_Diario!$A$4:$A$203,$A72)=0),"",SUMIFS(Trato_Diario!$J$4:$J$203,Trato_Diario!$B$4:$B$203,D$5,Trato_Diario!$A$4:$A$203,$A72)/SUMIFS(Trato_Diario!$G$4:$G$203,Trato_Diario!$B$4:$B$203,D$5,Trato_Diario!$A$4:$A$203,$A72))</f>
        <v/>
      </c>
      <c r="E72" s="46" t="str">
        <f>IF(OR($A72&gt;MAX(Trato_Diario!$A$4:$A$203),SUMIFS(Trato_Diario!$G$4:$G$203,Trato_Diario!$B$4:$B$203,E$5,Trato_Diario!$A$4:$A$203,$A72)=0),"",SUMIFS(Trato_Diario!$J$4:$J$203,Trato_Diario!$B$4:$B$203,E$5,Trato_Diario!$A$4:$A$203,$A72)/SUMIFS(Trato_Diario!$G$4:$G$203,Trato_Diario!$B$4:$B$203,E$5,Trato_Diario!$A$4:$A$203,$A72))</f>
        <v/>
      </c>
      <c r="F72" s="46" t="str">
        <f>IF(OR($A72&gt;MAX(Trato_Diario!$A$4:$A$203),SUMIFS(Trato_Diario!$G$4:$G$203,Trato_Diario!$B$4:$B$203,F$5,Trato_Diario!$A$4:$A$203,$A72)=0),"",SUMIFS(Trato_Diario!$J$4:$J$203,Trato_Diario!$B$4:$B$203,F$5,Trato_Diario!$A$4:$A$203,$A72)/SUMIFS(Trato_Diario!$G$4:$G$203,Trato_Diario!$B$4:$B$203,F$5,Trato_Diario!$A$4:$A$203,$A72))</f>
        <v/>
      </c>
      <c r="G72" s="46" t="str">
        <f>IF(OR($A72&gt;MAX(Trato_Diario!$A$4:$A$203),SUMIFS(Trato_Diario!$G$4:$G$203,Trato_Diario!$B$4:$B$203,G$5,Trato_Diario!$A$4:$A$203,$A72)=0),"",SUMIFS(Trato_Diario!$J$4:$J$203,Trato_Diario!$B$4:$B$203,G$5,Trato_Diario!$A$4:$A$203,$A72)/SUMIFS(Trato_Diario!$G$4:$G$203,Trato_Diario!$B$4:$B$203,G$5,Trato_Diario!$A$4:$A$203,$A72))</f>
        <v/>
      </c>
      <c r="H72" s="57" t="str">
        <f>IF(OR($A72&gt;MAX(Trato_Diario!$A$4:$A$203),SUMIFS(Trato_Diario!$G$4:$G$203,Trato_Diario!$A$4:$A$203,$A72)=0),"",SUMIFS(Trato_Diario!$J$4:$J$203,Trato_Diario!$A$4:$A$203,$A72)/SUMIFS(Trato_Diario!$G$4:$G$203,Trato_Diario!$A$4:$A$203,$A72))</f>
        <v/>
      </c>
    </row>
    <row r="73" spans="1:8" ht="14.25" customHeight="1" x14ac:dyDescent="0.3">
      <c r="A73" s="72">
        <v>46260</v>
      </c>
      <c r="B73" s="20" t="str">
        <f>IF(OR($A73&gt;MAX(Trato_Diario!$A$4:$A$203),SUMIFS(Trato_Diario!$G$4:$G$203,Trato_Diario!$B$4:$B$203,B$5,Trato_Diario!$A$4:$A$203,$A73)=0),"",SUMIFS(Trato_Diario!$J$4:$J$203,Trato_Diario!$B$4:$B$203,B$5,Trato_Diario!$A$4:$A$203,$A73)/SUMIFS(Trato_Diario!$G$4:$G$203,Trato_Diario!$B$4:$B$203,B$5,Trato_Diario!$A$4:$A$203,$A73))</f>
        <v/>
      </c>
      <c r="C73" s="20" t="str">
        <f>IF(OR($A73&gt;MAX(Trato_Diario!$A$4:$A$203),SUMIFS(Trato_Diario!$G$4:$G$203,Trato_Diario!$B$4:$B$203,C$5,Trato_Diario!$A$4:$A$203,$A73)=0),"",SUMIFS(Trato_Diario!$J$4:$J$203,Trato_Diario!$B$4:$B$203,C$5,Trato_Diario!$A$4:$A$203,$A73)/SUMIFS(Trato_Diario!$G$4:$G$203,Trato_Diario!$B$4:$B$203,C$5,Trato_Diario!$A$4:$A$203,$A73))</f>
        <v/>
      </c>
      <c r="D73" s="20" t="str">
        <f>IF(OR($A73&gt;MAX(Trato_Diario!$A$4:$A$203),SUMIFS(Trato_Diario!$G$4:$G$203,Trato_Diario!$B$4:$B$203,D$5,Trato_Diario!$A$4:$A$203,$A73)=0),"",SUMIFS(Trato_Diario!$J$4:$J$203,Trato_Diario!$B$4:$B$203,D$5,Trato_Diario!$A$4:$A$203,$A73)/SUMIFS(Trato_Diario!$G$4:$G$203,Trato_Diario!$B$4:$B$203,D$5,Trato_Diario!$A$4:$A$203,$A73))</f>
        <v/>
      </c>
      <c r="E73" s="20" t="str">
        <f>IF(OR($A73&gt;MAX(Trato_Diario!$A$4:$A$203),SUMIFS(Trato_Diario!$G$4:$G$203,Trato_Diario!$B$4:$B$203,E$5,Trato_Diario!$A$4:$A$203,$A73)=0),"",SUMIFS(Trato_Diario!$J$4:$J$203,Trato_Diario!$B$4:$B$203,E$5,Trato_Diario!$A$4:$A$203,$A73)/SUMIFS(Trato_Diario!$G$4:$G$203,Trato_Diario!$B$4:$B$203,E$5,Trato_Diario!$A$4:$A$203,$A73))</f>
        <v/>
      </c>
      <c r="F73" s="20" t="str">
        <f>IF(OR($A73&gt;MAX(Trato_Diario!$A$4:$A$203),SUMIFS(Trato_Diario!$G$4:$G$203,Trato_Diario!$B$4:$B$203,F$5,Trato_Diario!$A$4:$A$203,$A73)=0),"",SUMIFS(Trato_Diario!$J$4:$J$203,Trato_Diario!$B$4:$B$203,F$5,Trato_Diario!$A$4:$A$203,$A73)/SUMIFS(Trato_Diario!$G$4:$G$203,Trato_Diario!$B$4:$B$203,F$5,Trato_Diario!$A$4:$A$203,$A73))</f>
        <v/>
      </c>
      <c r="G73" s="20" t="str">
        <f>IF(OR($A73&gt;MAX(Trato_Diario!$A$4:$A$203),SUMIFS(Trato_Diario!$G$4:$G$203,Trato_Diario!$B$4:$B$203,G$5,Trato_Diario!$A$4:$A$203,$A73)=0),"",SUMIFS(Trato_Diario!$J$4:$J$203,Trato_Diario!$B$4:$B$203,G$5,Trato_Diario!$A$4:$A$203,$A73)/SUMIFS(Trato_Diario!$G$4:$G$203,Trato_Diario!$B$4:$B$203,G$5,Trato_Diario!$A$4:$A$203,$A73))</f>
        <v/>
      </c>
      <c r="H73" s="59" t="str">
        <f>IF(OR($A73&gt;MAX(Trato_Diario!$A$4:$A$203),SUMIFS(Trato_Diario!$G$4:$G$203,Trato_Diario!$A$4:$A$203,$A73)=0),"",SUMIFS(Trato_Diario!$J$4:$J$203,Trato_Diario!$A$4:$A$203,$A73)/SUMIFS(Trato_Diario!$G$4:$G$203,Trato_Diario!$A$4:$A$203,$A73))</f>
        <v/>
      </c>
    </row>
    <row r="74" spans="1:8" ht="14.25" customHeight="1" x14ac:dyDescent="0.3">
      <c r="A74" s="71">
        <v>46261</v>
      </c>
      <c r="B74" s="46" t="str">
        <f>IF(OR($A74&gt;MAX(Trato_Diario!$A$4:$A$203),SUMIFS(Trato_Diario!$G$4:$G$203,Trato_Diario!$B$4:$B$203,B$5,Trato_Diario!$A$4:$A$203,$A74)=0),"",SUMIFS(Trato_Diario!$J$4:$J$203,Trato_Diario!$B$4:$B$203,B$5,Trato_Diario!$A$4:$A$203,$A74)/SUMIFS(Trato_Diario!$G$4:$G$203,Trato_Diario!$B$4:$B$203,B$5,Trato_Diario!$A$4:$A$203,$A74))</f>
        <v/>
      </c>
      <c r="C74" s="46" t="str">
        <f>IF(OR($A74&gt;MAX(Trato_Diario!$A$4:$A$203),SUMIFS(Trato_Diario!$G$4:$G$203,Trato_Diario!$B$4:$B$203,C$5,Trato_Diario!$A$4:$A$203,$A74)=0),"",SUMIFS(Trato_Diario!$J$4:$J$203,Trato_Diario!$B$4:$B$203,C$5,Trato_Diario!$A$4:$A$203,$A74)/SUMIFS(Trato_Diario!$G$4:$G$203,Trato_Diario!$B$4:$B$203,C$5,Trato_Diario!$A$4:$A$203,$A74))</f>
        <v/>
      </c>
      <c r="D74" s="46" t="str">
        <f>IF(OR($A74&gt;MAX(Trato_Diario!$A$4:$A$203),SUMIFS(Trato_Diario!$G$4:$G$203,Trato_Diario!$B$4:$B$203,D$5,Trato_Diario!$A$4:$A$203,$A74)=0),"",SUMIFS(Trato_Diario!$J$4:$J$203,Trato_Diario!$B$4:$B$203,D$5,Trato_Diario!$A$4:$A$203,$A74)/SUMIFS(Trato_Diario!$G$4:$G$203,Trato_Diario!$B$4:$B$203,D$5,Trato_Diario!$A$4:$A$203,$A74))</f>
        <v/>
      </c>
      <c r="E74" s="46" t="str">
        <f>IF(OR($A74&gt;MAX(Trato_Diario!$A$4:$A$203),SUMIFS(Trato_Diario!$G$4:$G$203,Trato_Diario!$B$4:$B$203,E$5,Trato_Diario!$A$4:$A$203,$A74)=0),"",SUMIFS(Trato_Diario!$J$4:$J$203,Trato_Diario!$B$4:$B$203,E$5,Trato_Diario!$A$4:$A$203,$A74)/SUMIFS(Trato_Diario!$G$4:$G$203,Trato_Diario!$B$4:$B$203,E$5,Trato_Diario!$A$4:$A$203,$A74))</f>
        <v/>
      </c>
      <c r="F74" s="46" t="str">
        <f>IF(OR($A74&gt;MAX(Trato_Diario!$A$4:$A$203),SUMIFS(Trato_Diario!$G$4:$G$203,Trato_Diario!$B$4:$B$203,F$5,Trato_Diario!$A$4:$A$203,$A74)=0),"",SUMIFS(Trato_Diario!$J$4:$J$203,Trato_Diario!$B$4:$B$203,F$5,Trato_Diario!$A$4:$A$203,$A74)/SUMIFS(Trato_Diario!$G$4:$G$203,Trato_Diario!$B$4:$B$203,F$5,Trato_Diario!$A$4:$A$203,$A74))</f>
        <v/>
      </c>
      <c r="G74" s="46" t="str">
        <f>IF(OR($A74&gt;MAX(Trato_Diario!$A$4:$A$203),SUMIFS(Trato_Diario!$G$4:$G$203,Trato_Diario!$B$4:$B$203,G$5,Trato_Diario!$A$4:$A$203,$A74)=0),"",SUMIFS(Trato_Diario!$J$4:$J$203,Trato_Diario!$B$4:$B$203,G$5,Trato_Diario!$A$4:$A$203,$A74)/SUMIFS(Trato_Diario!$G$4:$G$203,Trato_Diario!$B$4:$B$203,G$5,Trato_Diario!$A$4:$A$203,$A74))</f>
        <v/>
      </c>
      <c r="H74" s="57" t="str">
        <f>IF(OR($A74&gt;MAX(Trato_Diario!$A$4:$A$203),SUMIFS(Trato_Diario!$G$4:$G$203,Trato_Diario!$A$4:$A$203,$A74)=0),"",SUMIFS(Trato_Diario!$J$4:$J$203,Trato_Diario!$A$4:$A$203,$A74)/SUMIFS(Trato_Diario!$G$4:$G$203,Trato_Diario!$A$4:$A$203,$A74))</f>
        <v/>
      </c>
    </row>
    <row r="75" spans="1:8" ht="14.25" customHeight="1" x14ac:dyDescent="0.3">
      <c r="A75" s="72">
        <v>46262</v>
      </c>
      <c r="B75" s="20" t="str">
        <f>IF(OR($A75&gt;MAX(Trato_Diario!$A$4:$A$203),SUMIFS(Trato_Diario!$G$4:$G$203,Trato_Diario!$B$4:$B$203,B$5,Trato_Diario!$A$4:$A$203,$A75)=0),"",SUMIFS(Trato_Diario!$J$4:$J$203,Trato_Diario!$B$4:$B$203,B$5,Trato_Diario!$A$4:$A$203,$A75)/SUMIFS(Trato_Diario!$G$4:$G$203,Trato_Diario!$B$4:$B$203,B$5,Trato_Diario!$A$4:$A$203,$A75))</f>
        <v/>
      </c>
      <c r="C75" s="20" t="str">
        <f>IF(OR($A75&gt;MAX(Trato_Diario!$A$4:$A$203),SUMIFS(Trato_Diario!$G$4:$G$203,Trato_Diario!$B$4:$B$203,C$5,Trato_Diario!$A$4:$A$203,$A75)=0),"",SUMIFS(Trato_Diario!$J$4:$J$203,Trato_Diario!$B$4:$B$203,C$5,Trato_Diario!$A$4:$A$203,$A75)/SUMIFS(Trato_Diario!$G$4:$G$203,Trato_Diario!$B$4:$B$203,C$5,Trato_Diario!$A$4:$A$203,$A75))</f>
        <v/>
      </c>
      <c r="D75" s="20" t="str">
        <f>IF(OR($A75&gt;MAX(Trato_Diario!$A$4:$A$203),SUMIFS(Trato_Diario!$G$4:$G$203,Trato_Diario!$B$4:$B$203,D$5,Trato_Diario!$A$4:$A$203,$A75)=0),"",SUMIFS(Trato_Diario!$J$4:$J$203,Trato_Diario!$B$4:$B$203,D$5,Trato_Diario!$A$4:$A$203,$A75)/SUMIFS(Trato_Diario!$G$4:$G$203,Trato_Diario!$B$4:$B$203,D$5,Trato_Diario!$A$4:$A$203,$A75))</f>
        <v/>
      </c>
      <c r="E75" s="20" t="str">
        <f>IF(OR($A75&gt;MAX(Trato_Diario!$A$4:$A$203),SUMIFS(Trato_Diario!$G$4:$G$203,Trato_Diario!$B$4:$B$203,E$5,Trato_Diario!$A$4:$A$203,$A75)=0),"",SUMIFS(Trato_Diario!$J$4:$J$203,Trato_Diario!$B$4:$B$203,E$5,Trato_Diario!$A$4:$A$203,$A75)/SUMIFS(Trato_Diario!$G$4:$G$203,Trato_Diario!$B$4:$B$203,E$5,Trato_Diario!$A$4:$A$203,$A75))</f>
        <v/>
      </c>
      <c r="F75" s="20" t="str">
        <f>IF(OR($A75&gt;MAX(Trato_Diario!$A$4:$A$203),SUMIFS(Trato_Diario!$G$4:$G$203,Trato_Diario!$B$4:$B$203,F$5,Trato_Diario!$A$4:$A$203,$A75)=0),"",SUMIFS(Trato_Diario!$J$4:$J$203,Trato_Diario!$B$4:$B$203,F$5,Trato_Diario!$A$4:$A$203,$A75)/SUMIFS(Trato_Diario!$G$4:$G$203,Trato_Diario!$B$4:$B$203,F$5,Trato_Diario!$A$4:$A$203,$A75))</f>
        <v/>
      </c>
      <c r="G75" s="20" t="str">
        <f>IF(OR($A75&gt;MAX(Trato_Diario!$A$4:$A$203),SUMIFS(Trato_Diario!$G$4:$G$203,Trato_Diario!$B$4:$B$203,G$5,Trato_Diario!$A$4:$A$203,$A75)=0),"",SUMIFS(Trato_Diario!$J$4:$J$203,Trato_Diario!$B$4:$B$203,G$5,Trato_Diario!$A$4:$A$203,$A75)/SUMIFS(Trato_Diario!$G$4:$G$203,Trato_Diario!$B$4:$B$203,G$5,Trato_Diario!$A$4:$A$203,$A75))</f>
        <v/>
      </c>
      <c r="H75" s="59" t="str">
        <f>IF(OR($A75&gt;MAX(Trato_Diario!$A$4:$A$203),SUMIFS(Trato_Diario!$G$4:$G$203,Trato_Diario!$A$4:$A$203,$A75)=0),"",SUMIFS(Trato_Diario!$J$4:$J$203,Trato_Diario!$A$4:$A$203,$A75)/SUMIFS(Trato_Diario!$G$4:$G$203,Trato_Diario!$A$4:$A$203,$A75))</f>
        <v/>
      </c>
    </row>
    <row r="76" spans="1:8" ht="14.25" customHeight="1" x14ac:dyDescent="0.3">
      <c r="A76" s="71">
        <v>46263</v>
      </c>
      <c r="B76" s="46" t="str">
        <f>IF(OR($A76&gt;MAX(Trato_Diario!$A$4:$A$203),SUMIFS(Trato_Diario!$G$4:$G$203,Trato_Diario!$B$4:$B$203,B$5,Trato_Diario!$A$4:$A$203,$A76)=0),"",SUMIFS(Trato_Diario!$J$4:$J$203,Trato_Diario!$B$4:$B$203,B$5,Trato_Diario!$A$4:$A$203,$A76)/SUMIFS(Trato_Diario!$G$4:$G$203,Trato_Diario!$B$4:$B$203,B$5,Trato_Diario!$A$4:$A$203,$A76))</f>
        <v/>
      </c>
      <c r="C76" s="46" t="str">
        <f>IF(OR($A76&gt;MAX(Trato_Diario!$A$4:$A$203),SUMIFS(Trato_Diario!$G$4:$G$203,Trato_Diario!$B$4:$B$203,C$5,Trato_Diario!$A$4:$A$203,$A76)=0),"",SUMIFS(Trato_Diario!$J$4:$J$203,Trato_Diario!$B$4:$B$203,C$5,Trato_Diario!$A$4:$A$203,$A76)/SUMIFS(Trato_Diario!$G$4:$G$203,Trato_Diario!$B$4:$B$203,C$5,Trato_Diario!$A$4:$A$203,$A76))</f>
        <v/>
      </c>
      <c r="D76" s="46" t="str">
        <f>IF(OR($A76&gt;MAX(Trato_Diario!$A$4:$A$203),SUMIFS(Trato_Diario!$G$4:$G$203,Trato_Diario!$B$4:$B$203,D$5,Trato_Diario!$A$4:$A$203,$A76)=0),"",SUMIFS(Trato_Diario!$J$4:$J$203,Trato_Diario!$B$4:$B$203,D$5,Trato_Diario!$A$4:$A$203,$A76)/SUMIFS(Trato_Diario!$G$4:$G$203,Trato_Diario!$B$4:$B$203,D$5,Trato_Diario!$A$4:$A$203,$A76))</f>
        <v/>
      </c>
      <c r="E76" s="46" t="str">
        <f>IF(OR($A76&gt;MAX(Trato_Diario!$A$4:$A$203),SUMIFS(Trato_Diario!$G$4:$G$203,Trato_Diario!$B$4:$B$203,E$5,Trato_Diario!$A$4:$A$203,$A76)=0),"",SUMIFS(Trato_Diario!$J$4:$J$203,Trato_Diario!$B$4:$B$203,E$5,Trato_Diario!$A$4:$A$203,$A76)/SUMIFS(Trato_Diario!$G$4:$G$203,Trato_Diario!$B$4:$B$203,E$5,Trato_Diario!$A$4:$A$203,$A76))</f>
        <v/>
      </c>
      <c r="F76" s="46" t="str">
        <f>IF(OR($A76&gt;MAX(Trato_Diario!$A$4:$A$203),SUMIFS(Trato_Diario!$G$4:$G$203,Trato_Diario!$B$4:$B$203,F$5,Trato_Diario!$A$4:$A$203,$A76)=0),"",SUMIFS(Trato_Diario!$J$4:$J$203,Trato_Diario!$B$4:$B$203,F$5,Trato_Diario!$A$4:$A$203,$A76)/SUMIFS(Trato_Diario!$G$4:$G$203,Trato_Diario!$B$4:$B$203,F$5,Trato_Diario!$A$4:$A$203,$A76))</f>
        <v/>
      </c>
      <c r="G76" s="46" t="str">
        <f>IF(OR($A76&gt;MAX(Trato_Diario!$A$4:$A$203),SUMIFS(Trato_Diario!$G$4:$G$203,Trato_Diario!$B$4:$B$203,G$5,Trato_Diario!$A$4:$A$203,$A76)=0),"",SUMIFS(Trato_Diario!$J$4:$J$203,Trato_Diario!$B$4:$B$203,G$5,Trato_Diario!$A$4:$A$203,$A76)/SUMIFS(Trato_Diario!$G$4:$G$203,Trato_Diario!$B$4:$B$203,G$5,Trato_Diario!$A$4:$A$203,$A76))</f>
        <v/>
      </c>
      <c r="H76" s="57" t="str">
        <f>IF(OR($A76&gt;MAX(Trato_Diario!$A$4:$A$203),SUMIFS(Trato_Diario!$G$4:$G$203,Trato_Diario!$A$4:$A$203,$A76)=0),"",SUMIFS(Trato_Diario!$J$4:$J$203,Trato_Diario!$A$4:$A$203,$A76)/SUMIFS(Trato_Diario!$G$4:$G$203,Trato_Diario!$A$4:$A$203,$A76))</f>
        <v/>
      </c>
    </row>
    <row r="77" spans="1:8" ht="14.25" customHeight="1" x14ac:dyDescent="0.3">
      <c r="A77" s="72">
        <v>46264</v>
      </c>
      <c r="B77" s="20" t="str">
        <f>IF(OR($A77&gt;MAX(Trato_Diario!$A$4:$A$203),SUMIFS(Trato_Diario!$G$4:$G$203,Trato_Diario!$B$4:$B$203,B$5,Trato_Diario!$A$4:$A$203,$A77)=0),"",SUMIFS(Trato_Diario!$J$4:$J$203,Trato_Diario!$B$4:$B$203,B$5,Trato_Diario!$A$4:$A$203,$A77)/SUMIFS(Trato_Diario!$G$4:$G$203,Trato_Diario!$B$4:$B$203,B$5,Trato_Diario!$A$4:$A$203,$A77))</f>
        <v/>
      </c>
      <c r="C77" s="20" t="str">
        <f>IF(OR($A77&gt;MAX(Trato_Diario!$A$4:$A$203),SUMIFS(Trato_Diario!$G$4:$G$203,Trato_Diario!$B$4:$B$203,C$5,Trato_Diario!$A$4:$A$203,$A77)=0),"",SUMIFS(Trato_Diario!$J$4:$J$203,Trato_Diario!$B$4:$B$203,C$5,Trato_Diario!$A$4:$A$203,$A77)/SUMIFS(Trato_Diario!$G$4:$G$203,Trato_Diario!$B$4:$B$203,C$5,Trato_Diario!$A$4:$A$203,$A77))</f>
        <v/>
      </c>
      <c r="D77" s="20" t="str">
        <f>IF(OR($A77&gt;MAX(Trato_Diario!$A$4:$A$203),SUMIFS(Trato_Diario!$G$4:$G$203,Trato_Diario!$B$4:$B$203,D$5,Trato_Diario!$A$4:$A$203,$A77)=0),"",SUMIFS(Trato_Diario!$J$4:$J$203,Trato_Diario!$B$4:$B$203,D$5,Trato_Diario!$A$4:$A$203,$A77)/SUMIFS(Trato_Diario!$G$4:$G$203,Trato_Diario!$B$4:$B$203,D$5,Trato_Diario!$A$4:$A$203,$A77))</f>
        <v/>
      </c>
      <c r="E77" s="20" t="str">
        <f>IF(OR($A77&gt;MAX(Trato_Diario!$A$4:$A$203),SUMIFS(Trato_Diario!$G$4:$G$203,Trato_Diario!$B$4:$B$203,E$5,Trato_Diario!$A$4:$A$203,$A77)=0),"",SUMIFS(Trato_Diario!$J$4:$J$203,Trato_Diario!$B$4:$B$203,E$5,Trato_Diario!$A$4:$A$203,$A77)/SUMIFS(Trato_Diario!$G$4:$G$203,Trato_Diario!$B$4:$B$203,E$5,Trato_Diario!$A$4:$A$203,$A77))</f>
        <v/>
      </c>
      <c r="F77" s="20" t="str">
        <f>IF(OR($A77&gt;MAX(Trato_Diario!$A$4:$A$203),SUMIFS(Trato_Diario!$G$4:$G$203,Trato_Diario!$B$4:$B$203,F$5,Trato_Diario!$A$4:$A$203,$A77)=0),"",SUMIFS(Trato_Diario!$J$4:$J$203,Trato_Diario!$B$4:$B$203,F$5,Trato_Diario!$A$4:$A$203,$A77)/SUMIFS(Trato_Diario!$G$4:$G$203,Trato_Diario!$B$4:$B$203,F$5,Trato_Diario!$A$4:$A$203,$A77))</f>
        <v/>
      </c>
      <c r="G77" s="20" t="str">
        <f>IF(OR($A77&gt;MAX(Trato_Diario!$A$4:$A$203),SUMIFS(Trato_Diario!$G$4:$G$203,Trato_Diario!$B$4:$B$203,G$5,Trato_Diario!$A$4:$A$203,$A77)=0),"",SUMIFS(Trato_Diario!$J$4:$J$203,Trato_Diario!$B$4:$B$203,G$5,Trato_Diario!$A$4:$A$203,$A77)/SUMIFS(Trato_Diario!$G$4:$G$203,Trato_Diario!$B$4:$B$203,G$5,Trato_Diario!$A$4:$A$203,$A77))</f>
        <v/>
      </c>
      <c r="H77" s="59" t="str">
        <f>IF(OR($A77&gt;MAX(Trato_Diario!$A$4:$A$203),SUMIFS(Trato_Diario!$G$4:$G$203,Trato_Diario!$A$4:$A$203,$A77)=0),"",SUMIFS(Trato_Diario!$J$4:$J$203,Trato_Diario!$A$4:$A$203,$A77)/SUMIFS(Trato_Diario!$G$4:$G$203,Trato_Diario!$A$4:$A$203,$A77))</f>
        <v/>
      </c>
    </row>
    <row r="78" spans="1:8" ht="14.25" customHeight="1" x14ac:dyDescent="0.3">
      <c r="A78" s="71">
        <v>46265</v>
      </c>
      <c r="B78" s="46" t="str">
        <f>IF(OR($A78&gt;MAX(Trato_Diario!$A$4:$A$203),SUMIFS(Trato_Diario!$G$4:$G$203,Trato_Diario!$B$4:$B$203,B$5,Trato_Diario!$A$4:$A$203,$A78)=0),"",SUMIFS(Trato_Diario!$J$4:$J$203,Trato_Diario!$B$4:$B$203,B$5,Trato_Diario!$A$4:$A$203,$A78)/SUMIFS(Trato_Diario!$G$4:$G$203,Trato_Diario!$B$4:$B$203,B$5,Trato_Diario!$A$4:$A$203,$A78))</f>
        <v/>
      </c>
      <c r="C78" s="46" t="str">
        <f>IF(OR($A78&gt;MAX(Trato_Diario!$A$4:$A$203),SUMIFS(Trato_Diario!$G$4:$G$203,Trato_Diario!$B$4:$B$203,C$5,Trato_Diario!$A$4:$A$203,$A78)=0),"",SUMIFS(Trato_Diario!$J$4:$J$203,Trato_Diario!$B$4:$B$203,C$5,Trato_Diario!$A$4:$A$203,$A78)/SUMIFS(Trato_Diario!$G$4:$G$203,Trato_Diario!$B$4:$B$203,C$5,Trato_Diario!$A$4:$A$203,$A78))</f>
        <v/>
      </c>
      <c r="D78" s="46" t="str">
        <f>IF(OR($A78&gt;MAX(Trato_Diario!$A$4:$A$203),SUMIFS(Trato_Diario!$G$4:$G$203,Trato_Diario!$B$4:$B$203,D$5,Trato_Diario!$A$4:$A$203,$A78)=0),"",SUMIFS(Trato_Diario!$J$4:$J$203,Trato_Diario!$B$4:$B$203,D$5,Trato_Diario!$A$4:$A$203,$A78)/SUMIFS(Trato_Diario!$G$4:$G$203,Trato_Diario!$B$4:$B$203,D$5,Trato_Diario!$A$4:$A$203,$A78))</f>
        <v/>
      </c>
      <c r="E78" s="46" t="str">
        <f>IF(OR($A78&gt;MAX(Trato_Diario!$A$4:$A$203),SUMIFS(Trato_Diario!$G$4:$G$203,Trato_Diario!$B$4:$B$203,E$5,Trato_Diario!$A$4:$A$203,$A78)=0),"",SUMIFS(Trato_Diario!$J$4:$J$203,Trato_Diario!$B$4:$B$203,E$5,Trato_Diario!$A$4:$A$203,$A78)/SUMIFS(Trato_Diario!$G$4:$G$203,Trato_Diario!$B$4:$B$203,E$5,Trato_Diario!$A$4:$A$203,$A78))</f>
        <v/>
      </c>
      <c r="F78" s="46" t="str">
        <f>IF(OR($A78&gt;MAX(Trato_Diario!$A$4:$A$203),SUMIFS(Trato_Diario!$G$4:$G$203,Trato_Diario!$B$4:$B$203,F$5,Trato_Diario!$A$4:$A$203,$A78)=0),"",SUMIFS(Trato_Diario!$J$4:$J$203,Trato_Diario!$B$4:$B$203,F$5,Trato_Diario!$A$4:$A$203,$A78)/SUMIFS(Trato_Diario!$G$4:$G$203,Trato_Diario!$B$4:$B$203,F$5,Trato_Diario!$A$4:$A$203,$A78))</f>
        <v/>
      </c>
      <c r="G78" s="46" t="str">
        <f>IF(OR($A78&gt;MAX(Trato_Diario!$A$4:$A$203),SUMIFS(Trato_Diario!$G$4:$G$203,Trato_Diario!$B$4:$B$203,G$5,Trato_Diario!$A$4:$A$203,$A78)=0),"",SUMIFS(Trato_Diario!$J$4:$J$203,Trato_Diario!$B$4:$B$203,G$5,Trato_Diario!$A$4:$A$203,$A78)/SUMIFS(Trato_Diario!$G$4:$G$203,Trato_Diario!$B$4:$B$203,G$5,Trato_Diario!$A$4:$A$203,$A78))</f>
        <v/>
      </c>
      <c r="H78" s="57" t="str">
        <f>IF(OR($A78&gt;MAX(Trato_Diario!$A$4:$A$203),SUMIFS(Trato_Diario!$G$4:$G$203,Trato_Diario!$A$4:$A$203,$A78)=0),"",SUMIFS(Trato_Diario!$J$4:$J$203,Trato_Diario!$A$4:$A$203,$A78)/SUMIFS(Trato_Diario!$G$4:$G$203,Trato_Diario!$A$4:$A$203,$A78))</f>
        <v/>
      </c>
    </row>
    <row r="79" spans="1:8" ht="14.25" customHeight="1" x14ac:dyDescent="0.3">
      <c r="A79" s="72">
        <v>46266</v>
      </c>
      <c r="B79" s="20" t="str">
        <f>IF(OR($A79&gt;MAX(Trato_Diario!$A$4:$A$203),SUMIFS(Trato_Diario!$G$4:$G$203,Trato_Diario!$B$4:$B$203,B$5,Trato_Diario!$A$4:$A$203,$A79)=0),"",SUMIFS(Trato_Diario!$J$4:$J$203,Trato_Diario!$B$4:$B$203,B$5,Trato_Diario!$A$4:$A$203,$A79)/SUMIFS(Trato_Diario!$G$4:$G$203,Trato_Diario!$B$4:$B$203,B$5,Trato_Diario!$A$4:$A$203,$A79))</f>
        <v/>
      </c>
      <c r="C79" s="20" t="str">
        <f>IF(OR($A79&gt;MAX(Trato_Diario!$A$4:$A$203),SUMIFS(Trato_Diario!$G$4:$G$203,Trato_Diario!$B$4:$B$203,C$5,Trato_Diario!$A$4:$A$203,$A79)=0),"",SUMIFS(Trato_Diario!$J$4:$J$203,Trato_Diario!$B$4:$B$203,C$5,Trato_Diario!$A$4:$A$203,$A79)/SUMIFS(Trato_Diario!$G$4:$G$203,Trato_Diario!$B$4:$B$203,C$5,Trato_Diario!$A$4:$A$203,$A79))</f>
        <v/>
      </c>
      <c r="D79" s="20" t="str">
        <f>IF(OR($A79&gt;MAX(Trato_Diario!$A$4:$A$203),SUMIFS(Trato_Diario!$G$4:$G$203,Trato_Diario!$B$4:$B$203,D$5,Trato_Diario!$A$4:$A$203,$A79)=0),"",SUMIFS(Trato_Diario!$J$4:$J$203,Trato_Diario!$B$4:$B$203,D$5,Trato_Diario!$A$4:$A$203,$A79)/SUMIFS(Trato_Diario!$G$4:$G$203,Trato_Diario!$B$4:$B$203,D$5,Trato_Diario!$A$4:$A$203,$A79))</f>
        <v/>
      </c>
      <c r="E79" s="20" t="str">
        <f>IF(OR($A79&gt;MAX(Trato_Diario!$A$4:$A$203),SUMIFS(Trato_Diario!$G$4:$G$203,Trato_Diario!$B$4:$B$203,E$5,Trato_Diario!$A$4:$A$203,$A79)=0),"",SUMIFS(Trato_Diario!$J$4:$J$203,Trato_Diario!$B$4:$B$203,E$5,Trato_Diario!$A$4:$A$203,$A79)/SUMIFS(Trato_Diario!$G$4:$G$203,Trato_Diario!$B$4:$B$203,E$5,Trato_Diario!$A$4:$A$203,$A79))</f>
        <v/>
      </c>
      <c r="F79" s="20" t="str">
        <f>IF(OR($A79&gt;MAX(Trato_Diario!$A$4:$A$203),SUMIFS(Trato_Diario!$G$4:$G$203,Trato_Diario!$B$4:$B$203,F$5,Trato_Diario!$A$4:$A$203,$A79)=0),"",SUMIFS(Trato_Diario!$J$4:$J$203,Trato_Diario!$B$4:$B$203,F$5,Trato_Diario!$A$4:$A$203,$A79)/SUMIFS(Trato_Diario!$G$4:$G$203,Trato_Diario!$B$4:$B$203,F$5,Trato_Diario!$A$4:$A$203,$A79))</f>
        <v/>
      </c>
      <c r="G79" s="20" t="str">
        <f>IF(OR($A79&gt;MAX(Trato_Diario!$A$4:$A$203),SUMIFS(Trato_Diario!$G$4:$G$203,Trato_Diario!$B$4:$B$203,G$5,Trato_Diario!$A$4:$A$203,$A79)=0),"",SUMIFS(Trato_Diario!$J$4:$J$203,Trato_Diario!$B$4:$B$203,G$5,Trato_Diario!$A$4:$A$203,$A79)/SUMIFS(Trato_Diario!$G$4:$G$203,Trato_Diario!$B$4:$B$203,G$5,Trato_Diario!$A$4:$A$203,$A79))</f>
        <v/>
      </c>
      <c r="H79" s="59" t="str">
        <f>IF(OR($A79&gt;MAX(Trato_Diario!$A$4:$A$203),SUMIFS(Trato_Diario!$G$4:$G$203,Trato_Diario!$A$4:$A$203,$A79)=0),"",SUMIFS(Trato_Diario!$J$4:$J$203,Trato_Diario!$A$4:$A$203,$A79)/SUMIFS(Trato_Diario!$G$4:$G$203,Trato_Diario!$A$4:$A$203,$A79))</f>
        <v/>
      </c>
    </row>
    <row r="80" spans="1:8" ht="14.25" customHeight="1" x14ac:dyDescent="0.3">
      <c r="A80" s="71">
        <v>46267</v>
      </c>
      <c r="B80" s="46" t="str">
        <f>IF(OR($A80&gt;MAX(Trato_Diario!$A$4:$A$203),SUMIFS(Trato_Diario!$G$4:$G$203,Trato_Diario!$B$4:$B$203,B$5,Trato_Diario!$A$4:$A$203,$A80)=0),"",SUMIFS(Trato_Diario!$J$4:$J$203,Trato_Diario!$B$4:$B$203,B$5,Trato_Diario!$A$4:$A$203,$A80)/SUMIFS(Trato_Diario!$G$4:$G$203,Trato_Diario!$B$4:$B$203,B$5,Trato_Diario!$A$4:$A$203,$A80))</f>
        <v/>
      </c>
      <c r="C80" s="46" t="str">
        <f>IF(OR($A80&gt;MAX(Trato_Diario!$A$4:$A$203),SUMIFS(Trato_Diario!$G$4:$G$203,Trato_Diario!$B$4:$B$203,C$5,Trato_Diario!$A$4:$A$203,$A80)=0),"",SUMIFS(Trato_Diario!$J$4:$J$203,Trato_Diario!$B$4:$B$203,C$5,Trato_Diario!$A$4:$A$203,$A80)/SUMIFS(Trato_Diario!$G$4:$G$203,Trato_Diario!$B$4:$B$203,C$5,Trato_Diario!$A$4:$A$203,$A80))</f>
        <v/>
      </c>
      <c r="D80" s="46" t="str">
        <f>IF(OR($A80&gt;MAX(Trato_Diario!$A$4:$A$203),SUMIFS(Trato_Diario!$G$4:$G$203,Trato_Diario!$B$4:$B$203,D$5,Trato_Diario!$A$4:$A$203,$A80)=0),"",SUMIFS(Trato_Diario!$J$4:$J$203,Trato_Diario!$B$4:$B$203,D$5,Trato_Diario!$A$4:$A$203,$A80)/SUMIFS(Trato_Diario!$G$4:$G$203,Trato_Diario!$B$4:$B$203,D$5,Trato_Diario!$A$4:$A$203,$A80))</f>
        <v/>
      </c>
      <c r="E80" s="46" t="str">
        <f>IF(OR($A80&gt;MAX(Trato_Diario!$A$4:$A$203),SUMIFS(Trato_Diario!$G$4:$G$203,Trato_Diario!$B$4:$B$203,E$5,Trato_Diario!$A$4:$A$203,$A80)=0),"",SUMIFS(Trato_Diario!$J$4:$J$203,Trato_Diario!$B$4:$B$203,E$5,Trato_Diario!$A$4:$A$203,$A80)/SUMIFS(Trato_Diario!$G$4:$G$203,Trato_Diario!$B$4:$B$203,E$5,Trato_Diario!$A$4:$A$203,$A80))</f>
        <v/>
      </c>
      <c r="F80" s="46" t="str">
        <f>IF(OR($A80&gt;MAX(Trato_Diario!$A$4:$A$203),SUMIFS(Trato_Diario!$G$4:$G$203,Trato_Diario!$B$4:$B$203,F$5,Trato_Diario!$A$4:$A$203,$A80)=0),"",SUMIFS(Trato_Diario!$J$4:$J$203,Trato_Diario!$B$4:$B$203,F$5,Trato_Diario!$A$4:$A$203,$A80)/SUMIFS(Trato_Diario!$G$4:$G$203,Trato_Diario!$B$4:$B$203,F$5,Trato_Diario!$A$4:$A$203,$A80))</f>
        <v/>
      </c>
      <c r="G80" s="46" t="str">
        <f>IF(OR($A80&gt;MAX(Trato_Diario!$A$4:$A$203),SUMIFS(Trato_Diario!$G$4:$G$203,Trato_Diario!$B$4:$B$203,G$5,Trato_Diario!$A$4:$A$203,$A80)=0),"",SUMIFS(Trato_Diario!$J$4:$J$203,Trato_Diario!$B$4:$B$203,G$5,Trato_Diario!$A$4:$A$203,$A80)/SUMIFS(Trato_Diario!$G$4:$G$203,Trato_Diario!$B$4:$B$203,G$5,Trato_Diario!$A$4:$A$203,$A80))</f>
        <v/>
      </c>
      <c r="H80" s="57" t="str">
        <f>IF(OR($A80&gt;MAX(Trato_Diario!$A$4:$A$203),SUMIFS(Trato_Diario!$G$4:$G$203,Trato_Diario!$A$4:$A$203,$A80)=0),"",SUMIFS(Trato_Diario!$J$4:$J$203,Trato_Diario!$A$4:$A$203,$A80)/SUMIFS(Trato_Diario!$G$4:$G$203,Trato_Diario!$A$4:$A$203,$A80))</f>
        <v/>
      </c>
    </row>
    <row r="81" spans="1:8" ht="14.25" customHeight="1" x14ac:dyDescent="0.3">
      <c r="A81" s="72">
        <v>46268</v>
      </c>
      <c r="B81" s="20" t="str">
        <f>IF(OR($A81&gt;MAX(Trato_Diario!$A$4:$A$203),SUMIFS(Trato_Diario!$G$4:$G$203,Trato_Diario!$B$4:$B$203,B$5,Trato_Diario!$A$4:$A$203,$A81)=0),"",SUMIFS(Trato_Diario!$J$4:$J$203,Trato_Diario!$B$4:$B$203,B$5,Trato_Diario!$A$4:$A$203,$A81)/SUMIFS(Trato_Diario!$G$4:$G$203,Trato_Diario!$B$4:$B$203,B$5,Trato_Diario!$A$4:$A$203,$A81))</f>
        <v/>
      </c>
      <c r="C81" s="20" t="str">
        <f>IF(OR($A81&gt;MAX(Trato_Diario!$A$4:$A$203),SUMIFS(Trato_Diario!$G$4:$G$203,Trato_Diario!$B$4:$B$203,C$5,Trato_Diario!$A$4:$A$203,$A81)=0),"",SUMIFS(Trato_Diario!$J$4:$J$203,Trato_Diario!$B$4:$B$203,C$5,Trato_Diario!$A$4:$A$203,$A81)/SUMIFS(Trato_Diario!$G$4:$G$203,Trato_Diario!$B$4:$B$203,C$5,Trato_Diario!$A$4:$A$203,$A81))</f>
        <v/>
      </c>
      <c r="D81" s="20" t="str">
        <f>IF(OR($A81&gt;MAX(Trato_Diario!$A$4:$A$203),SUMIFS(Trato_Diario!$G$4:$G$203,Trato_Diario!$B$4:$B$203,D$5,Trato_Diario!$A$4:$A$203,$A81)=0),"",SUMIFS(Trato_Diario!$J$4:$J$203,Trato_Diario!$B$4:$B$203,D$5,Trato_Diario!$A$4:$A$203,$A81)/SUMIFS(Trato_Diario!$G$4:$G$203,Trato_Diario!$B$4:$B$203,D$5,Trato_Diario!$A$4:$A$203,$A81))</f>
        <v/>
      </c>
      <c r="E81" s="20" t="str">
        <f>IF(OR($A81&gt;MAX(Trato_Diario!$A$4:$A$203),SUMIFS(Trato_Diario!$G$4:$G$203,Trato_Diario!$B$4:$B$203,E$5,Trato_Diario!$A$4:$A$203,$A81)=0),"",SUMIFS(Trato_Diario!$J$4:$J$203,Trato_Diario!$B$4:$B$203,E$5,Trato_Diario!$A$4:$A$203,$A81)/SUMIFS(Trato_Diario!$G$4:$G$203,Trato_Diario!$B$4:$B$203,E$5,Trato_Diario!$A$4:$A$203,$A81))</f>
        <v/>
      </c>
      <c r="F81" s="20" t="str">
        <f>IF(OR($A81&gt;MAX(Trato_Diario!$A$4:$A$203),SUMIFS(Trato_Diario!$G$4:$G$203,Trato_Diario!$B$4:$B$203,F$5,Trato_Diario!$A$4:$A$203,$A81)=0),"",SUMIFS(Trato_Diario!$J$4:$J$203,Trato_Diario!$B$4:$B$203,F$5,Trato_Diario!$A$4:$A$203,$A81)/SUMIFS(Trato_Diario!$G$4:$G$203,Trato_Diario!$B$4:$B$203,F$5,Trato_Diario!$A$4:$A$203,$A81))</f>
        <v/>
      </c>
      <c r="G81" s="20" t="str">
        <f>IF(OR($A81&gt;MAX(Trato_Diario!$A$4:$A$203),SUMIFS(Trato_Diario!$G$4:$G$203,Trato_Diario!$B$4:$B$203,G$5,Trato_Diario!$A$4:$A$203,$A81)=0),"",SUMIFS(Trato_Diario!$J$4:$J$203,Trato_Diario!$B$4:$B$203,G$5,Trato_Diario!$A$4:$A$203,$A81)/SUMIFS(Trato_Diario!$G$4:$G$203,Trato_Diario!$B$4:$B$203,G$5,Trato_Diario!$A$4:$A$203,$A81))</f>
        <v/>
      </c>
      <c r="H81" s="59" t="str">
        <f>IF(OR($A81&gt;MAX(Trato_Diario!$A$4:$A$203),SUMIFS(Trato_Diario!$G$4:$G$203,Trato_Diario!$A$4:$A$203,$A81)=0),"",SUMIFS(Trato_Diario!$J$4:$J$203,Trato_Diario!$A$4:$A$203,$A81)/SUMIFS(Trato_Diario!$G$4:$G$203,Trato_Diario!$A$4:$A$203,$A81))</f>
        <v/>
      </c>
    </row>
    <row r="82" spans="1:8" ht="14.25" customHeight="1" x14ac:dyDescent="0.3">
      <c r="A82" s="71">
        <v>46269</v>
      </c>
      <c r="B82" s="46" t="str">
        <f>IF(OR($A82&gt;MAX(Trato_Diario!$A$4:$A$203),SUMIFS(Trato_Diario!$G$4:$G$203,Trato_Diario!$B$4:$B$203,B$5,Trato_Diario!$A$4:$A$203,$A82)=0),"",SUMIFS(Trato_Diario!$J$4:$J$203,Trato_Diario!$B$4:$B$203,B$5,Trato_Diario!$A$4:$A$203,$A82)/SUMIFS(Trato_Diario!$G$4:$G$203,Trato_Diario!$B$4:$B$203,B$5,Trato_Diario!$A$4:$A$203,$A82))</f>
        <v/>
      </c>
      <c r="C82" s="46" t="str">
        <f>IF(OR($A82&gt;MAX(Trato_Diario!$A$4:$A$203),SUMIFS(Trato_Diario!$G$4:$G$203,Trato_Diario!$B$4:$B$203,C$5,Trato_Diario!$A$4:$A$203,$A82)=0),"",SUMIFS(Trato_Diario!$J$4:$J$203,Trato_Diario!$B$4:$B$203,C$5,Trato_Diario!$A$4:$A$203,$A82)/SUMIFS(Trato_Diario!$G$4:$G$203,Trato_Diario!$B$4:$B$203,C$5,Trato_Diario!$A$4:$A$203,$A82))</f>
        <v/>
      </c>
      <c r="D82" s="46" t="str">
        <f>IF(OR($A82&gt;MAX(Trato_Diario!$A$4:$A$203),SUMIFS(Trato_Diario!$G$4:$G$203,Trato_Diario!$B$4:$B$203,D$5,Trato_Diario!$A$4:$A$203,$A82)=0),"",SUMIFS(Trato_Diario!$J$4:$J$203,Trato_Diario!$B$4:$B$203,D$5,Trato_Diario!$A$4:$A$203,$A82)/SUMIFS(Trato_Diario!$G$4:$G$203,Trato_Diario!$B$4:$B$203,D$5,Trato_Diario!$A$4:$A$203,$A82))</f>
        <v/>
      </c>
      <c r="E82" s="46" t="str">
        <f>IF(OR($A82&gt;MAX(Trato_Diario!$A$4:$A$203),SUMIFS(Trato_Diario!$G$4:$G$203,Trato_Diario!$B$4:$B$203,E$5,Trato_Diario!$A$4:$A$203,$A82)=0),"",SUMIFS(Trato_Diario!$J$4:$J$203,Trato_Diario!$B$4:$B$203,E$5,Trato_Diario!$A$4:$A$203,$A82)/SUMIFS(Trato_Diario!$G$4:$G$203,Trato_Diario!$B$4:$B$203,E$5,Trato_Diario!$A$4:$A$203,$A82))</f>
        <v/>
      </c>
      <c r="F82" s="46" t="str">
        <f>IF(OR($A82&gt;MAX(Trato_Diario!$A$4:$A$203),SUMIFS(Trato_Diario!$G$4:$G$203,Trato_Diario!$B$4:$B$203,F$5,Trato_Diario!$A$4:$A$203,$A82)=0),"",SUMIFS(Trato_Diario!$J$4:$J$203,Trato_Diario!$B$4:$B$203,F$5,Trato_Diario!$A$4:$A$203,$A82)/SUMIFS(Trato_Diario!$G$4:$G$203,Trato_Diario!$B$4:$B$203,F$5,Trato_Diario!$A$4:$A$203,$A82))</f>
        <v/>
      </c>
      <c r="G82" s="46" t="str">
        <f>IF(OR($A82&gt;MAX(Trato_Diario!$A$4:$A$203),SUMIFS(Trato_Diario!$G$4:$G$203,Trato_Diario!$B$4:$B$203,G$5,Trato_Diario!$A$4:$A$203,$A82)=0),"",SUMIFS(Trato_Diario!$J$4:$J$203,Trato_Diario!$B$4:$B$203,G$5,Trato_Diario!$A$4:$A$203,$A82)/SUMIFS(Trato_Diario!$G$4:$G$203,Trato_Diario!$B$4:$B$203,G$5,Trato_Diario!$A$4:$A$203,$A82))</f>
        <v/>
      </c>
      <c r="H82" s="57" t="str">
        <f>IF(OR($A82&gt;MAX(Trato_Diario!$A$4:$A$203),SUMIFS(Trato_Diario!$G$4:$G$203,Trato_Diario!$A$4:$A$203,$A82)=0),"",SUMIFS(Trato_Diario!$J$4:$J$203,Trato_Diario!$A$4:$A$203,$A82)/SUMIFS(Trato_Diario!$G$4:$G$203,Trato_Diario!$A$4:$A$203,$A82))</f>
        <v/>
      </c>
    </row>
    <row r="83" spans="1:8" ht="14.25" customHeight="1" x14ac:dyDescent="0.3">
      <c r="A83" s="72">
        <v>46270</v>
      </c>
      <c r="B83" s="20" t="str">
        <f>IF(OR($A83&gt;MAX(Trato_Diario!$A$4:$A$203),SUMIFS(Trato_Diario!$G$4:$G$203,Trato_Diario!$B$4:$B$203,B$5,Trato_Diario!$A$4:$A$203,$A83)=0),"",SUMIFS(Trato_Diario!$J$4:$J$203,Trato_Diario!$B$4:$B$203,B$5,Trato_Diario!$A$4:$A$203,$A83)/SUMIFS(Trato_Diario!$G$4:$G$203,Trato_Diario!$B$4:$B$203,B$5,Trato_Diario!$A$4:$A$203,$A83))</f>
        <v/>
      </c>
      <c r="C83" s="20" t="str">
        <f>IF(OR($A83&gt;MAX(Trato_Diario!$A$4:$A$203),SUMIFS(Trato_Diario!$G$4:$G$203,Trato_Diario!$B$4:$B$203,C$5,Trato_Diario!$A$4:$A$203,$A83)=0),"",SUMIFS(Trato_Diario!$J$4:$J$203,Trato_Diario!$B$4:$B$203,C$5,Trato_Diario!$A$4:$A$203,$A83)/SUMIFS(Trato_Diario!$G$4:$G$203,Trato_Diario!$B$4:$B$203,C$5,Trato_Diario!$A$4:$A$203,$A83))</f>
        <v/>
      </c>
      <c r="D83" s="20" t="str">
        <f>IF(OR($A83&gt;MAX(Trato_Diario!$A$4:$A$203),SUMIFS(Trato_Diario!$G$4:$G$203,Trato_Diario!$B$4:$B$203,D$5,Trato_Diario!$A$4:$A$203,$A83)=0),"",SUMIFS(Trato_Diario!$J$4:$J$203,Trato_Diario!$B$4:$B$203,D$5,Trato_Diario!$A$4:$A$203,$A83)/SUMIFS(Trato_Diario!$G$4:$G$203,Trato_Diario!$B$4:$B$203,D$5,Trato_Diario!$A$4:$A$203,$A83))</f>
        <v/>
      </c>
      <c r="E83" s="20" t="str">
        <f>IF(OR($A83&gt;MAX(Trato_Diario!$A$4:$A$203),SUMIFS(Trato_Diario!$G$4:$G$203,Trato_Diario!$B$4:$B$203,E$5,Trato_Diario!$A$4:$A$203,$A83)=0),"",SUMIFS(Trato_Diario!$J$4:$J$203,Trato_Diario!$B$4:$B$203,E$5,Trato_Diario!$A$4:$A$203,$A83)/SUMIFS(Trato_Diario!$G$4:$G$203,Trato_Diario!$B$4:$B$203,E$5,Trato_Diario!$A$4:$A$203,$A83))</f>
        <v/>
      </c>
      <c r="F83" s="20" t="str">
        <f>IF(OR($A83&gt;MAX(Trato_Diario!$A$4:$A$203),SUMIFS(Trato_Diario!$G$4:$G$203,Trato_Diario!$B$4:$B$203,F$5,Trato_Diario!$A$4:$A$203,$A83)=0),"",SUMIFS(Trato_Diario!$J$4:$J$203,Trato_Diario!$B$4:$B$203,F$5,Trato_Diario!$A$4:$A$203,$A83)/SUMIFS(Trato_Diario!$G$4:$G$203,Trato_Diario!$B$4:$B$203,F$5,Trato_Diario!$A$4:$A$203,$A83))</f>
        <v/>
      </c>
      <c r="G83" s="20" t="str">
        <f>IF(OR($A83&gt;MAX(Trato_Diario!$A$4:$A$203),SUMIFS(Trato_Diario!$G$4:$G$203,Trato_Diario!$B$4:$B$203,G$5,Trato_Diario!$A$4:$A$203,$A83)=0),"",SUMIFS(Trato_Diario!$J$4:$J$203,Trato_Diario!$B$4:$B$203,G$5,Trato_Diario!$A$4:$A$203,$A83)/SUMIFS(Trato_Diario!$G$4:$G$203,Trato_Diario!$B$4:$B$203,G$5,Trato_Diario!$A$4:$A$203,$A83))</f>
        <v/>
      </c>
      <c r="H83" s="59" t="str">
        <f>IF(OR($A83&gt;MAX(Trato_Diario!$A$4:$A$203),SUMIFS(Trato_Diario!$G$4:$G$203,Trato_Diario!$A$4:$A$203,$A83)=0),"",SUMIFS(Trato_Diario!$J$4:$J$203,Trato_Diario!$A$4:$A$203,$A83)/SUMIFS(Trato_Diario!$G$4:$G$203,Trato_Diario!$A$4:$A$203,$A83))</f>
        <v/>
      </c>
    </row>
    <row r="84" spans="1:8" ht="14.25" customHeight="1" x14ac:dyDescent="0.3">
      <c r="A84" s="71">
        <v>46271</v>
      </c>
      <c r="B84" s="46" t="str">
        <f>IF(OR($A84&gt;MAX(Trato_Diario!$A$4:$A$203),SUMIFS(Trato_Diario!$G$4:$G$203,Trato_Diario!$B$4:$B$203,B$5,Trato_Diario!$A$4:$A$203,$A84)=0),"",SUMIFS(Trato_Diario!$J$4:$J$203,Trato_Diario!$B$4:$B$203,B$5,Trato_Diario!$A$4:$A$203,$A84)/SUMIFS(Trato_Diario!$G$4:$G$203,Trato_Diario!$B$4:$B$203,B$5,Trato_Diario!$A$4:$A$203,$A84))</f>
        <v/>
      </c>
      <c r="C84" s="46" t="str">
        <f>IF(OR($A84&gt;MAX(Trato_Diario!$A$4:$A$203),SUMIFS(Trato_Diario!$G$4:$G$203,Trato_Diario!$B$4:$B$203,C$5,Trato_Diario!$A$4:$A$203,$A84)=0),"",SUMIFS(Trato_Diario!$J$4:$J$203,Trato_Diario!$B$4:$B$203,C$5,Trato_Diario!$A$4:$A$203,$A84)/SUMIFS(Trato_Diario!$G$4:$G$203,Trato_Diario!$B$4:$B$203,C$5,Trato_Diario!$A$4:$A$203,$A84))</f>
        <v/>
      </c>
      <c r="D84" s="46" t="str">
        <f>IF(OR($A84&gt;MAX(Trato_Diario!$A$4:$A$203),SUMIFS(Trato_Diario!$G$4:$G$203,Trato_Diario!$B$4:$B$203,D$5,Trato_Diario!$A$4:$A$203,$A84)=0),"",SUMIFS(Trato_Diario!$J$4:$J$203,Trato_Diario!$B$4:$B$203,D$5,Trato_Diario!$A$4:$A$203,$A84)/SUMIFS(Trato_Diario!$G$4:$G$203,Trato_Diario!$B$4:$B$203,D$5,Trato_Diario!$A$4:$A$203,$A84))</f>
        <v/>
      </c>
      <c r="E84" s="46" t="str">
        <f>IF(OR($A84&gt;MAX(Trato_Diario!$A$4:$A$203),SUMIFS(Trato_Diario!$G$4:$G$203,Trato_Diario!$B$4:$B$203,E$5,Trato_Diario!$A$4:$A$203,$A84)=0),"",SUMIFS(Trato_Diario!$J$4:$J$203,Trato_Diario!$B$4:$B$203,E$5,Trato_Diario!$A$4:$A$203,$A84)/SUMIFS(Trato_Diario!$G$4:$G$203,Trato_Diario!$B$4:$B$203,E$5,Trato_Diario!$A$4:$A$203,$A84))</f>
        <v/>
      </c>
      <c r="F84" s="46" t="str">
        <f>IF(OR($A84&gt;MAX(Trato_Diario!$A$4:$A$203),SUMIFS(Trato_Diario!$G$4:$G$203,Trato_Diario!$B$4:$B$203,F$5,Trato_Diario!$A$4:$A$203,$A84)=0),"",SUMIFS(Trato_Diario!$J$4:$J$203,Trato_Diario!$B$4:$B$203,F$5,Trato_Diario!$A$4:$A$203,$A84)/SUMIFS(Trato_Diario!$G$4:$G$203,Trato_Diario!$B$4:$B$203,F$5,Trato_Diario!$A$4:$A$203,$A84))</f>
        <v/>
      </c>
      <c r="G84" s="46" t="str">
        <f>IF(OR($A84&gt;MAX(Trato_Diario!$A$4:$A$203),SUMIFS(Trato_Diario!$G$4:$G$203,Trato_Diario!$B$4:$B$203,G$5,Trato_Diario!$A$4:$A$203,$A84)=0),"",SUMIFS(Trato_Diario!$J$4:$J$203,Trato_Diario!$B$4:$B$203,G$5,Trato_Diario!$A$4:$A$203,$A84)/SUMIFS(Trato_Diario!$G$4:$G$203,Trato_Diario!$B$4:$B$203,G$5,Trato_Diario!$A$4:$A$203,$A84))</f>
        <v/>
      </c>
      <c r="H84" s="57" t="str">
        <f>IF(OR($A84&gt;MAX(Trato_Diario!$A$4:$A$203),SUMIFS(Trato_Diario!$G$4:$G$203,Trato_Diario!$A$4:$A$203,$A84)=0),"",SUMIFS(Trato_Diario!$J$4:$J$203,Trato_Diario!$A$4:$A$203,$A84)/SUMIFS(Trato_Diario!$G$4:$G$203,Trato_Diario!$A$4:$A$203,$A84))</f>
        <v/>
      </c>
    </row>
    <row r="85" spans="1:8" ht="14.25" customHeight="1" x14ac:dyDescent="0.3">
      <c r="A85" s="72">
        <v>46272</v>
      </c>
      <c r="B85" s="20" t="str">
        <f>IF(OR($A85&gt;MAX(Trato_Diario!$A$4:$A$203),SUMIFS(Trato_Diario!$G$4:$G$203,Trato_Diario!$B$4:$B$203,B$5,Trato_Diario!$A$4:$A$203,$A85)=0),"",SUMIFS(Trato_Diario!$J$4:$J$203,Trato_Diario!$B$4:$B$203,B$5,Trato_Diario!$A$4:$A$203,$A85)/SUMIFS(Trato_Diario!$G$4:$G$203,Trato_Diario!$B$4:$B$203,B$5,Trato_Diario!$A$4:$A$203,$A85))</f>
        <v/>
      </c>
      <c r="C85" s="20" t="str">
        <f>IF(OR($A85&gt;MAX(Trato_Diario!$A$4:$A$203),SUMIFS(Trato_Diario!$G$4:$G$203,Trato_Diario!$B$4:$B$203,C$5,Trato_Diario!$A$4:$A$203,$A85)=0),"",SUMIFS(Trato_Diario!$J$4:$J$203,Trato_Diario!$B$4:$B$203,C$5,Trato_Diario!$A$4:$A$203,$A85)/SUMIFS(Trato_Diario!$G$4:$G$203,Trato_Diario!$B$4:$B$203,C$5,Trato_Diario!$A$4:$A$203,$A85))</f>
        <v/>
      </c>
      <c r="D85" s="20" t="str">
        <f>IF(OR($A85&gt;MAX(Trato_Diario!$A$4:$A$203),SUMIFS(Trato_Diario!$G$4:$G$203,Trato_Diario!$B$4:$B$203,D$5,Trato_Diario!$A$4:$A$203,$A85)=0),"",SUMIFS(Trato_Diario!$J$4:$J$203,Trato_Diario!$B$4:$B$203,D$5,Trato_Diario!$A$4:$A$203,$A85)/SUMIFS(Trato_Diario!$G$4:$G$203,Trato_Diario!$B$4:$B$203,D$5,Trato_Diario!$A$4:$A$203,$A85))</f>
        <v/>
      </c>
      <c r="E85" s="20" t="str">
        <f>IF(OR($A85&gt;MAX(Trato_Diario!$A$4:$A$203),SUMIFS(Trato_Diario!$G$4:$G$203,Trato_Diario!$B$4:$B$203,E$5,Trato_Diario!$A$4:$A$203,$A85)=0),"",SUMIFS(Trato_Diario!$J$4:$J$203,Trato_Diario!$B$4:$B$203,E$5,Trato_Diario!$A$4:$A$203,$A85)/SUMIFS(Trato_Diario!$G$4:$G$203,Trato_Diario!$B$4:$B$203,E$5,Trato_Diario!$A$4:$A$203,$A85))</f>
        <v/>
      </c>
      <c r="F85" s="20" t="str">
        <f>IF(OR($A85&gt;MAX(Trato_Diario!$A$4:$A$203),SUMIFS(Trato_Diario!$G$4:$G$203,Trato_Diario!$B$4:$B$203,F$5,Trato_Diario!$A$4:$A$203,$A85)=0),"",SUMIFS(Trato_Diario!$J$4:$J$203,Trato_Diario!$B$4:$B$203,F$5,Trato_Diario!$A$4:$A$203,$A85)/SUMIFS(Trato_Diario!$G$4:$G$203,Trato_Diario!$B$4:$B$203,F$5,Trato_Diario!$A$4:$A$203,$A85))</f>
        <v/>
      </c>
      <c r="G85" s="20" t="str">
        <f>IF(OR($A85&gt;MAX(Trato_Diario!$A$4:$A$203),SUMIFS(Trato_Diario!$G$4:$G$203,Trato_Diario!$B$4:$B$203,G$5,Trato_Diario!$A$4:$A$203,$A85)=0),"",SUMIFS(Trato_Diario!$J$4:$J$203,Trato_Diario!$B$4:$B$203,G$5,Trato_Diario!$A$4:$A$203,$A85)/SUMIFS(Trato_Diario!$G$4:$G$203,Trato_Diario!$B$4:$B$203,G$5,Trato_Diario!$A$4:$A$203,$A85))</f>
        <v/>
      </c>
      <c r="H85" s="59" t="str">
        <f>IF(OR($A85&gt;MAX(Trato_Diario!$A$4:$A$203),SUMIFS(Trato_Diario!$G$4:$G$203,Trato_Diario!$A$4:$A$203,$A85)=0),"",SUMIFS(Trato_Diario!$J$4:$J$203,Trato_Diario!$A$4:$A$203,$A85)/SUMIFS(Trato_Diario!$G$4:$G$203,Trato_Diario!$A$4:$A$203,$A85))</f>
        <v/>
      </c>
    </row>
    <row r="86" spans="1:8" ht="14.25" customHeight="1" x14ac:dyDescent="0.3">
      <c r="A86" s="71">
        <v>46273</v>
      </c>
      <c r="B86" s="46" t="str">
        <f>IF(OR($A86&gt;MAX(Trato_Diario!$A$4:$A$203),SUMIFS(Trato_Diario!$G$4:$G$203,Trato_Diario!$B$4:$B$203,B$5,Trato_Diario!$A$4:$A$203,$A86)=0),"",SUMIFS(Trato_Diario!$J$4:$J$203,Trato_Diario!$B$4:$B$203,B$5,Trato_Diario!$A$4:$A$203,$A86)/SUMIFS(Trato_Diario!$G$4:$G$203,Trato_Diario!$B$4:$B$203,B$5,Trato_Diario!$A$4:$A$203,$A86))</f>
        <v/>
      </c>
      <c r="C86" s="46" t="str">
        <f>IF(OR($A86&gt;MAX(Trato_Diario!$A$4:$A$203),SUMIFS(Trato_Diario!$G$4:$G$203,Trato_Diario!$B$4:$B$203,C$5,Trato_Diario!$A$4:$A$203,$A86)=0),"",SUMIFS(Trato_Diario!$J$4:$J$203,Trato_Diario!$B$4:$B$203,C$5,Trato_Diario!$A$4:$A$203,$A86)/SUMIFS(Trato_Diario!$G$4:$G$203,Trato_Diario!$B$4:$B$203,C$5,Trato_Diario!$A$4:$A$203,$A86))</f>
        <v/>
      </c>
      <c r="D86" s="46" t="str">
        <f>IF(OR($A86&gt;MAX(Trato_Diario!$A$4:$A$203),SUMIFS(Trato_Diario!$G$4:$G$203,Trato_Diario!$B$4:$B$203,D$5,Trato_Diario!$A$4:$A$203,$A86)=0),"",SUMIFS(Trato_Diario!$J$4:$J$203,Trato_Diario!$B$4:$B$203,D$5,Trato_Diario!$A$4:$A$203,$A86)/SUMIFS(Trato_Diario!$G$4:$G$203,Trato_Diario!$B$4:$B$203,D$5,Trato_Diario!$A$4:$A$203,$A86))</f>
        <v/>
      </c>
      <c r="E86" s="46" t="str">
        <f>IF(OR($A86&gt;MAX(Trato_Diario!$A$4:$A$203),SUMIFS(Trato_Diario!$G$4:$G$203,Trato_Diario!$B$4:$B$203,E$5,Trato_Diario!$A$4:$A$203,$A86)=0),"",SUMIFS(Trato_Diario!$J$4:$J$203,Trato_Diario!$B$4:$B$203,E$5,Trato_Diario!$A$4:$A$203,$A86)/SUMIFS(Trato_Diario!$G$4:$G$203,Trato_Diario!$B$4:$B$203,E$5,Trato_Diario!$A$4:$A$203,$A86))</f>
        <v/>
      </c>
      <c r="F86" s="46" t="str">
        <f>IF(OR($A86&gt;MAX(Trato_Diario!$A$4:$A$203),SUMIFS(Trato_Diario!$G$4:$G$203,Trato_Diario!$B$4:$B$203,F$5,Trato_Diario!$A$4:$A$203,$A86)=0),"",SUMIFS(Trato_Diario!$J$4:$J$203,Trato_Diario!$B$4:$B$203,F$5,Trato_Diario!$A$4:$A$203,$A86)/SUMIFS(Trato_Diario!$G$4:$G$203,Trato_Diario!$B$4:$B$203,F$5,Trato_Diario!$A$4:$A$203,$A86))</f>
        <v/>
      </c>
      <c r="G86" s="46" t="str">
        <f>IF(OR($A86&gt;MAX(Trato_Diario!$A$4:$A$203),SUMIFS(Trato_Diario!$G$4:$G$203,Trato_Diario!$B$4:$B$203,G$5,Trato_Diario!$A$4:$A$203,$A86)=0),"",SUMIFS(Trato_Diario!$J$4:$J$203,Trato_Diario!$B$4:$B$203,G$5,Trato_Diario!$A$4:$A$203,$A86)/SUMIFS(Trato_Diario!$G$4:$G$203,Trato_Diario!$B$4:$B$203,G$5,Trato_Diario!$A$4:$A$203,$A86))</f>
        <v/>
      </c>
      <c r="H86" s="57" t="str">
        <f>IF(OR($A86&gt;MAX(Trato_Diario!$A$4:$A$203),SUMIFS(Trato_Diario!$G$4:$G$203,Trato_Diario!$A$4:$A$203,$A86)=0),"",SUMIFS(Trato_Diario!$J$4:$J$203,Trato_Diario!$A$4:$A$203,$A86)/SUMIFS(Trato_Diario!$G$4:$G$203,Trato_Diario!$A$4:$A$203,$A86))</f>
        <v/>
      </c>
    </row>
    <row r="87" spans="1:8" ht="14.25" customHeight="1" x14ac:dyDescent="0.3">
      <c r="A87" s="72">
        <v>46274</v>
      </c>
      <c r="B87" s="20" t="str">
        <f>IF(OR($A87&gt;MAX(Trato_Diario!$A$4:$A$203),SUMIFS(Trato_Diario!$G$4:$G$203,Trato_Diario!$B$4:$B$203,B$5,Trato_Diario!$A$4:$A$203,$A87)=0),"",SUMIFS(Trato_Diario!$J$4:$J$203,Trato_Diario!$B$4:$B$203,B$5,Trato_Diario!$A$4:$A$203,$A87)/SUMIFS(Trato_Diario!$G$4:$G$203,Trato_Diario!$B$4:$B$203,B$5,Trato_Diario!$A$4:$A$203,$A87))</f>
        <v/>
      </c>
      <c r="C87" s="20" t="str">
        <f>IF(OR($A87&gt;MAX(Trato_Diario!$A$4:$A$203),SUMIFS(Trato_Diario!$G$4:$G$203,Trato_Diario!$B$4:$B$203,C$5,Trato_Diario!$A$4:$A$203,$A87)=0),"",SUMIFS(Trato_Diario!$J$4:$J$203,Trato_Diario!$B$4:$B$203,C$5,Trato_Diario!$A$4:$A$203,$A87)/SUMIFS(Trato_Diario!$G$4:$G$203,Trato_Diario!$B$4:$B$203,C$5,Trato_Diario!$A$4:$A$203,$A87))</f>
        <v/>
      </c>
      <c r="D87" s="20" t="str">
        <f>IF(OR($A87&gt;MAX(Trato_Diario!$A$4:$A$203),SUMIFS(Trato_Diario!$G$4:$G$203,Trato_Diario!$B$4:$B$203,D$5,Trato_Diario!$A$4:$A$203,$A87)=0),"",SUMIFS(Trato_Diario!$J$4:$J$203,Trato_Diario!$B$4:$B$203,D$5,Trato_Diario!$A$4:$A$203,$A87)/SUMIFS(Trato_Diario!$G$4:$G$203,Trato_Diario!$B$4:$B$203,D$5,Trato_Diario!$A$4:$A$203,$A87))</f>
        <v/>
      </c>
      <c r="E87" s="20" t="str">
        <f>IF(OR($A87&gt;MAX(Trato_Diario!$A$4:$A$203),SUMIFS(Trato_Diario!$G$4:$G$203,Trato_Diario!$B$4:$B$203,E$5,Trato_Diario!$A$4:$A$203,$A87)=0),"",SUMIFS(Trato_Diario!$J$4:$J$203,Trato_Diario!$B$4:$B$203,E$5,Trato_Diario!$A$4:$A$203,$A87)/SUMIFS(Trato_Diario!$G$4:$G$203,Trato_Diario!$B$4:$B$203,E$5,Trato_Diario!$A$4:$A$203,$A87))</f>
        <v/>
      </c>
      <c r="F87" s="20" t="str">
        <f>IF(OR($A87&gt;MAX(Trato_Diario!$A$4:$A$203),SUMIFS(Trato_Diario!$G$4:$G$203,Trato_Diario!$B$4:$B$203,F$5,Trato_Diario!$A$4:$A$203,$A87)=0),"",SUMIFS(Trato_Diario!$J$4:$J$203,Trato_Diario!$B$4:$B$203,F$5,Trato_Diario!$A$4:$A$203,$A87)/SUMIFS(Trato_Diario!$G$4:$G$203,Trato_Diario!$B$4:$B$203,F$5,Trato_Diario!$A$4:$A$203,$A87))</f>
        <v/>
      </c>
      <c r="G87" s="20" t="str">
        <f>IF(OR($A87&gt;MAX(Trato_Diario!$A$4:$A$203),SUMIFS(Trato_Diario!$G$4:$G$203,Trato_Diario!$B$4:$B$203,G$5,Trato_Diario!$A$4:$A$203,$A87)=0),"",SUMIFS(Trato_Diario!$J$4:$J$203,Trato_Diario!$B$4:$B$203,G$5,Trato_Diario!$A$4:$A$203,$A87)/SUMIFS(Trato_Diario!$G$4:$G$203,Trato_Diario!$B$4:$B$203,G$5,Trato_Diario!$A$4:$A$203,$A87))</f>
        <v/>
      </c>
      <c r="H87" s="59" t="str">
        <f>IF(OR($A87&gt;MAX(Trato_Diario!$A$4:$A$203),SUMIFS(Trato_Diario!$G$4:$G$203,Trato_Diario!$A$4:$A$203,$A87)=0),"",SUMIFS(Trato_Diario!$J$4:$J$203,Trato_Diario!$A$4:$A$203,$A87)/SUMIFS(Trato_Diario!$G$4:$G$203,Trato_Diario!$A$4:$A$203,$A87))</f>
        <v/>
      </c>
    </row>
    <row r="88" spans="1:8" ht="14.25" customHeight="1" x14ac:dyDescent="0.3">
      <c r="A88" s="71">
        <v>46275</v>
      </c>
      <c r="B88" s="46" t="str">
        <f>IF(OR($A88&gt;MAX(Trato_Diario!$A$4:$A$203),SUMIFS(Trato_Diario!$G$4:$G$203,Trato_Diario!$B$4:$B$203,B$5,Trato_Diario!$A$4:$A$203,$A88)=0),"",SUMIFS(Trato_Diario!$J$4:$J$203,Trato_Diario!$B$4:$B$203,B$5,Trato_Diario!$A$4:$A$203,$A88)/SUMIFS(Trato_Diario!$G$4:$G$203,Trato_Diario!$B$4:$B$203,B$5,Trato_Diario!$A$4:$A$203,$A88))</f>
        <v/>
      </c>
      <c r="C88" s="46" t="str">
        <f>IF(OR($A88&gt;MAX(Trato_Diario!$A$4:$A$203),SUMIFS(Trato_Diario!$G$4:$G$203,Trato_Diario!$B$4:$B$203,C$5,Trato_Diario!$A$4:$A$203,$A88)=0),"",SUMIFS(Trato_Diario!$J$4:$J$203,Trato_Diario!$B$4:$B$203,C$5,Trato_Diario!$A$4:$A$203,$A88)/SUMIFS(Trato_Diario!$G$4:$G$203,Trato_Diario!$B$4:$B$203,C$5,Trato_Diario!$A$4:$A$203,$A88))</f>
        <v/>
      </c>
      <c r="D88" s="46" t="str">
        <f>IF(OR($A88&gt;MAX(Trato_Diario!$A$4:$A$203),SUMIFS(Trato_Diario!$G$4:$G$203,Trato_Diario!$B$4:$B$203,D$5,Trato_Diario!$A$4:$A$203,$A88)=0),"",SUMIFS(Trato_Diario!$J$4:$J$203,Trato_Diario!$B$4:$B$203,D$5,Trato_Diario!$A$4:$A$203,$A88)/SUMIFS(Trato_Diario!$G$4:$G$203,Trato_Diario!$B$4:$B$203,D$5,Trato_Diario!$A$4:$A$203,$A88))</f>
        <v/>
      </c>
      <c r="E88" s="46" t="str">
        <f>IF(OR($A88&gt;MAX(Trato_Diario!$A$4:$A$203),SUMIFS(Trato_Diario!$G$4:$G$203,Trato_Diario!$B$4:$B$203,E$5,Trato_Diario!$A$4:$A$203,$A88)=0),"",SUMIFS(Trato_Diario!$J$4:$J$203,Trato_Diario!$B$4:$B$203,E$5,Trato_Diario!$A$4:$A$203,$A88)/SUMIFS(Trato_Diario!$G$4:$G$203,Trato_Diario!$B$4:$B$203,E$5,Trato_Diario!$A$4:$A$203,$A88))</f>
        <v/>
      </c>
      <c r="F88" s="46" t="str">
        <f>IF(OR($A88&gt;MAX(Trato_Diario!$A$4:$A$203),SUMIFS(Trato_Diario!$G$4:$G$203,Trato_Diario!$B$4:$B$203,F$5,Trato_Diario!$A$4:$A$203,$A88)=0),"",SUMIFS(Trato_Diario!$J$4:$J$203,Trato_Diario!$B$4:$B$203,F$5,Trato_Diario!$A$4:$A$203,$A88)/SUMIFS(Trato_Diario!$G$4:$G$203,Trato_Diario!$B$4:$B$203,F$5,Trato_Diario!$A$4:$A$203,$A88))</f>
        <v/>
      </c>
      <c r="G88" s="46" t="str">
        <f>IF(OR($A88&gt;MAX(Trato_Diario!$A$4:$A$203),SUMIFS(Trato_Diario!$G$4:$G$203,Trato_Diario!$B$4:$B$203,G$5,Trato_Diario!$A$4:$A$203,$A88)=0),"",SUMIFS(Trato_Diario!$J$4:$J$203,Trato_Diario!$B$4:$B$203,G$5,Trato_Diario!$A$4:$A$203,$A88)/SUMIFS(Trato_Diario!$G$4:$G$203,Trato_Diario!$B$4:$B$203,G$5,Trato_Diario!$A$4:$A$203,$A88))</f>
        <v/>
      </c>
      <c r="H88" s="57" t="str">
        <f>IF(OR($A88&gt;MAX(Trato_Diario!$A$4:$A$203),SUMIFS(Trato_Diario!$G$4:$G$203,Trato_Diario!$A$4:$A$203,$A88)=0),"",SUMIFS(Trato_Diario!$J$4:$J$203,Trato_Diario!$A$4:$A$203,$A88)/SUMIFS(Trato_Diario!$G$4:$G$203,Trato_Diario!$A$4:$A$203,$A88))</f>
        <v/>
      </c>
    </row>
    <row r="89" spans="1:8" ht="14.25" customHeight="1" x14ac:dyDescent="0.3">
      <c r="A89" s="72">
        <v>46276</v>
      </c>
      <c r="B89" s="20" t="str">
        <f>IF(OR($A89&gt;MAX(Trato_Diario!$A$4:$A$203),SUMIFS(Trato_Diario!$G$4:$G$203,Trato_Diario!$B$4:$B$203,B$5,Trato_Diario!$A$4:$A$203,$A89)=0),"",SUMIFS(Trato_Diario!$J$4:$J$203,Trato_Diario!$B$4:$B$203,B$5,Trato_Diario!$A$4:$A$203,$A89)/SUMIFS(Trato_Diario!$G$4:$G$203,Trato_Diario!$B$4:$B$203,B$5,Trato_Diario!$A$4:$A$203,$A89))</f>
        <v/>
      </c>
      <c r="C89" s="20" t="str">
        <f>IF(OR($A89&gt;MAX(Trato_Diario!$A$4:$A$203),SUMIFS(Trato_Diario!$G$4:$G$203,Trato_Diario!$B$4:$B$203,C$5,Trato_Diario!$A$4:$A$203,$A89)=0),"",SUMIFS(Trato_Diario!$J$4:$J$203,Trato_Diario!$B$4:$B$203,C$5,Trato_Diario!$A$4:$A$203,$A89)/SUMIFS(Trato_Diario!$G$4:$G$203,Trato_Diario!$B$4:$B$203,C$5,Trato_Diario!$A$4:$A$203,$A89))</f>
        <v/>
      </c>
      <c r="D89" s="20" t="str">
        <f>IF(OR($A89&gt;MAX(Trato_Diario!$A$4:$A$203),SUMIFS(Trato_Diario!$G$4:$G$203,Trato_Diario!$B$4:$B$203,D$5,Trato_Diario!$A$4:$A$203,$A89)=0),"",SUMIFS(Trato_Diario!$J$4:$J$203,Trato_Diario!$B$4:$B$203,D$5,Trato_Diario!$A$4:$A$203,$A89)/SUMIFS(Trato_Diario!$G$4:$G$203,Trato_Diario!$B$4:$B$203,D$5,Trato_Diario!$A$4:$A$203,$A89))</f>
        <v/>
      </c>
      <c r="E89" s="20" t="str">
        <f>IF(OR($A89&gt;MAX(Trato_Diario!$A$4:$A$203),SUMIFS(Trato_Diario!$G$4:$G$203,Trato_Diario!$B$4:$B$203,E$5,Trato_Diario!$A$4:$A$203,$A89)=0),"",SUMIFS(Trato_Diario!$J$4:$J$203,Trato_Diario!$B$4:$B$203,E$5,Trato_Diario!$A$4:$A$203,$A89)/SUMIFS(Trato_Diario!$G$4:$G$203,Trato_Diario!$B$4:$B$203,E$5,Trato_Diario!$A$4:$A$203,$A89))</f>
        <v/>
      </c>
      <c r="F89" s="20" t="str">
        <f>IF(OR($A89&gt;MAX(Trato_Diario!$A$4:$A$203),SUMIFS(Trato_Diario!$G$4:$G$203,Trato_Diario!$B$4:$B$203,F$5,Trato_Diario!$A$4:$A$203,$A89)=0),"",SUMIFS(Trato_Diario!$J$4:$J$203,Trato_Diario!$B$4:$B$203,F$5,Trato_Diario!$A$4:$A$203,$A89)/SUMIFS(Trato_Diario!$G$4:$G$203,Trato_Diario!$B$4:$B$203,F$5,Trato_Diario!$A$4:$A$203,$A89))</f>
        <v/>
      </c>
      <c r="G89" s="20" t="str">
        <f>IF(OR($A89&gt;MAX(Trato_Diario!$A$4:$A$203),SUMIFS(Trato_Diario!$G$4:$G$203,Trato_Diario!$B$4:$B$203,G$5,Trato_Diario!$A$4:$A$203,$A89)=0),"",SUMIFS(Trato_Diario!$J$4:$J$203,Trato_Diario!$B$4:$B$203,G$5,Trato_Diario!$A$4:$A$203,$A89)/SUMIFS(Trato_Diario!$G$4:$G$203,Trato_Diario!$B$4:$B$203,G$5,Trato_Diario!$A$4:$A$203,$A89))</f>
        <v/>
      </c>
      <c r="H89" s="59" t="str">
        <f>IF(OR($A89&gt;MAX(Trato_Diario!$A$4:$A$203),SUMIFS(Trato_Diario!$G$4:$G$203,Trato_Diario!$A$4:$A$203,$A89)=0),"",SUMIFS(Trato_Diario!$J$4:$J$203,Trato_Diario!$A$4:$A$203,$A89)/SUMIFS(Trato_Diario!$G$4:$G$203,Trato_Diario!$A$4:$A$203,$A89))</f>
        <v/>
      </c>
    </row>
    <row r="90" spans="1:8" ht="14.25" customHeight="1" x14ac:dyDescent="0.3">
      <c r="A90" s="71">
        <v>46277</v>
      </c>
      <c r="B90" s="46" t="str">
        <f>IF(OR($A90&gt;MAX(Trato_Diario!$A$4:$A$203),SUMIFS(Trato_Diario!$G$4:$G$203,Trato_Diario!$B$4:$B$203,B$5,Trato_Diario!$A$4:$A$203,$A90)=0),"",SUMIFS(Trato_Diario!$J$4:$J$203,Trato_Diario!$B$4:$B$203,B$5,Trato_Diario!$A$4:$A$203,$A90)/SUMIFS(Trato_Diario!$G$4:$G$203,Trato_Diario!$B$4:$B$203,B$5,Trato_Diario!$A$4:$A$203,$A90))</f>
        <v/>
      </c>
      <c r="C90" s="46" t="str">
        <f>IF(OR($A90&gt;MAX(Trato_Diario!$A$4:$A$203),SUMIFS(Trato_Diario!$G$4:$G$203,Trato_Diario!$B$4:$B$203,C$5,Trato_Diario!$A$4:$A$203,$A90)=0),"",SUMIFS(Trato_Diario!$J$4:$J$203,Trato_Diario!$B$4:$B$203,C$5,Trato_Diario!$A$4:$A$203,$A90)/SUMIFS(Trato_Diario!$G$4:$G$203,Trato_Diario!$B$4:$B$203,C$5,Trato_Diario!$A$4:$A$203,$A90))</f>
        <v/>
      </c>
      <c r="D90" s="46" t="str">
        <f>IF(OR($A90&gt;MAX(Trato_Diario!$A$4:$A$203),SUMIFS(Trato_Diario!$G$4:$G$203,Trato_Diario!$B$4:$B$203,D$5,Trato_Diario!$A$4:$A$203,$A90)=0),"",SUMIFS(Trato_Diario!$J$4:$J$203,Trato_Diario!$B$4:$B$203,D$5,Trato_Diario!$A$4:$A$203,$A90)/SUMIFS(Trato_Diario!$G$4:$G$203,Trato_Diario!$B$4:$B$203,D$5,Trato_Diario!$A$4:$A$203,$A90))</f>
        <v/>
      </c>
      <c r="E90" s="46" t="str">
        <f>IF(OR($A90&gt;MAX(Trato_Diario!$A$4:$A$203),SUMIFS(Trato_Diario!$G$4:$G$203,Trato_Diario!$B$4:$B$203,E$5,Trato_Diario!$A$4:$A$203,$A90)=0),"",SUMIFS(Trato_Diario!$J$4:$J$203,Trato_Diario!$B$4:$B$203,E$5,Trato_Diario!$A$4:$A$203,$A90)/SUMIFS(Trato_Diario!$G$4:$G$203,Trato_Diario!$B$4:$B$203,E$5,Trato_Diario!$A$4:$A$203,$A90))</f>
        <v/>
      </c>
      <c r="F90" s="46" t="str">
        <f>IF(OR($A90&gt;MAX(Trato_Diario!$A$4:$A$203),SUMIFS(Trato_Diario!$G$4:$G$203,Trato_Diario!$B$4:$B$203,F$5,Trato_Diario!$A$4:$A$203,$A90)=0),"",SUMIFS(Trato_Diario!$J$4:$J$203,Trato_Diario!$B$4:$B$203,F$5,Trato_Diario!$A$4:$A$203,$A90)/SUMIFS(Trato_Diario!$G$4:$G$203,Trato_Diario!$B$4:$B$203,F$5,Trato_Diario!$A$4:$A$203,$A90))</f>
        <v/>
      </c>
      <c r="G90" s="46" t="str">
        <f>IF(OR($A90&gt;MAX(Trato_Diario!$A$4:$A$203),SUMIFS(Trato_Diario!$G$4:$G$203,Trato_Diario!$B$4:$B$203,G$5,Trato_Diario!$A$4:$A$203,$A90)=0),"",SUMIFS(Trato_Diario!$J$4:$J$203,Trato_Diario!$B$4:$B$203,G$5,Trato_Diario!$A$4:$A$203,$A90)/SUMIFS(Trato_Diario!$G$4:$G$203,Trato_Diario!$B$4:$B$203,G$5,Trato_Diario!$A$4:$A$203,$A90))</f>
        <v/>
      </c>
      <c r="H90" s="57" t="str">
        <f>IF(OR($A90&gt;MAX(Trato_Diario!$A$4:$A$203),SUMIFS(Trato_Diario!$G$4:$G$203,Trato_Diario!$A$4:$A$203,$A90)=0),"",SUMIFS(Trato_Diario!$J$4:$J$203,Trato_Diario!$A$4:$A$203,$A90)/SUMIFS(Trato_Diario!$G$4:$G$203,Trato_Diario!$A$4:$A$203,$A90))</f>
        <v/>
      </c>
    </row>
    <row r="91" spans="1:8" ht="14.25" customHeight="1" x14ac:dyDescent="0.3">
      <c r="A91" s="72">
        <v>46278</v>
      </c>
      <c r="B91" s="20" t="str">
        <f>IF(OR($A91&gt;MAX(Trato_Diario!$A$4:$A$203),SUMIFS(Trato_Diario!$G$4:$G$203,Trato_Diario!$B$4:$B$203,B$5,Trato_Diario!$A$4:$A$203,$A91)=0),"",SUMIFS(Trato_Diario!$J$4:$J$203,Trato_Diario!$B$4:$B$203,B$5,Trato_Diario!$A$4:$A$203,$A91)/SUMIFS(Trato_Diario!$G$4:$G$203,Trato_Diario!$B$4:$B$203,B$5,Trato_Diario!$A$4:$A$203,$A91))</f>
        <v/>
      </c>
      <c r="C91" s="20" t="str">
        <f>IF(OR($A91&gt;MAX(Trato_Diario!$A$4:$A$203),SUMIFS(Trato_Diario!$G$4:$G$203,Trato_Diario!$B$4:$B$203,C$5,Trato_Diario!$A$4:$A$203,$A91)=0),"",SUMIFS(Trato_Diario!$J$4:$J$203,Trato_Diario!$B$4:$B$203,C$5,Trato_Diario!$A$4:$A$203,$A91)/SUMIFS(Trato_Diario!$G$4:$G$203,Trato_Diario!$B$4:$B$203,C$5,Trato_Diario!$A$4:$A$203,$A91))</f>
        <v/>
      </c>
      <c r="D91" s="20" t="str">
        <f>IF(OR($A91&gt;MAX(Trato_Diario!$A$4:$A$203),SUMIFS(Trato_Diario!$G$4:$G$203,Trato_Diario!$B$4:$B$203,D$5,Trato_Diario!$A$4:$A$203,$A91)=0),"",SUMIFS(Trato_Diario!$J$4:$J$203,Trato_Diario!$B$4:$B$203,D$5,Trato_Diario!$A$4:$A$203,$A91)/SUMIFS(Trato_Diario!$G$4:$G$203,Trato_Diario!$B$4:$B$203,D$5,Trato_Diario!$A$4:$A$203,$A91))</f>
        <v/>
      </c>
      <c r="E91" s="20" t="str">
        <f>IF(OR($A91&gt;MAX(Trato_Diario!$A$4:$A$203),SUMIFS(Trato_Diario!$G$4:$G$203,Trato_Diario!$B$4:$B$203,E$5,Trato_Diario!$A$4:$A$203,$A91)=0),"",SUMIFS(Trato_Diario!$J$4:$J$203,Trato_Diario!$B$4:$B$203,E$5,Trato_Diario!$A$4:$A$203,$A91)/SUMIFS(Trato_Diario!$G$4:$G$203,Trato_Diario!$B$4:$B$203,E$5,Trato_Diario!$A$4:$A$203,$A91))</f>
        <v/>
      </c>
      <c r="F91" s="20" t="str">
        <f>IF(OR($A91&gt;MAX(Trato_Diario!$A$4:$A$203),SUMIFS(Trato_Diario!$G$4:$G$203,Trato_Diario!$B$4:$B$203,F$5,Trato_Diario!$A$4:$A$203,$A91)=0),"",SUMIFS(Trato_Diario!$J$4:$J$203,Trato_Diario!$B$4:$B$203,F$5,Trato_Diario!$A$4:$A$203,$A91)/SUMIFS(Trato_Diario!$G$4:$G$203,Trato_Diario!$B$4:$B$203,F$5,Trato_Diario!$A$4:$A$203,$A91))</f>
        <v/>
      </c>
      <c r="G91" s="20" t="str">
        <f>IF(OR($A91&gt;MAX(Trato_Diario!$A$4:$A$203),SUMIFS(Trato_Diario!$G$4:$G$203,Trato_Diario!$B$4:$B$203,G$5,Trato_Diario!$A$4:$A$203,$A91)=0),"",SUMIFS(Trato_Diario!$J$4:$J$203,Trato_Diario!$B$4:$B$203,G$5,Trato_Diario!$A$4:$A$203,$A91)/SUMIFS(Trato_Diario!$G$4:$G$203,Trato_Diario!$B$4:$B$203,G$5,Trato_Diario!$A$4:$A$203,$A91))</f>
        <v/>
      </c>
      <c r="H91" s="59" t="str">
        <f>IF(OR($A91&gt;MAX(Trato_Diario!$A$4:$A$203),SUMIFS(Trato_Diario!$G$4:$G$203,Trato_Diario!$A$4:$A$203,$A91)=0),"",SUMIFS(Trato_Diario!$J$4:$J$203,Trato_Diario!$A$4:$A$203,$A91)/SUMIFS(Trato_Diario!$G$4:$G$203,Trato_Diario!$A$4:$A$203,$A91))</f>
        <v/>
      </c>
    </row>
    <row r="92" spans="1:8" ht="14.25" customHeight="1" x14ac:dyDescent="0.3">
      <c r="A92" s="71">
        <v>46279</v>
      </c>
      <c r="B92" s="46" t="str">
        <f>IF(OR($A92&gt;MAX(Trato_Diario!$A$4:$A$203),SUMIFS(Trato_Diario!$G$4:$G$203,Trato_Diario!$B$4:$B$203,B$5,Trato_Diario!$A$4:$A$203,$A92)=0),"",SUMIFS(Trato_Diario!$J$4:$J$203,Trato_Diario!$B$4:$B$203,B$5,Trato_Diario!$A$4:$A$203,$A92)/SUMIFS(Trato_Diario!$G$4:$G$203,Trato_Diario!$B$4:$B$203,B$5,Trato_Diario!$A$4:$A$203,$A92))</f>
        <v/>
      </c>
      <c r="C92" s="46" t="str">
        <f>IF(OR($A92&gt;MAX(Trato_Diario!$A$4:$A$203),SUMIFS(Trato_Diario!$G$4:$G$203,Trato_Diario!$B$4:$B$203,C$5,Trato_Diario!$A$4:$A$203,$A92)=0),"",SUMIFS(Trato_Diario!$J$4:$J$203,Trato_Diario!$B$4:$B$203,C$5,Trato_Diario!$A$4:$A$203,$A92)/SUMIFS(Trato_Diario!$G$4:$G$203,Trato_Diario!$B$4:$B$203,C$5,Trato_Diario!$A$4:$A$203,$A92))</f>
        <v/>
      </c>
      <c r="D92" s="46" t="str">
        <f>IF(OR($A92&gt;MAX(Trato_Diario!$A$4:$A$203),SUMIFS(Trato_Diario!$G$4:$G$203,Trato_Diario!$B$4:$B$203,D$5,Trato_Diario!$A$4:$A$203,$A92)=0),"",SUMIFS(Trato_Diario!$J$4:$J$203,Trato_Diario!$B$4:$B$203,D$5,Trato_Diario!$A$4:$A$203,$A92)/SUMIFS(Trato_Diario!$G$4:$G$203,Trato_Diario!$B$4:$B$203,D$5,Trato_Diario!$A$4:$A$203,$A92))</f>
        <v/>
      </c>
      <c r="E92" s="46" t="str">
        <f>IF(OR($A92&gt;MAX(Trato_Diario!$A$4:$A$203),SUMIFS(Trato_Diario!$G$4:$G$203,Trato_Diario!$B$4:$B$203,E$5,Trato_Diario!$A$4:$A$203,$A92)=0),"",SUMIFS(Trato_Diario!$J$4:$J$203,Trato_Diario!$B$4:$B$203,E$5,Trato_Diario!$A$4:$A$203,$A92)/SUMIFS(Trato_Diario!$G$4:$G$203,Trato_Diario!$B$4:$B$203,E$5,Trato_Diario!$A$4:$A$203,$A92))</f>
        <v/>
      </c>
      <c r="F92" s="46" t="str">
        <f>IF(OR($A92&gt;MAX(Trato_Diario!$A$4:$A$203),SUMIFS(Trato_Diario!$G$4:$G$203,Trato_Diario!$B$4:$B$203,F$5,Trato_Diario!$A$4:$A$203,$A92)=0),"",SUMIFS(Trato_Diario!$J$4:$J$203,Trato_Diario!$B$4:$B$203,F$5,Trato_Diario!$A$4:$A$203,$A92)/SUMIFS(Trato_Diario!$G$4:$G$203,Trato_Diario!$B$4:$B$203,F$5,Trato_Diario!$A$4:$A$203,$A92))</f>
        <v/>
      </c>
      <c r="G92" s="46" t="str">
        <f>IF(OR($A92&gt;MAX(Trato_Diario!$A$4:$A$203),SUMIFS(Trato_Diario!$G$4:$G$203,Trato_Diario!$B$4:$B$203,G$5,Trato_Diario!$A$4:$A$203,$A92)=0),"",SUMIFS(Trato_Diario!$J$4:$J$203,Trato_Diario!$B$4:$B$203,G$5,Trato_Diario!$A$4:$A$203,$A92)/SUMIFS(Trato_Diario!$G$4:$G$203,Trato_Diario!$B$4:$B$203,G$5,Trato_Diario!$A$4:$A$203,$A92))</f>
        <v/>
      </c>
      <c r="H92" s="57" t="str">
        <f>IF(OR($A92&gt;MAX(Trato_Diario!$A$4:$A$203),SUMIFS(Trato_Diario!$G$4:$G$203,Trato_Diario!$A$4:$A$203,$A92)=0),"",SUMIFS(Trato_Diario!$J$4:$J$203,Trato_Diario!$A$4:$A$203,$A92)/SUMIFS(Trato_Diario!$G$4:$G$203,Trato_Diario!$A$4:$A$203,$A92))</f>
        <v/>
      </c>
    </row>
    <row r="93" spans="1:8" ht="14.25" customHeight="1" x14ac:dyDescent="0.3">
      <c r="A93" s="72">
        <v>46280</v>
      </c>
      <c r="B93" s="20" t="str">
        <f>IF(OR($A93&gt;MAX(Trato_Diario!$A$4:$A$203),SUMIFS(Trato_Diario!$G$4:$G$203,Trato_Diario!$B$4:$B$203,B$5,Trato_Diario!$A$4:$A$203,$A93)=0),"",SUMIFS(Trato_Diario!$J$4:$J$203,Trato_Diario!$B$4:$B$203,B$5,Trato_Diario!$A$4:$A$203,$A93)/SUMIFS(Trato_Diario!$G$4:$G$203,Trato_Diario!$B$4:$B$203,B$5,Trato_Diario!$A$4:$A$203,$A93))</f>
        <v/>
      </c>
      <c r="C93" s="20" t="str">
        <f>IF(OR($A93&gt;MAX(Trato_Diario!$A$4:$A$203),SUMIFS(Trato_Diario!$G$4:$G$203,Trato_Diario!$B$4:$B$203,C$5,Trato_Diario!$A$4:$A$203,$A93)=0),"",SUMIFS(Trato_Diario!$J$4:$J$203,Trato_Diario!$B$4:$B$203,C$5,Trato_Diario!$A$4:$A$203,$A93)/SUMIFS(Trato_Diario!$G$4:$G$203,Trato_Diario!$B$4:$B$203,C$5,Trato_Diario!$A$4:$A$203,$A93))</f>
        <v/>
      </c>
      <c r="D93" s="20" t="str">
        <f>IF(OR($A93&gt;MAX(Trato_Diario!$A$4:$A$203),SUMIFS(Trato_Diario!$G$4:$G$203,Trato_Diario!$B$4:$B$203,D$5,Trato_Diario!$A$4:$A$203,$A93)=0),"",SUMIFS(Trato_Diario!$J$4:$J$203,Trato_Diario!$B$4:$B$203,D$5,Trato_Diario!$A$4:$A$203,$A93)/SUMIFS(Trato_Diario!$G$4:$G$203,Trato_Diario!$B$4:$B$203,D$5,Trato_Diario!$A$4:$A$203,$A93))</f>
        <v/>
      </c>
      <c r="E93" s="20" t="str">
        <f>IF(OR($A93&gt;MAX(Trato_Diario!$A$4:$A$203),SUMIFS(Trato_Diario!$G$4:$G$203,Trato_Diario!$B$4:$B$203,E$5,Trato_Diario!$A$4:$A$203,$A93)=0),"",SUMIFS(Trato_Diario!$J$4:$J$203,Trato_Diario!$B$4:$B$203,E$5,Trato_Diario!$A$4:$A$203,$A93)/SUMIFS(Trato_Diario!$G$4:$G$203,Trato_Diario!$B$4:$B$203,E$5,Trato_Diario!$A$4:$A$203,$A93))</f>
        <v/>
      </c>
      <c r="F93" s="20" t="str">
        <f>IF(OR($A93&gt;MAX(Trato_Diario!$A$4:$A$203),SUMIFS(Trato_Diario!$G$4:$G$203,Trato_Diario!$B$4:$B$203,F$5,Trato_Diario!$A$4:$A$203,$A93)=0),"",SUMIFS(Trato_Diario!$J$4:$J$203,Trato_Diario!$B$4:$B$203,F$5,Trato_Diario!$A$4:$A$203,$A93)/SUMIFS(Trato_Diario!$G$4:$G$203,Trato_Diario!$B$4:$B$203,F$5,Trato_Diario!$A$4:$A$203,$A93))</f>
        <v/>
      </c>
      <c r="G93" s="20" t="str">
        <f>IF(OR($A93&gt;MAX(Trato_Diario!$A$4:$A$203),SUMIFS(Trato_Diario!$G$4:$G$203,Trato_Diario!$B$4:$B$203,G$5,Trato_Diario!$A$4:$A$203,$A93)=0),"",SUMIFS(Trato_Diario!$J$4:$J$203,Trato_Diario!$B$4:$B$203,G$5,Trato_Diario!$A$4:$A$203,$A93)/SUMIFS(Trato_Diario!$G$4:$G$203,Trato_Diario!$B$4:$B$203,G$5,Trato_Diario!$A$4:$A$203,$A93))</f>
        <v/>
      </c>
      <c r="H93" s="59" t="str">
        <f>IF(OR($A93&gt;MAX(Trato_Diario!$A$4:$A$203),SUMIFS(Trato_Diario!$G$4:$G$203,Trato_Diario!$A$4:$A$203,$A93)=0),"",SUMIFS(Trato_Diario!$J$4:$J$203,Trato_Diario!$A$4:$A$203,$A93)/SUMIFS(Trato_Diario!$G$4:$G$203,Trato_Diario!$A$4:$A$203,$A93))</f>
        <v/>
      </c>
    </row>
    <row r="94" spans="1:8" ht="14.25" customHeight="1" x14ac:dyDescent="0.3">
      <c r="A94" s="71">
        <v>46281</v>
      </c>
      <c r="B94" s="46" t="str">
        <f>IF(OR($A94&gt;MAX(Trato_Diario!$A$4:$A$203),SUMIFS(Trato_Diario!$G$4:$G$203,Trato_Diario!$B$4:$B$203,B$5,Trato_Diario!$A$4:$A$203,$A94)=0),"",SUMIFS(Trato_Diario!$J$4:$J$203,Trato_Diario!$B$4:$B$203,B$5,Trato_Diario!$A$4:$A$203,$A94)/SUMIFS(Trato_Diario!$G$4:$G$203,Trato_Diario!$B$4:$B$203,B$5,Trato_Diario!$A$4:$A$203,$A94))</f>
        <v/>
      </c>
      <c r="C94" s="46" t="str">
        <f>IF(OR($A94&gt;MAX(Trato_Diario!$A$4:$A$203),SUMIFS(Trato_Diario!$G$4:$G$203,Trato_Diario!$B$4:$B$203,C$5,Trato_Diario!$A$4:$A$203,$A94)=0),"",SUMIFS(Trato_Diario!$J$4:$J$203,Trato_Diario!$B$4:$B$203,C$5,Trato_Diario!$A$4:$A$203,$A94)/SUMIFS(Trato_Diario!$G$4:$G$203,Trato_Diario!$B$4:$B$203,C$5,Trato_Diario!$A$4:$A$203,$A94))</f>
        <v/>
      </c>
      <c r="D94" s="46" t="str">
        <f>IF(OR($A94&gt;MAX(Trato_Diario!$A$4:$A$203),SUMIFS(Trato_Diario!$G$4:$G$203,Trato_Diario!$B$4:$B$203,D$5,Trato_Diario!$A$4:$A$203,$A94)=0),"",SUMIFS(Trato_Diario!$J$4:$J$203,Trato_Diario!$B$4:$B$203,D$5,Trato_Diario!$A$4:$A$203,$A94)/SUMIFS(Trato_Diario!$G$4:$G$203,Trato_Diario!$B$4:$B$203,D$5,Trato_Diario!$A$4:$A$203,$A94))</f>
        <v/>
      </c>
      <c r="E94" s="46" t="str">
        <f>IF(OR($A94&gt;MAX(Trato_Diario!$A$4:$A$203),SUMIFS(Trato_Diario!$G$4:$G$203,Trato_Diario!$B$4:$B$203,E$5,Trato_Diario!$A$4:$A$203,$A94)=0),"",SUMIFS(Trato_Diario!$J$4:$J$203,Trato_Diario!$B$4:$B$203,E$5,Trato_Diario!$A$4:$A$203,$A94)/SUMIFS(Trato_Diario!$G$4:$G$203,Trato_Diario!$B$4:$B$203,E$5,Trato_Diario!$A$4:$A$203,$A94))</f>
        <v/>
      </c>
      <c r="F94" s="46" t="str">
        <f>IF(OR($A94&gt;MAX(Trato_Diario!$A$4:$A$203),SUMIFS(Trato_Diario!$G$4:$G$203,Trato_Diario!$B$4:$B$203,F$5,Trato_Diario!$A$4:$A$203,$A94)=0),"",SUMIFS(Trato_Diario!$J$4:$J$203,Trato_Diario!$B$4:$B$203,F$5,Trato_Diario!$A$4:$A$203,$A94)/SUMIFS(Trato_Diario!$G$4:$G$203,Trato_Diario!$B$4:$B$203,F$5,Trato_Diario!$A$4:$A$203,$A94))</f>
        <v/>
      </c>
      <c r="G94" s="46" t="str">
        <f>IF(OR($A94&gt;MAX(Trato_Diario!$A$4:$A$203),SUMIFS(Trato_Diario!$G$4:$G$203,Trato_Diario!$B$4:$B$203,G$5,Trato_Diario!$A$4:$A$203,$A94)=0),"",SUMIFS(Trato_Diario!$J$4:$J$203,Trato_Diario!$B$4:$B$203,G$5,Trato_Diario!$A$4:$A$203,$A94)/SUMIFS(Trato_Diario!$G$4:$G$203,Trato_Diario!$B$4:$B$203,G$5,Trato_Diario!$A$4:$A$203,$A94))</f>
        <v/>
      </c>
      <c r="H94" s="57" t="str">
        <f>IF(OR($A94&gt;MAX(Trato_Diario!$A$4:$A$203),SUMIFS(Trato_Diario!$G$4:$G$203,Trato_Diario!$A$4:$A$203,$A94)=0),"",SUMIFS(Trato_Diario!$J$4:$J$203,Trato_Diario!$A$4:$A$203,$A94)/SUMIFS(Trato_Diario!$G$4:$G$203,Trato_Diario!$A$4:$A$203,$A94))</f>
        <v/>
      </c>
    </row>
    <row r="95" spans="1:8" ht="14.25" customHeight="1" x14ac:dyDescent="0.3">
      <c r="A95" s="72">
        <v>46282</v>
      </c>
      <c r="B95" s="20" t="str">
        <f>IF(OR($A95&gt;MAX(Trato_Diario!$A$4:$A$203),SUMIFS(Trato_Diario!$G$4:$G$203,Trato_Diario!$B$4:$B$203,B$5,Trato_Diario!$A$4:$A$203,$A95)=0),"",SUMIFS(Trato_Diario!$J$4:$J$203,Trato_Diario!$B$4:$B$203,B$5,Trato_Diario!$A$4:$A$203,$A95)/SUMIFS(Trato_Diario!$G$4:$G$203,Trato_Diario!$B$4:$B$203,B$5,Trato_Diario!$A$4:$A$203,$A95))</f>
        <v/>
      </c>
      <c r="C95" s="20" t="str">
        <f>IF(OR($A95&gt;MAX(Trato_Diario!$A$4:$A$203),SUMIFS(Trato_Diario!$G$4:$G$203,Trato_Diario!$B$4:$B$203,C$5,Trato_Diario!$A$4:$A$203,$A95)=0),"",SUMIFS(Trato_Diario!$J$4:$J$203,Trato_Diario!$B$4:$B$203,C$5,Trato_Diario!$A$4:$A$203,$A95)/SUMIFS(Trato_Diario!$G$4:$G$203,Trato_Diario!$B$4:$B$203,C$5,Trato_Diario!$A$4:$A$203,$A95))</f>
        <v/>
      </c>
      <c r="D95" s="20" t="str">
        <f>IF(OR($A95&gt;MAX(Trato_Diario!$A$4:$A$203),SUMIFS(Trato_Diario!$G$4:$G$203,Trato_Diario!$B$4:$B$203,D$5,Trato_Diario!$A$4:$A$203,$A95)=0),"",SUMIFS(Trato_Diario!$J$4:$J$203,Trato_Diario!$B$4:$B$203,D$5,Trato_Diario!$A$4:$A$203,$A95)/SUMIFS(Trato_Diario!$G$4:$G$203,Trato_Diario!$B$4:$B$203,D$5,Trato_Diario!$A$4:$A$203,$A95))</f>
        <v/>
      </c>
      <c r="E95" s="20" t="str">
        <f>IF(OR($A95&gt;MAX(Trato_Diario!$A$4:$A$203),SUMIFS(Trato_Diario!$G$4:$G$203,Trato_Diario!$B$4:$B$203,E$5,Trato_Diario!$A$4:$A$203,$A95)=0),"",SUMIFS(Trato_Diario!$J$4:$J$203,Trato_Diario!$B$4:$B$203,E$5,Trato_Diario!$A$4:$A$203,$A95)/SUMIFS(Trato_Diario!$G$4:$G$203,Trato_Diario!$B$4:$B$203,E$5,Trato_Diario!$A$4:$A$203,$A95))</f>
        <v/>
      </c>
      <c r="F95" s="20" t="str">
        <f>IF(OR($A95&gt;MAX(Trato_Diario!$A$4:$A$203),SUMIFS(Trato_Diario!$G$4:$G$203,Trato_Diario!$B$4:$B$203,F$5,Trato_Diario!$A$4:$A$203,$A95)=0),"",SUMIFS(Trato_Diario!$J$4:$J$203,Trato_Diario!$B$4:$B$203,F$5,Trato_Diario!$A$4:$A$203,$A95)/SUMIFS(Trato_Diario!$G$4:$G$203,Trato_Diario!$B$4:$B$203,F$5,Trato_Diario!$A$4:$A$203,$A95))</f>
        <v/>
      </c>
      <c r="G95" s="20" t="str">
        <f>IF(OR($A95&gt;MAX(Trato_Diario!$A$4:$A$203),SUMIFS(Trato_Diario!$G$4:$G$203,Trato_Diario!$B$4:$B$203,G$5,Trato_Diario!$A$4:$A$203,$A95)=0),"",SUMIFS(Trato_Diario!$J$4:$J$203,Trato_Diario!$B$4:$B$203,G$5,Trato_Diario!$A$4:$A$203,$A95)/SUMIFS(Trato_Diario!$G$4:$G$203,Trato_Diario!$B$4:$B$203,G$5,Trato_Diario!$A$4:$A$203,$A95))</f>
        <v/>
      </c>
      <c r="H95" s="59" t="str">
        <f>IF(OR($A95&gt;MAX(Trato_Diario!$A$4:$A$203),SUMIFS(Trato_Diario!$G$4:$G$203,Trato_Diario!$A$4:$A$203,$A95)=0),"",SUMIFS(Trato_Diario!$J$4:$J$203,Trato_Diario!$A$4:$A$203,$A95)/SUMIFS(Trato_Diario!$G$4:$G$203,Trato_Diario!$A$4:$A$203,$A95))</f>
        <v/>
      </c>
    </row>
    <row r="96" spans="1:8" ht="14.25" customHeight="1" x14ac:dyDescent="0.3">
      <c r="A96" s="71">
        <v>46283</v>
      </c>
      <c r="B96" s="46" t="str">
        <f>IF(OR($A96&gt;MAX(Trato_Diario!$A$4:$A$203),SUMIFS(Trato_Diario!$G$4:$G$203,Trato_Diario!$B$4:$B$203,B$5,Trato_Diario!$A$4:$A$203,$A96)=0),"",SUMIFS(Trato_Diario!$J$4:$J$203,Trato_Diario!$B$4:$B$203,B$5,Trato_Diario!$A$4:$A$203,$A96)/SUMIFS(Trato_Diario!$G$4:$G$203,Trato_Diario!$B$4:$B$203,B$5,Trato_Diario!$A$4:$A$203,$A96))</f>
        <v/>
      </c>
      <c r="C96" s="46" t="str">
        <f>IF(OR($A96&gt;MAX(Trato_Diario!$A$4:$A$203),SUMIFS(Trato_Diario!$G$4:$G$203,Trato_Diario!$B$4:$B$203,C$5,Trato_Diario!$A$4:$A$203,$A96)=0),"",SUMIFS(Trato_Diario!$J$4:$J$203,Trato_Diario!$B$4:$B$203,C$5,Trato_Diario!$A$4:$A$203,$A96)/SUMIFS(Trato_Diario!$G$4:$G$203,Trato_Diario!$B$4:$B$203,C$5,Trato_Diario!$A$4:$A$203,$A96))</f>
        <v/>
      </c>
      <c r="D96" s="46" t="str">
        <f>IF(OR($A96&gt;MAX(Trato_Diario!$A$4:$A$203),SUMIFS(Trato_Diario!$G$4:$G$203,Trato_Diario!$B$4:$B$203,D$5,Trato_Diario!$A$4:$A$203,$A96)=0),"",SUMIFS(Trato_Diario!$J$4:$J$203,Trato_Diario!$B$4:$B$203,D$5,Trato_Diario!$A$4:$A$203,$A96)/SUMIFS(Trato_Diario!$G$4:$G$203,Trato_Diario!$B$4:$B$203,D$5,Trato_Diario!$A$4:$A$203,$A96))</f>
        <v/>
      </c>
      <c r="E96" s="46" t="str">
        <f>IF(OR($A96&gt;MAX(Trato_Diario!$A$4:$A$203),SUMIFS(Trato_Diario!$G$4:$G$203,Trato_Diario!$B$4:$B$203,E$5,Trato_Diario!$A$4:$A$203,$A96)=0),"",SUMIFS(Trato_Diario!$J$4:$J$203,Trato_Diario!$B$4:$B$203,E$5,Trato_Diario!$A$4:$A$203,$A96)/SUMIFS(Trato_Diario!$G$4:$G$203,Trato_Diario!$B$4:$B$203,E$5,Trato_Diario!$A$4:$A$203,$A96))</f>
        <v/>
      </c>
      <c r="F96" s="46" t="str">
        <f>IF(OR($A96&gt;MAX(Trato_Diario!$A$4:$A$203),SUMIFS(Trato_Diario!$G$4:$G$203,Trato_Diario!$B$4:$B$203,F$5,Trato_Diario!$A$4:$A$203,$A96)=0),"",SUMIFS(Trato_Diario!$J$4:$J$203,Trato_Diario!$B$4:$B$203,F$5,Trato_Diario!$A$4:$A$203,$A96)/SUMIFS(Trato_Diario!$G$4:$G$203,Trato_Diario!$B$4:$B$203,F$5,Trato_Diario!$A$4:$A$203,$A96))</f>
        <v/>
      </c>
      <c r="G96" s="46" t="str">
        <f>IF(OR($A96&gt;MAX(Trato_Diario!$A$4:$A$203),SUMIFS(Trato_Diario!$G$4:$G$203,Trato_Diario!$B$4:$B$203,G$5,Trato_Diario!$A$4:$A$203,$A96)=0),"",SUMIFS(Trato_Diario!$J$4:$J$203,Trato_Diario!$B$4:$B$203,G$5,Trato_Diario!$A$4:$A$203,$A96)/SUMIFS(Trato_Diario!$G$4:$G$203,Trato_Diario!$B$4:$B$203,G$5,Trato_Diario!$A$4:$A$203,$A96))</f>
        <v/>
      </c>
      <c r="H96" s="57" t="str">
        <f>IF(OR($A96&gt;MAX(Trato_Diario!$A$4:$A$203),SUMIFS(Trato_Diario!$G$4:$G$203,Trato_Diario!$A$4:$A$203,$A96)=0),"",SUMIFS(Trato_Diario!$J$4:$J$203,Trato_Diario!$A$4:$A$203,$A96)/SUMIFS(Trato_Diario!$G$4:$G$203,Trato_Diario!$A$4:$A$203,$A96))</f>
        <v/>
      </c>
    </row>
    <row r="97" spans="1:8" ht="14.25" customHeight="1" x14ac:dyDescent="0.3">
      <c r="A97" s="72">
        <v>46284</v>
      </c>
      <c r="B97" s="20" t="str">
        <f>IF(OR($A97&gt;MAX(Trato_Diario!$A$4:$A$203),SUMIFS(Trato_Diario!$G$4:$G$203,Trato_Diario!$B$4:$B$203,B$5,Trato_Diario!$A$4:$A$203,$A97)=0),"",SUMIFS(Trato_Diario!$J$4:$J$203,Trato_Diario!$B$4:$B$203,B$5,Trato_Diario!$A$4:$A$203,$A97)/SUMIFS(Trato_Diario!$G$4:$G$203,Trato_Diario!$B$4:$B$203,B$5,Trato_Diario!$A$4:$A$203,$A97))</f>
        <v/>
      </c>
      <c r="C97" s="20" t="str">
        <f>IF(OR($A97&gt;MAX(Trato_Diario!$A$4:$A$203),SUMIFS(Trato_Diario!$G$4:$G$203,Trato_Diario!$B$4:$B$203,C$5,Trato_Diario!$A$4:$A$203,$A97)=0),"",SUMIFS(Trato_Diario!$J$4:$J$203,Trato_Diario!$B$4:$B$203,C$5,Trato_Diario!$A$4:$A$203,$A97)/SUMIFS(Trato_Diario!$G$4:$G$203,Trato_Diario!$B$4:$B$203,C$5,Trato_Diario!$A$4:$A$203,$A97))</f>
        <v/>
      </c>
      <c r="D97" s="20" t="str">
        <f>IF(OR($A97&gt;MAX(Trato_Diario!$A$4:$A$203),SUMIFS(Trato_Diario!$G$4:$G$203,Trato_Diario!$B$4:$B$203,D$5,Trato_Diario!$A$4:$A$203,$A97)=0),"",SUMIFS(Trato_Diario!$J$4:$J$203,Trato_Diario!$B$4:$B$203,D$5,Trato_Diario!$A$4:$A$203,$A97)/SUMIFS(Trato_Diario!$G$4:$G$203,Trato_Diario!$B$4:$B$203,D$5,Trato_Diario!$A$4:$A$203,$A97))</f>
        <v/>
      </c>
      <c r="E97" s="20" t="str">
        <f>IF(OR($A97&gt;MAX(Trato_Diario!$A$4:$A$203),SUMIFS(Trato_Diario!$G$4:$G$203,Trato_Diario!$B$4:$B$203,E$5,Trato_Diario!$A$4:$A$203,$A97)=0),"",SUMIFS(Trato_Diario!$J$4:$J$203,Trato_Diario!$B$4:$B$203,E$5,Trato_Diario!$A$4:$A$203,$A97)/SUMIFS(Trato_Diario!$G$4:$G$203,Trato_Diario!$B$4:$B$203,E$5,Trato_Diario!$A$4:$A$203,$A97))</f>
        <v/>
      </c>
      <c r="F97" s="20" t="str">
        <f>IF(OR($A97&gt;MAX(Trato_Diario!$A$4:$A$203),SUMIFS(Trato_Diario!$G$4:$G$203,Trato_Diario!$B$4:$B$203,F$5,Trato_Diario!$A$4:$A$203,$A97)=0),"",SUMIFS(Trato_Diario!$J$4:$J$203,Trato_Diario!$B$4:$B$203,F$5,Trato_Diario!$A$4:$A$203,$A97)/SUMIFS(Trato_Diario!$G$4:$G$203,Trato_Diario!$B$4:$B$203,F$5,Trato_Diario!$A$4:$A$203,$A97))</f>
        <v/>
      </c>
      <c r="G97" s="20" t="str">
        <f>IF(OR($A97&gt;MAX(Trato_Diario!$A$4:$A$203),SUMIFS(Trato_Diario!$G$4:$G$203,Trato_Diario!$B$4:$B$203,G$5,Trato_Diario!$A$4:$A$203,$A97)=0),"",SUMIFS(Trato_Diario!$J$4:$J$203,Trato_Diario!$B$4:$B$203,G$5,Trato_Diario!$A$4:$A$203,$A97)/SUMIFS(Trato_Diario!$G$4:$G$203,Trato_Diario!$B$4:$B$203,G$5,Trato_Diario!$A$4:$A$203,$A97))</f>
        <v/>
      </c>
      <c r="H97" s="59" t="str">
        <f>IF(OR($A97&gt;MAX(Trato_Diario!$A$4:$A$203),SUMIFS(Trato_Diario!$G$4:$G$203,Trato_Diario!$A$4:$A$203,$A97)=0),"",SUMIFS(Trato_Diario!$J$4:$J$203,Trato_Diario!$A$4:$A$203,$A97)/SUMIFS(Trato_Diario!$G$4:$G$203,Trato_Diario!$A$4:$A$203,$A97))</f>
        <v/>
      </c>
    </row>
    <row r="98" spans="1:8" ht="14.25" customHeight="1" x14ac:dyDescent="0.3">
      <c r="A98" s="71">
        <v>46285</v>
      </c>
      <c r="B98" s="46" t="str">
        <f>IF(OR($A98&gt;MAX(Trato_Diario!$A$4:$A$203),SUMIFS(Trato_Diario!$G$4:$G$203,Trato_Diario!$B$4:$B$203,B$5,Trato_Diario!$A$4:$A$203,$A98)=0),"",SUMIFS(Trato_Diario!$J$4:$J$203,Trato_Diario!$B$4:$B$203,B$5,Trato_Diario!$A$4:$A$203,$A98)/SUMIFS(Trato_Diario!$G$4:$G$203,Trato_Diario!$B$4:$B$203,B$5,Trato_Diario!$A$4:$A$203,$A98))</f>
        <v/>
      </c>
      <c r="C98" s="46" t="str">
        <f>IF(OR($A98&gt;MAX(Trato_Diario!$A$4:$A$203),SUMIFS(Trato_Diario!$G$4:$G$203,Trato_Diario!$B$4:$B$203,C$5,Trato_Diario!$A$4:$A$203,$A98)=0),"",SUMIFS(Trato_Diario!$J$4:$J$203,Trato_Diario!$B$4:$B$203,C$5,Trato_Diario!$A$4:$A$203,$A98)/SUMIFS(Trato_Diario!$G$4:$G$203,Trato_Diario!$B$4:$B$203,C$5,Trato_Diario!$A$4:$A$203,$A98))</f>
        <v/>
      </c>
      <c r="D98" s="46" t="str">
        <f>IF(OR($A98&gt;MAX(Trato_Diario!$A$4:$A$203),SUMIFS(Trato_Diario!$G$4:$G$203,Trato_Diario!$B$4:$B$203,D$5,Trato_Diario!$A$4:$A$203,$A98)=0),"",SUMIFS(Trato_Diario!$J$4:$J$203,Trato_Diario!$B$4:$B$203,D$5,Trato_Diario!$A$4:$A$203,$A98)/SUMIFS(Trato_Diario!$G$4:$G$203,Trato_Diario!$B$4:$B$203,D$5,Trato_Diario!$A$4:$A$203,$A98))</f>
        <v/>
      </c>
      <c r="E98" s="46" t="str">
        <f>IF(OR($A98&gt;MAX(Trato_Diario!$A$4:$A$203),SUMIFS(Trato_Diario!$G$4:$G$203,Trato_Diario!$B$4:$B$203,E$5,Trato_Diario!$A$4:$A$203,$A98)=0),"",SUMIFS(Trato_Diario!$J$4:$J$203,Trato_Diario!$B$4:$B$203,E$5,Trato_Diario!$A$4:$A$203,$A98)/SUMIFS(Trato_Diario!$G$4:$G$203,Trato_Diario!$B$4:$B$203,E$5,Trato_Diario!$A$4:$A$203,$A98))</f>
        <v/>
      </c>
      <c r="F98" s="46" t="str">
        <f>IF(OR($A98&gt;MAX(Trato_Diario!$A$4:$A$203),SUMIFS(Trato_Diario!$G$4:$G$203,Trato_Diario!$B$4:$B$203,F$5,Trato_Diario!$A$4:$A$203,$A98)=0),"",SUMIFS(Trato_Diario!$J$4:$J$203,Trato_Diario!$B$4:$B$203,F$5,Trato_Diario!$A$4:$A$203,$A98)/SUMIFS(Trato_Diario!$G$4:$G$203,Trato_Diario!$B$4:$B$203,F$5,Trato_Diario!$A$4:$A$203,$A98))</f>
        <v/>
      </c>
      <c r="G98" s="46" t="str">
        <f>IF(OR($A98&gt;MAX(Trato_Diario!$A$4:$A$203),SUMIFS(Trato_Diario!$G$4:$G$203,Trato_Diario!$B$4:$B$203,G$5,Trato_Diario!$A$4:$A$203,$A98)=0),"",SUMIFS(Trato_Diario!$J$4:$J$203,Trato_Diario!$B$4:$B$203,G$5,Trato_Diario!$A$4:$A$203,$A98)/SUMIFS(Trato_Diario!$G$4:$G$203,Trato_Diario!$B$4:$B$203,G$5,Trato_Diario!$A$4:$A$203,$A98))</f>
        <v/>
      </c>
      <c r="H98" s="57" t="str">
        <f>IF(OR($A98&gt;MAX(Trato_Diario!$A$4:$A$203),SUMIFS(Trato_Diario!$G$4:$G$203,Trato_Diario!$A$4:$A$203,$A98)=0),"",SUMIFS(Trato_Diario!$J$4:$J$203,Trato_Diario!$A$4:$A$203,$A98)/SUMIFS(Trato_Diario!$G$4:$G$203,Trato_Diario!$A$4:$A$203,$A98))</f>
        <v/>
      </c>
    </row>
    <row r="99" spans="1:8" ht="14.25" customHeight="1" x14ac:dyDescent="0.3">
      <c r="A99" s="72">
        <v>46286</v>
      </c>
      <c r="B99" s="20" t="str">
        <f>IF(OR($A99&gt;MAX(Trato_Diario!$A$4:$A$203),SUMIFS(Trato_Diario!$G$4:$G$203,Trato_Diario!$B$4:$B$203,B$5,Trato_Diario!$A$4:$A$203,$A99)=0),"",SUMIFS(Trato_Diario!$J$4:$J$203,Trato_Diario!$B$4:$B$203,B$5,Trato_Diario!$A$4:$A$203,$A99)/SUMIFS(Trato_Diario!$G$4:$G$203,Trato_Diario!$B$4:$B$203,B$5,Trato_Diario!$A$4:$A$203,$A99))</f>
        <v/>
      </c>
      <c r="C99" s="20" t="str">
        <f>IF(OR($A99&gt;MAX(Trato_Diario!$A$4:$A$203),SUMIFS(Trato_Diario!$G$4:$G$203,Trato_Diario!$B$4:$B$203,C$5,Trato_Diario!$A$4:$A$203,$A99)=0),"",SUMIFS(Trato_Diario!$J$4:$J$203,Trato_Diario!$B$4:$B$203,C$5,Trato_Diario!$A$4:$A$203,$A99)/SUMIFS(Trato_Diario!$G$4:$G$203,Trato_Diario!$B$4:$B$203,C$5,Trato_Diario!$A$4:$A$203,$A99))</f>
        <v/>
      </c>
      <c r="D99" s="20" t="str">
        <f>IF(OR($A99&gt;MAX(Trato_Diario!$A$4:$A$203),SUMIFS(Trato_Diario!$G$4:$G$203,Trato_Diario!$B$4:$B$203,D$5,Trato_Diario!$A$4:$A$203,$A99)=0),"",SUMIFS(Trato_Diario!$J$4:$J$203,Trato_Diario!$B$4:$B$203,D$5,Trato_Diario!$A$4:$A$203,$A99)/SUMIFS(Trato_Diario!$G$4:$G$203,Trato_Diario!$B$4:$B$203,D$5,Trato_Diario!$A$4:$A$203,$A99))</f>
        <v/>
      </c>
      <c r="E99" s="20" t="str">
        <f>IF(OR($A99&gt;MAX(Trato_Diario!$A$4:$A$203),SUMIFS(Trato_Diario!$G$4:$G$203,Trato_Diario!$B$4:$B$203,E$5,Trato_Diario!$A$4:$A$203,$A99)=0),"",SUMIFS(Trato_Diario!$J$4:$J$203,Trato_Diario!$B$4:$B$203,E$5,Trato_Diario!$A$4:$A$203,$A99)/SUMIFS(Trato_Diario!$G$4:$G$203,Trato_Diario!$B$4:$B$203,E$5,Trato_Diario!$A$4:$A$203,$A99))</f>
        <v/>
      </c>
      <c r="F99" s="20" t="str">
        <f>IF(OR($A99&gt;MAX(Trato_Diario!$A$4:$A$203),SUMIFS(Trato_Diario!$G$4:$G$203,Trato_Diario!$B$4:$B$203,F$5,Trato_Diario!$A$4:$A$203,$A99)=0),"",SUMIFS(Trato_Diario!$J$4:$J$203,Trato_Diario!$B$4:$B$203,F$5,Trato_Diario!$A$4:$A$203,$A99)/SUMIFS(Trato_Diario!$G$4:$G$203,Trato_Diario!$B$4:$B$203,F$5,Trato_Diario!$A$4:$A$203,$A99))</f>
        <v/>
      </c>
      <c r="G99" s="20" t="str">
        <f>IF(OR($A99&gt;MAX(Trato_Diario!$A$4:$A$203),SUMIFS(Trato_Diario!$G$4:$G$203,Trato_Diario!$B$4:$B$203,G$5,Trato_Diario!$A$4:$A$203,$A99)=0),"",SUMIFS(Trato_Diario!$J$4:$J$203,Trato_Diario!$B$4:$B$203,G$5,Trato_Diario!$A$4:$A$203,$A99)/SUMIFS(Trato_Diario!$G$4:$G$203,Trato_Diario!$B$4:$B$203,G$5,Trato_Diario!$A$4:$A$203,$A99))</f>
        <v/>
      </c>
      <c r="H99" s="59" t="str">
        <f>IF(OR($A99&gt;MAX(Trato_Diario!$A$4:$A$203),SUMIFS(Trato_Diario!$G$4:$G$203,Trato_Diario!$A$4:$A$203,$A99)=0),"",SUMIFS(Trato_Diario!$J$4:$J$203,Trato_Diario!$A$4:$A$203,$A99)/SUMIFS(Trato_Diario!$G$4:$G$203,Trato_Diario!$A$4:$A$203,$A99))</f>
        <v/>
      </c>
    </row>
    <row r="100" spans="1:8" ht="14.25" customHeight="1" x14ac:dyDescent="0.3">
      <c r="A100" s="71">
        <v>46287</v>
      </c>
      <c r="B100" s="46" t="str">
        <f>IF(OR($A100&gt;MAX(Trato_Diario!$A$4:$A$203),SUMIFS(Trato_Diario!$G$4:$G$203,Trato_Diario!$B$4:$B$203,B$5,Trato_Diario!$A$4:$A$203,$A100)=0),"",SUMIFS(Trato_Diario!$J$4:$J$203,Trato_Diario!$B$4:$B$203,B$5,Trato_Diario!$A$4:$A$203,$A100)/SUMIFS(Trato_Diario!$G$4:$G$203,Trato_Diario!$B$4:$B$203,B$5,Trato_Diario!$A$4:$A$203,$A100))</f>
        <v/>
      </c>
      <c r="C100" s="46" t="str">
        <f>IF(OR($A100&gt;MAX(Trato_Diario!$A$4:$A$203),SUMIFS(Trato_Diario!$G$4:$G$203,Trato_Diario!$B$4:$B$203,C$5,Trato_Diario!$A$4:$A$203,$A100)=0),"",SUMIFS(Trato_Diario!$J$4:$J$203,Trato_Diario!$B$4:$B$203,C$5,Trato_Diario!$A$4:$A$203,$A100)/SUMIFS(Trato_Diario!$G$4:$G$203,Trato_Diario!$B$4:$B$203,C$5,Trato_Diario!$A$4:$A$203,$A100))</f>
        <v/>
      </c>
      <c r="D100" s="46" t="str">
        <f>IF(OR($A100&gt;MAX(Trato_Diario!$A$4:$A$203),SUMIFS(Trato_Diario!$G$4:$G$203,Trato_Diario!$B$4:$B$203,D$5,Trato_Diario!$A$4:$A$203,$A100)=0),"",SUMIFS(Trato_Diario!$J$4:$J$203,Trato_Diario!$B$4:$B$203,D$5,Trato_Diario!$A$4:$A$203,$A100)/SUMIFS(Trato_Diario!$G$4:$G$203,Trato_Diario!$B$4:$B$203,D$5,Trato_Diario!$A$4:$A$203,$A100))</f>
        <v/>
      </c>
      <c r="E100" s="46" t="str">
        <f>IF(OR($A100&gt;MAX(Trato_Diario!$A$4:$A$203),SUMIFS(Trato_Diario!$G$4:$G$203,Trato_Diario!$B$4:$B$203,E$5,Trato_Diario!$A$4:$A$203,$A100)=0),"",SUMIFS(Trato_Diario!$J$4:$J$203,Trato_Diario!$B$4:$B$203,E$5,Trato_Diario!$A$4:$A$203,$A100)/SUMIFS(Trato_Diario!$G$4:$G$203,Trato_Diario!$B$4:$B$203,E$5,Trato_Diario!$A$4:$A$203,$A100))</f>
        <v/>
      </c>
      <c r="F100" s="46" t="str">
        <f>IF(OR($A100&gt;MAX(Trato_Diario!$A$4:$A$203),SUMIFS(Trato_Diario!$G$4:$G$203,Trato_Diario!$B$4:$B$203,F$5,Trato_Diario!$A$4:$A$203,$A100)=0),"",SUMIFS(Trato_Diario!$J$4:$J$203,Trato_Diario!$B$4:$B$203,F$5,Trato_Diario!$A$4:$A$203,$A100)/SUMIFS(Trato_Diario!$G$4:$G$203,Trato_Diario!$B$4:$B$203,F$5,Trato_Diario!$A$4:$A$203,$A100))</f>
        <v/>
      </c>
      <c r="G100" s="46" t="str">
        <f>IF(OR($A100&gt;MAX(Trato_Diario!$A$4:$A$203),SUMIFS(Trato_Diario!$G$4:$G$203,Trato_Diario!$B$4:$B$203,G$5,Trato_Diario!$A$4:$A$203,$A100)=0),"",SUMIFS(Trato_Diario!$J$4:$J$203,Trato_Diario!$B$4:$B$203,G$5,Trato_Diario!$A$4:$A$203,$A100)/SUMIFS(Trato_Diario!$G$4:$G$203,Trato_Diario!$B$4:$B$203,G$5,Trato_Diario!$A$4:$A$203,$A100))</f>
        <v/>
      </c>
      <c r="H100" s="57" t="str">
        <f>IF(OR($A100&gt;MAX(Trato_Diario!$A$4:$A$203),SUMIFS(Trato_Diario!$G$4:$G$203,Trato_Diario!$A$4:$A$203,$A100)=0),"",SUMIFS(Trato_Diario!$J$4:$J$203,Trato_Diario!$A$4:$A$203,$A100)/SUMIFS(Trato_Diario!$G$4:$G$203,Trato_Diario!$A$4:$A$203,$A100))</f>
        <v/>
      </c>
    </row>
    <row r="101" spans="1:8" ht="14.25" customHeight="1" x14ac:dyDescent="0.3">
      <c r="A101" s="72">
        <v>46288</v>
      </c>
      <c r="B101" s="20" t="str">
        <f>IF(OR($A101&gt;MAX(Trato_Diario!$A$4:$A$203),SUMIFS(Trato_Diario!$G$4:$G$203,Trato_Diario!$B$4:$B$203,B$5,Trato_Diario!$A$4:$A$203,$A101)=0),"",SUMIFS(Trato_Diario!$J$4:$J$203,Trato_Diario!$B$4:$B$203,B$5,Trato_Diario!$A$4:$A$203,$A101)/SUMIFS(Trato_Diario!$G$4:$G$203,Trato_Diario!$B$4:$B$203,B$5,Trato_Diario!$A$4:$A$203,$A101))</f>
        <v/>
      </c>
      <c r="C101" s="20" t="str">
        <f>IF(OR($A101&gt;MAX(Trato_Diario!$A$4:$A$203),SUMIFS(Trato_Diario!$G$4:$G$203,Trato_Diario!$B$4:$B$203,C$5,Trato_Diario!$A$4:$A$203,$A101)=0),"",SUMIFS(Trato_Diario!$J$4:$J$203,Trato_Diario!$B$4:$B$203,C$5,Trato_Diario!$A$4:$A$203,$A101)/SUMIFS(Trato_Diario!$G$4:$G$203,Trato_Diario!$B$4:$B$203,C$5,Trato_Diario!$A$4:$A$203,$A101))</f>
        <v/>
      </c>
      <c r="D101" s="20" t="str">
        <f>IF(OR($A101&gt;MAX(Trato_Diario!$A$4:$A$203),SUMIFS(Trato_Diario!$G$4:$G$203,Trato_Diario!$B$4:$B$203,D$5,Trato_Diario!$A$4:$A$203,$A101)=0),"",SUMIFS(Trato_Diario!$J$4:$J$203,Trato_Diario!$B$4:$B$203,D$5,Trato_Diario!$A$4:$A$203,$A101)/SUMIFS(Trato_Diario!$G$4:$G$203,Trato_Diario!$B$4:$B$203,D$5,Trato_Diario!$A$4:$A$203,$A101))</f>
        <v/>
      </c>
      <c r="E101" s="20" t="str">
        <f>IF(OR($A101&gt;MAX(Trato_Diario!$A$4:$A$203),SUMIFS(Trato_Diario!$G$4:$G$203,Trato_Diario!$B$4:$B$203,E$5,Trato_Diario!$A$4:$A$203,$A101)=0),"",SUMIFS(Trato_Diario!$J$4:$J$203,Trato_Diario!$B$4:$B$203,E$5,Trato_Diario!$A$4:$A$203,$A101)/SUMIFS(Trato_Diario!$G$4:$G$203,Trato_Diario!$B$4:$B$203,E$5,Trato_Diario!$A$4:$A$203,$A101))</f>
        <v/>
      </c>
      <c r="F101" s="20" t="str">
        <f>IF(OR($A101&gt;MAX(Trato_Diario!$A$4:$A$203),SUMIFS(Trato_Diario!$G$4:$G$203,Trato_Diario!$B$4:$B$203,F$5,Trato_Diario!$A$4:$A$203,$A101)=0),"",SUMIFS(Trato_Diario!$J$4:$J$203,Trato_Diario!$B$4:$B$203,F$5,Trato_Diario!$A$4:$A$203,$A101)/SUMIFS(Trato_Diario!$G$4:$G$203,Trato_Diario!$B$4:$B$203,F$5,Trato_Diario!$A$4:$A$203,$A101))</f>
        <v/>
      </c>
      <c r="G101" s="20" t="str">
        <f>IF(OR($A101&gt;MAX(Trato_Diario!$A$4:$A$203),SUMIFS(Trato_Diario!$G$4:$G$203,Trato_Diario!$B$4:$B$203,G$5,Trato_Diario!$A$4:$A$203,$A101)=0),"",SUMIFS(Trato_Diario!$J$4:$J$203,Trato_Diario!$B$4:$B$203,G$5,Trato_Diario!$A$4:$A$203,$A101)/SUMIFS(Trato_Diario!$G$4:$G$203,Trato_Diario!$B$4:$B$203,G$5,Trato_Diario!$A$4:$A$203,$A101))</f>
        <v/>
      </c>
      <c r="H101" s="59" t="str">
        <f>IF(OR($A101&gt;MAX(Trato_Diario!$A$4:$A$203),SUMIFS(Trato_Diario!$G$4:$G$203,Trato_Diario!$A$4:$A$203,$A101)=0),"",SUMIFS(Trato_Diario!$J$4:$J$203,Trato_Diario!$A$4:$A$203,$A101)/SUMIFS(Trato_Diario!$G$4:$G$203,Trato_Diario!$A$4:$A$203,$A101))</f>
        <v/>
      </c>
    </row>
    <row r="102" spans="1:8" ht="14.25" customHeight="1" x14ac:dyDescent="0.3">
      <c r="A102" s="71">
        <v>46289</v>
      </c>
      <c r="B102" s="46" t="str">
        <f>IF(OR($A102&gt;MAX(Trato_Diario!$A$4:$A$203),SUMIFS(Trato_Diario!$G$4:$G$203,Trato_Diario!$B$4:$B$203,B$5,Trato_Diario!$A$4:$A$203,$A102)=0),"",SUMIFS(Trato_Diario!$J$4:$J$203,Trato_Diario!$B$4:$B$203,B$5,Trato_Diario!$A$4:$A$203,$A102)/SUMIFS(Trato_Diario!$G$4:$G$203,Trato_Diario!$B$4:$B$203,B$5,Trato_Diario!$A$4:$A$203,$A102))</f>
        <v/>
      </c>
      <c r="C102" s="46" t="str">
        <f>IF(OR($A102&gt;MAX(Trato_Diario!$A$4:$A$203),SUMIFS(Trato_Diario!$G$4:$G$203,Trato_Diario!$B$4:$B$203,C$5,Trato_Diario!$A$4:$A$203,$A102)=0),"",SUMIFS(Trato_Diario!$J$4:$J$203,Trato_Diario!$B$4:$B$203,C$5,Trato_Diario!$A$4:$A$203,$A102)/SUMIFS(Trato_Diario!$G$4:$G$203,Trato_Diario!$B$4:$B$203,C$5,Trato_Diario!$A$4:$A$203,$A102))</f>
        <v/>
      </c>
      <c r="D102" s="46" t="str">
        <f>IF(OR($A102&gt;MAX(Trato_Diario!$A$4:$A$203),SUMIFS(Trato_Diario!$G$4:$G$203,Trato_Diario!$B$4:$B$203,D$5,Trato_Diario!$A$4:$A$203,$A102)=0),"",SUMIFS(Trato_Diario!$J$4:$J$203,Trato_Diario!$B$4:$B$203,D$5,Trato_Diario!$A$4:$A$203,$A102)/SUMIFS(Trato_Diario!$G$4:$G$203,Trato_Diario!$B$4:$B$203,D$5,Trato_Diario!$A$4:$A$203,$A102))</f>
        <v/>
      </c>
      <c r="E102" s="46" t="str">
        <f>IF(OR($A102&gt;MAX(Trato_Diario!$A$4:$A$203),SUMIFS(Trato_Diario!$G$4:$G$203,Trato_Diario!$B$4:$B$203,E$5,Trato_Diario!$A$4:$A$203,$A102)=0),"",SUMIFS(Trato_Diario!$J$4:$J$203,Trato_Diario!$B$4:$B$203,E$5,Trato_Diario!$A$4:$A$203,$A102)/SUMIFS(Trato_Diario!$G$4:$G$203,Trato_Diario!$B$4:$B$203,E$5,Trato_Diario!$A$4:$A$203,$A102))</f>
        <v/>
      </c>
      <c r="F102" s="46" t="str">
        <f>IF(OR($A102&gt;MAX(Trato_Diario!$A$4:$A$203),SUMIFS(Trato_Diario!$G$4:$G$203,Trato_Diario!$B$4:$B$203,F$5,Trato_Diario!$A$4:$A$203,$A102)=0),"",SUMIFS(Trato_Diario!$J$4:$J$203,Trato_Diario!$B$4:$B$203,F$5,Trato_Diario!$A$4:$A$203,$A102)/SUMIFS(Trato_Diario!$G$4:$G$203,Trato_Diario!$B$4:$B$203,F$5,Trato_Diario!$A$4:$A$203,$A102))</f>
        <v/>
      </c>
      <c r="G102" s="46" t="str">
        <f>IF(OR($A102&gt;MAX(Trato_Diario!$A$4:$A$203),SUMIFS(Trato_Diario!$G$4:$G$203,Trato_Diario!$B$4:$B$203,G$5,Trato_Diario!$A$4:$A$203,$A102)=0),"",SUMIFS(Trato_Diario!$J$4:$J$203,Trato_Diario!$B$4:$B$203,G$5,Trato_Diario!$A$4:$A$203,$A102)/SUMIFS(Trato_Diario!$G$4:$G$203,Trato_Diario!$B$4:$B$203,G$5,Trato_Diario!$A$4:$A$203,$A102))</f>
        <v/>
      </c>
      <c r="H102" s="57" t="str">
        <f>IF(OR($A102&gt;MAX(Trato_Diario!$A$4:$A$203),SUMIFS(Trato_Diario!$G$4:$G$203,Trato_Diario!$A$4:$A$203,$A102)=0),"",SUMIFS(Trato_Diario!$J$4:$J$203,Trato_Diario!$A$4:$A$203,$A102)/SUMIFS(Trato_Diario!$G$4:$G$203,Trato_Diario!$A$4:$A$203,$A102))</f>
        <v/>
      </c>
    </row>
    <row r="103" spans="1:8" ht="14.25" customHeight="1" x14ac:dyDescent="0.3">
      <c r="A103" s="72">
        <v>46290</v>
      </c>
      <c r="B103" s="20" t="str">
        <f>IF(OR($A103&gt;MAX(Trato_Diario!$A$4:$A$203),SUMIFS(Trato_Diario!$G$4:$G$203,Trato_Diario!$B$4:$B$203,B$5,Trato_Diario!$A$4:$A$203,$A103)=0),"",SUMIFS(Trato_Diario!$J$4:$J$203,Trato_Diario!$B$4:$B$203,B$5,Trato_Diario!$A$4:$A$203,$A103)/SUMIFS(Trato_Diario!$G$4:$G$203,Trato_Diario!$B$4:$B$203,B$5,Trato_Diario!$A$4:$A$203,$A103))</f>
        <v/>
      </c>
      <c r="C103" s="20" t="str">
        <f>IF(OR($A103&gt;MAX(Trato_Diario!$A$4:$A$203),SUMIFS(Trato_Diario!$G$4:$G$203,Trato_Diario!$B$4:$B$203,C$5,Trato_Diario!$A$4:$A$203,$A103)=0),"",SUMIFS(Trato_Diario!$J$4:$J$203,Trato_Diario!$B$4:$B$203,C$5,Trato_Diario!$A$4:$A$203,$A103)/SUMIFS(Trato_Diario!$G$4:$G$203,Trato_Diario!$B$4:$B$203,C$5,Trato_Diario!$A$4:$A$203,$A103))</f>
        <v/>
      </c>
      <c r="D103" s="20" t="str">
        <f>IF(OR($A103&gt;MAX(Trato_Diario!$A$4:$A$203),SUMIFS(Trato_Diario!$G$4:$G$203,Trato_Diario!$B$4:$B$203,D$5,Trato_Diario!$A$4:$A$203,$A103)=0),"",SUMIFS(Trato_Diario!$J$4:$J$203,Trato_Diario!$B$4:$B$203,D$5,Trato_Diario!$A$4:$A$203,$A103)/SUMIFS(Trato_Diario!$G$4:$G$203,Trato_Diario!$B$4:$B$203,D$5,Trato_Diario!$A$4:$A$203,$A103))</f>
        <v/>
      </c>
      <c r="E103" s="20" t="str">
        <f>IF(OR($A103&gt;MAX(Trato_Diario!$A$4:$A$203),SUMIFS(Trato_Diario!$G$4:$G$203,Trato_Diario!$B$4:$B$203,E$5,Trato_Diario!$A$4:$A$203,$A103)=0),"",SUMIFS(Trato_Diario!$J$4:$J$203,Trato_Diario!$B$4:$B$203,E$5,Trato_Diario!$A$4:$A$203,$A103)/SUMIFS(Trato_Diario!$G$4:$G$203,Trato_Diario!$B$4:$B$203,E$5,Trato_Diario!$A$4:$A$203,$A103))</f>
        <v/>
      </c>
      <c r="F103" s="20" t="str">
        <f>IF(OR($A103&gt;MAX(Trato_Diario!$A$4:$A$203),SUMIFS(Trato_Diario!$G$4:$G$203,Trato_Diario!$B$4:$B$203,F$5,Trato_Diario!$A$4:$A$203,$A103)=0),"",SUMIFS(Trato_Diario!$J$4:$J$203,Trato_Diario!$B$4:$B$203,F$5,Trato_Diario!$A$4:$A$203,$A103)/SUMIFS(Trato_Diario!$G$4:$G$203,Trato_Diario!$B$4:$B$203,F$5,Trato_Diario!$A$4:$A$203,$A103))</f>
        <v/>
      </c>
      <c r="G103" s="20" t="str">
        <f>IF(OR($A103&gt;MAX(Trato_Diario!$A$4:$A$203),SUMIFS(Trato_Diario!$G$4:$G$203,Trato_Diario!$B$4:$B$203,G$5,Trato_Diario!$A$4:$A$203,$A103)=0),"",SUMIFS(Trato_Diario!$J$4:$J$203,Trato_Diario!$B$4:$B$203,G$5,Trato_Diario!$A$4:$A$203,$A103)/SUMIFS(Trato_Diario!$G$4:$G$203,Trato_Diario!$B$4:$B$203,G$5,Trato_Diario!$A$4:$A$203,$A103))</f>
        <v/>
      </c>
      <c r="H103" s="59" t="str">
        <f>IF(OR($A103&gt;MAX(Trato_Diario!$A$4:$A$203),SUMIFS(Trato_Diario!$G$4:$G$203,Trato_Diario!$A$4:$A$203,$A103)=0),"",SUMIFS(Trato_Diario!$J$4:$J$203,Trato_Diario!$A$4:$A$203,$A103)/SUMIFS(Trato_Diario!$G$4:$G$203,Trato_Diario!$A$4:$A$203,$A103))</f>
        <v/>
      </c>
    </row>
    <row r="104" spans="1:8" ht="14.25" customHeight="1" x14ac:dyDescent="0.3">
      <c r="A104" s="71">
        <v>46291</v>
      </c>
      <c r="B104" s="46" t="str">
        <f>IF(OR($A104&gt;MAX(Trato_Diario!$A$4:$A$203),SUMIFS(Trato_Diario!$G$4:$G$203,Trato_Diario!$B$4:$B$203,B$5,Trato_Diario!$A$4:$A$203,$A104)=0),"",SUMIFS(Trato_Diario!$J$4:$J$203,Trato_Diario!$B$4:$B$203,B$5,Trato_Diario!$A$4:$A$203,$A104)/SUMIFS(Trato_Diario!$G$4:$G$203,Trato_Diario!$B$4:$B$203,B$5,Trato_Diario!$A$4:$A$203,$A104))</f>
        <v/>
      </c>
      <c r="C104" s="46" t="str">
        <f>IF(OR($A104&gt;MAX(Trato_Diario!$A$4:$A$203),SUMIFS(Trato_Diario!$G$4:$G$203,Trato_Diario!$B$4:$B$203,C$5,Trato_Diario!$A$4:$A$203,$A104)=0),"",SUMIFS(Trato_Diario!$J$4:$J$203,Trato_Diario!$B$4:$B$203,C$5,Trato_Diario!$A$4:$A$203,$A104)/SUMIFS(Trato_Diario!$G$4:$G$203,Trato_Diario!$B$4:$B$203,C$5,Trato_Diario!$A$4:$A$203,$A104))</f>
        <v/>
      </c>
      <c r="D104" s="46" t="str">
        <f>IF(OR($A104&gt;MAX(Trato_Diario!$A$4:$A$203),SUMIFS(Trato_Diario!$G$4:$G$203,Trato_Diario!$B$4:$B$203,D$5,Trato_Diario!$A$4:$A$203,$A104)=0),"",SUMIFS(Trato_Diario!$J$4:$J$203,Trato_Diario!$B$4:$B$203,D$5,Trato_Diario!$A$4:$A$203,$A104)/SUMIFS(Trato_Diario!$G$4:$G$203,Trato_Diario!$B$4:$B$203,D$5,Trato_Diario!$A$4:$A$203,$A104))</f>
        <v/>
      </c>
      <c r="E104" s="46" t="str">
        <f>IF(OR($A104&gt;MAX(Trato_Diario!$A$4:$A$203),SUMIFS(Trato_Diario!$G$4:$G$203,Trato_Diario!$B$4:$B$203,E$5,Trato_Diario!$A$4:$A$203,$A104)=0),"",SUMIFS(Trato_Diario!$J$4:$J$203,Trato_Diario!$B$4:$B$203,E$5,Trato_Diario!$A$4:$A$203,$A104)/SUMIFS(Trato_Diario!$G$4:$G$203,Trato_Diario!$B$4:$B$203,E$5,Trato_Diario!$A$4:$A$203,$A104))</f>
        <v/>
      </c>
      <c r="F104" s="46" t="str">
        <f>IF(OR($A104&gt;MAX(Trato_Diario!$A$4:$A$203),SUMIFS(Trato_Diario!$G$4:$G$203,Trato_Diario!$B$4:$B$203,F$5,Trato_Diario!$A$4:$A$203,$A104)=0),"",SUMIFS(Trato_Diario!$J$4:$J$203,Trato_Diario!$B$4:$B$203,F$5,Trato_Diario!$A$4:$A$203,$A104)/SUMIFS(Trato_Diario!$G$4:$G$203,Trato_Diario!$B$4:$B$203,F$5,Trato_Diario!$A$4:$A$203,$A104))</f>
        <v/>
      </c>
      <c r="G104" s="46" t="str">
        <f>IF(OR($A104&gt;MAX(Trato_Diario!$A$4:$A$203),SUMIFS(Trato_Diario!$G$4:$G$203,Trato_Diario!$B$4:$B$203,G$5,Trato_Diario!$A$4:$A$203,$A104)=0),"",SUMIFS(Trato_Diario!$J$4:$J$203,Trato_Diario!$B$4:$B$203,G$5,Trato_Diario!$A$4:$A$203,$A104)/SUMIFS(Trato_Diario!$G$4:$G$203,Trato_Diario!$B$4:$B$203,G$5,Trato_Diario!$A$4:$A$203,$A104))</f>
        <v/>
      </c>
      <c r="H104" s="57" t="str">
        <f>IF(OR($A104&gt;MAX(Trato_Diario!$A$4:$A$203),SUMIFS(Trato_Diario!$G$4:$G$203,Trato_Diario!$A$4:$A$203,$A104)=0),"",SUMIFS(Trato_Diario!$J$4:$J$203,Trato_Diario!$A$4:$A$203,$A104)/SUMIFS(Trato_Diario!$G$4:$G$203,Trato_Diario!$A$4:$A$203,$A104))</f>
        <v/>
      </c>
    </row>
    <row r="105" spans="1:8" ht="14.25" customHeight="1" x14ac:dyDescent="0.3">
      <c r="A105" s="72">
        <v>46292</v>
      </c>
      <c r="B105" s="20" t="str">
        <f>IF(OR($A105&gt;MAX(Trato_Diario!$A$4:$A$203),SUMIFS(Trato_Diario!$G$4:$G$203,Trato_Diario!$B$4:$B$203,B$5,Trato_Diario!$A$4:$A$203,$A105)=0),"",SUMIFS(Trato_Diario!$J$4:$J$203,Trato_Diario!$B$4:$B$203,B$5,Trato_Diario!$A$4:$A$203,$A105)/SUMIFS(Trato_Diario!$G$4:$G$203,Trato_Diario!$B$4:$B$203,B$5,Trato_Diario!$A$4:$A$203,$A105))</f>
        <v/>
      </c>
      <c r="C105" s="20" t="str">
        <f>IF(OR($A105&gt;MAX(Trato_Diario!$A$4:$A$203),SUMIFS(Trato_Diario!$G$4:$G$203,Trato_Diario!$B$4:$B$203,C$5,Trato_Diario!$A$4:$A$203,$A105)=0),"",SUMIFS(Trato_Diario!$J$4:$J$203,Trato_Diario!$B$4:$B$203,C$5,Trato_Diario!$A$4:$A$203,$A105)/SUMIFS(Trato_Diario!$G$4:$G$203,Trato_Diario!$B$4:$B$203,C$5,Trato_Diario!$A$4:$A$203,$A105))</f>
        <v/>
      </c>
      <c r="D105" s="20" t="str">
        <f>IF(OR($A105&gt;MAX(Trato_Diario!$A$4:$A$203),SUMIFS(Trato_Diario!$G$4:$G$203,Trato_Diario!$B$4:$B$203,D$5,Trato_Diario!$A$4:$A$203,$A105)=0),"",SUMIFS(Trato_Diario!$J$4:$J$203,Trato_Diario!$B$4:$B$203,D$5,Trato_Diario!$A$4:$A$203,$A105)/SUMIFS(Trato_Diario!$G$4:$G$203,Trato_Diario!$B$4:$B$203,D$5,Trato_Diario!$A$4:$A$203,$A105))</f>
        <v/>
      </c>
      <c r="E105" s="20" t="str">
        <f>IF(OR($A105&gt;MAX(Trato_Diario!$A$4:$A$203),SUMIFS(Trato_Diario!$G$4:$G$203,Trato_Diario!$B$4:$B$203,E$5,Trato_Diario!$A$4:$A$203,$A105)=0),"",SUMIFS(Trato_Diario!$J$4:$J$203,Trato_Diario!$B$4:$B$203,E$5,Trato_Diario!$A$4:$A$203,$A105)/SUMIFS(Trato_Diario!$G$4:$G$203,Trato_Diario!$B$4:$B$203,E$5,Trato_Diario!$A$4:$A$203,$A105))</f>
        <v/>
      </c>
      <c r="F105" s="20" t="str">
        <f>IF(OR($A105&gt;MAX(Trato_Diario!$A$4:$A$203),SUMIFS(Trato_Diario!$G$4:$G$203,Trato_Diario!$B$4:$B$203,F$5,Trato_Diario!$A$4:$A$203,$A105)=0),"",SUMIFS(Trato_Diario!$J$4:$J$203,Trato_Diario!$B$4:$B$203,F$5,Trato_Diario!$A$4:$A$203,$A105)/SUMIFS(Trato_Diario!$G$4:$G$203,Trato_Diario!$B$4:$B$203,F$5,Trato_Diario!$A$4:$A$203,$A105))</f>
        <v/>
      </c>
      <c r="G105" s="20" t="str">
        <f>IF(OR($A105&gt;MAX(Trato_Diario!$A$4:$A$203),SUMIFS(Trato_Diario!$G$4:$G$203,Trato_Diario!$B$4:$B$203,G$5,Trato_Diario!$A$4:$A$203,$A105)=0),"",SUMIFS(Trato_Diario!$J$4:$J$203,Trato_Diario!$B$4:$B$203,G$5,Trato_Diario!$A$4:$A$203,$A105)/SUMIFS(Trato_Diario!$G$4:$G$203,Trato_Diario!$B$4:$B$203,G$5,Trato_Diario!$A$4:$A$203,$A105))</f>
        <v/>
      </c>
      <c r="H105" s="59" t="str">
        <f>IF(OR($A105&gt;MAX(Trato_Diario!$A$4:$A$203),SUMIFS(Trato_Diario!$G$4:$G$203,Trato_Diario!$A$4:$A$203,$A105)=0),"",SUMIFS(Trato_Diario!$J$4:$J$203,Trato_Diario!$A$4:$A$203,$A105)/SUMIFS(Trato_Diario!$G$4:$G$203,Trato_Diario!$A$4:$A$203,$A105))</f>
        <v/>
      </c>
    </row>
    <row r="106" spans="1:8" ht="14.25" customHeight="1" x14ac:dyDescent="0.3">
      <c r="A106" s="71">
        <v>46293</v>
      </c>
      <c r="B106" s="46" t="str">
        <f>IF(OR($A106&gt;MAX(Trato_Diario!$A$4:$A$203),SUMIFS(Trato_Diario!$G$4:$G$203,Trato_Diario!$B$4:$B$203,B$5,Trato_Diario!$A$4:$A$203,$A106)=0),"",SUMIFS(Trato_Diario!$J$4:$J$203,Trato_Diario!$B$4:$B$203,B$5,Trato_Diario!$A$4:$A$203,$A106)/SUMIFS(Trato_Diario!$G$4:$G$203,Trato_Diario!$B$4:$B$203,B$5,Trato_Diario!$A$4:$A$203,$A106))</f>
        <v/>
      </c>
      <c r="C106" s="46" t="str">
        <f>IF(OR($A106&gt;MAX(Trato_Diario!$A$4:$A$203),SUMIFS(Trato_Diario!$G$4:$G$203,Trato_Diario!$B$4:$B$203,C$5,Trato_Diario!$A$4:$A$203,$A106)=0),"",SUMIFS(Trato_Diario!$J$4:$J$203,Trato_Diario!$B$4:$B$203,C$5,Trato_Diario!$A$4:$A$203,$A106)/SUMIFS(Trato_Diario!$G$4:$G$203,Trato_Diario!$B$4:$B$203,C$5,Trato_Diario!$A$4:$A$203,$A106))</f>
        <v/>
      </c>
      <c r="D106" s="46" t="str">
        <f>IF(OR($A106&gt;MAX(Trato_Diario!$A$4:$A$203),SUMIFS(Trato_Diario!$G$4:$G$203,Trato_Diario!$B$4:$B$203,D$5,Trato_Diario!$A$4:$A$203,$A106)=0),"",SUMIFS(Trato_Diario!$J$4:$J$203,Trato_Diario!$B$4:$B$203,D$5,Trato_Diario!$A$4:$A$203,$A106)/SUMIFS(Trato_Diario!$G$4:$G$203,Trato_Diario!$B$4:$B$203,D$5,Trato_Diario!$A$4:$A$203,$A106))</f>
        <v/>
      </c>
      <c r="E106" s="46" t="str">
        <f>IF(OR($A106&gt;MAX(Trato_Diario!$A$4:$A$203),SUMIFS(Trato_Diario!$G$4:$G$203,Trato_Diario!$B$4:$B$203,E$5,Trato_Diario!$A$4:$A$203,$A106)=0),"",SUMIFS(Trato_Diario!$J$4:$J$203,Trato_Diario!$B$4:$B$203,E$5,Trato_Diario!$A$4:$A$203,$A106)/SUMIFS(Trato_Diario!$G$4:$G$203,Trato_Diario!$B$4:$B$203,E$5,Trato_Diario!$A$4:$A$203,$A106))</f>
        <v/>
      </c>
      <c r="F106" s="46" t="str">
        <f>IF(OR($A106&gt;MAX(Trato_Diario!$A$4:$A$203),SUMIFS(Trato_Diario!$G$4:$G$203,Trato_Diario!$B$4:$B$203,F$5,Trato_Diario!$A$4:$A$203,$A106)=0),"",SUMIFS(Trato_Diario!$J$4:$J$203,Trato_Diario!$B$4:$B$203,F$5,Trato_Diario!$A$4:$A$203,$A106)/SUMIFS(Trato_Diario!$G$4:$G$203,Trato_Diario!$B$4:$B$203,F$5,Trato_Diario!$A$4:$A$203,$A106))</f>
        <v/>
      </c>
      <c r="G106" s="46" t="str">
        <f>IF(OR($A106&gt;MAX(Trato_Diario!$A$4:$A$203),SUMIFS(Trato_Diario!$G$4:$G$203,Trato_Diario!$B$4:$B$203,G$5,Trato_Diario!$A$4:$A$203,$A106)=0),"",SUMIFS(Trato_Diario!$J$4:$J$203,Trato_Diario!$B$4:$B$203,G$5,Trato_Diario!$A$4:$A$203,$A106)/SUMIFS(Trato_Diario!$G$4:$G$203,Trato_Diario!$B$4:$B$203,G$5,Trato_Diario!$A$4:$A$203,$A106))</f>
        <v/>
      </c>
      <c r="H106" s="57" t="str">
        <f>IF(OR($A106&gt;MAX(Trato_Diario!$A$4:$A$203),SUMIFS(Trato_Diario!$G$4:$G$203,Trato_Diario!$A$4:$A$203,$A106)=0),"",SUMIFS(Trato_Diario!$J$4:$J$203,Trato_Diario!$A$4:$A$203,$A106)/SUMIFS(Trato_Diario!$G$4:$G$203,Trato_Diario!$A$4:$A$203,$A106))</f>
        <v/>
      </c>
    </row>
    <row r="107" spans="1:8" ht="14.25" customHeight="1" x14ac:dyDescent="0.3">
      <c r="A107" s="72">
        <v>46294</v>
      </c>
      <c r="B107" s="20" t="str">
        <f>IF(OR($A107&gt;MAX(Trato_Diario!$A$4:$A$203),SUMIFS(Trato_Diario!$G$4:$G$203,Trato_Diario!$B$4:$B$203,B$5,Trato_Diario!$A$4:$A$203,$A107)=0),"",SUMIFS(Trato_Diario!$J$4:$J$203,Trato_Diario!$B$4:$B$203,B$5,Trato_Diario!$A$4:$A$203,$A107)/SUMIFS(Trato_Diario!$G$4:$G$203,Trato_Diario!$B$4:$B$203,B$5,Trato_Diario!$A$4:$A$203,$A107))</f>
        <v/>
      </c>
      <c r="C107" s="20" t="str">
        <f>IF(OR($A107&gt;MAX(Trato_Diario!$A$4:$A$203),SUMIFS(Trato_Diario!$G$4:$G$203,Trato_Diario!$B$4:$B$203,C$5,Trato_Diario!$A$4:$A$203,$A107)=0),"",SUMIFS(Trato_Diario!$J$4:$J$203,Trato_Diario!$B$4:$B$203,C$5,Trato_Diario!$A$4:$A$203,$A107)/SUMIFS(Trato_Diario!$G$4:$G$203,Trato_Diario!$B$4:$B$203,C$5,Trato_Diario!$A$4:$A$203,$A107))</f>
        <v/>
      </c>
      <c r="D107" s="20" t="str">
        <f>IF(OR($A107&gt;MAX(Trato_Diario!$A$4:$A$203),SUMIFS(Trato_Diario!$G$4:$G$203,Trato_Diario!$B$4:$B$203,D$5,Trato_Diario!$A$4:$A$203,$A107)=0),"",SUMIFS(Trato_Diario!$J$4:$J$203,Trato_Diario!$B$4:$B$203,D$5,Trato_Diario!$A$4:$A$203,$A107)/SUMIFS(Trato_Diario!$G$4:$G$203,Trato_Diario!$B$4:$B$203,D$5,Trato_Diario!$A$4:$A$203,$A107))</f>
        <v/>
      </c>
      <c r="E107" s="20" t="str">
        <f>IF(OR($A107&gt;MAX(Trato_Diario!$A$4:$A$203),SUMIFS(Trato_Diario!$G$4:$G$203,Trato_Diario!$B$4:$B$203,E$5,Trato_Diario!$A$4:$A$203,$A107)=0),"",SUMIFS(Trato_Diario!$J$4:$J$203,Trato_Diario!$B$4:$B$203,E$5,Trato_Diario!$A$4:$A$203,$A107)/SUMIFS(Trato_Diario!$G$4:$G$203,Trato_Diario!$B$4:$B$203,E$5,Trato_Diario!$A$4:$A$203,$A107))</f>
        <v/>
      </c>
      <c r="F107" s="20" t="str">
        <f>IF(OR($A107&gt;MAX(Trato_Diario!$A$4:$A$203),SUMIFS(Trato_Diario!$G$4:$G$203,Trato_Diario!$B$4:$B$203,F$5,Trato_Diario!$A$4:$A$203,$A107)=0),"",SUMIFS(Trato_Diario!$J$4:$J$203,Trato_Diario!$B$4:$B$203,F$5,Trato_Diario!$A$4:$A$203,$A107)/SUMIFS(Trato_Diario!$G$4:$G$203,Trato_Diario!$B$4:$B$203,F$5,Trato_Diario!$A$4:$A$203,$A107))</f>
        <v/>
      </c>
      <c r="G107" s="20" t="str">
        <f>IF(OR($A107&gt;MAX(Trato_Diario!$A$4:$A$203),SUMIFS(Trato_Diario!$G$4:$G$203,Trato_Diario!$B$4:$B$203,G$5,Trato_Diario!$A$4:$A$203,$A107)=0),"",SUMIFS(Trato_Diario!$J$4:$J$203,Trato_Diario!$B$4:$B$203,G$5,Trato_Diario!$A$4:$A$203,$A107)/SUMIFS(Trato_Diario!$G$4:$G$203,Trato_Diario!$B$4:$B$203,G$5,Trato_Diario!$A$4:$A$203,$A107))</f>
        <v/>
      </c>
      <c r="H107" s="59" t="str">
        <f>IF(OR($A107&gt;MAX(Trato_Diario!$A$4:$A$203),SUMIFS(Trato_Diario!$G$4:$G$203,Trato_Diario!$A$4:$A$203,$A107)=0),"",SUMIFS(Trato_Diario!$J$4:$J$203,Trato_Diario!$A$4:$A$203,$A107)/SUMIFS(Trato_Diario!$G$4:$G$203,Trato_Diario!$A$4:$A$203,$A107))</f>
        <v/>
      </c>
    </row>
    <row r="108" spans="1:8" ht="14.25" customHeight="1" x14ac:dyDescent="0.3">
      <c r="A108" s="71">
        <v>46295</v>
      </c>
      <c r="B108" s="46" t="str">
        <f>IF(OR($A108&gt;MAX(Trato_Diario!$A$4:$A$203),SUMIFS(Trato_Diario!$G$4:$G$203,Trato_Diario!$B$4:$B$203,B$5,Trato_Diario!$A$4:$A$203,$A108)=0),"",SUMIFS(Trato_Diario!$J$4:$J$203,Trato_Diario!$B$4:$B$203,B$5,Trato_Diario!$A$4:$A$203,$A108)/SUMIFS(Trato_Diario!$G$4:$G$203,Trato_Diario!$B$4:$B$203,B$5,Trato_Diario!$A$4:$A$203,$A108))</f>
        <v/>
      </c>
      <c r="C108" s="46" t="str">
        <f>IF(OR($A108&gt;MAX(Trato_Diario!$A$4:$A$203),SUMIFS(Trato_Diario!$G$4:$G$203,Trato_Diario!$B$4:$B$203,C$5,Trato_Diario!$A$4:$A$203,$A108)=0),"",SUMIFS(Trato_Diario!$J$4:$J$203,Trato_Diario!$B$4:$B$203,C$5,Trato_Diario!$A$4:$A$203,$A108)/SUMIFS(Trato_Diario!$G$4:$G$203,Trato_Diario!$B$4:$B$203,C$5,Trato_Diario!$A$4:$A$203,$A108))</f>
        <v/>
      </c>
      <c r="D108" s="46" t="str">
        <f>IF(OR($A108&gt;MAX(Trato_Diario!$A$4:$A$203),SUMIFS(Trato_Diario!$G$4:$G$203,Trato_Diario!$B$4:$B$203,D$5,Trato_Diario!$A$4:$A$203,$A108)=0),"",SUMIFS(Trato_Diario!$J$4:$J$203,Trato_Diario!$B$4:$B$203,D$5,Trato_Diario!$A$4:$A$203,$A108)/SUMIFS(Trato_Diario!$G$4:$G$203,Trato_Diario!$B$4:$B$203,D$5,Trato_Diario!$A$4:$A$203,$A108))</f>
        <v/>
      </c>
      <c r="E108" s="46" t="str">
        <f>IF(OR($A108&gt;MAX(Trato_Diario!$A$4:$A$203),SUMIFS(Trato_Diario!$G$4:$G$203,Trato_Diario!$B$4:$B$203,E$5,Trato_Diario!$A$4:$A$203,$A108)=0),"",SUMIFS(Trato_Diario!$J$4:$J$203,Trato_Diario!$B$4:$B$203,E$5,Trato_Diario!$A$4:$A$203,$A108)/SUMIFS(Trato_Diario!$G$4:$G$203,Trato_Diario!$B$4:$B$203,E$5,Trato_Diario!$A$4:$A$203,$A108))</f>
        <v/>
      </c>
      <c r="F108" s="46" t="str">
        <f>IF(OR($A108&gt;MAX(Trato_Diario!$A$4:$A$203),SUMIFS(Trato_Diario!$G$4:$G$203,Trato_Diario!$B$4:$B$203,F$5,Trato_Diario!$A$4:$A$203,$A108)=0),"",SUMIFS(Trato_Diario!$J$4:$J$203,Trato_Diario!$B$4:$B$203,F$5,Trato_Diario!$A$4:$A$203,$A108)/SUMIFS(Trato_Diario!$G$4:$G$203,Trato_Diario!$B$4:$B$203,F$5,Trato_Diario!$A$4:$A$203,$A108))</f>
        <v/>
      </c>
      <c r="G108" s="46" t="str">
        <f>IF(OR($A108&gt;MAX(Trato_Diario!$A$4:$A$203),SUMIFS(Trato_Diario!$G$4:$G$203,Trato_Diario!$B$4:$B$203,G$5,Trato_Diario!$A$4:$A$203,$A108)=0),"",SUMIFS(Trato_Diario!$J$4:$J$203,Trato_Diario!$B$4:$B$203,G$5,Trato_Diario!$A$4:$A$203,$A108)/SUMIFS(Trato_Diario!$G$4:$G$203,Trato_Diario!$B$4:$B$203,G$5,Trato_Diario!$A$4:$A$203,$A108))</f>
        <v/>
      </c>
      <c r="H108" s="57" t="str">
        <f>IF(OR($A108&gt;MAX(Trato_Diario!$A$4:$A$203),SUMIFS(Trato_Diario!$G$4:$G$203,Trato_Diario!$A$4:$A$203,$A108)=0),"",SUMIFS(Trato_Diario!$J$4:$J$203,Trato_Diario!$A$4:$A$203,$A108)/SUMIFS(Trato_Diario!$G$4:$G$203,Trato_Diario!$A$4:$A$203,$A108))</f>
        <v/>
      </c>
    </row>
    <row r="109" spans="1:8" ht="14.25" customHeight="1" x14ac:dyDescent="0.3">
      <c r="A109" s="72">
        <v>46296</v>
      </c>
      <c r="B109" s="20" t="str">
        <f>IF(OR($A109&gt;MAX(Trato_Diario!$A$4:$A$203),SUMIFS(Trato_Diario!$G$4:$G$203,Trato_Diario!$B$4:$B$203,B$5,Trato_Diario!$A$4:$A$203,$A109)=0),"",SUMIFS(Trato_Diario!$J$4:$J$203,Trato_Diario!$B$4:$B$203,B$5,Trato_Diario!$A$4:$A$203,$A109)/SUMIFS(Trato_Diario!$G$4:$G$203,Trato_Diario!$B$4:$B$203,B$5,Trato_Diario!$A$4:$A$203,$A109))</f>
        <v/>
      </c>
      <c r="C109" s="20" t="str">
        <f>IF(OR($A109&gt;MAX(Trato_Diario!$A$4:$A$203),SUMIFS(Trato_Diario!$G$4:$G$203,Trato_Diario!$B$4:$B$203,C$5,Trato_Diario!$A$4:$A$203,$A109)=0),"",SUMIFS(Trato_Diario!$J$4:$J$203,Trato_Diario!$B$4:$B$203,C$5,Trato_Diario!$A$4:$A$203,$A109)/SUMIFS(Trato_Diario!$G$4:$G$203,Trato_Diario!$B$4:$B$203,C$5,Trato_Diario!$A$4:$A$203,$A109))</f>
        <v/>
      </c>
      <c r="D109" s="20" t="str">
        <f>IF(OR($A109&gt;MAX(Trato_Diario!$A$4:$A$203),SUMIFS(Trato_Diario!$G$4:$G$203,Trato_Diario!$B$4:$B$203,D$5,Trato_Diario!$A$4:$A$203,$A109)=0),"",SUMIFS(Trato_Diario!$J$4:$J$203,Trato_Diario!$B$4:$B$203,D$5,Trato_Diario!$A$4:$A$203,$A109)/SUMIFS(Trato_Diario!$G$4:$G$203,Trato_Diario!$B$4:$B$203,D$5,Trato_Diario!$A$4:$A$203,$A109))</f>
        <v/>
      </c>
      <c r="E109" s="20" t="str">
        <f>IF(OR($A109&gt;MAX(Trato_Diario!$A$4:$A$203),SUMIFS(Trato_Diario!$G$4:$G$203,Trato_Diario!$B$4:$B$203,E$5,Trato_Diario!$A$4:$A$203,$A109)=0),"",SUMIFS(Trato_Diario!$J$4:$J$203,Trato_Diario!$B$4:$B$203,E$5,Trato_Diario!$A$4:$A$203,$A109)/SUMIFS(Trato_Diario!$G$4:$G$203,Trato_Diario!$B$4:$B$203,E$5,Trato_Diario!$A$4:$A$203,$A109))</f>
        <v/>
      </c>
      <c r="F109" s="20" t="str">
        <f>IF(OR($A109&gt;MAX(Trato_Diario!$A$4:$A$203),SUMIFS(Trato_Diario!$G$4:$G$203,Trato_Diario!$B$4:$B$203,F$5,Trato_Diario!$A$4:$A$203,$A109)=0),"",SUMIFS(Trato_Diario!$J$4:$J$203,Trato_Diario!$B$4:$B$203,F$5,Trato_Diario!$A$4:$A$203,$A109)/SUMIFS(Trato_Diario!$G$4:$G$203,Trato_Diario!$B$4:$B$203,F$5,Trato_Diario!$A$4:$A$203,$A109))</f>
        <v/>
      </c>
      <c r="G109" s="20" t="str">
        <f>IF(OR($A109&gt;MAX(Trato_Diario!$A$4:$A$203),SUMIFS(Trato_Diario!$G$4:$G$203,Trato_Diario!$B$4:$B$203,G$5,Trato_Diario!$A$4:$A$203,$A109)=0),"",SUMIFS(Trato_Diario!$J$4:$J$203,Trato_Diario!$B$4:$B$203,G$5,Trato_Diario!$A$4:$A$203,$A109)/SUMIFS(Trato_Diario!$G$4:$G$203,Trato_Diario!$B$4:$B$203,G$5,Trato_Diario!$A$4:$A$203,$A109))</f>
        <v/>
      </c>
      <c r="H109" s="59" t="str">
        <f>IF(OR($A109&gt;MAX(Trato_Diario!$A$4:$A$203),SUMIFS(Trato_Diario!$G$4:$G$203,Trato_Diario!$A$4:$A$203,$A109)=0),"",SUMIFS(Trato_Diario!$J$4:$J$203,Trato_Diario!$A$4:$A$203,$A109)/SUMIFS(Trato_Diario!$G$4:$G$203,Trato_Diario!$A$4:$A$203,$A109))</f>
        <v/>
      </c>
    </row>
    <row r="110" spans="1:8" ht="14.25" customHeight="1" x14ac:dyDescent="0.3">
      <c r="A110" s="71">
        <v>46297</v>
      </c>
      <c r="B110" s="46" t="str">
        <f>IF(OR($A110&gt;MAX(Trato_Diario!$A$4:$A$203),SUMIFS(Trato_Diario!$G$4:$G$203,Trato_Diario!$B$4:$B$203,B$5,Trato_Diario!$A$4:$A$203,$A110)=0),"",SUMIFS(Trato_Diario!$J$4:$J$203,Trato_Diario!$B$4:$B$203,B$5,Trato_Diario!$A$4:$A$203,$A110)/SUMIFS(Trato_Diario!$G$4:$G$203,Trato_Diario!$B$4:$B$203,B$5,Trato_Diario!$A$4:$A$203,$A110))</f>
        <v/>
      </c>
      <c r="C110" s="46" t="str">
        <f>IF(OR($A110&gt;MAX(Trato_Diario!$A$4:$A$203),SUMIFS(Trato_Diario!$G$4:$G$203,Trato_Diario!$B$4:$B$203,C$5,Trato_Diario!$A$4:$A$203,$A110)=0),"",SUMIFS(Trato_Diario!$J$4:$J$203,Trato_Diario!$B$4:$B$203,C$5,Trato_Diario!$A$4:$A$203,$A110)/SUMIFS(Trato_Diario!$G$4:$G$203,Trato_Diario!$B$4:$B$203,C$5,Trato_Diario!$A$4:$A$203,$A110))</f>
        <v/>
      </c>
      <c r="D110" s="46" t="str">
        <f>IF(OR($A110&gt;MAX(Trato_Diario!$A$4:$A$203),SUMIFS(Trato_Diario!$G$4:$G$203,Trato_Diario!$B$4:$B$203,D$5,Trato_Diario!$A$4:$A$203,$A110)=0),"",SUMIFS(Trato_Diario!$J$4:$J$203,Trato_Diario!$B$4:$B$203,D$5,Trato_Diario!$A$4:$A$203,$A110)/SUMIFS(Trato_Diario!$G$4:$G$203,Trato_Diario!$B$4:$B$203,D$5,Trato_Diario!$A$4:$A$203,$A110))</f>
        <v/>
      </c>
      <c r="E110" s="46" t="str">
        <f>IF(OR($A110&gt;MAX(Trato_Diario!$A$4:$A$203),SUMIFS(Trato_Diario!$G$4:$G$203,Trato_Diario!$B$4:$B$203,E$5,Trato_Diario!$A$4:$A$203,$A110)=0),"",SUMIFS(Trato_Diario!$J$4:$J$203,Trato_Diario!$B$4:$B$203,E$5,Trato_Diario!$A$4:$A$203,$A110)/SUMIFS(Trato_Diario!$G$4:$G$203,Trato_Diario!$B$4:$B$203,E$5,Trato_Diario!$A$4:$A$203,$A110))</f>
        <v/>
      </c>
      <c r="F110" s="46" t="str">
        <f>IF(OR($A110&gt;MAX(Trato_Diario!$A$4:$A$203),SUMIFS(Trato_Diario!$G$4:$G$203,Trato_Diario!$B$4:$B$203,F$5,Trato_Diario!$A$4:$A$203,$A110)=0),"",SUMIFS(Trato_Diario!$J$4:$J$203,Trato_Diario!$B$4:$B$203,F$5,Trato_Diario!$A$4:$A$203,$A110)/SUMIFS(Trato_Diario!$G$4:$G$203,Trato_Diario!$B$4:$B$203,F$5,Trato_Diario!$A$4:$A$203,$A110))</f>
        <v/>
      </c>
      <c r="G110" s="46" t="str">
        <f>IF(OR($A110&gt;MAX(Trato_Diario!$A$4:$A$203),SUMIFS(Trato_Diario!$G$4:$G$203,Trato_Diario!$B$4:$B$203,G$5,Trato_Diario!$A$4:$A$203,$A110)=0),"",SUMIFS(Trato_Diario!$J$4:$J$203,Trato_Diario!$B$4:$B$203,G$5,Trato_Diario!$A$4:$A$203,$A110)/SUMIFS(Trato_Diario!$G$4:$G$203,Trato_Diario!$B$4:$B$203,G$5,Trato_Diario!$A$4:$A$203,$A110))</f>
        <v/>
      </c>
      <c r="H110" s="57" t="str">
        <f>IF(OR($A110&gt;MAX(Trato_Diario!$A$4:$A$203),SUMIFS(Trato_Diario!$G$4:$G$203,Trato_Diario!$A$4:$A$203,$A110)=0),"",SUMIFS(Trato_Diario!$J$4:$J$203,Trato_Diario!$A$4:$A$203,$A110)/SUMIFS(Trato_Diario!$G$4:$G$203,Trato_Diario!$A$4:$A$203,$A110))</f>
        <v/>
      </c>
    </row>
    <row r="111" spans="1:8" ht="14.25" customHeight="1" x14ac:dyDescent="0.3">
      <c r="A111" s="72">
        <v>46298</v>
      </c>
      <c r="B111" s="20" t="str">
        <f>IF(OR($A111&gt;MAX(Trato_Diario!$A$4:$A$203),SUMIFS(Trato_Diario!$G$4:$G$203,Trato_Diario!$B$4:$B$203,B$5,Trato_Diario!$A$4:$A$203,$A111)=0),"",SUMIFS(Trato_Diario!$J$4:$J$203,Trato_Diario!$B$4:$B$203,B$5,Trato_Diario!$A$4:$A$203,$A111)/SUMIFS(Trato_Diario!$G$4:$G$203,Trato_Diario!$B$4:$B$203,B$5,Trato_Diario!$A$4:$A$203,$A111))</f>
        <v/>
      </c>
      <c r="C111" s="20" t="str">
        <f>IF(OR($A111&gt;MAX(Trato_Diario!$A$4:$A$203),SUMIFS(Trato_Diario!$G$4:$G$203,Trato_Diario!$B$4:$B$203,C$5,Trato_Diario!$A$4:$A$203,$A111)=0),"",SUMIFS(Trato_Diario!$J$4:$J$203,Trato_Diario!$B$4:$B$203,C$5,Trato_Diario!$A$4:$A$203,$A111)/SUMIFS(Trato_Diario!$G$4:$G$203,Trato_Diario!$B$4:$B$203,C$5,Trato_Diario!$A$4:$A$203,$A111))</f>
        <v/>
      </c>
      <c r="D111" s="20" t="str">
        <f>IF(OR($A111&gt;MAX(Trato_Diario!$A$4:$A$203),SUMIFS(Trato_Diario!$G$4:$G$203,Trato_Diario!$B$4:$B$203,D$5,Trato_Diario!$A$4:$A$203,$A111)=0),"",SUMIFS(Trato_Diario!$J$4:$J$203,Trato_Diario!$B$4:$B$203,D$5,Trato_Diario!$A$4:$A$203,$A111)/SUMIFS(Trato_Diario!$G$4:$G$203,Trato_Diario!$B$4:$B$203,D$5,Trato_Diario!$A$4:$A$203,$A111))</f>
        <v/>
      </c>
      <c r="E111" s="20" t="str">
        <f>IF(OR($A111&gt;MAX(Trato_Diario!$A$4:$A$203),SUMIFS(Trato_Diario!$G$4:$G$203,Trato_Diario!$B$4:$B$203,E$5,Trato_Diario!$A$4:$A$203,$A111)=0),"",SUMIFS(Trato_Diario!$J$4:$J$203,Trato_Diario!$B$4:$B$203,E$5,Trato_Diario!$A$4:$A$203,$A111)/SUMIFS(Trato_Diario!$G$4:$G$203,Trato_Diario!$B$4:$B$203,E$5,Trato_Diario!$A$4:$A$203,$A111))</f>
        <v/>
      </c>
      <c r="F111" s="20" t="str">
        <f>IF(OR($A111&gt;MAX(Trato_Diario!$A$4:$A$203),SUMIFS(Trato_Diario!$G$4:$G$203,Trato_Diario!$B$4:$B$203,F$5,Trato_Diario!$A$4:$A$203,$A111)=0),"",SUMIFS(Trato_Diario!$J$4:$J$203,Trato_Diario!$B$4:$B$203,F$5,Trato_Diario!$A$4:$A$203,$A111)/SUMIFS(Trato_Diario!$G$4:$G$203,Trato_Diario!$B$4:$B$203,F$5,Trato_Diario!$A$4:$A$203,$A111))</f>
        <v/>
      </c>
      <c r="G111" s="20" t="str">
        <f>IF(OR($A111&gt;MAX(Trato_Diario!$A$4:$A$203),SUMIFS(Trato_Diario!$G$4:$G$203,Trato_Diario!$B$4:$B$203,G$5,Trato_Diario!$A$4:$A$203,$A111)=0),"",SUMIFS(Trato_Diario!$J$4:$J$203,Trato_Diario!$B$4:$B$203,G$5,Trato_Diario!$A$4:$A$203,$A111)/SUMIFS(Trato_Diario!$G$4:$G$203,Trato_Diario!$B$4:$B$203,G$5,Trato_Diario!$A$4:$A$203,$A111))</f>
        <v/>
      </c>
      <c r="H111" s="59" t="str">
        <f>IF(OR($A111&gt;MAX(Trato_Diario!$A$4:$A$203),SUMIFS(Trato_Diario!$G$4:$G$203,Trato_Diario!$A$4:$A$203,$A111)=0),"",SUMIFS(Trato_Diario!$J$4:$J$203,Trato_Diario!$A$4:$A$203,$A111)/SUMIFS(Trato_Diario!$G$4:$G$203,Trato_Diario!$A$4:$A$203,$A111))</f>
        <v/>
      </c>
    </row>
    <row r="112" spans="1:8" ht="14.25" customHeight="1" x14ac:dyDescent="0.3">
      <c r="A112" s="71">
        <v>46299</v>
      </c>
      <c r="B112" s="46" t="str">
        <f>IF(OR($A112&gt;MAX(Trato_Diario!$A$4:$A$203),SUMIFS(Trato_Diario!$G$4:$G$203,Trato_Diario!$B$4:$B$203,B$5,Trato_Diario!$A$4:$A$203,$A112)=0),"",SUMIFS(Trato_Diario!$J$4:$J$203,Trato_Diario!$B$4:$B$203,B$5,Trato_Diario!$A$4:$A$203,$A112)/SUMIFS(Trato_Diario!$G$4:$G$203,Trato_Diario!$B$4:$B$203,B$5,Trato_Diario!$A$4:$A$203,$A112))</f>
        <v/>
      </c>
      <c r="C112" s="46" t="str">
        <f>IF(OR($A112&gt;MAX(Trato_Diario!$A$4:$A$203),SUMIFS(Trato_Diario!$G$4:$G$203,Trato_Diario!$B$4:$B$203,C$5,Trato_Diario!$A$4:$A$203,$A112)=0),"",SUMIFS(Trato_Diario!$J$4:$J$203,Trato_Diario!$B$4:$B$203,C$5,Trato_Diario!$A$4:$A$203,$A112)/SUMIFS(Trato_Diario!$G$4:$G$203,Trato_Diario!$B$4:$B$203,C$5,Trato_Diario!$A$4:$A$203,$A112))</f>
        <v/>
      </c>
      <c r="D112" s="46" t="str">
        <f>IF(OR($A112&gt;MAX(Trato_Diario!$A$4:$A$203),SUMIFS(Trato_Diario!$G$4:$G$203,Trato_Diario!$B$4:$B$203,D$5,Trato_Diario!$A$4:$A$203,$A112)=0),"",SUMIFS(Trato_Diario!$J$4:$J$203,Trato_Diario!$B$4:$B$203,D$5,Trato_Diario!$A$4:$A$203,$A112)/SUMIFS(Trato_Diario!$G$4:$G$203,Trato_Diario!$B$4:$B$203,D$5,Trato_Diario!$A$4:$A$203,$A112))</f>
        <v/>
      </c>
      <c r="E112" s="46" t="str">
        <f>IF(OR($A112&gt;MAX(Trato_Diario!$A$4:$A$203),SUMIFS(Trato_Diario!$G$4:$G$203,Trato_Diario!$B$4:$B$203,E$5,Trato_Diario!$A$4:$A$203,$A112)=0),"",SUMIFS(Trato_Diario!$J$4:$J$203,Trato_Diario!$B$4:$B$203,E$5,Trato_Diario!$A$4:$A$203,$A112)/SUMIFS(Trato_Diario!$G$4:$G$203,Trato_Diario!$B$4:$B$203,E$5,Trato_Diario!$A$4:$A$203,$A112))</f>
        <v/>
      </c>
      <c r="F112" s="46" t="str">
        <f>IF(OR($A112&gt;MAX(Trato_Diario!$A$4:$A$203),SUMIFS(Trato_Diario!$G$4:$G$203,Trato_Diario!$B$4:$B$203,F$5,Trato_Diario!$A$4:$A$203,$A112)=0),"",SUMIFS(Trato_Diario!$J$4:$J$203,Trato_Diario!$B$4:$B$203,F$5,Trato_Diario!$A$4:$A$203,$A112)/SUMIFS(Trato_Diario!$G$4:$G$203,Trato_Diario!$B$4:$B$203,F$5,Trato_Diario!$A$4:$A$203,$A112))</f>
        <v/>
      </c>
      <c r="G112" s="46" t="str">
        <f>IF(OR($A112&gt;MAX(Trato_Diario!$A$4:$A$203),SUMIFS(Trato_Diario!$G$4:$G$203,Trato_Diario!$B$4:$B$203,G$5,Trato_Diario!$A$4:$A$203,$A112)=0),"",SUMIFS(Trato_Diario!$J$4:$J$203,Trato_Diario!$B$4:$B$203,G$5,Trato_Diario!$A$4:$A$203,$A112)/SUMIFS(Trato_Diario!$G$4:$G$203,Trato_Diario!$B$4:$B$203,G$5,Trato_Diario!$A$4:$A$203,$A112))</f>
        <v/>
      </c>
      <c r="H112" s="57" t="str">
        <f>IF(OR($A112&gt;MAX(Trato_Diario!$A$4:$A$203),SUMIFS(Trato_Diario!$G$4:$G$203,Trato_Diario!$A$4:$A$203,$A112)=0),"",SUMIFS(Trato_Diario!$J$4:$J$203,Trato_Diario!$A$4:$A$203,$A112)/SUMIFS(Trato_Diario!$G$4:$G$203,Trato_Diario!$A$4:$A$203,$A112))</f>
        <v/>
      </c>
    </row>
    <row r="113" spans="1:8" ht="14.25" customHeight="1" x14ac:dyDescent="0.3">
      <c r="A113" s="72">
        <v>46300</v>
      </c>
      <c r="B113" s="20" t="str">
        <f>IF(OR($A113&gt;MAX(Trato_Diario!$A$4:$A$203),SUMIFS(Trato_Diario!$G$4:$G$203,Trato_Diario!$B$4:$B$203,B$5,Trato_Diario!$A$4:$A$203,$A113)=0),"",SUMIFS(Trato_Diario!$J$4:$J$203,Trato_Diario!$B$4:$B$203,B$5,Trato_Diario!$A$4:$A$203,$A113)/SUMIFS(Trato_Diario!$G$4:$G$203,Trato_Diario!$B$4:$B$203,B$5,Trato_Diario!$A$4:$A$203,$A113))</f>
        <v/>
      </c>
      <c r="C113" s="20" t="str">
        <f>IF(OR($A113&gt;MAX(Trato_Diario!$A$4:$A$203),SUMIFS(Trato_Diario!$G$4:$G$203,Trato_Diario!$B$4:$B$203,C$5,Trato_Diario!$A$4:$A$203,$A113)=0),"",SUMIFS(Trato_Diario!$J$4:$J$203,Trato_Diario!$B$4:$B$203,C$5,Trato_Diario!$A$4:$A$203,$A113)/SUMIFS(Trato_Diario!$G$4:$G$203,Trato_Diario!$B$4:$B$203,C$5,Trato_Diario!$A$4:$A$203,$A113))</f>
        <v/>
      </c>
      <c r="D113" s="20" t="str">
        <f>IF(OR($A113&gt;MAX(Trato_Diario!$A$4:$A$203),SUMIFS(Trato_Diario!$G$4:$G$203,Trato_Diario!$B$4:$B$203,D$5,Trato_Diario!$A$4:$A$203,$A113)=0),"",SUMIFS(Trato_Diario!$J$4:$J$203,Trato_Diario!$B$4:$B$203,D$5,Trato_Diario!$A$4:$A$203,$A113)/SUMIFS(Trato_Diario!$G$4:$G$203,Trato_Diario!$B$4:$B$203,D$5,Trato_Diario!$A$4:$A$203,$A113))</f>
        <v/>
      </c>
      <c r="E113" s="20" t="str">
        <f>IF(OR($A113&gt;MAX(Trato_Diario!$A$4:$A$203),SUMIFS(Trato_Diario!$G$4:$G$203,Trato_Diario!$B$4:$B$203,E$5,Trato_Diario!$A$4:$A$203,$A113)=0),"",SUMIFS(Trato_Diario!$J$4:$J$203,Trato_Diario!$B$4:$B$203,E$5,Trato_Diario!$A$4:$A$203,$A113)/SUMIFS(Trato_Diario!$G$4:$G$203,Trato_Diario!$B$4:$B$203,E$5,Trato_Diario!$A$4:$A$203,$A113))</f>
        <v/>
      </c>
      <c r="F113" s="20" t="str">
        <f>IF(OR($A113&gt;MAX(Trato_Diario!$A$4:$A$203),SUMIFS(Trato_Diario!$G$4:$G$203,Trato_Diario!$B$4:$B$203,F$5,Trato_Diario!$A$4:$A$203,$A113)=0),"",SUMIFS(Trato_Diario!$J$4:$J$203,Trato_Diario!$B$4:$B$203,F$5,Trato_Diario!$A$4:$A$203,$A113)/SUMIFS(Trato_Diario!$G$4:$G$203,Trato_Diario!$B$4:$B$203,F$5,Trato_Diario!$A$4:$A$203,$A113))</f>
        <v/>
      </c>
      <c r="G113" s="20" t="str">
        <f>IF(OR($A113&gt;MAX(Trato_Diario!$A$4:$A$203),SUMIFS(Trato_Diario!$G$4:$G$203,Trato_Diario!$B$4:$B$203,G$5,Trato_Diario!$A$4:$A$203,$A113)=0),"",SUMIFS(Trato_Diario!$J$4:$J$203,Trato_Diario!$B$4:$B$203,G$5,Trato_Diario!$A$4:$A$203,$A113)/SUMIFS(Trato_Diario!$G$4:$G$203,Trato_Diario!$B$4:$B$203,G$5,Trato_Diario!$A$4:$A$203,$A113))</f>
        <v/>
      </c>
      <c r="H113" s="59" t="str">
        <f>IF(OR($A113&gt;MAX(Trato_Diario!$A$4:$A$203),SUMIFS(Trato_Diario!$G$4:$G$203,Trato_Diario!$A$4:$A$203,$A113)=0),"",SUMIFS(Trato_Diario!$J$4:$J$203,Trato_Diario!$A$4:$A$203,$A113)/SUMIFS(Trato_Diario!$G$4:$G$203,Trato_Diario!$A$4:$A$203,$A113))</f>
        <v/>
      </c>
    </row>
    <row r="114" spans="1:8" ht="14.25" customHeight="1" x14ac:dyDescent="0.3">
      <c r="A114" s="71">
        <v>46301</v>
      </c>
      <c r="B114" s="46" t="str">
        <f>IF(OR($A114&gt;MAX(Trato_Diario!$A$4:$A$203),SUMIFS(Trato_Diario!$G$4:$G$203,Trato_Diario!$B$4:$B$203,B$5,Trato_Diario!$A$4:$A$203,$A114)=0),"",SUMIFS(Trato_Diario!$J$4:$J$203,Trato_Diario!$B$4:$B$203,B$5,Trato_Diario!$A$4:$A$203,$A114)/SUMIFS(Trato_Diario!$G$4:$G$203,Trato_Diario!$B$4:$B$203,B$5,Trato_Diario!$A$4:$A$203,$A114))</f>
        <v/>
      </c>
      <c r="C114" s="46" t="str">
        <f>IF(OR($A114&gt;MAX(Trato_Diario!$A$4:$A$203),SUMIFS(Trato_Diario!$G$4:$G$203,Trato_Diario!$B$4:$B$203,C$5,Trato_Diario!$A$4:$A$203,$A114)=0),"",SUMIFS(Trato_Diario!$J$4:$J$203,Trato_Diario!$B$4:$B$203,C$5,Trato_Diario!$A$4:$A$203,$A114)/SUMIFS(Trato_Diario!$G$4:$G$203,Trato_Diario!$B$4:$B$203,C$5,Trato_Diario!$A$4:$A$203,$A114))</f>
        <v/>
      </c>
      <c r="D114" s="46" t="str">
        <f>IF(OR($A114&gt;MAX(Trato_Diario!$A$4:$A$203),SUMIFS(Trato_Diario!$G$4:$G$203,Trato_Diario!$B$4:$B$203,D$5,Trato_Diario!$A$4:$A$203,$A114)=0),"",SUMIFS(Trato_Diario!$J$4:$J$203,Trato_Diario!$B$4:$B$203,D$5,Trato_Diario!$A$4:$A$203,$A114)/SUMIFS(Trato_Diario!$G$4:$G$203,Trato_Diario!$B$4:$B$203,D$5,Trato_Diario!$A$4:$A$203,$A114))</f>
        <v/>
      </c>
      <c r="E114" s="46" t="str">
        <f>IF(OR($A114&gt;MAX(Trato_Diario!$A$4:$A$203),SUMIFS(Trato_Diario!$G$4:$G$203,Trato_Diario!$B$4:$B$203,E$5,Trato_Diario!$A$4:$A$203,$A114)=0),"",SUMIFS(Trato_Diario!$J$4:$J$203,Trato_Diario!$B$4:$B$203,E$5,Trato_Diario!$A$4:$A$203,$A114)/SUMIFS(Trato_Diario!$G$4:$G$203,Trato_Diario!$B$4:$B$203,E$5,Trato_Diario!$A$4:$A$203,$A114))</f>
        <v/>
      </c>
      <c r="F114" s="46" t="str">
        <f>IF(OR($A114&gt;MAX(Trato_Diario!$A$4:$A$203),SUMIFS(Trato_Diario!$G$4:$G$203,Trato_Diario!$B$4:$B$203,F$5,Trato_Diario!$A$4:$A$203,$A114)=0),"",SUMIFS(Trato_Diario!$J$4:$J$203,Trato_Diario!$B$4:$B$203,F$5,Trato_Diario!$A$4:$A$203,$A114)/SUMIFS(Trato_Diario!$G$4:$G$203,Trato_Diario!$B$4:$B$203,F$5,Trato_Diario!$A$4:$A$203,$A114))</f>
        <v/>
      </c>
      <c r="G114" s="46" t="str">
        <f>IF(OR($A114&gt;MAX(Trato_Diario!$A$4:$A$203),SUMIFS(Trato_Diario!$G$4:$G$203,Trato_Diario!$B$4:$B$203,G$5,Trato_Diario!$A$4:$A$203,$A114)=0),"",SUMIFS(Trato_Diario!$J$4:$J$203,Trato_Diario!$B$4:$B$203,G$5,Trato_Diario!$A$4:$A$203,$A114)/SUMIFS(Trato_Diario!$G$4:$G$203,Trato_Diario!$B$4:$B$203,G$5,Trato_Diario!$A$4:$A$203,$A114))</f>
        <v/>
      </c>
      <c r="H114" s="57" t="str">
        <f>IF(OR($A114&gt;MAX(Trato_Diario!$A$4:$A$203),SUMIFS(Trato_Diario!$G$4:$G$203,Trato_Diario!$A$4:$A$203,$A114)=0),"",SUMIFS(Trato_Diario!$J$4:$J$203,Trato_Diario!$A$4:$A$203,$A114)/SUMIFS(Trato_Diario!$G$4:$G$203,Trato_Diario!$A$4:$A$203,$A114))</f>
        <v/>
      </c>
    </row>
    <row r="115" spans="1:8" ht="14.25" customHeight="1" x14ac:dyDescent="0.3">
      <c r="A115" s="72">
        <v>46302</v>
      </c>
      <c r="B115" s="20" t="str">
        <f>IF(OR($A115&gt;MAX(Trato_Diario!$A$4:$A$203),SUMIFS(Trato_Diario!$G$4:$G$203,Trato_Diario!$B$4:$B$203,B$5,Trato_Diario!$A$4:$A$203,$A115)=0),"",SUMIFS(Trato_Diario!$J$4:$J$203,Trato_Diario!$B$4:$B$203,B$5,Trato_Diario!$A$4:$A$203,$A115)/SUMIFS(Trato_Diario!$G$4:$G$203,Trato_Diario!$B$4:$B$203,B$5,Trato_Diario!$A$4:$A$203,$A115))</f>
        <v/>
      </c>
      <c r="C115" s="20" t="str">
        <f>IF(OR($A115&gt;MAX(Trato_Diario!$A$4:$A$203),SUMIFS(Trato_Diario!$G$4:$G$203,Trato_Diario!$B$4:$B$203,C$5,Trato_Diario!$A$4:$A$203,$A115)=0),"",SUMIFS(Trato_Diario!$J$4:$J$203,Trato_Diario!$B$4:$B$203,C$5,Trato_Diario!$A$4:$A$203,$A115)/SUMIFS(Trato_Diario!$G$4:$G$203,Trato_Diario!$B$4:$B$203,C$5,Trato_Diario!$A$4:$A$203,$A115))</f>
        <v/>
      </c>
      <c r="D115" s="20" t="str">
        <f>IF(OR($A115&gt;MAX(Trato_Diario!$A$4:$A$203),SUMIFS(Trato_Diario!$G$4:$G$203,Trato_Diario!$B$4:$B$203,D$5,Trato_Diario!$A$4:$A$203,$A115)=0),"",SUMIFS(Trato_Diario!$J$4:$J$203,Trato_Diario!$B$4:$B$203,D$5,Trato_Diario!$A$4:$A$203,$A115)/SUMIFS(Trato_Diario!$G$4:$G$203,Trato_Diario!$B$4:$B$203,D$5,Trato_Diario!$A$4:$A$203,$A115))</f>
        <v/>
      </c>
      <c r="E115" s="20" t="str">
        <f>IF(OR($A115&gt;MAX(Trato_Diario!$A$4:$A$203),SUMIFS(Trato_Diario!$G$4:$G$203,Trato_Diario!$B$4:$B$203,E$5,Trato_Diario!$A$4:$A$203,$A115)=0),"",SUMIFS(Trato_Diario!$J$4:$J$203,Trato_Diario!$B$4:$B$203,E$5,Trato_Diario!$A$4:$A$203,$A115)/SUMIFS(Trato_Diario!$G$4:$G$203,Trato_Diario!$B$4:$B$203,E$5,Trato_Diario!$A$4:$A$203,$A115))</f>
        <v/>
      </c>
      <c r="F115" s="20" t="str">
        <f>IF(OR($A115&gt;MAX(Trato_Diario!$A$4:$A$203),SUMIFS(Trato_Diario!$G$4:$G$203,Trato_Diario!$B$4:$B$203,F$5,Trato_Diario!$A$4:$A$203,$A115)=0),"",SUMIFS(Trato_Diario!$J$4:$J$203,Trato_Diario!$B$4:$B$203,F$5,Trato_Diario!$A$4:$A$203,$A115)/SUMIFS(Trato_Diario!$G$4:$G$203,Trato_Diario!$B$4:$B$203,F$5,Trato_Diario!$A$4:$A$203,$A115))</f>
        <v/>
      </c>
      <c r="G115" s="20" t="str">
        <f>IF(OR($A115&gt;MAX(Trato_Diario!$A$4:$A$203),SUMIFS(Trato_Diario!$G$4:$G$203,Trato_Diario!$B$4:$B$203,G$5,Trato_Diario!$A$4:$A$203,$A115)=0),"",SUMIFS(Trato_Diario!$J$4:$J$203,Trato_Diario!$B$4:$B$203,G$5,Trato_Diario!$A$4:$A$203,$A115)/SUMIFS(Trato_Diario!$G$4:$G$203,Trato_Diario!$B$4:$B$203,G$5,Trato_Diario!$A$4:$A$203,$A115))</f>
        <v/>
      </c>
      <c r="H115" s="59" t="str">
        <f>IF(OR($A115&gt;MAX(Trato_Diario!$A$4:$A$203),SUMIFS(Trato_Diario!$G$4:$G$203,Trato_Diario!$A$4:$A$203,$A115)=0),"",SUMIFS(Trato_Diario!$J$4:$J$203,Trato_Diario!$A$4:$A$203,$A115)/SUMIFS(Trato_Diario!$G$4:$G$203,Trato_Diario!$A$4:$A$203,$A115))</f>
        <v/>
      </c>
    </row>
    <row r="116" spans="1:8" ht="14.25" customHeight="1" x14ac:dyDescent="0.3">
      <c r="A116" s="71">
        <v>46303</v>
      </c>
      <c r="B116" s="46" t="str">
        <f>IF(OR($A116&gt;MAX(Trato_Diario!$A$4:$A$203),SUMIFS(Trato_Diario!$G$4:$G$203,Trato_Diario!$B$4:$B$203,B$5,Trato_Diario!$A$4:$A$203,$A116)=0),"",SUMIFS(Trato_Diario!$J$4:$J$203,Trato_Diario!$B$4:$B$203,B$5,Trato_Diario!$A$4:$A$203,$A116)/SUMIFS(Trato_Diario!$G$4:$G$203,Trato_Diario!$B$4:$B$203,B$5,Trato_Diario!$A$4:$A$203,$A116))</f>
        <v/>
      </c>
      <c r="C116" s="46" t="str">
        <f>IF(OR($A116&gt;MAX(Trato_Diario!$A$4:$A$203),SUMIFS(Trato_Diario!$G$4:$G$203,Trato_Diario!$B$4:$B$203,C$5,Trato_Diario!$A$4:$A$203,$A116)=0),"",SUMIFS(Trato_Diario!$J$4:$J$203,Trato_Diario!$B$4:$B$203,C$5,Trato_Diario!$A$4:$A$203,$A116)/SUMIFS(Trato_Diario!$G$4:$G$203,Trato_Diario!$B$4:$B$203,C$5,Trato_Diario!$A$4:$A$203,$A116))</f>
        <v/>
      </c>
      <c r="D116" s="46" t="str">
        <f>IF(OR($A116&gt;MAX(Trato_Diario!$A$4:$A$203),SUMIFS(Trato_Diario!$G$4:$G$203,Trato_Diario!$B$4:$B$203,D$5,Trato_Diario!$A$4:$A$203,$A116)=0),"",SUMIFS(Trato_Diario!$J$4:$J$203,Trato_Diario!$B$4:$B$203,D$5,Trato_Diario!$A$4:$A$203,$A116)/SUMIFS(Trato_Diario!$G$4:$G$203,Trato_Diario!$B$4:$B$203,D$5,Trato_Diario!$A$4:$A$203,$A116))</f>
        <v/>
      </c>
      <c r="E116" s="46" t="str">
        <f>IF(OR($A116&gt;MAX(Trato_Diario!$A$4:$A$203),SUMIFS(Trato_Diario!$G$4:$G$203,Trato_Diario!$B$4:$B$203,E$5,Trato_Diario!$A$4:$A$203,$A116)=0),"",SUMIFS(Trato_Diario!$J$4:$J$203,Trato_Diario!$B$4:$B$203,E$5,Trato_Diario!$A$4:$A$203,$A116)/SUMIFS(Trato_Diario!$G$4:$G$203,Trato_Diario!$B$4:$B$203,E$5,Trato_Diario!$A$4:$A$203,$A116))</f>
        <v/>
      </c>
      <c r="F116" s="46" t="str">
        <f>IF(OR($A116&gt;MAX(Trato_Diario!$A$4:$A$203),SUMIFS(Trato_Diario!$G$4:$G$203,Trato_Diario!$B$4:$B$203,F$5,Trato_Diario!$A$4:$A$203,$A116)=0),"",SUMIFS(Trato_Diario!$J$4:$J$203,Trato_Diario!$B$4:$B$203,F$5,Trato_Diario!$A$4:$A$203,$A116)/SUMIFS(Trato_Diario!$G$4:$G$203,Trato_Diario!$B$4:$B$203,F$5,Trato_Diario!$A$4:$A$203,$A116))</f>
        <v/>
      </c>
      <c r="G116" s="46" t="str">
        <f>IF(OR($A116&gt;MAX(Trato_Diario!$A$4:$A$203),SUMIFS(Trato_Diario!$G$4:$G$203,Trato_Diario!$B$4:$B$203,G$5,Trato_Diario!$A$4:$A$203,$A116)=0),"",SUMIFS(Trato_Diario!$J$4:$J$203,Trato_Diario!$B$4:$B$203,G$5,Trato_Diario!$A$4:$A$203,$A116)/SUMIFS(Trato_Diario!$G$4:$G$203,Trato_Diario!$B$4:$B$203,G$5,Trato_Diario!$A$4:$A$203,$A116))</f>
        <v/>
      </c>
      <c r="H116" s="57" t="str">
        <f>IF(OR($A116&gt;MAX(Trato_Diario!$A$4:$A$203),SUMIFS(Trato_Diario!$G$4:$G$203,Trato_Diario!$A$4:$A$203,$A116)=0),"",SUMIFS(Trato_Diario!$J$4:$J$203,Trato_Diario!$A$4:$A$203,$A116)/SUMIFS(Trato_Diario!$G$4:$G$203,Trato_Diario!$A$4:$A$203,$A116))</f>
        <v/>
      </c>
    </row>
    <row r="117" spans="1:8" ht="14.25" customHeight="1" x14ac:dyDescent="0.3">
      <c r="A117" s="72">
        <v>46304</v>
      </c>
      <c r="B117" s="20" t="str">
        <f>IF(OR($A117&gt;MAX(Trato_Diario!$A$4:$A$203),SUMIFS(Trato_Diario!$G$4:$G$203,Trato_Diario!$B$4:$B$203,B$5,Trato_Diario!$A$4:$A$203,$A117)=0),"",SUMIFS(Trato_Diario!$J$4:$J$203,Trato_Diario!$B$4:$B$203,B$5,Trato_Diario!$A$4:$A$203,$A117)/SUMIFS(Trato_Diario!$G$4:$G$203,Trato_Diario!$B$4:$B$203,B$5,Trato_Diario!$A$4:$A$203,$A117))</f>
        <v/>
      </c>
      <c r="C117" s="20" t="str">
        <f>IF(OR($A117&gt;MAX(Trato_Diario!$A$4:$A$203),SUMIFS(Trato_Diario!$G$4:$G$203,Trato_Diario!$B$4:$B$203,C$5,Trato_Diario!$A$4:$A$203,$A117)=0),"",SUMIFS(Trato_Diario!$J$4:$J$203,Trato_Diario!$B$4:$B$203,C$5,Trato_Diario!$A$4:$A$203,$A117)/SUMIFS(Trato_Diario!$G$4:$G$203,Trato_Diario!$B$4:$B$203,C$5,Trato_Diario!$A$4:$A$203,$A117))</f>
        <v/>
      </c>
      <c r="D117" s="20" t="str">
        <f>IF(OR($A117&gt;MAX(Trato_Diario!$A$4:$A$203),SUMIFS(Trato_Diario!$G$4:$G$203,Trato_Diario!$B$4:$B$203,D$5,Trato_Diario!$A$4:$A$203,$A117)=0),"",SUMIFS(Trato_Diario!$J$4:$J$203,Trato_Diario!$B$4:$B$203,D$5,Trato_Diario!$A$4:$A$203,$A117)/SUMIFS(Trato_Diario!$G$4:$G$203,Trato_Diario!$B$4:$B$203,D$5,Trato_Diario!$A$4:$A$203,$A117))</f>
        <v/>
      </c>
      <c r="E117" s="20" t="str">
        <f>IF(OR($A117&gt;MAX(Trato_Diario!$A$4:$A$203),SUMIFS(Trato_Diario!$G$4:$G$203,Trato_Diario!$B$4:$B$203,E$5,Trato_Diario!$A$4:$A$203,$A117)=0),"",SUMIFS(Trato_Diario!$J$4:$J$203,Trato_Diario!$B$4:$B$203,E$5,Trato_Diario!$A$4:$A$203,$A117)/SUMIFS(Trato_Diario!$G$4:$G$203,Trato_Diario!$B$4:$B$203,E$5,Trato_Diario!$A$4:$A$203,$A117))</f>
        <v/>
      </c>
      <c r="F117" s="20" t="str">
        <f>IF(OR($A117&gt;MAX(Trato_Diario!$A$4:$A$203),SUMIFS(Trato_Diario!$G$4:$G$203,Trato_Diario!$B$4:$B$203,F$5,Trato_Diario!$A$4:$A$203,$A117)=0),"",SUMIFS(Trato_Diario!$J$4:$J$203,Trato_Diario!$B$4:$B$203,F$5,Trato_Diario!$A$4:$A$203,$A117)/SUMIFS(Trato_Diario!$G$4:$G$203,Trato_Diario!$B$4:$B$203,F$5,Trato_Diario!$A$4:$A$203,$A117))</f>
        <v/>
      </c>
      <c r="G117" s="20" t="str">
        <f>IF(OR($A117&gt;MAX(Trato_Diario!$A$4:$A$203),SUMIFS(Trato_Diario!$G$4:$G$203,Trato_Diario!$B$4:$B$203,G$5,Trato_Diario!$A$4:$A$203,$A117)=0),"",SUMIFS(Trato_Diario!$J$4:$J$203,Trato_Diario!$B$4:$B$203,G$5,Trato_Diario!$A$4:$A$203,$A117)/SUMIFS(Trato_Diario!$G$4:$G$203,Trato_Diario!$B$4:$B$203,G$5,Trato_Diario!$A$4:$A$203,$A117))</f>
        <v/>
      </c>
      <c r="H117" s="59" t="str">
        <f>IF(OR($A117&gt;MAX(Trato_Diario!$A$4:$A$203),SUMIFS(Trato_Diario!$G$4:$G$203,Trato_Diario!$A$4:$A$203,$A117)=0),"",SUMIFS(Trato_Diario!$J$4:$J$203,Trato_Diario!$A$4:$A$203,$A117)/SUMIFS(Trato_Diario!$G$4:$G$203,Trato_Diario!$A$4:$A$203,$A117))</f>
        <v/>
      </c>
    </row>
    <row r="118" spans="1:8" ht="14.25" customHeight="1" x14ac:dyDescent="0.3">
      <c r="A118" s="71">
        <v>46305</v>
      </c>
      <c r="B118" s="46" t="str">
        <f>IF(OR($A118&gt;MAX(Trato_Diario!$A$4:$A$203),SUMIFS(Trato_Diario!$G$4:$G$203,Trato_Diario!$B$4:$B$203,B$5,Trato_Diario!$A$4:$A$203,$A118)=0),"",SUMIFS(Trato_Diario!$J$4:$J$203,Trato_Diario!$B$4:$B$203,B$5,Trato_Diario!$A$4:$A$203,$A118)/SUMIFS(Trato_Diario!$G$4:$G$203,Trato_Diario!$B$4:$B$203,B$5,Trato_Diario!$A$4:$A$203,$A118))</f>
        <v/>
      </c>
      <c r="C118" s="46" t="str">
        <f>IF(OR($A118&gt;MAX(Trato_Diario!$A$4:$A$203),SUMIFS(Trato_Diario!$G$4:$G$203,Trato_Diario!$B$4:$B$203,C$5,Trato_Diario!$A$4:$A$203,$A118)=0),"",SUMIFS(Trato_Diario!$J$4:$J$203,Trato_Diario!$B$4:$B$203,C$5,Trato_Diario!$A$4:$A$203,$A118)/SUMIFS(Trato_Diario!$G$4:$G$203,Trato_Diario!$B$4:$B$203,C$5,Trato_Diario!$A$4:$A$203,$A118))</f>
        <v/>
      </c>
      <c r="D118" s="46" t="str">
        <f>IF(OR($A118&gt;MAX(Trato_Diario!$A$4:$A$203),SUMIFS(Trato_Diario!$G$4:$G$203,Trato_Diario!$B$4:$B$203,D$5,Trato_Diario!$A$4:$A$203,$A118)=0),"",SUMIFS(Trato_Diario!$J$4:$J$203,Trato_Diario!$B$4:$B$203,D$5,Trato_Diario!$A$4:$A$203,$A118)/SUMIFS(Trato_Diario!$G$4:$G$203,Trato_Diario!$B$4:$B$203,D$5,Trato_Diario!$A$4:$A$203,$A118))</f>
        <v/>
      </c>
      <c r="E118" s="46" t="str">
        <f>IF(OR($A118&gt;MAX(Trato_Diario!$A$4:$A$203),SUMIFS(Trato_Diario!$G$4:$G$203,Trato_Diario!$B$4:$B$203,E$5,Trato_Diario!$A$4:$A$203,$A118)=0),"",SUMIFS(Trato_Diario!$J$4:$J$203,Trato_Diario!$B$4:$B$203,E$5,Trato_Diario!$A$4:$A$203,$A118)/SUMIFS(Trato_Diario!$G$4:$G$203,Trato_Diario!$B$4:$B$203,E$5,Trato_Diario!$A$4:$A$203,$A118))</f>
        <v/>
      </c>
      <c r="F118" s="46" t="str">
        <f>IF(OR($A118&gt;MAX(Trato_Diario!$A$4:$A$203),SUMIFS(Trato_Diario!$G$4:$G$203,Trato_Diario!$B$4:$B$203,F$5,Trato_Diario!$A$4:$A$203,$A118)=0),"",SUMIFS(Trato_Diario!$J$4:$J$203,Trato_Diario!$B$4:$B$203,F$5,Trato_Diario!$A$4:$A$203,$A118)/SUMIFS(Trato_Diario!$G$4:$G$203,Trato_Diario!$B$4:$B$203,F$5,Trato_Diario!$A$4:$A$203,$A118))</f>
        <v/>
      </c>
      <c r="G118" s="46" t="str">
        <f>IF(OR($A118&gt;MAX(Trato_Diario!$A$4:$A$203),SUMIFS(Trato_Diario!$G$4:$G$203,Trato_Diario!$B$4:$B$203,G$5,Trato_Diario!$A$4:$A$203,$A118)=0),"",SUMIFS(Trato_Diario!$J$4:$J$203,Trato_Diario!$B$4:$B$203,G$5,Trato_Diario!$A$4:$A$203,$A118)/SUMIFS(Trato_Diario!$G$4:$G$203,Trato_Diario!$B$4:$B$203,G$5,Trato_Diario!$A$4:$A$203,$A118))</f>
        <v/>
      </c>
      <c r="H118" s="57" t="str">
        <f>IF(OR($A118&gt;MAX(Trato_Diario!$A$4:$A$203),SUMIFS(Trato_Diario!$G$4:$G$203,Trato_Diario!$A$4:$A$203,$A118)=0),"",SUMIFS(Trato_Diario!$J$4:$J$203,Trato_Diario!$A$4:$A$203,$A118)/SUMIFS(Trato_Diario!$G$4:$G$203,Trato_Diario!$A$4:$A$203,$A118))</f>
        <v/>
      </c>
    </row>
    <row r="119" spans="1:8" ht="14.25" customHeight="1" x14ac:dyDescent="0.3">
      <c r="A119" s="72">
        <v>46306</v>
      </c>
      <c r="B119" s="20" t="str">
        <f>IF(OR($A119&gt;MAX(Trato_Diario!$A$4:$A$203),SUMIFS(Trato_Diario!$G$4:$G$203,Trato_Diario!$B$4:$B$203,B$5,Trato_Diario!$A$4:$A$203,$A119)=0),"",SUMIFS(Trato_Diario!$J$4:$J$203,Trato_Diario!$B$4:$B$203,B$5,Trato_Diario!$A$4:$A$203,$A119)/SUMIFS(Trato_Diario!$G$4:$G$203,Trato_Diario!$B$4:$B$203,B$5,Trato_Diario!$A$4:$A$203,$A119))</f>
        <v/>
      </c>
      <c r="C119" s="20" t="str">
        <f>IF(OR($A119&gt;MAX(Trato_Diario!$A$4:$A$203),SUMIFS(Trato_Diario!$G$4:$G$203,Trato_Diario!$B$4:$B$203,C$5,Trato_Diario!$A$4:$A$203,$A119)=0),"",SUMIFS(Trato_Diario!$J$4:$J$203,Trato_Diario!$B$4:$B$203,C$5,Trato_Diario!$A$4:$A$203,$A119)/SUMIFS(Trato_Diario!$G$4:$G$203,Trato_Diario!$B$4:$B$203,C$5,Trato_Diario!$A$4:$A$203,$A119))</f>
        <v/>
      </c>
      <c r="D119" s="20" t="str">
        <f>IF(OR($A119&gt;MAX(Trato_Diario!$A$4:$A$203),SUMIFS(Trato_Diario!$G$4:$G$203,Trato_Diario!$B$4:$B$203,D$5,Trato_Diario!$A$4:$A$203,$A119)=0),"",SUMIFS(Trato_Diario!$J$4:$J$203,Trato_Diario!$B$4:$B$203,D$5,Trato_Diario!$A$4:$A$203,$A119)/SUMIFS(Trato_Diario!$G$4:$G$203,Trato_Diario!$B$4:$B$203,D$5,Trato_Diario!$A$4:$A$203,$A119))</f>
        <v/>
      </c>
      <c r="E119" s="20" t="str">
        <f>IF(OR($A119&gt;MAX(Trato_Diario!$A$4:$A$203),SUMIFS(Trato_Diario!$G$4:$G$203,Trato_Diario!$B$4:$B$203,E$5,Trato_Diario!$A$4:$A$203,$A119)=0),"",SUMIFS(Trato_Diario!$J$4:$J$203,Trato_Diario!$B$4:$B$203,E$5,Trato_Diario!$A$4:$A$203,$A119)/SUMIFS(Trato_Diario!$G$4:$G$203,Trato_Diario!$B$4:$B$203,E$5,Trato_Diario!$A$4:$A$203,$A119))</f>
        <v/>
      </c>
      <c r="F119" s="20" t="str">
        <f>IF(OR($A119&gt;MAX(Trato_Diario!$A$4:$A$203),SUMIFS(Trato_Diario!$G$4:$G$203,Trato_Diario!$B$4:$B$203,F$5,Trato_Diario!$A$4:$A$203,$A119)=0),"",SUMIFS(Trato_Diario!$J$4:$J$203,Trato_Diario!$B$4:$B$203,F$5,Trato_Diario!$A$4:$A$203,$A119)/SUMIFS(Trato_Diario!$G$4:$G$203,Trato_Diario!$B$4:$B$203,F$5,Trato_Diario!$A$4:$A$203,$A119))</f>
        <v/>
      </c>
      <c r="G119" s="20" t="str">
        <f>IF(OR($A119&gt;MAX(Trato_Diario!$A$4:$A$203),SUMIFS(Trato_Diario!$G$4:$G$203,Trato_Diario!$B$4:$B$203,G$5,Trato_Diario!$A$4:$A$203,$A119)=0),"",SUMIFS(Trato_Diario!$J$4:$J$203,Trato_Diario!$B$4:$B$203,G$5,Trato_Diario!$A$4:$A$203,$A119)/SUMIFS(Trato_Diario!$G$4:$G$203,Trato_Diario!$B$4:$B$203,G$5,Trato_Diario!$A$4:$A$203,$A119))</f>
        <v/>
      </c>
      <c r="H119" s="59" t="str">
        <f>IF(OR($A119&gt;MAX(Trato_Diario!$A$4:$A$203),SUMIFS(Trato_Diario!$G$4:$G$203,Trato_Diario!$A$4:$A$203,$A119)=0),"",SUMIFS(Trato_Diario!$J$4:$J$203,Trato_Diario!$A$4:$A$203,$A119)/SUMIFS(Trato_Diario!$G$4:$G$203,Trato_Diario!$A$4:$A$203,$A119))</f>
        <v/>
      </c>
    </row>
    <row r="120" spans="1:8" ht="14.25" customHeight="1" x14ac:dyDescent="0.3">
      <c r="A120" s="71">
        <v>46307</v>
      </c>
      <c r="B120" s="46" t="str">
        <f>IF(OR($A120&gt;MAX(Trato_Diario!$A$4:$A$203),SUMIFS(Trato_Diario!$G$4:$G$203,Trato_Diario!$B$4:$B$203,B$5,Trato_Diario!$A$4:$A$203,$A120)=0),"",SUMIFS(Trato_Diario!$J$4:$J$203,Trato_Diario!$B$4:$B$203,B$5,Trato_Diario!$A$4:$A$203,$A120)/SUMIFS(Trato_Diario!$G$4:$G$203,Trato_Diario!$B$4:$B$203,B$5,Trato_Diario!$A$4:$A$203,$A120))</f>
        <v/>
      </c>
      <c r="C120" s="46" t="str">
        <f>IF(OR($A120&gt;MAX(Trato_Diario!$A$4:$A$203),SUMIFS(Trato_Diario!$G$4:$G$203,Trato_Diario!$B$4:$B$203,C$5,Trato_Diario!$A$4:$A$203,$A120)=0),"",SUMIFS(Trato_Diario!$J$4:$J$203,Trato_Diario!$B$4:$B$203,C$5,Trato_Diario!$A$4:$A$203,$A120)/SUMIFS(Trato_Diario!$G$4:$G$203,Trato_Diario!$B$4:$B$203,C$5,Trato_Diario!$A$4:$A$203,$A120))</f>
        <v/>
      </c>
      <c r="D120" s="46" t="str">
        <f>IF(OR($A120&gt;MAX(Trato_Diario!$A$4:$A$203),SUMIFS(Trato_Diario!$G$4:$G$203,Trato_Diario!$B$4:$B$203,D$5,Trato_Diario!$A$4:$A$203,$A120)=0),"",SUMIFS(Trato_Diario!$J$4:$J$203,Trato_Diario!$B$4:$B$203,D$5,Trato_Diario!$A$4:$A$203,$A120)/SUMIFS(Trato_Diario!$G$4:$G$203,Trato_Diario!$B$4:$B$203,D$5,Trato_Diario!$A$4:$A$203,$A120))</f>
        <v/>
      </c>
      <c r="E120" s="46" t="str">
        <f>IF(OR($A120&gt;MAX(Trato_Diario!$A$4:$A$203),SUMIFS(Trato_Diario!$G$4:$G$203,Trato_Diario!$B$4:$B$203,E$5,Trato_Diario!$A$4:$A$203,$A120)=0),"",SUMIFS(Trato_Diario!$J$4:$J$203,Trato_Diario!$B$4:$B$203,E$5,Trato_Diario!$A$4:$A$203,$A120)/SUMIFS(Trato_Diario!$G$4:$G$203,Trato_Diario!$B$4:$B$203,E$5,Trato_Diario!$A$4:$A$203,$A120))</f>
        <v/>
      </c>
      <c r="F120" s="46" t="str">
        <f>IF(OR($A120&gt;MAX(Trato_Diario!$A$4:$A$203),SUMIFS(Trato_Diario!$G$4:$G$203,Trato_Diario!$B$4:$B$203,F$5,Trato_Diario!$A$4:$A$203,$A120)=0),"",SUMIFS(Trato_Diario!$J$4:$J$203,Trato_Diario!$B$4:$B$203,F$5,Trato_Diario!$A$4:$A$203,$A120)/SUMIFS(Trato_Diario!$G$4:$G$203,Trato_Diario!$B$4:$B$203,F$5,Trato_Diario!$A$4:$A$203,$A120))</f>
        <v/>
      </c>
      <c r="G120" s="46" t="str">
        <f>IF(OR($A120&gt;MAX(Trato_Diario!$A$4:$A$203),SUMIFS(Trato_Diario!$G$4:$G$203,Trato_Diario!$B$4:$B$203,G$5,Trato_Diario!$A$4:$A$203,$A120)=0),"",SUMIFS(Trato_Diario!$J$4:$J$203,Trato_Diario!$B$4:$B$203,G$5,Trato_Diario!$A$4:$A$203,$A120)/SUMIFS(Trato_Diario!$G$4:$G$203,Trato_Diario!$B$4:$B$203,G$5,Trato_Diario!$A$4:$A$203,$A120))</f>
        <v/>
      </c>
      <c r="H120" s="57" t="str">
        <f>IF(OR($A120&gt;MAX(Trato_Diario!$A$4:$A$203),SUMIFS(Trato_Diario!$G$4:$G$203,Trato_Diario!$A$4:$A$203,$A120)=0),"",SUMIFS(Trato_Diario!$J$4:$J$203,Trato_Diario!$A$4:$A$203,$A120)/SUMIFS(Trato_Diario!$G$4:$G$203,Trato_Diario!$A$4:$A$203,$A120))</f>
        <v/>
      </c>
    </row>
    <row r="121" spans="1:8" ht="14.25" customHeight="1" x14ac:dyDescent="0.3">
      <c r="A121" s="72">
        <v>46308</v>
      </c>
      <c r="B121" s="20" t="str">
        <f>IF(OR($A121&gt;MAX(Trato_Diario!$A$4:$A$203),SUMIFS(Trato_Diario!$G$4:$G$203,Trato_Diario!$B$4:$B$203,B$5,Trato_Diario!$A$4:$A$203,$A121)=0),"",SUMIFS(Trato_Diario!$J$4:$J$203,Trato_Diario!$B$4:$B$203,B$5,Trato_Diario!$A$4:$A$203,$A121)/SUMIFS(Trato_Diario!$G$4:$G$203,Trato_Diario!$B$4:$B$203,B$5,Trato_Diario!$A$4:$A$203,$A121))</f>
        <v/>
      </c>
      <c r="C121" s="20" t="str">
        <f>IF(OR($A121&gt;MAX(Trato_Diario!$A$4:$A$203),SUMIFS(Trato_Diario!$G$4:$G$203,Trato_Diario!$B$4:$B$203,C$5,Trato_Diario!$A$4:$A$203,$A121)=0),"",SUMIFS(Trato_Diario!$J$4:$J$203,Trato_Diario!$B$4:$B$203,C$5,Trato_Diario!$A$4:$A$203,$A121)/SUMIFS(Trato_Diario!$G$4:$G$203,Trato_Diario!$B$4:$B$203,C$5,Trato_Diario!$A$4:$A$203,$A121))</f>
        <v/>
      </c>
      <c r="D121" s="20" t="str">
        <f>IF(OR($A121&gt;MAX(Trato_Diario!$A$4:$A$203),SUMIFS(Trato_Diario!$G$4:$G$203,Trato_Diario!$B$4:$B$203,D$5,Trato_Diario!$A$4:$A$203,$A121)=0),"",SUMIFS(Trato_Diario!$J$4:$J$203,Trato_Diario!$B$4:$B$203,D$5,Trato_Diario!$A$4:$A$203,$A121)/SUMIFS(Trato_Diario!$G$4:$G$203,Trato_Diario!$B$4:$B$203,D$5,Trato_Diario!$A$4:$A$203,$A121))</f>
        <v/>
      </c>
      <c r="E121" s="20" t="str">
        <f>IF(OR($A121&gt;MAX(Trato_Diario!$A$4:$A$203),SUMIFS(Trato_Diario!$G$4:$G$203,Trato_Diario!$B$4:$B$203,E$5,Trato_Diario!$A$4:$A$203,$A121)=0),"",SUMIFS(Trato_Diario!$J$4:$J$203,Trato_Diario!$B$4:$B$203,E$5,Trato_Diario!$A$4:$A$203,$A121)/SUMIFS(Trato_Diario!$G$4:$G$203,Trato_Diario!$B$4:$B$203,E$5,Trato_Diario!$A$4:$A$203,$A121))</f>
        <v/>
      </c>
      <c r="F121" s="20" t="str">
        <f>IF(OR($A121&gt;MAX(Trato_Diario!$A$4:$A$203),SUMIFS(Trato_Diario!$G$4:$G$203,Trato_Diario!$B$4:$B$203,F$5,Trato_Diario!$A$4:$A$203,$A121)=0),"",SUMIFS(Trato_Diario!$J$4:$J$203,Trato_Diario!$B$4:$B$203,F$5,Trato_Diario!$A$4:$A$203,$A121)/SUMIFS(Trato_Diario!$G$4:$G$203,Trato_Diario!$B$4:$B$203,F$5,Trato_Diario!$A$4:$A$203,$A121))</f>
        <v/>
      </c>
      <c r="G121" s="20" t="str">
        <f>IF(OR($A121&gt;MAX(Trato_Diario!$A$4:$A$203),SUMIFS(Trato_Diario!$G$4:$G$203,Trato_Diario!$B$4:$B$203,G$5,Trato_Diario!$A$4:$A$203,$A121)=0),"",SUMIFS(Trato_Diario!$J$4:$J$203,Trato_Diario!$B$4:$B$203,G$5,Trato_Diario!$A$4:$A$203,$A121)/SUMIFS(Trato_Diario!$G$4:$G$203,Trato_Diario!$B$4:$B$203,G$5,Trato_Diario!$A$4:$A$203,$A121))</f>
        <v/>
      </c>
      <c r="H121" s="59" t="str">
        <f>IF(OR($A121&gt;MAX(Trato_Diario!$A$4:$A$203),SUMIFS(Trato_Diario!$G$4:$G$203,Trato_Diario!$A$4:$A$203,$A121)=0),"",SUMIFS(Trato_Diario!$J$4:$J$203,Trato_Diario!$A$4:$A$203,$A121)/SUMIFS(Trato_Diario!$G$4:$G$203,Trato_Diario!$A$4:$A$203,$A121))</f>
        <v/>
      </c>
    </row>
    <row r="122" spans="1:8" ht="14.25" customHeight="1" x14ac:dyDescent="0.3">
      <c r="A122" s="71">
        <v>46309</v>
      </c>
      <c r="B122" s="46" t="str">
        <f>IF(OR($A122&gt;MAX(Trato_Diario!$A$4:$A$203),SUMIFS(Trato_Diario!$G$4:$G$203,Trato_Diario!$B$4:$B$203,B$5,Trato_Diario!$A$4:$A$203,$A122)=0),"",SUMIFS(Trato_Diario!$J$4:$J$203,Trato_Diario!$B$4:$B$203,B$5,Trato_Diario!$A$4:$A$203,$A122)/SUMIFS(Trato_Diario!$G$4:$G$203,Trato_Diario!$B$4:$B$203,B$5,Trato_Diario!$A$4:$A$203,$A122))</f>
        <v/>
      </c>
      <c r="C122" s="46" t="str">
        <f>IF(OR($A122&gt;MAX(Trato_Diario!$A$4:$A$203),SUMIFS(Trato_Diario!$G$4:$G$203,Trato_Diario!$B$4:$B$203,C$5,Trato_Diario!$A$4:$A$203,$A122)=0),"",SUMIFS(Trato_Diario!$J$4:$J$203,Trato_Diario!$B$4:$B$203,C$5,Trato_Diario!$A$4:$A$203,$A122)/SUMIFS(Trato_Diario!$G$4:$G$203,Trato_Diario!$B$4:$B$203,C$5,Trato_Diario!$A$4:$A$203,$A122))</f>
        <v/>
      </c>
      <c r="D122" s="46" t="str">
        <f>IF(OR($A122&gt;MAX(Trato_Diario!$A$4:$A$203),SUMIFS(Trato_Diario!$G$4:$G$203,Trato_Diario!$B$4:$B$203,D$5,Trato_Diario!$A$4:$A$203,$A122)=0),"",SUMIFS(Trato_Diario!$J$4:$J$203,Trato_Diario!$B$4:$B$203,D$5,Trato_Diario!$A$4:$A$203,$A122)/SUMIFS(Trato_Diario!$G$4:$G$203,Trato_Diario!$B$4:$B$203,D$5,Trato_Diario!$A$4:$A$203,$A122))</f>
        <v/>
      </c>
      <c r="E122" s="46" t="str">
        <f>IF(OR($A122&gt;MAX(Trato_Diario!$A$4:$A$203),SUMIFS(Trato_Diario!$G$4:$G$203,Trato_Diario!$B$4:$B$203,E$5,Trato_Diario!$A$4:$A$203,$A122)=0),"",SUMIFS(Trato_Diario!$J$4:$J$203,Trato_Diario!$B$4:$B$203,E$5,Trato_Diario!$A$4:$A$203,$A122)/SUMIFS(Trato_Diario!$G$4:$G$203,Trato_Diario!$B$4:$B$203,E$5,Trato_Diario!$A$4:$A$203,$A122))</f>
        <v/>
      </c>
      <c r="F122" s="46" t="str">
        <f>IF(OR($A122&gt;MAX(Trato_Diario!$A$4:$A$203),SUMIFS(Trato_Diario!$G$4:$G$203,Trato_Diario!$B$4:$B$203,F$5,Trato_Diario!$A$4:$A$203,$A122)=0),"",SUMIFS(Trato_Diario!$J$4:$J$203,Trato_Diario!$B$4:$B$203,F$5,Trato_Diario!$A$4:$A$203,$A122)/SUMIFS(Trato_Diario!$G$4:$G$203,Trato_Diario!$B$4:$B$203,F$5,Trato_Diario!$A$4:$A$203,$A122))</f>
        <v/>
      </c>
      <c r="G122" s="46" t="str">
        <f>IF(OR($A122&gt;MAX(Trato_Diario!$A$4:$A$203),SUMIFS(Trato_Diario!$G$4:$G$203,Trato_Diario!$B$4:$B$203,G$5,Trato_Diario!$A$4:$A$203,$A122)=0),"",SUMIFS(Trato_Diario!$J$4:$J$203,Trato_Diario!$B$4:$B$203,G$5,Trato_Diario!$A$4:$A$203,$A122)/SUMIFS(Trato_Diario!$G$4:$G$203,Trato_Diario!$B$4:$B$203,G$5,Trato_Diario!$A$4:$A$203,$A122))</f>
        <v/>
      </c>
      <c r="H122" s="57" t="str">
        <f>IF(OR($A122&gt;MAX(Trato_Diario!$A$4:$A$203),SUMIFS(Trato_Diario!$G$4:$G$203,Trato_Diario!$A$4:$A$203,$A122)=0),"",SUMIFS(Trato_Diario!$J$4:$J$203,Trato_Diario!$A$4:$A$203,$A122)/SUMIFS(Trato_Diario!$G$4:$G$203,Trato_Diario!$A$4:$A$203,$A122))</f>
        <v/>
      </c>
    </row>
    <row r="123" spans="1:8" ht="14.25" customHeight="1" x14ac:dyDescent="0.3">
      <c r="A123" s="72">
        <v>46310</v>
      </c>
      <c r="B123" s="20" t="str">
        <f>IF(OR($A123&gt;MAX(Trato_Diario!$A$4:$A$203),SUMIFS(Trato_Diario!$G$4:$G$203,Trato_Diario!$B$4:$B$203,B$5,Trato_Diario!$A$4:$A$203,$A123)=0),"",SUMIFS(Trato_Diario!$J$4:$J$203,Trato_Diario!$B$4:$B$203,B$5,Trato_Diario!$A$4:$A$203,$A123)/SUMIFS(Trato_Diario!$G$4:$G$203,Trato_Diario!$B$4:$B$203,B$5,Trato_Diario!$A$4:$A$203,$A123))</f>
        <v/>
      </c>
      <c r="C123" s="20" t="str">
        <f>IF(OR($A123&gt;MAX(Trato_Diario!$A$4:$A$203),SUMIFS(Trato_Diario!$G$4:$G$203,Trato_Diario!$B$4:$B$203,C$5,Trato_Diario!$A$4:$A$203,$A123)=0),"",SUMIFS(Trato_Diario!$J$4:$J$203,Trato_Diario!$B$4:$B$203,C$5,Trato_Diario!$A$4:$A$203,$A123)/SUMIFS(Trato_Diario!$G$4:$G$203,Trato_Diario!$B$4:$B$203,C$5,Trato_Diario!$A$4:$A$203,$A123))</f>
        <v/>
      </c>
      <c r="D123" s="20" t="str">
        <f>IF(OR($A123&gt;MAX(Trato_Diario!$A$4:$A$203),SUMIFS(Trato_Diario!$G$4:$G$203,Trato_Diario!$B$4:$B$203,D$5,Trato_Diario!$A$4:$A$203,$A123)=0),"",SUMIFS(Trato_Diario!$J$4:$J$203,Trato_Diario!$B$4:$B$203,D$5,Trato_Diario!$A$4:$A$203,$A123)/SUMIFS(Trato_Diario!$G$4:$G$203,Trato_Diario!$B$4:$B$203,D$5,Trato_Diario!$A$4:$A$203,$A123))</f>
        <v/>
      </c>
      <c r="E123" s="20" t="str">
        <f>IF(OR($A123&gt;MAX(Trato_Diario!$A$4:$A$203),SUMIFS(Trato_Diario!$G$4:$G$203,Trato_Diario!$B$4:$B$203,E$5,Trato_Diario!$A$4:$A$203,$A123)=0),"",SUMIFS(Trato_Diario!$J$4:$J$203,Trato_Diario!$B$4:$B$203,E$5,Trato_Diario!$A$4:$A$203,$A123)/SUMIFS(Trato_Diario!$G$4:$G$203,Trato_Diario!$B$4:$B$203,E$5,Trato_Diario!$A$4:$A$203,$A123))</f>
        <v/>
      </c>
      <c r="F123" s="20" t="str">
        <f>IF(OR($A123&gt;MAX(Trato_Diario!$A$4:$A$203),SUMIFS(Trato_Diario!$G$4:$G$203,Trato_Diario!$B$4:$B$203,F$5,Trato_Diario!$A$4:$A$203,$A123)=0),"",SUMIFS(Trato_Diario!$J$4:$J$203,Trato_Diario!$B$4:$B$203,F$5,Trato_Diario!$A$4:$A$203,$A123)/SUMIFS(Trato_Diario!$G$4:$G$203,Trato_Diario!$B$4:$B$203,F$5,Trato_Diario!$A$4:$A$203,$A123))</f>
        <v/>
      </c>
      <c r="G123" s="20" t="str">
        <f>IF(OR($A123&gt;MAX(Trato_Diario!$A$4:$A$203),SUMIFS(Trato_Diario!$G$4:$G$203,Trato_Diario!$B$4:$B$203,G$5,Trato_Diario!$A$4:$A$203,$A123)=0),"",SUMIFS(Trato_Diario!$J$4:$J$203,Trato_Diario!$B$4:$B$203,G$5,Trato_Diario!$A$4:$A$203,$A123)/SUMIFS(Trato_Diario!$G$4:$G$203,Trato_Diario!$B$4:$B$203,G$5,Trato_Diario!$A$4:$A$203,$A123))</f>
        <v/>
      </c>
      <c r="H123" s="59" t="str">
        <f>IF(OR($A123&gt;MAX(Trato_Diario!$A$4:$A$203),SUMIFS(Trato_Diario!$G$4:$G$203,Trato_Diario!$A$4:$A$203,$A123)=0),"",SUMIFS(Trato_Diario!$J$4:$J$203,Trato_Diario!$A$4:$A$203,$A123)/SUMIFS(Trato_Diario!$G$4:$G$203,Trato_Diario!$A$4:$A$203,$A123))</f>
        <v/>
      </c>
    </row>
    <row r="124" spans="1:8" ht="14.25" customHeight="1" x14ac:dyDescent="0.3">
      <c r="A124" s="71">
        <v>46311</v>
      </c>
      <c r="B124" s="46" t="str">
        <f>IF(OR($A124&gt;MAX(Trato_Diario!$A$4:$A$203),SUMIFS(Trato_Diario!$G$4:$G$203,Trato_Diario!$B$4:$B$203,B$5,Trato_Diario!$A$4:$A$203,$A124)=0),"",SUMIFS(Trato_Diario!$J$4:$J$203,Trato_Diario!$B$4:$B$203,B$5,Trato_Diario!$A$4:$A$203,$A124)/SUMIFS(Trato_Diario!$G$4:$G$203,Trato_Diario!$B$4:$B$203,B$5,Trato_Diario!$A$4:$A$203,$A124))</f>
        <v/>
      </c>
      <c r="C124" s="46" t="str">
        <f>IF(OR($A124&gt;MAX(Trato_Diario!$A$4:$A$203),SUMIFS(Trato_Diario!$G$4:$G$203,Trato_Diario!$B$4:$B$203,C$5,Trato_Diario!$A$4:$A$203,$A124)=0),"",SUMIFS(Trato_Diario!$J$4:$J$203,Trato_Diario!$B$4:$B$203,C$5,Trato_Diario!$A$4:$A$203,$A124)/SUMIFS(Trato_Diario!$G$4:$G$203,Trato_Diario!$B$4:$B$203,C$5,Trato_Diario!$A$4:$A$203,$A124))</f>
        <v/>
      </c>
      <c r="D124" s="46" t="str">
        <f>IF(OR($A124&gt;MAX(Trato_Diario!$A$4:$A$203),SUMIFS(Trato_Diario!$G$4:$G$203,Trato_Diario!$B$4:$B$203,D$5,Trato_Diario!$A$4:$A$203,$A124)=0),"",SUMIFS(Trato_Diario!$J$4:$J$203,Trato_Diario!$B$4:$B$203,D$5,Trato_Diario!$A$4:$A$203,$A124)/SUMIFS(Trato_Diario!$G$4:$G$203,Trato_Diario!$B$4:$B$203,D$5,Trato_Diario!$A$4:$A$203,$A124))</f>
        <v/>
      </c>
      <c r="E124" s="46" t="str">
        <f>IF(OR($A124&gt;MAX(Trato_Diario!$A$4:$A$203),SUMIFS(Trato_Diario!$G$4:$G$203,Trato_Diario!$B$4:$B$203,E$5,Trato_Diario!$A$4:$A$203,$A124)=0),"",SUMIFS(Trato_Diario!$J$4:$J$203,Trato_Diario!$B$4:$B$203,E$5,Trato_Diario!$A$4:$A$203,$A124)/SUMIFS(Trato_Diario!$G$4:$G$203,Trato_Diario!$B$4:$B$203,E$5,Trato_Diario!$A$4:$A$203,$A124))</f>
        <v/>
      </c>
      <c r="F124" s="46" t="str">
        <f>IF(OR($A124&gt;MAX(Trato_Diario!$A$4:$A$203),SUMIFS(Trato_Diario!$G$4:$G$203,Trato_Diario!$B$4:$B$203,F$5,Trato_Diario!$A$4:$A$203,$A124)=0),"",SUMIFS(Trato_Diario!$J$4:$J$203,Trato_Diario!$B$4:$B$203,F$5,Trato_Diario!$A$4:$A$203,$A124)/SUMIFS(Trato_Diario!$G$4:$G$203,Trato_Diario!$B$4:$B$203,F$5,Trato_Diario!$A$4:$A$203,$A124))</f>
        <v/>
      </c>
      <c r="G124" s="46" t="str">
        <f>IF(OR($A124&gt;MAX(Trato_Diario!$A$4:$A$203),SUMIFS(Trato_Diario!$G$4:$G$203,Trato_Diario!$B$4:$B$203,G$5,Trato_Diario!$A$4:$A$203,$A124)=0),"",SUMIFS(Trato_Diario!$J$4:$J$203,Trato_Diario!$B$4:$B$203,G$5,Trato_Diario!$A$4:$A$203,$A124)/SUMIFS(Trato_Diario!$G$4:$G$203,Trato_Diario!$B$4:$B$203,G$5,Trato_Diario!$A$4:$A$203,$A124))</f>
        <v/>
      </c>
      <c r="H124" s="57" t="str">
        <f>IF(OR($A124&gt;MAX(Trato_Diario!$A$4:$A$203),SUMIFS(Trato_Diario!$G$4:$G$203,Trato_Diario!$A$4:$A$203,$A124)=0),"",SUMIFS(Trato_Diario!$J$4:$J$203,Trato_Diario!$A$4:$A$203,$A124)/SUMIFS(Trato_Diario!$G$4:$G$203,Trato_Diario!$A$4:$A$203,$A124))</f>
        <v/>
      </c>
    </row>
    <row r="125" spans="1:8" ht="14.25" customHeight="1" x14ac:dyDescent="0.3">
      <c r="A125" s="72">
        <v>46312</v>
      </c>
      <c r="B125" s="20" t="str">
        <f>IF(OR($A125&gt;MAX(Trato_Diario!$A$4:$A$203),SUMIFS(Trato_Diario!$G$4:$G$203,Trato_Diario!$B$4:$B$203,B$5,Trato_Diario!$A$4:$A$203,$A125)=0),"",SUMIFS(Trato_Diario!$J$4:$J$203,Trato_Diario!$B$4:$B$203,B$5,Trato_Diario!$A$4:$A$203,$A125)/SUMIFS(Trato_Diario!$G$4:$G$203,Trato_Diario!$B$4:$B$203,B$5,Trato_Diario!$A$4:$A$203,$A125))</f>
        <v/>
      </c>
      <c r="C125" s="20" t="str">
        <f>IF(OR($A125&gt;MAX(Trato_Diario!$A$4:$A$203),SUMIFS(Trato_Diario!$G$4:$G$203,Trato_Diario!$B$4:$B$203,C$5,Trato_Diario!$A$4:$A$203,$A125)=0),"",SUMIFS(Trato_Diario!$J$4:$J$203,Trato_Diario!$B$4:$B$203,C$5,Trato_Diario!$A$4:$A$203,$A125)/SUMIFS(Trato_Diario!$G$4:$G$203,Trato_Diario!$B$4:$B$203,C$5,Trato_Diario!$A$4:$A$203,$A125))</f>
        <v/>
      </c>
      <c r="D125" s="20" t="str">
        <f>IF(OR($A125&gt;MAX(Trato_Diario!$A$4:$A$203),SUMIFS(Trato_Diario!$G$4:$G$203,Trato_Diario!$B$4:$B$203,D$5,Trato_Diario!$A$4:$A$203,$A125)=0),"",SUMIFS(Trato_Diario!$J$4:$J$203,Trato_Diario!$B$4:$B$203,D$5,Trato_Diario!$A$4:$A$203,$A125)/SUMIFS(Trato_Diario!$G$4:$G$203,Trato_Diario!$B$4:$B$203,D$5,Trato_Diario!$A$4:$A$203,$A125))</f>
        <v/>
      </c>
      <c r="E125" s="20" t="str">
        <f>IF(OR($A125&gt;MAX(Trato_Diario!$A$4:$A$203),SUMIFS(Trato_Diario!$G$4:$G$203,Trato_Diario!$B$4:$B$203,E$5,Trato_Diario!$A$4:$A$203,$A125)=0),"",SUMIFS(Trato_Diario!$J$4:$J$203,Trato_Diario!$B$4:$B$203,E$5,Trato_Diario!$A$4:$A$203,$A125)/SUMIFS(Trato_Diario!$G$4:$G$203,Trato_Diario!$B$4:$B$203,E$5,Trato_Diario!$A$4:$A$203,$A125))</f>
        <v/>
      </c>
      <c r="F125" s="20" t="str">
        <f>IF(OR($A125&gt;MAX(Trato_Diario!$A$4:$A$203),SUMIFS(Trato_Diario!$G$4:$G$203,Trato_Diario!$B$4:$B$203,F$5,Trato_Diario!$A$4:$A$203,$A125)=0),"",SUMIFS(Trato_Diario!$J$4:$J$203,Trato_Diario!$B$4:$B$203,F$5,Trato_Diario!$A$4:$A$203,$A125)/SUMIFS(Trato_Diario!$G$4:$G$203,Trato_Diario!$B$4:$B$203,F$5,Trato_Diario!$A$4:$A$203,$A125))</f>
        <v/>
      </c>
      <c r="G125" s="20" t="str">
        <f>IF(OR($A125&gt;MAX(Trato_Diario!$A$4:$A$203),SUMIFS(Trato_Diario!$G$4:$G$203,Trato_Diario!$B$4:$B$203,G$5,Trato_Diario!$A$4:$A$203,$A125)=0),"",SUMIFS(Trato_Diario!$J$4:$J$203,Trato_Diario!$B$4:$B$203,G$5,Trato_Diario!$A$4:$A$203,$A125)/SUMIFS(Trato_Diario!$G$4:$G$203,Trato_Diario!$B$4:$B$203,G$5,Trato_Diario!$A$4:$A$203,$A125))</f>
        <v/>
      </c>
      <c r="H125" s="59" t="str">
        <f>IF(OR($A125&gt;MAX(Trato_Diario!$A$4:$A$203),SUMIFS(Trato_Diario!$G$4:$G$203,Trato_Diario!$A$4:$A$203,$A125)=0),"",SUMIFS(Trato_Diario!$J$4:$J$203,Trato_Diario!$A$4:$A$203,$A125)/SUMIFS(Trato_Diario!$G$4:$G$203,Trato_Diario!$A$4:$A$203,$A125))</f>
        <v/>
      </c>
    </row>
    <row r="126" spans="1:8" ht="14.25" customHeight="1" x14ac:dyDescent="0.3">
      <c r="A126" s="71">
        <v>46313</v>
      </c>
      <c r="B126" s="46" t="str">
        <f>IF(OR($A126&gt;MAX(Trato_Diario!$A$4:$A$203),SUMIFS(Trato_Diario!$G$4:$G$203,Trato_Diario!$B$4:$B$203,B$5,Trato_Diario!$A$4:$A$203,$A126)=0),"",SUMIFS(Trato_Diario!$J$4:$J$203,Trato_Diario!$B$4:$B$203,B$5,Trato_Diario!$A$4:$A$203,$A126)/SUMIFS(Trato_Diario!$G$4:$G$203,Trato_Diario!$B$4:$B$203,B$5,Trato_Diario!$A$4:$A$203,$A126))</f>
        <v/>
      </c>
      <c r="C126" s="46" t="str">
        <f>IF(OR($A126&gt;MAX(Trato_Diario!$A$4:$A$203),SUMIFS(Trato_Diario!$G$4:$G$203,Trato_Diario!$B$4:$B$203,C$5,Trato_Diario!$A$4:$A$203,$A126)=0),"",SUMIFS(Trato_Diario!$J$4:$J$203,Trato_Diario!$B$4:$B$203,C$5,Trato_Diario!$A$4:$A$203,$A126)/SUMIFS(Trato_Diario!$G$4:$G$203,Trato_Diario!$B$4:$B$203,C$5,Trato_Diario!$A$4:$A$203,$A126))</f>
        <v/>
      </c>
      <c r="D126" s="46" t="str">
        <f>IF(OR($A126&gt;MAX(Trato_Diario!$A$4:$A$203),SUMIFS(Trato_Diario!$G$4:$G$203,Trato_Diario!$B$4:$B$203,D$5,Trato_Diario!$A$4:$A$203,$A126)=0),"",SUMIFS(Trato_Diario!$J$4:$J$203,Trato_Diario!$B$4:$B$203,D$5,Trato_Diario!$A$4:$A$203,$A126)/SUMIFS(Trato_Diario!$G$4:$G$203,Trato_Diario!$B$4:$B$203,D$5,Trato_Diario!$A$4:$A$203,$A126))</f>
        <v/>
      </c>
      <c r="E126" s="46" t="str">
        <f>IF(OR($A126&gt;MAX(Trato_Diario!$A$4:$A$203),SUMIFS(Trato_Diario!$G$4:$G$203,Trato_Diario!$B$4:$B$203,E$5,Trato_Diario!$A$4:$A$203,$A126)=0),"",SUMIFS(Trato_Diario!$J$4:$J$203,Trato_Diario!$B$4:$B$203,E$5,Trato_Diario!$A$4:$A$203,$A126)/SUMIFS(Trato_Diario!$G$4:$G$203,Trato_Diario!$B$4:$B$203,E$5,Trato_Diario!$A$4:$A$203,$A126))</f>
        <v/>
      </c>
      <c r="F126" s="46" t="str">
        <f>IF(OR($A126&gt;MAX(Trato_Diario!$A$4:$A$203),SUMIFS(Trato_Diario!$G$4:$G$203,Trato_Diario!$B$4:$B$203,F$5,Trato_Diario!$A$4:$A$203,$A126)=0),"",SUMIFS(Trato_Diario!$J$4:$J$203,Trato_Diario!$B$4:$B$203,F$5,Trato_Diario!$A$4:$A$203,$A126)/SUMIFS(Trato_Diario!$G$4:$G$203,Trato_Diario!$B$4:$B$203,F$5,Trato_Diario!$A$4:$A$203,$A126))</f>
        <v/>
      </c>
      <c r="G126" s="46" t="str">
        <f>IF(OR($A126&gt;MAX(Trato_Diario!$A$4:$A$203),SUMIFS(Trato_Diario!$G$4:$G$203,Trato_Diario!$B$4:$B$203,G$5,Trato_Diario!$A$4:$A$203,$A126)=0),"",SUMIFS(Trato_Diario!$J$4:$J$203,Trato_Diario!$B$4:$B$203,G$5,Trato_Diario!$A$4:$A$203,$A126)/SUMIFS(Trato_Diario!$G$4:$G$203,Trato_Diario!$B$4:$B$203,G$5,Trato_Diario!$A$4:$A$203,$A126))</f>
        <v/>
      </c>
      <c r="H126" s="57" t="str">
        <f>IF(OR($A126&gt;MAX(Trato_Diario!$A$4:$A$203),SUMIFS(Trato_Diario!$G$4:$G$203,Trato_Diario!$A$4:$A$203,$A126)=0),"",SUMIFS(Trato_Diario!$J$4:$J$203,Trato_Diario!$A$4:$A$203,$A126)/SUMIFS(Trato_Diario!$G$4:$G$203,Trato_Diario!$A$4:$A$203,$A126))</f>
        <v/>
      </c>
    </row>
    <row r="127" spans="1:8" ht="14.25" customHeight="1" x14ac:dyDescent="0.3">
      <c r="A127" s="72">
        <v>46314</v>
      </c>
      <c r="B127" s="20" t="str">
        <f>IF(OR($A127&gt;MAX(Trato_Diario!$A$4:$A$203),SUMIFS(Trato_Diario!$G$4:$G$203,Trato_Diario!$B$4:$B$203,B$5,Trato_Diario!$A$4:$A$203,$A127)=0),"",SUMIFS(Trato_Diario!$J$4:$J$203,Trato_Diario!$B$4:$B$203,B$5,Trato_Diario!$A$4:$A$203,$A127)/SUMIFS(Trato_Diario!$G$4:$G$203,Trato_Diario!$B$4:$B$203,B$5,Trato_Diario!$A$4:$A$203,$A127))</f>
        <v/>
      </c>
      <c r="C127" s="20" t="str">
        <f>IF(OR($A127&gt;MAX(Trato_Diario!$A$4:$A$203),SUMIFS(Trato_Diario!$G$4:$G$203,Trato_Diario!$B$4:$B$203,C$5,Trato_Diario!$A$4:$A$203,$A127)=0),"",SUMIFS(Trato_Diario!$J$4:$J$203,Trato_Diario!$B$4:$B$203,C$5,Trato_Diario!$A$4:$A$203,$A127)/SUMIFS(Trato_Diario!$G$4:$G$203,Trato_Diario!$B$4:$B$203,C$5,Trato_Diario!$A$4:$A$203,$A127))</f>
        <v/>
      </c>
      <c r="D127" s="20" t="str">
        <f>IF(OR($A127&gt;MAX(Trato_Diario!$A$4:$A$203),SUMIFS(Trato_Diario!$G$4:$G$203,Trato_Diario!$B$4:$B$203,D$5,Trato_Diario!$A$4:$A$203,$A127)=0),"",SUMIFS(Trato_Diario!$J$4:$J$203,Trato_Diario!$B$4:$B$203,D$5,Trato_Diario!$A$4:$A$203,$A127)/SUMIFS(Trato_Diario!$G$4:$G$203,Trato_Diario!$B$4:$B$203,D$5,Trato_Diario!$A$4:$A$203,$A127))</f>
        <v/>
      </c>
      <c r="E127" s="20" t="str">
        <f>IF(OR($A127&gt;MAX(Trato_Diario!$A$4:$A$203),SUMIFS(Trato_Diario!$G$4:$G$203,Trato_Diario!$B$4:$B$203,E$5,Trato_Diario!$A$4:$A$203,$A127)=0),"",SUMIFS(Trato_Diario!$J$4:$J$203,Trato_Diario!$B$4:$B$203,E$5,Trato_Diario!$A$4:$A$203,$A127)/SUMIFS(Trato_Diario!$G$4:$G$203,Trato_Diario!$B$4:$B$203,E$5,Trato_Diario!$A$4:$A$203,$A127))</f>
        <v/>
      </c>
      <c r="F127" s="20" t="str">
        <f>IF(OR($A127&gt;MAX(Trato_Diario!$A$4:$A$203),SUMIFS(Trato_Diario!$G$4:$G$203,Trato_Diario!$B$4:$B$203,F$5,Trato_Diario!$A$4:$A$203,$A127)=0),"",SUMIFS(Trato_Diario!$J$4:$J$203,Trato_Diario!$B$4:$B$203,F$5,Trato_Diario!$A$4:$A$203,$A127)/SUMIFS(Trato_Diario!$G$4:$G$203,Trato_Diario!$B$4:$B$203,F$5,Trato_Diario!$A$4:$A$203,$A127))</f>
        <v/>
      </c>
      <c r="G127" s="20" t="str">
        <f>IF(OR($A127&gt;MAX(Trato_Diario!$A$4:$A$203),SUMIFS(Trato_Diario!$G$4:$G$203,Trato_Diario!$B$4:$B$203,G$5,Trato_Diario!$A$4:$A$203,$A127)=0),"",SUMIFS(Trato_Diario!$J$4:$J$203,Trato_Diario!$B$4:$B$203,G$5,Trato_Diario!$A$4:$A$203,$A127)/SUMIFS(Trato_Diario!$G$4:$G$203,Trato_Diario!$B$4:$B$203,G$5,Trato_Diario!$A$4:$A$203,$A127))</f>
        <v/>
      </c>
      <c r="H127" s="59" t="str">
        <f>IF(OR($A127&gt;MAX(Trato_Diario!$A$4:$A$203),SUMIFS(Trato_Diario!$G$4:$G$203,Trato_Diario!$A$4:$A$203,$A127)=0),"",SUMIFS(Trato_Diario!$J$4:$J$203,Trato_Diario!$A$4:$A$203,$A127)/SUMIFS(Trato_Diario!$G$4:$G$203,Trato_Diario!$A$4:$A$203,$A127))</f>
        <v/>
      </c>
    </row>
    <row r="128" spans="1:8" ht="14.25" customHeight="1" x14ac:dyDescent="0.3">
      <c r="A128" s="71">
        <v>46315</v>
      </c>
      <c r="B128" s="46" t="str">
        <f>IF(OR($A128&gt;MAX(Trato_Diario!$A$4:$A$203),SUMIFS(Trato_Diario!$G$4:$G$203,Trato_Diario!$B$4:$B$203,B$5,Trato_Diario!$A$4:$A$203,$A128)=0),"",SUMIFS(Trato_Diario!$J$4:$J$203,Trato_Diario!$B$4:$B$203,B$5,Trato_Diario!$A$4:$A$203,$A128)/SUMIFS(Trato_Diario!$G$4:$G$203,Trato_Diario!$B$4:$B$203,B$5,Trato_Diario!$A$4:$A$203,$A128))</f>
        <v/>
      </c>
      <c r="C128" s="46" t="str">
        <f>IF(OR($A128&gt;MAX(Trato_Diario!$A$4:$A$203),SUMIFS(Trato_Diario!$G$4:$G$203,Trato_Diario!$B$4:$B$203,C$5,Trato_Diario!$A$4:$A$203,$A128)=0),"",SUMIFS(Trato_Diario!$J$4:$J$203,Trato_Diario!$B$4:$B$203,C$5,Trato_Diario!$A$4:$A$203,$A128)/SUMIFS(Trato_Diario!$G$4:$G$203,Trato_Diario!$B$4:$B$203,C$5,Trato_Diario!$A$4:$A$203,$A128))</f>
        <v/>
      </c>
      <c r="D128" s="46" t="str">
        <f>IF(OR($A128&gt;MAX(Trato_Diario!$A$4:$A$203),SUMIFS(Trato_Diario!$G$4:$G$203,Trato_Diario!$B$4:$B$203,D$5,Trato_Diario!$A$4:$A$203,$A128)=0),"",SUMIFS(Trato_Diario!$J$4:$J$203,Trato_Diario!$B$4:$B$203,D$5,Trato_Diario!$A$4:$A$203,$A128)/SUMIFS(Trato_Diario!$G$4:$G$203,Trato_Diario!$B$4:$B$203,D$5,Trato_Diario!$A$4:$A$203,$A128))</f>
        <v/>
      </c>
      <c r="E128" s="46" t="str">
        <f>IF(OR($A128&gt;MAX(Trato_Diario!$A$4:$A$203),SUMIFS(Trato_Diario!$G$4:$G$203,Trato_Diario!$B$4:$B$203,E$5,Trato_Diario!$A$4:$A$203,$A128)=0),"",SUMIFS(Trato_Diario!$J$4:$J$203,Trato_Diario!$B$4:$B$203,E$5,Trato_Diario!$A$4:$A$203,$A128)/SUMIFS(Trato_Diario!$G$4:$G$203,Trato_Diario!$B$4:$B$203,E$5,Trato_Diario!$A$4:$A$203,$A128))</f>
        <v/>
      </c>
      <c r="F128" s="46" t="str">
        <f>IF(OR($A128&gt;MAX(Trato_Diario!$A$4:$A$203),SUMIFS(Trato_Diario!$G$4:$G$203,Trato_Diario!$B$4:$B$203,F$5,Trato_Diario!$A$4:$A$203,$A128)=0),"",SUMIFS(Trato_Diario!$J$4:$J$203,Trato_Diario!$B$4:$B$203,F$5,Trato_Diario!$A$4:$A$203,$A128)/SUMIFS(Trato_Diario!$G$4:$G$203,Trato_Diario!$B$4:$B$203,F$5,Trato_Diario!$A$4:$A$203,$A128))</f>
        <v/>
      </c>
      <c r="G128" s="46" t="str">
        <f>IF(OR($A128&gt;MAX(Trato_Diario!$A$4:$A$203),SUMIFS(Trato_Diario!$G$4:$G$203,Trato_Diario!$B$4:$B$203,G$5,Trato_Diario!$A$4:$A$203,$A128)=0),"",SUMIFS(Trato_Diario!$J$4:$J$203,Trato_Diario!$B$4:$B$203,G$5,Trato_Diario!$A$4:$A$203,$A128)/SUMIFS(Trato_Diario!$G$4:$G$203,Trato_Diario!$B$4:$B$203,G$5,Trato_Diario!$A$4:$A$203,$A128))</f>
        <v/>
      </c>
      <c r="H128" s="57" t="str">
        <f>IF(OR($A128&gt;MAX(Trato_Diario!$A$4:$A$203),SUMIFS(Trato_Diario!$G$4:$G$203,Trato_Diario!$A$4:$A$203,$A128)=0),"",SUMIFS(Trato_Diario!$J$4:$J$203,Trato_Diario!$A$4:$A$203,$A128)/SUMIFS(Trato_Diario!$G$4:$G$203,Trato_Diario!$A$4:$A$203,$A128))</f>
        <v/>
      </c>
    </row>
    <row r="129" spans="1:8" ht="14.25" customHeight="1" x14ac:dyDescent="0.3">
      <c r="A129" s="72">
        <v>46316</v>
      </c>
      <c r="B129" s="20" t="str">
        <f>IF(OR($A129&gt;MAX(Trato_Diario!$A$4:$A$203),SUMIFS(Trato_Diario!$G$4:$G$203,Trato_Diario!$B$4:$B$203,B$5,Trato_Diario!$A$4:$A$203,$A129)=0),"",SUMIFS(Trato_Diario!$J$4:$J$203,Trato_Diario!$B$4:$B$203,B$5,Trato_Diario!$A$4:$A$203,$A129)/SUMIFS(Trato_Diario!$G$4:$G$203,Trato_Diario!$B$4:$B$203,B$5,Trato_Diario!$A$4:$A$203,$A129))</f>
        <v/>
      </c>
      <c r="C129" s="20" t="str">
        <f>IF(OR($A129&gt;MAX(Trato_Diario!$A$4:$A$203),SUMIFS(Trato_Diario!$G$4:$G$203,Trato_Diario!$B$4:$B$203,C$5,Trato_Diario!$A$4:$A$203,$A129)=0),"",SUMIFS(Trato_Diario!$J$4:$J$203,Trato_Diario!$B$4:$B$203,C$5,Trato_Diario!$A$4:$A$203,$A129)/SUMIFS(Trato_Diario!$G$4:$G$203,Trato_Diario!$B$4:$B$203,C$5,Trato_Diario!$A$4:$A$203,$A129))</f>
        <v/>
      </c>
      <c r="D129" s="20" t="str">
        <f>IF(OR($A129&gt;MAX(Trato_Diario!$A$4:$A$203),SUMIFS(Trato_Diario!$G$4:$G$203,Trato_Diario!$B$4:$B$203,D$5,Trato_Diario!$A$4:$A$203,$A129)=0),"",SUMIFS(Trato_Diario!$J$4:$J$203,Trato_Diario!$B$4:$B$203,D$5,Trato_Diario!$A$4:$A$203,$A129)/SUMIFS(Trato_Diario!$G$4:$G$203,Trato_Diario!$B$4:$B$203,D$5,Trato_Diario!$A$4:$A$203,$A129))</f>
        <v/>
      </c>
      <c r="E129" s="20" t="str">
        <f>IF(OR($A129&gt;MAX(Trato_Diario!$A$4:$A$203),SUMIFS(Trato_Diario!$G$4:$G$203,Trato_Diario!$B$4:$B$203,E$5,Trato_Diario!$A$4:$A$203,$A129)=0),"",SUMIFS(Trato_Diario!$J$4:$J$203,Trato_Diario!$B$4:$B$203,E$5,Trato_Diario!$A$4:$A$203,$A129)/SUMIFS(Trato_Diario!$G$4:$G$203,Trato_Diario!$B$4:$B$203,E$5,Trato_Diario!$A$4:$A$203,$A129))</f>
        <v/>
      </c>
      <c r="F129" s="20" t="str">
        <f>IF(OR($A129&gt;MAX(Trato_Diario!$A$4:$A$203),SUMIFS(Trato_Diario!$G$4:$G$203,Trato_Diario!$B$4:$B$203,F$5,Trato_Diario!$A$4:$A$203,$A129)=0),"",SUMIFS(Trato_Diario!$J$4:$J$203,Trato_Diario!$B$4:$B$203,F$5,Trato_Diario!$A$4:$A$203,$A129)/SUMIFS(Trato_Diario!$G$4:$G$203,Trato_Diario!$B$4:$B$203,F$5,Trato_Diario!$A$4:$A$203,$A129))</f>
        <v/>
      </c>
      <c r="G129" s="20" t="str">
        <f>IF(OR($A129&gt;MAX(Trato_Diario!$A$4:$A$203),SUMIFS(Trato_Diario!$G$4:$G$203,Trato_Diario!$B$4:$B$203,G$5,Trato_Diario!$A$4:$A$203,$A129)=0),"",SUMIFS(Trato_Diario!$J$4:$J$203,Trato_Diario!$B$4:$B$203,G$5,Trato_Diario!$A$4:$A$203,$A129)/SUMIFS(Trato_Diario!$G$4:$G$203,Trato_Diario!$B$4:$B$203,G$5,Trato_Diario!$A$4:$A$203,$A129))</f>
        <v/>
      </c>
      <c r="H129" s="59" t="str">
        <f>IF(OR($A129&gt;MAX(Trato_Diario!$A$4:$A$203),SUMIFS(Trato_Diario!$G$4:$G$203,Trato_Diario!$A$4:$A$203,$A129)=0),"",SUMIFS(Trato_Diario!$J$4:$J$203,Trato_Diario!$A$4:$A$203,$A129)/SUMIFS(Trato_Diario!$G$4:$G$203,Trato_Diario!$A$4:$A$203,$A129))</f>
        <v/>
      </c>
    </row>
    <row r="130" spans="1:8" ht="14.25" customHeight="1" x14ac:dyDescent="0.3">
      <c r="A130" s="71">
        <v>46317</v>
      </c>
      <c r="B130" s="46" t="str">
        <f>IF(OR($A130&gt;MAX(Trato_Diario!$A$4:$A$203),SUMIFS(Trato_Diario!$G$4:$G$203,Trato_Diario!$B$4:$B$203,B$5,Trato_Diario!$A$4:$A$203,$A130)=0),"",SUMIFS(Trato_Diario!$J$4:$J$203,Trato_Diario!$B$4:$B$203,B$5,Trato_Diario!$A$4:$A$203,$A130)/SUMIFS(Trato_Diario!$G$4:$G$203,Trato_Diario!$B$4:$B$203,B$5,Trato_Diario!$A$4:$A$203,$A130))</f>
        <v/>
      </c>
      <c r="C130" s="46" t="str">
        <f>IF(OR($A130&gt;MAX(Trato_Diario!$A$4:$A$203),SUMIFS(Trato_Diario!$G$4:$G$203,Trato_Diario!$B$4:$B$203,C$5,Trato_Diario!$A$4:$A$203,$A130)=0),"",SUMIFS(Trato_Diario!$J$4:$J$203,Trato_Diario!$B$4:$B$203,C$5,Trato_Diario!$A$4:$A$203,$A130)/SUMIFS(Trato_Diario!$G$4:$G$203,Trato_Diario!$B$4:$B$203,C$5,Trato_Diario!$A$4:$A$203,$A130))</f>
        <v/>
      </c>
      <c r="D130" s="46" t="str">
        <f>IF(OR($A130&gt;MAX(Trato_Diario!$A$4:$A$203),SUMIFS(Trato_Diario!$G$4:$G$203,Trato_Diario!$B$4:$B$203,D$5,Trato_Diario!$A$4:$A$203,$A130)=0),"",SUMIFS(Trato_Diario!$J$4:$J$203,Trato_Diario!$B$4:$B$203,D$5,Trato_Diario!$A$4:$A$203,$A130)/SUMIFS(Trato_Diario!$G$4:$G$203,Trato_Diario!$B$4:$B$203,D$5,Trato_Diario!$A$4:$A$203,$A130))</f>
        <v/>
      </c>
      <c r="E130" s="46" t="str">
        <f>IF(OR($A130&gt;MAX(Trato_Diario!$A$4:$A$203),SUMIFS(Trato_Diario!$G$4:$G$203,Trato_Diario!$B$4:$B$203,E$5,Trato_Diario!$A$4:$A$203,$A130)=0),"",SUMIFS(Trato_Diario!$J$4:$J$203,Trato_Diario!$B$4:$B$203,E$5,Trato_Diario!$A$4:$A$203,$A130)/SUMIFS(Trato_Diario!$G$4:$G$203,Trato_Diario!$B$4:$B$203,E$5,Trato_Diario!$A$4:$A$203,$A130))</f>
        <v/>
      </c>
      <c r="F130" s="46" t="str">
        <f>IF(OR($A130&gt;MAX(Trato_Diario!$A$4:$A$203),SUMIFS(Trato_Diario!$G$4:$G$203,Trato_Diario!$B$4:$B$203,F$5,Trato_Diario!$A$4:$A$203,$A130)=0),"",SUMIFS(Trato_Diario!$J$4:$J$203,Trato_Diario!$B$4:$B$203,F$5,Trato_Diario!$A$4:$A$203,$A130)/SUMIFS(Trato_Diario!$G$4:$G$203,Trato_Diario!$B$4:$B$203,F$5,Trato_Diario!$A$4:$A$203,$A130))</f>
        <v/>
      </c>
      <c r="G130" s="46" t="str">
        <f>IF(OR($A130&gt;MAX(Trato_Diario!$A$4:$A$203),SUMIFS(Trato_Diario!$G$4:$G$203,Trato_Diario!$B$4:$B$203,G$5,Trato_Diario!$A$4:$A$203,$A130)=0),"",SUMIFS(Trato_Diario!$J$4:$J$203,Trato_Diario!$B$4:$B$203,G$5,Trato_Diario!$A$4:$A$203,$A130)/SUMIFS(Trato_Diario!$G$4:$G$203,Trato_Diario!$B$4:$B$203,G$5,Trato_Diario!$A$4:$A$203,$A130))</f>
        <v/>
      </c>
      <c r="H130" s="57" t="str">
        <f>IF(OR($A130&gt;MAX(Trato_Diario!$A$4:$A$203),SUMIFS(Trato_Diario!$G$4:$G$203,Trato_Diario!$A$4:$A$203,$A130)=0),"",SUMIFS(Trato_Diario!$J$4:$J$203,Trato_Diario!$A$4:$A$203,$A130)/SUMIFS(Trato_Diario!$G$4:$G$203,Trato_Diario!$A$4:$A$203,$A130))</f>
        <v/>
      </c>
    </row>
    <row r="131" spans="1:8" ht="14.25" customHeight="1" x14ac:dyDescent="0.3">
      <c r="A131" s="72">
        <v>46318</v>
      </c>
      <c r="B131" s="20" t="str">
        <f>IF(OR($A131&gt;MAX(Trato_Diario!$A$4:$A$203),SUMIFS(Trato_Diario!$G$4:$G$203,Trato_Diario!$B$4:$B$203,B$5,Trato_Diario!$A$4:$A$203,$A131)=0),"",SUMIFS(Trato_Diario!$J$4:$J$203,Trato_Diario!$B$4:$B$203,B$5,Trato_Diario!$A$4:$A$203,$A131)/SUMIFS(Trato_Diario!$G$4:$G$203,Trato_Diario!$B$4:$B$203,B$5,Trato_Diario!$A$4:$A$203,$A131))</f>
        <v/>
      </c>
      <c r="C131" s="20" t="str">
        <f>IF(OR($A131&gt;MAX(Trato_Diario!$A$4:$A$203),SUMIFS(Trato_Diario!$G$4:$G$203,Trato_Diario!$B$4:$B$203,C$5,Trato_Diario!$A$4:$A$203,$A131)=0),"",SUMIFS(Trato_Diario!$J$4:$J$203,Trato_Diario!$B$4:$B$203,C$5,Trato_Diario!$A$4:$A$203,$A131)/SUMIFS(Trato_Diario!$G$4:$G$203,Trato_Diario!$B$4:$B$203,C$5,Trato_Diario!$A$4:$A$203,$A131))</f>
        <v/>
      </c>
      <c r="D131" s="20" t="str">
        <f>IF(OR($A131&gt;MAX(Trato_Diario!$A$4:$A$203),SUMIFS(Trato_Diario!$G$4:$G$203,Trato_Diario!$B$4:$B$203,D$5,Trato_Diario!$A$4:$A$203,$A131)=0),"",SUMIFS(Trato_Diario!$J$4:$J$203,Trato_Diario!$B$4:$B$203,D$5,Trato_Diario!$A$4:$A$203,$A131)/SUMIFS(Trato_Diario!$G$4:$G$203,Trato_Diario!$B$4:$B$203,D$5,Trato_Diario!$A$4:$A$203,$A131))</f>
        <v/>
      </c>
      <c r="E131" s="20" t="str">
        <f>IF(OR($A131&gt;MAX(Trato_Diario!$A$4:$A$203),SUMIFS(Trato_Diario!$G$4:$G$203,Trato_Diario!$B$4:$B$203,E$5,Trato_Diario!$A$4:$A$203,$A131)=0),"",SUMIFS(Trato_Diario!$J$4:$J$203,Trato_Diario!$B$4:$B$203,E$5,Trato_Diario!$A$4:$A$203,$A131)/SUMIFS(Trato_Diario!$G$4:$G$203,Trato_Diario!$B$4:$B$203,E$5,Trato_Diario!$A$4:$A$203,$A131))</f>
        <v/>
      </c>
      <c r="F131" s="20" t="str">
        <f>IF(OR($A131&gt;MAX(Trato_Diario!$A$4:$A$203),SUMIFS(Trato_Diario!$G$4:$G$203,Trato_Diario!$B$4:$B$203,F$5,Trato_Diario!$A$4:$A$203,$A131)=0),"",SUMIFS(Trato_Diario!$J$4:$J$203,Trato_Diario!$B$4:$B$203,F$5,Trato_Diario!$A$4:$A$203,$A131)/SUMIFS(Trato_Diario!$G$4:$G$203,Trato_Diario!$B$4:$B$203,F$5,Trato_Diario!$A$4:$A$203,$A131))</f>
        <v/>
      </c>
      <c r="G131" s="20" t="str">
        <f>IF(OR($A131&gt;MAX(Trato_Diario!$A$4:$A$203),SUMIFS(Trato_Diario!$G$4:$G$203,Trato_Diario!$B$4:$B$203,G$5,Trato_Diario!$A$4:$A$203,$A131)=0),"",SUMIFS(Trato_Diario!$J$4:$J$203,Trato_Diario!$B$4:$B$203,G$5,Trato_Diario!$A$4:$A$203,$A131)/SUMIFS(Trato_Diario!$G$4:$G$203,Trato_Diario!$B$4:$B$203,G$5,Trato_Diario!$A$4:$A$203,$A131))</f>
        <v/>
      </c>
      <c r="H131" s="59" t="str">
        <f>IF(OR($A131&gt;MAX(Trato_Diario!$A$4:$A$203),SUMIFS(Trato_Diario!$G$4:$G$203,Trato_Diario!$A$4:$A$203,$A131)=0),"",SUMIFS(Trato_Diario!$J$4:$J$203,Trato_Diario!$A$4:$A$203,$A131)/SUMIFS(Trato_Diario!$G$4:$G$203,Trato_Diario!$A$4:$A$203,$A131))</f>
        <v/>
      </c>
    </row>
    <row r="132" spans="1:8" ht="14.25" customHeight="1" x14ac:dyDescent="0.3">
      <c r="A132" s="71">
        <v>46319</v>
      </c>
      <c r="B132" s="46" t="str">
        <f>IF(OR($A132&gt;MAX(Trato_Diario!$A$4:$A$203),SUMIFS(Trato_Diario!$G$4:$G$203,Trato_Diario!$B$4:$B$203,B$5,Trato_Diario!$A$4:$A$203,$A132)=0),"",SUMIFS(Trato_Diario!$J$4:$J$203,Trato_Diario!$B$4:$B$203,B$5,Trato_Diario!$A$4:$A$203,$A132)/SUMIFS(Trato_Diario!$G$4:$G$203,Trato_Diario!$B$4:$B$203,B$5,Trato_Diario!$A$4:$A$203,$A132))</f>
        <v/>
      </c>
      <c r="C132" s="46" t="str">
        <f>IF(OR($A132&gt;MAX(Trato_Diario!$A$4:$A$203),SUMIFS(Trato_Diario!$G$4:$G$203,Trato_Diario!$B$4:$B$203,C$5,Trato_Diario!$A$4:$A$203,$A132)=0),"",SUMIFS(Trato_Diario!$J$4:$J$203,Trato_Diario!$B$4:$B$203,C$5,Trato_Diario!$A$4:$A$203,$A132)/SUMIFS(Trato_Diario!$G$4:$G$203,Trato_Diario!$B$4:$B$203,C$5,Trato_Diario!$A$4:$A$203,$A132))</f>
        <v/>
      </c>
      <c r="D132" s="46" t="str">
        <f>IF(OR($A132&gt;MAX(Trato_Diario!$A$4:$A$203),SUMIFS(Trato_Diario!$G$4:$G$203,Trato_Diario!$B$4:$B$203,D$5,Trato_Diario!$A$4:$A$203,$A132)=0),"",SUMIFS(Trato_Diario!$J$4:$J$203,Trato_Diario!$B$4:$B$203,D$5,Trato_Diario!$A$4:$A$203,$A132)/SUMIFS(Trato_Diario!$G$4:$G$203,Trato_Diario!$B$4:$B$203,D$5,Trato_Diario!$A$4:$A$203,$A132))</f>
        <v/>
      </c>
      <c r="E132" s="46" t="str">
        <f>IF(OR($A132&gt;MAX(Trato_Diario!$A$4:$A$203),SUMIFS(Trato_Diario!$G$4:$G$203,Trato_Diario!$B$4:$B$203,E$5,Trato_Diario!$A$4:$A$203,$A132)=0),"",SUMIFS(Trato_Diario!$J$4:$J$203,Trato_Diario!$B$4:$B$203,E$5,Trato_Diario!$A$4:$A$203,$A132)/SUMIFS(Trato_Diario!$G$4:$G$203,Trato_Diario!$B$4:$B$203,E$5,Trato_Diario!$A$4:$A$203,$A132))</f>
        <v/>
      </c>
      <c r="F132" s="46" t="str">
        <f>IF(OR($A132&gt;MAX(Trato_Diario!$A$4:$A$203),SUMIFS(Trato_Diario!$G$4:$G$203,Trato_Diario!$B$4:$B$203,F$5,Trato_Diario!$A$4:$A$203,$A132)=0),"",SUMIFS(Trato_Diario!$J$4:$J$203,Trato_Diario!$B$4:$B$203,F$5,Trato_Diario!$A$4:$A$203,$A132)/SUMIFS(Trato_Diario!$G$4:$G$203,Trato_Diario!$B$4:$B$203,F$5,Trato_Diario!$A$4:$A$203,$A132))</f>
        <v/>
      </c>
      <c r="G132" s="46" t="str">
        <f>IF(OR($A132&gt;MAX(Trato_Diario!$A$4:$A$203),SUMIFS(Trato_Diario!$G$4:$G$203,Trato_Diario!$B$4:$B$203,G$5,Trato_Diario!$A$4:$A$203,$A132)=0),"",SUMIFS(Trato_Diario!$J$4:$J$203,Trato_Diario!$B$4:$B$203,G$5,Trato_Diario!$A$4:$A$203,$A132)/SUMIFS(Trato_Diario!$G$4:$G$203,Trato_Diario!$B$4:$B$203,G$5,Trato_Diario!$A$4:$A$203,$A132))</f>
        <v/>
      </c>
      <c r="H132" s="57" t="str">
        <f>IF(OR($A132&gt;MAX(Trato_Diario!$A$4:$A$203),SUMIFS(Trato_Diario!$G$4:$G$203,Trato_Diario!$A$4:$A$203,$A132)=0),"",SUMIFS(Trato_Diario!$J$4:$J$203,Trato_Diario!$A$4:$A$203,$A132)/SUMIFS(Trato_Diario!$G$4:$G$203,Trato_Diario!$A$4:$A$203,$A132))</f>
        <v/>
      </c>
    </row>
    <row r="133" spans="1:8" ht="14.25" customHeight="1" x14ac:dyDescent="0.3">
      <c r="A133" s="72">
        <v>46320</v>
      </c>
      <c r="B133" s="20" t="str">
        <f>IF(OR($A133&gt;MAX(Trato_Diario!$A$4:$A$203),SUMIFS(Trato_Diario!$G$4:$G$203,Trato_Diario!$B$4:$B$203,B$5,Trato_Diario!$A$4:$A$203,$A133)=0),"",SUMIFS(Trato_Diario!$J$4:$J$203,Trato_Diario!$B$4:$B$203,B$5,Trato_Diario!$A$4:$A$203,$A133)/SUMIFS(Trato_Diario!$G$4:$G$203,Trato_Diario!$B$4:$B$203,B$5,Trato_Diario!$A$4:$A$203,$A133))</f>
        <v/>
      </c>
      <c r="C133" s="20" t="str">
        <f>IF(OR($A133&gt;MAX(Trato_Diario!$A$4:$A$203),SUMIFS(Trato_Diario!$G$4:$G$203,Trato_Diario!$B$4:$B$203,C$5,Trato_Diario!$A$4:$A$203,$A133)=0),"",SUMIFS(Trato_Diario!$J$4:$J$203,Trato_Diario!$B$4:$B$203,C$5,Trato_Diario!$A$4:$A$203,$A133)/SUMIFS(Trato_Diario!$G$4:$G$203,Trato_Diario!$B$4:$B$203,C$5,Trato_Diario!$A$4:$A$203,$A133))</f>
        <v/>
      </c>
      <c r="D133" s="20" t="str">
        <f>IF(OR($A133&gt;MAX(Trato_Diario!$A$4:$A$203),SUMIFS(Trato_Diario!$G$4:$G$203,Trato_Diario!$B$4:$B$203,D$5,Trato_Diario!$A$4:$A$203,$A133)=0),"",SUMIFS(Trato_Diario!$J$4:$J$203,Trato_Diario!$B$4:$B$203,D$5,Trato_Diario!$A$4:$A$203,$A133)/SUMIFS(Trato_Diario!$G$4:$G$203,Trato_Diario!$B$4:$B$203,D$5,Trato_Diario!$A$4:$A$203,$A133))</f>
        <v/>
      </c>
      <c r="E133" s="20" t="str">
        <f>IF(OR($A133&gt;MAX(Trato_Diario!$A$4:$A$203),SUMIFS(Trato_Diario!$G$4:$G$203,Trato_Diario!$B$4:$B$203,E$5,Trato_Diario!$A$4:$A$203,$A133)=0),"",SUMIFS(Trato_Diario!$J$4:$J$203,Trato_Diario!$B$4:$B$203,E$5,Trato_Diario!$A$4:$A$203,$A133)/SUMIFS(Trato_Diario!$G$4:$G$203,Trato_Diario!$B$4:$B$203,E$5,Trato_Diario!$A$4:$A$203,$A133))</f>
        <v/>
      </c>
      <c r="F133" s="20" t="str">
        <f>IF(OR($A133&gt;MAX(Trato_Diario!$A$4:$A$203),SUMIFS(Trato_Diario!$G$4:$G$203,Trato_Diario!$B$4:$B$203,F$5,Trato_Diario!$A$4:$A$203,$A133)=0),"",SUMIFS(Trato_Diario!$J$4:$J$203,Trato_Diario!$B$4:$B$203,F$5,Trato_Diario!$A$4:$A$203,$A133)/SUMIFS(Trato_Diario!$G$4:$G$203,Trato_Diario!$B$4:$B$203,F$5,Trato_Diario!$A$4:$A$203,$A133))</f>
        <v/>
      </c>
      <c r="G133" s="20" t="str">
        <f>IF(OR($A133&gt;MAX(Trato_Diario!$A$4:$A$203),SUMIFS(Trato_Diario!$G$4:$G$203,Trato_Diario!$B$4:$B$203,G$5,Trato_Diario!$A$4:$A$203,$A133)=0),"",SUMIFS(Trato_Diario!$J$4:$J$203,Trato_Diario!$B$4:$B$203,G$5,Trato_Diario!$A$4:$A$203,$A133)/SUMIFS(Trato_Diario!$G$4:$G$203,Trato_Diario!$B$4:$B$203,G$5,Trato_Diario!$A$4:$A$203,$A133))</f>
        <v/>
      </c>
      <c r="H133" s="59" t="str">
        <f>IF(OR($A133&gt;MAX(Trato_Diario!$A$4:$A$203),SUMIFS(Trato_Diario!$G$4:$G$203,Trato_Diario!$A$4:$A$203,$A133)=0),"",SUMIFS(Trato_Diario!$J$4:$J$203,Trato_Diario!$A$4:$A$203,$A133)/SUMIFS(Trato_Diario!$G$4:$G$203,Trato_Diario!$A$4:$A$203,$A133))</f>
        <v/>
      </c>
    </row>
    <row r="134" spans="1:8" ht="14.25" customHeight="1" x14ac:dyDescent="0.3">
      <c r="A134" s="71">
        <v>46321</v>
      </c>
      <c r="B134" s="46" t="str">
        <f>IF(OR($A134&gt;MAX(Trato_Diario!$A$4:$A$203),SUMIFS(Trato_Diario!$G$4:$G$203,Trato_Diario!$B$4:$B$203,B$5,Trato_Diario!$A$4:$A$203,$A134)=0),"",SUMIFS(Trato_Diario!$J$4:$J$203,Trato_Diario!$B$4:$B$203,B$5,Trato_Diario!$A$4:$A$203,$A134)/SUMIFS(Trato_Diario!$G$4:$G$203,Trato_Diario!$B$4:$B$203,B$5,Trato_Diario!$A$4:$A$203,$A134))</f>
        <v/>
      </c>
      <c r="C134" s="46" t="str">
        <f>IF(OR($A134&gt;MAX(Trato_Diario!$A$4:$A$203),SUMIFS(Trato_Diario!$G$4:$G$203,Trato_Diario!$B$4:$B$203,C$5,Trato_Diario!$A$4:$A$203,$A134)=0),"",SUMIFS(Trato_Diario!$J$4:$J$203,Trato_Diario!$B$4:$B$203,C$5,Trato_Diario!$A$4:$A$203,$A134)/SUMIFS(Trato_Diario!$G$4:$G$203,Trato_Diario!$B$4:$B$203,C$5,Trato_Diario!$A$4:$A$203,$A134))</f>
        <v/>
      </c>
      <c r="D134" s="46" t="str">
        <f>IF(OR($A134&gt;MAX(Trato_Diario!$A$4:$A$203),SUMIFS(Trato_Diario!$G$4:$G$203,Trato_Diario!$B$4:$B$203,D$5,Trato_Diario!$A$4:$A$203,$A134)=0),"",SUMIFS(Trato_Diario!$J$4:$J$203,Trato_Diario!$B$4:$B$203,D$5,Trato_Diario!$A$4:$A$203,$A134)/SUMIFS(Trato_Diario!$G$4:$G$203,Trato_Diario!$B$4:$B$203,D$5,Trato_Diario!$A$4:$A$203,$A134))</f>
        <v/>
      </c>
      <c r="E134" s="46" t="str">
        <f>IF(OR($A134&gt;MAX(Trato_Diario!$A$4:$A$203),SUMIFS(Trato_Diario!$G$4:$G$203,Trato_Diario!$B$4:$B$203,E$5,Trato_Diario!$A$4:$A$203,$A134)=0),"",SUMIFS(Trato_Diario!$J$4:$J$203,Trato_Diario!$B$4:$B$203,E$5,Trato_Diario!$A$4:$A$203,$A134)/SUMIFS(Trato_Diario!$G$4:$G$203,Trato_Diario!$B$4:$B$203,E$5,Trato_Diario!$A$4:$A$203,$A134))</f>
        <v/>
      </c>
      <c r="F134" s="46" t="str">
        <f>IF(OR($A134&gt;MAX(Trato_Diario!$A$4:$A$203),SUMIFS(Trato_Diario!$G$4:$G$203,Trato_Diario!$B$4:$B$203,F$5,Trato_Diario!$A$4:$A$203,$A134)=0),"",SUMIFS(Trato_Diario!$J$4:$J$203,Trato_Diario!$B$4:$B$203,F$5,Trato_Diario!$A$4:$A$203,$A134)/SUMIFS(Trato_Diario!$G$4:$G$203,Trato_Diario!$B$4:$B$203,F$5,Trato_Diario!$A$4:$A$203,$A134))</f>
        <v/>
      </c>
      <c r="G134" s="46" t="str">
        <f>IF(OR($A134&gt;MAX(Trato_Diario!$A$4:$A$203),SUMIFS(Trato_Diario!$G$4:$G$203,Trato_Diario!$B$4:$B$203,G$5,Trato_Diario!$A$4:$A$203,$A134)=0),"",SUMIFS(Trato_Diario!$J$4:$J$203,Trato_Diario!$B$4:$B$203,G$5,Trato_Diario!$A$4:$A$203,$A134)/SUMIFS(Trato_Diario!$G$4:$G$203,Trato_Diario!$B$4:$B$203,G$5,Trato_Diario!$A$4:$A$203,$A134))</f>
        <v/>
      </c>
      <c r="H134" s="57" t="str">
        <f>IF(OR($A134&gt;MAX(Trato_Diario!$A$4:$A$203),SUMIFS(Trato_Diario!$G$4:$G$203,Trato_Diario!$A$4:$A$203,$A134)=0),"",SUMIFS(Trato_Diario!$J$4:$J$203,Trato_Diario!$A$4:$A$203,$A134)/SUMIFS(Trato_Diario!$G$4:$G$203,Trato_Diario!$A$4:$A$203,$A134))</f>
        <v/>
      </c>
    </row>
    <row r="135" spans="1:8" ht="14.25" customHeight="1" x14ac:dyDescent="0.3">
      <c r="A135" s="72">
        <v>46322</v>
      </c>
      <c r="B135" s="20" t="str">
        <f>IF(OR($A135&gt;MAX(Trato_Diario!$A$4:$A$203),SUMIFS(Trato_Diario!$G$4:$G$203,Trato_Diario!$B$4:$B$203,B$5,Trato_Diario!$A$4:$A$203,$A135)=0),"",SUMIFS(Trato_Diario!$J$4:$J$203,Trato_Diario!$B$4:$B$203,B$5,Trato_Diario!$A$4:$A$203,$A135)/SUMIFS(Trato_Diario!$G$4:$G$203,Trato_Diario!$B$4:$B$203,B$5,Trato_Diario!$A$4:$A$203,$A135))</f>
        <v/>
      </c>
      <c r="C135" s="20" t="str">
        <f>IF(OR($A135&gt;MAX(Trato_Diario!$A$4:$A$203),SUMIFS(Trato_Diario!$G$4:$G$203,Trato_Diario!$B$4:$B$203,C$5,Trato_Diario!$A$4:$A$203,$A135)=0),"",SUMIFS(Trato_Diario!$J$4:$J$203,Trato_Diario!$B$4:$B$203,C$5,Trato_Diario!$A$4:$A$203,$A135)/SUMIFS(Trato_Diario!$G$4:$G$203,Trato_Diario!$B$4:$B$203,C$5,Trato_Diario!$A$4:$A$203,$A135))</f>
        <v/>
      </c>
      <c r="D135" s="20" t="str">
        <f>IF(OR($A135&gt;MAX(Trato_Diario!$A$4:$A$203),SUMIFS(Trato_Diario!$G$4:$G$203,Trato_Diario!$B$4:$B$203,D$5,Trato_Diario!$A$4:$A$203,$A135)=0),"",SUMIFS(Trato_Diario!$J$4:$J$203,Trato_Diario!$B$4:$B$203,D$5,Trato_Diario!$A$4:$A$203,$A135)/SUMIFS(Trato_Diario!$G$4:$G$203,Trato_Diario!$B$4:$B$203,D$5,Trato_Diario!$A$4:$A$203,$A135))</f>
        <v/>
      </c>
      <c r="E135" s="20" t="str">
        <f>IF(OR($A135&gt;MAX(Trato_Diario!$A$4:$A$203),SUMIFS(Trato_Diario!$G$4:$G$203,Trato_Diario!$B$4:$B$203,E$5,Trato_Diario!$A$4:$A$203,$A135)=0),"",SUMIFS(Trato_Diario!$J$4:$J$203,Trato_Diario!$B$4:$B$203,E$5,Trato_Diario!$A$4:$A$203,$A135)/SUMIFS(Trato_Diario!$G$4:$G$203,Trato_Diario!$B$4:$B$203,E$5,Trato_Diario!$A$4:$A$203,$A135))</f>
        <v/>
      </c>
      <c r="F135" s="20" t="str">
        <f>IF(OR($A135&gt;MAX(Trato_Diario!$A$4:$A$203),SUMIFS(Trato_Diario!$G$4:$G$203,Trato_Diario!$B$4:$B$203,F$5,Trato_Diario!$A$4:$A$203,$A135)=0),"",SUMIFS(Trato_Diario!$J$4:$J$203,Trato_Diario!$B$4:$B$203,F$5,Trato_Diario!$A$4:$A$203,$A135)/SUMIFS(Trato_Diario!$G$4:$G$203,Trato_Diario!$B$4:$B$203,F$5,Trato_Diario!$A$4:$A$203,$A135))</f>
        <v/>
      </c>
      <c r="G135" s="20" t="str">
        <f>IF(OR($A135&gt;MAX(Trato_Diario!$A$4:$A$203),SUMIFS(Trato_Diario!$G$4:$G$203,Trato_Diario!$B$4:$B$203,G$5,Trato_Diario!$A$4:$A$203,$A135)=0),"",SUMIFS(Trato_Diario!$J$4:$J$203,Trato_Diario!$B$4:$B$203,G$5,Trato_Diario!$A$4:$A$203,$A135)/SUMIFS(Trato_Diario!$G$4:$G$203,Trato_Diario!$B$4:$B$203,G$5,Trato_Diario!$A$4:$A$203,$A135))</f>
        <v/>
      </c>
      <c r="H135" s="59" t="str">
        <f>IF(OR($A135&gt;MAX(Trato_Diario!$A$4:$A$203),SUMIFS(Trato_Diario!$G$4:$G$203,Trato_Diario!$A$4:$A$203,$A135)=0),"",SUMIFS(Trato_Diario!$J$4:$J$203,Trato_Diario!$A$4:$A$203,$A135)/SUMIFS(Trato_Diario!$G$4:$G$203,Trato_Diario!$A$4:$A$203,$A135))</f>
        <v/>
      </c>
    </row>
    <row r="136" spans="1:8" ht="14.25" customHeight="1" x14ac:dyDescent="0.3">
      <c r="A136" s="71">
        <v>46323</v>
      </c>
      <c r="B136" s="46" t="str">
        <f>IF(OR($A136&gt;MAX(Trato_Diario!$A$4:$A$203),SUMIFS(Trato_Diario!$G$4:$G$203,Trato_Diario!$B$4:$B$203,B$5,Trato_Diario!$A$4:$A$203,$A136)=0),"",SUMIFS(Trato_Diario!$J$4:$J$203,Trato_Diario!$B$4:$B$203,B$5,Trato_Diario!$A$4:$A$203,$A136)/SUMIFS(Trato_Diario!$G$4:$G$203,Trato_Diario!$B$4:$B$203,B$5,Trato_Diario!$A$4:$A$203,$A136))</f>
        <v/>
      </c>
      <c r="C136" s="46" t="str">
        <f>IF(OR($A136&gt;MAX(Trato_Diario!$A$4:$A$203),SUMIFS(Trato_Diario!$G$4:$G$203,Trato_Diario!$B$4:$B$203,C$5,Trato_Diario!$A$4:$A$203,$A136)=0),"",SUMIFS(Trato_Diario!$J$4:$J$203,Trato_Diario!$B$4:$B$203,C$5,Trato_Diario!$A$4:$A$203,$A136)/SUMIFS(Trato_Diario!$G$4:$G$203,Trato_Diario!$B$4:$B$203,C$5,Trato_Diario!$A$4:$A$203,$A136))</f>
        <v/>
      </c>
      <c r="D136" s="46" t="str">
        <f>IF(OR($A136&gt;MAX(Trato_Diario!$A$4:$A$203),SUMIFS(Trato_Diario!$G$4:$G$203,Trato_Diario!$B$4:$B$203,D$5,Trato_Diario!$A$4:$A$203,$A136)=0),"",SUMIFS(Trato_Diario!$J$4:$J$203,Trato_Diario!$B$4:$B$203,D$5,Trato_Diario!$A$4:$A$203,$A136)/SUMIFS(Trato_Diario!$G$4:$G$203,Trato_Diario!$B$4:$B$203,D$5,Trato_Diario!$A$4:$A$203,$A136))</f>
        <v/>
      </c>
      <c r="E136" s="46" t="str">
        <f>IF(OR($A136&gt;MAX(Trato_Diario!$A$4:$A$203),SUMIFS(Trato_Diario!$G$4:$G$203,Trato_Diario!$B$4:$B$203,E$5,Trato_Diario!$A$4:$A$203,$A136)=0),"",SUMIFS(Trato_Diario!$J$4:$J$203,Trato_Diario!$B$4:$B$203,E$5,Trato_Diario!$A$4:$A$203,$A136)/SUMIFS(Trato_Diario!$G$4:$G$203,Trato_Diario!$B$4:$B$203,E$5,Trato_Diario!$A$4:$A$203,$A136))</f>
        <v/>
      </c>
      <c r="F136" s="46" t="str">
        <f>IF(OR($A136&gt;MAX(Trato_Diario!$A$4:$A$203),SUMIFS(Trato_Diario!$G$4:$G$203,Trato_Diario!$B$4:$B$203,F$5,Trato_Diario!$A$4:$A$203,$A136)=0),"",SUMIFS(Trato_Diario!$J$4:$J$203,Trato_Diario!$B$4:$B$203,F$5,Trato_Diario!$A$4:$A$203,$A136)/SUMIFS(Trato_Diario!$G$4:$G$203,Trato_Diario!$B$4:$B$203,F$5,Trato_Diario!$A$4:$A$203,$A136))</f>
        <v/>
      </c>
      <c r="G136" s="46" t="str">
        <f>IF(OR($A136&gt;MAX(Trato_Diario!$A$4:$A$203),SUMIFS(Trato_Diario!$G$4:$G$203,Trato_Diario!$B$4:$B$203,G$5,Trato_Diario!$A$4:$A$203,$A136)=0),"",SUMIFS(Trato_Diario!$J$4:$J$203,Trato_Diario!$B$4:$B$203,G$5,Trato_Diario!$A$4:$A$203,$A136)/SUMIFS(Trato_Diario!$G$4:$G$203,Trato_Diario!$B$4:$B$203,G$5,Trato_Diario!$A$4:$A$203,$A136))</f>
        <v/>
      </c>
      <c r="H136" s="57" t="str">
        <f>IF(OR($A136&gt;MAX(Trato_Diario!$A$4:$A$203),SUMIFS(Trato_Diario!$G$4:$G$203,Trato_Diario!$A$4:$A$203,$A136)=0),"",SUMIFS(Trato_Diario!$J$4:$J$203,Trato_Diario!$A$4:$A$203,$A136)/SUMIFS(Trato_Diario!$G$4:$G$203,Trato_Diario!$A$4:$A$203,$A136))</f>
        <v/>
      </c>
    </row>
    <row r="137" spans="1:8" ht="14.25" customHeight="1" x14ac:dyDescent="0.3">
      <c r="A137" s="72">
        <v>46324</v>
      </c>
      <c r="B137" s="20" t="str">
        <f>IF(OR($A137&gt;MAX(Trato_Diario!$A$4:$A$203),SUMIFS(Trato_Diario!$G$4:$G$203,Trato_Diario!$B$4:$B$203,B$5,Trato_Diario!$A$4:$A$203,$A137)=0),"",SUMIFS(Trato_Diario!$J$4:$J$203,Trato_Diario!$B$4:$B$203,B$5,Trato_Diario!$A$4:$A$203,$A137)/SUMIFS(Trato_Diario!$G$4:$G$203,Trato_Diario!$B$4:$B$203,B$5,Trato_Diario!$A$4:$A$203,$A137))</f>
        <v/>
      </c>
      <c r="C137" s="20" t="str">
        <f>IF(OR($A137&gt;MAX(Trato_Diario!$A$4:$A$203),SUMIFS(Trato_Diario!$G$4:$G$203,Trato_Diario!$B$4:$B$203,C$5,Trato_Diario!$A$4:$A$203,$A137)=0),"",SUMIFS(Trato_Diario!$J$4:$J$203,Trato_Diario!$B$4:$B$203,C$5,Trato_Diario!$A$4:$A$203,$A137)/SUMIFS(Trato_Diario!$G$4:$G$203,Trato_Diario!$B$4:$B$203,C$5,Trato_Diario!$A$4:$A$203,$A137))</f>
        <v/>
      </c>
      <c r="D137" s="20" t="str">
        <f>IF(OR($A137&gt;MAX(Trato_Diario!$A$4:$A$203),SUMIFS(Trato_Diario!$G$4:$G$203,Trato_Diario!$B$4:$B$203,D$5,Trato_Diario!$A$4:$A$203,$A137)=0),"",SUMIFS(Trato_Diario!$J$4:$J$203,Trato_Diario!$B$4:$B$203,D$5,Trato_Diario!$A$4:$A$203,$A137)/SUMIFS(Trato_Diario!$G$4:$G$203,Trato_Diario!$B$4:$B$203,D$5,Trato_Diario!$A$4:$A$203,$A137))</f>
        <v/>
      </c>
      <c r="E137" s="20" t="str">
        <f>IF(OR($A137&gt;MAX(Trato_Diario!$A$4:$A$203),SUMIFS(Trato_Diario!$G$4:$G$203,Trato_Diario!$B$4:$B$203,E$5,Trato_Diario!$A$4:$A$203,$A137)=0),"",SUMIFS(Trato_Diario!$J$4:$J$203,Trato_Diario!$B$4:$B$203,E$5,Trato_Diario!$A$4:$A$203,$A137)/SUMIFS(Trato_Diario!$G$4:$G$203,Trato_Diario!$B$4:$B$203,E$5,Trato_Diario!$A$4:$A$203,$A137))</f>
        <v/>
      </c>
      <c r="F137" s="20" t="str">
        <f>IF(OR($A137&gt;MAX(Trato_Diario!$A$4:$A$203),SUMIFS(Trato_Diario!$G$4:$G$203,Trato_Diario!$B$4:$B$203,F$5,Trato_Diario!$A$4:$A$203,$A137)=0),"",SUMIFS(Trato_Diario!$J$4:$J$203,Trato_Diario!$B$4:$B$203,F$5,Trato_Diario!$A$4:$A$203,$A137)/SUMIFS(Trato_Diario!$G$4:$G$203,Trato_Diario!$B$4:$B$203,F$5,Trato_Diario!$A$4:$A$203,$A137))</f>
        <v/>
      </c>
      <c r="G137" s="20" t="str">
        <f>IF(OR($A137&gt;MAX(Trato_Diario!$A$4:$A$203),SUMIFS(Trato_Diario!$G$4:$G$203,Trato_Diario!$B$4:$B$203,G$5,Trato_Diario!$A$4:$A$203,$A137)=0),"",SUMIFS(Trato_Diario!$J$4:$J$203,Trato_Diario!$B$4:$B$203,G$5,Trato_Diario!$A$4:$A$203,$A137)/SUMIFS(Trato_Diario!$G$4:$G$203,Trato_Diario!$B$4:$B$203,G$5,Trato_Diario!$A$4:$A$203,$A137))</f>
        <v/>
      </c>
      <c r="H137" s="59" t="str">
        <f>IF(OR($A137&gt;MAX(Trato_Diario!$A$4:$A$203),SUMIFS(Trato_Diario!$G$4:$G$203,Trato_Diario!$A$4:$A$203,$A137)=0),"",SUMIFS(Trato_Diario!$J$4:$J$203,Trato_Diario!$A$4:$A$203,$A137)/SUMIFS(Trato_Diario!$G$4:$G$203,Trato_Diario!$A$4:$A$203,$A137))</f>
        <v/>
      </c>
    </row>
    <row r="138" spans="1:8" ht="14.25" customHeight="1" x14ac:dyDescent="0.3">
      <c r="A138" s="71">
        <v>46325</v>
      </c>
      <c r="B138" s="46" t="str">
        <f>IF(OR($A138&gt;MAX(Trato_Diario!$A$4:$A$203),SUMIFS(Trato_Diario!$G$4:$G$203,Trato_Diario!$B$4:$B$203,B$5,Trato_Diario!$A$4:$A$203,$A138)=0),"",SUMIFS(Trato_Diario!$J$4:$J$203,Trato_Diario!$B$4:$B$203,B$5,Trato_Diario!$A$4:$A$203,$A138)/SUMIFS(Trato_Diario!$G$4:$G$203,Trato_Diario!$B$4:$B$203,B$5,Trato_Diario!$A$4:$A$203,$A138))</f>
        <v/>
      </c>
      <c r="C138" s="46" t="str">
        <f>IF(OR($A138&gt;MAX(Trato_Diario!$A$4:$A$203),SUMIFS(Trato_Diario!$G$4:$G$203,Trato_Diario!$B$4:$B$203,C$5,Trato_Diario!$A$4:$A$203,$A138)=0),"",SUMIFS(Trato_Diario!$J$4:$J$203,Trato_Diario!$B$4:$B$203,C$5,Trato_Diario!$A$4:$A$203,$A138)/SUMIFS(Trato_Diario!$G$4:$G$203,Trato_Diario!$B$4:$B$203,C$5,Trato_Diario!$A$4:$A$203,$A138))</f>
        <v/>
      </c>
      <c r="D138" s="46" t="str">
        <f>IF(OR($A138&gt;MAX(Trato_Diario!$A$4:$A$203),SUMIFS(Trato_Diario!$G$4:$G$203,Trato_Diario!$B$4:$B$203,D$5,Trato_Diario!$A$4:$A$203,$A138)=0),"",SUMIFS(Trato_Diario!$J$4:$J$203,Trato_Diario!$B$4:$B$203,D$5,Trato_Diario!$A$4:$A$203,$A138)/SUMIFS(Trato_Diario!$G$4:$G$203,Trato_Diario!$B$4:$B$203,D$5,Trato_Diario!$A$4:$A$203,$A138))</f>
        <v/>
      </c>
      <c r="E138" s="46" t="str">
        <f>IF(OR($A138&gt;MAX(Trato_Diario!$A$4:$A$203),SUMIFS(Trato_Diario!$G$4:$G$203,Trato_Diario!$B$4:$B$203,E$5,Trato_Diario!$A$4:$A$203,$A138)=0),"",SUMIFS(Trato_Diario!$J$4:$J$203,Trato_Diario!$B$4:$B$203,E$5,Trato_Diario!$A$4:$A$203,$A138)/SUMIFS(Trato_Diario!$G$4:$G$203,Trato_Diario!$B$4:$B$203,E$5,Trato_Diario!$A$4:$A$203,$A138))</f>
        <v/>
      </c>
      <c r="F138" s="46" t="str">
        <f>IF(OR($A138&gt;MAX(Trato_Diario!$A$4:$A$203),SUMIFS(Trato_Diario!$G$4:$G$203,Trato_Diario!$B$4:$B$203,F$5,Trato_Diario!$A$4:$A$203,$A138)=0),"",SUMIFS(Trato_Diario!$J$4:$J$203,Trato_Diario!$B$4:$B$203,F$5,Trato_Diario!$A$4:$A$203,$A138)/SUMIFS(Trato_Diario!$G$4:$G$203,Trato_Diario!$B$4:$B$203,F$5,Trato_Diario!$A$4:$A$203,$A138))</f>
        <v/>
      </c>
      <c r="G138" s="46" t="str">
        <f>IF(OR($A138&gt;MAX(Trato_Diario!$A$4:$A$203),SUMIFS(Trato_Diario!$G$4:$G$203,Trato_Diario!$B$4:$B$203,G$5,Trato_Diario!$A$4:$A$203,$A138)=0),"",SUMIFS(Trato_Diario!$J$4:$J$203,Trato_Diario!$B$4:$B$203,G$5,Trato_Diario!$A$4:$A$203,$A138)/SUMIFS(Trato_Diario!$G$4:$G$203,Trato_Diario!$B$4:$B$203,G$5,Trato_Diario!$A$4:$A$203,$A138))</f>
        <v/>
      </c>
      <c r="H138" s="57" t="str">
        <f>IF(OR($A138&gt;MAX(Trato_Diario!$A$4:$A$203),SUMIFS(Trato_Diario!$G$4:$G$203,Trato_Diario!$A$4:$A$203,$A138)=0),"",SUMIFS(Trato_Diario!$J$4:$J$203,Trato_Diario!$A$4:$A$203,$A138)/SUMIFS(Trato_Diario!$G$4:$G$203,Trato_Diario!$A$4:$A$203,$A138))</f>
        <v/>
      </c>
    </row>
    <row r="139" spans="1:8" ht="14.25" customHeight="1" x14ac:dyDescent="0.3">
      <c r="A139" s="72">
        <v>46326</v>
      </c>
      <c r="B139" s="20" t="str">
        <f>IF(OR($A139&gt;MAX(Trato_Diario!$A$4:$A$203),SUMIFS(Trato_Diario!$G$4:$G$203,Trato_Diario!$B$4:$B$203,B$5,Trato_Diario!$A$4:$A$203,$A139)=0),"",SUMIFS(Trato_Diario!$J$4:$J$203,Trato_Diario!$B$4:$B$203,B$5,Trato_Diario!$A$4:$A$203,$A139)/SUMIFS(Trato_Diario!$G$4:$G$203,Trato_Diario!$B$4:$B$203,B$5,Trato_Diario!$A$4:$A$203,$A139))</f>
        <v/>
      </c>
      <c r="C139" s="20" t="str">
        <f>IF(OR($A139&gt;MAX(Trato_Diario!$A$4:$A$203),SUMIFS(Trato_Diario!$G$4:$G$203,Trato_Diario!$B$4:$B$203,C$5,Trato_Diario!$A$4:$A$203,$A139)=0),"",SUMIFS(Trato_Diario!$J$4:$J$203,Trato_Diario!$B$4:$B$203,C$5,Trato_Diario!$A$4:$A$203,$A139)/SUMIFS(Trato_Diario!$G$4:$G$203,Trato_Diario!$B$4:$B$203,C$5,Trato_Diario!$A$4:$A$203,$A139))</f>
        <v/>
      </c>
      <c r="D139" s="20" t="str">
        <f>IF(OR($A139&gt;MAX(Trato_Diario!$A$4:$A$203),SUMIFS(Trato_Diario!$G$4:$G$203,Trato_Diario!$B$4:$B$203,D$5,Trato_Diario!$A$4:$A$203,$A139)=0),"",SUMIFS(Trato_Diario!$J$4:$J$203,Trato_Diario!$B$4:$B$203,D$5,Trato_Diario!$A$4:$A$203,$A139)/SUMIFS(Trato_Diario!$G$4:$G$203,Trato_Diario!$B$4:$B$203,D$5,Trato_Diario!$A$4:$A$203,$A139))</f>
        <v/>
      </c>
      <c r="E139" s="20" t="str">
        <f>IF(OR($A139&gt;MAX(Trato_Diario!$A$4:$A$203),SUMIFS(Trato_Diario!$G$4:$G$203,Trato_Diario!$B$4:$B$203,E$5,Trato_Diario!$A$4:$A$203,$A139)=0),"",SUMIFS(Trato_Diario!$J$4:$J$203,Trato_Diario!$B$4:$B$203,E$5,Trato_Diario!$A$4:$A$203,$A139)/SUMIFS(Trato_Diario!$G$4:$G$203,Trato_Diario!$B$4:$B$203,E$5,Trato_Diario!$A$4:$A$203,$A139))</f>
        <v/>
      </c>
      <c r="F139" s="20" t="str">
        <f>IF(OR($A139&gt;MAX(Trato_Diario!$A$4:$A$203),SUMIFS(Trato_Diario!$G$4:$G$203,Trato_Diario!$B$4:$B$203,F$5,Trato_Diario!$A$4:$A$203,$A139)=0),"",SUMIFS(Trato_Diario!$J$4:$J$203,Trato_Diario!$B$4:$B$203,F$5,Trato_Diario!$A$4:$A$203,$A139)/SUMIFS(Trato_Diario!$G$4:$G$203,Trato_Diario!$B$4:$B$203,F$5,Trato_Diario!$A$4:$A$203,$A139))</f>
        <v/>
      </c>
      <c r="G139" s="20" t="str">
        <f>IF(OR($A139&gt;MAX(Trato_Diario!$A$4:$A$203),SUMIFS(Trato_Diario!$G$4:$G$203,Trato_Diario!$B$4:$B$203,G$5,Trato_Diario!$A$4:$A$203,$A139)=0),"",SUMIFS(Trato_Diario!$J$4:$J$203,Trato_Diario!$B$4:$B$203,G$5,Trato_Diario!$A$4:$A$203,$A139)/SUMIFS(Trato_Diario!$G$4:$G$203,Trato_Diario!$B$4:$B$203,G$5,Trato_Diario!$A$4:$A$203,$A139))</f>
        <v/>
      </c>
      <c r="H139" s="59" t="str">
        <f>IF(OR($A139&gt;MAX(Trato_Diario!$A$4:$A$203),SUMIFS(Trato_Diario!$G$4:$G$203,Trato_Diario!$A$4:$A$203,$A139)=0),"",SUMIFS(Trato_Diario!$J$4:$J$203,Trato_Diario!$A$4:$A$203,$A139)/SUMIFS(Trato_Diario!$G$4:$G$203,Trato_Diario!$A$4:$A$203,$A139))</f>
        <v/>
      </c>
    </row>
    <row r="140" spans="1:8" ht="14.25" customHeight="1" x14ac:dyDescent="0.3">
      <c r="A140" s="71">
        <v>46327</v>
      </c>
      <c r="B140" s="46" t="str">
        <f>IF(OR($A140&gt;MAX(Trato_Diario!$A$4:$A$203),SUMIFS(Trato_Diario!$G$4:$G$203,Trato_Diario!$B$4:$B$203,B$5,Trato_Diario!$A$4:$A$203,$A140)=0),"",SUMIFS(Trato_Diario!$J$4:$J$203,Trato_Diario!$B$4:$B$203,B$5,Trato_Diario!$A$4:$A$203,$A140)/SUMIFS(Trato_Diario!$G$4:$G$203,Trato_Diario!$B$4:$B$203,B$5,Trato_Diario!$A$4:$A$203,$A140))</f>
        <v/>
      </c>
      <c r="C140" s="46" t="str">
        <f>IF(OR($A140&gt;MAX(Trato_Diario!$A$4:$A$203),SUMIFS(Trato_Diario!$G$4:$G$203,Trato_Diario!$B$4:$B$203,C$5,Trato_Diario!$A$4:$A$203,$A140)=0),"",SUMIFS(Trato_Diario!$J$4:$J$203,Trato_Diario!$B$4:$B$203,C$5,Trato_Diario!$A$4:$A$203,$A140)/SUMIFS(Trato_Diario!$G$4:$G$203,Trato_Diario!$B$4:$B$203,C$5,Trato_Diario!$A$4:$A$203,$A140))</f>
        <v/>
      </c>
      <c r="D140" s="46" t="str">
        <f>IF(OR($A140&gt;MAX(Trato_Diario!$A$4:$A$203),SUMIFS(Trato_Diario!$G$4:$G$203,Trato_Diario!$B$4:$B$203,D$5,Trato_Diario!$A$4:$A$203,$A140)=0),"",SUMIFS(Trato_Diario!$J$4:$J$203,Trato_Diario!$B$4:$B$203,D$5,Trato_Diario!$A$4:$A$203,$A140)/SUMIFS(Trato_Diario!$G$4:$G$203,Trato_Diario!$B$4:$B$203,D$5,Trato_Diario!$A$4:$A$203,$A140))</f>
        <v/>
      </c>
      <c r="E140" s="46" t="str">
        <f>IF(OR($A140&gt;MAX(Trato_Diario!$A$4:$A$203),SUMIFS(Trato_Diario!$G$4:$G$203,Trato_Diario!$B$4:$B$203,E$5,Trato_Diario!$A$4:$A$203,$A140)=0),"",SUMIFS(Trato_Diario!$J$4:$J$203,Trato_Diario!$B$4:$B$203,E$5,Trato_Diario!$A$4:$A$203,$A140)/SUMIFS(Trato_Diario!$G$4:$G$203,Trato_Diario!$B$4:$B$203,E$5,Trato_Diario!$A$4:$A$203,$A140))</f>
        <v/>
      </c>
      <c r="F140" s="46" t="str">
        <f>IF(OR($A140&gt;MAX(Trato_Diario!$A$4:$A$203),SUMIFS(Trato_Diario!$G$4:$G$203,Trato_Diario!$B$4:$B$203,F$5,Trato_Diario!$A$4:$A$203,$A140)=0),"",SUMIFS(Trato_Diario!$J$4:$J$203,Trato_Diario!$B$4:$B$203,F$5,Trato_Diario!$A$4:$A$203,$A140)/SUMIFS(Trato_Diario!$G$4:$G$203,Trato_Diario!$B$4:$B$203,F$5,Trato_Diario!$A$4:$A$203,$A140))</f>
        <v/>
      </c>
      <c r="G140" s="46" t="str">
        <f>IF(OR($A140&gt;MAX(Trato_Diario!$A$4:$A$203),SUMIFS(Trato_Diario!$G$4:$G$203,Trato_Diario!$B$4:$B$203,G$5,Trato_Diario!$A$4:$A$203,$A140)=0),"",SUMIFS(Trato_Diario!$J$4:$J$203,Trato_Diario!$B$4:$B$203,G$5,Trato_Diario!$A$4:$A$203,$A140)/SUMIFS(Trato_Diario!$G$4:$G$203,Trato_Diario!$B$4:$B$203,G$5,Trato_Diario!$A$4:$A$203,$A140))</f>
        <v/>
      </c>
      <c r="H140" s="57" t="str">
        <f>IF(OR($A140&gt;MAX(Trato_Diario!$A$4:$A$203),SUMIFS(Trato_Diario!$G$4:$G$203,Trato_Diario!$A$4:$A$203,$A140)=0),"",SUMIFS(Trato_Diario!$J$4:$J$203,Trato_Diario!$A$4:$A$203,$A140)/SUMIFS(Trato_Diario!$G$4:$G$203,Trato_Diario!$A$4:$A$203,$A140))</f>
        <v/>
      </c>
    </row>
    <row r="141" spans="1:8" ht="14.25" customHeight="1" x14ac:dyDescent="0.3">
      <c r="A141" s="72">
        <v>46328</v>
      </c>
      <c r="B141" s="20" t="str">
        <f>IF(OR($A141&gt;MAX(Trato_Diario!$A$4:$A$203),SUMIFS(Trato_Diario!$G$4:$G$203,Trato_Diario!$B$4:$B$203,B$5,Trato_Diario!$A$4:$A$203,$A141)=0),"",SUMIFS(Trato_Diario!$J$4:$J$203,Trato_Diario!$B$4:$B$203,B$5,Trato_Diario!$A$4:$A$203,$A141)/SUMIFS(Trato_Diario!$G$4:$G$203,Trato_Diario!$B$4:$B$203,B$5,Trato_Diario!$A$4:$A$203,$A141))</f>
        <v/>
      </c>
      <c r="C141" s="20" t="str">
        <f>IF(OR($A141&gt;MAX(Trato_Diario!$A$4:$A$203),SUMIFS(Trato_Diario!$G$4:$G$203,Trato_Diario!$B$4:$B$203,C$5,Trato_Diario!$A$4:$A$203,$A141)=0),"",SUMIFS(Trato_Diario!$J$4:$J$203,Trato_Diario!$B$4:$B$203,C$5,Trato_Diario!$A$4:$A$203,$A141)/SUMIFS(Trato_Diario!$G$4:$G$203,Trato_Diario!$B$4:$B$203,C$5,Trato_Diario!$A$4:$A$203,$A141))</f>
        <v/>
      </c>
      <c r="D141" s="20" t="str">
        <f>IF(OR($A141&gt;MAX(Trato_Diario!$A$4:$A$203),SUMIFS(Trato_Diario!$G$4:$G$203,Trato_Diario!$B$4:$B$203,D$5,Trato_Diario!$A$4:$A$203,$A141)=0),"",SUMIFS(Trato_Diario!$J$4:$J$203,Trato_Diario!$B$4:$B$203,D$5,Trato_Diario!$A$4:$A$203,$A141)/SUMIFS(Trato_Diario!$G$4:$G$203,Trato_Diario!$B$4:$B$203,D$5,Trato_Diario!$A$4:$A$203,$A141))</f>
        <v/>
      </c>
      <c r="E141" s="20" t="str">
        <f>IF(OR($A141&gt;MAX(Trato_Diario!$A$4:$A$203),SUMIFS(Trato_Diario!$G$4:$G$203,Trato_Diario!$B$4:$B$203,E$5,Trato_Diario!$A$4:$A$203,$A141)=0),"",SUMIFS(Trato_Diario!$J$4:$J$203,Trato_Diario!$B$4:$B$203,E$5,Trato_Diario!$A$4:$A$203,$A141)/SUMIFS(Trato_Diario!$G$4:$G$203,Trato_Diario!$B$4:$B$203,E$5,Trato_Diario!$A$4:$A$203,$A141))</f>
        <v/>
      </c>
      <c r="F141" s="20" t="str">
        <f>IF(OR($A141&gt;MAX(Trato_Diario!$A$4:$A$203),SUMIFS(Trato_Diario!$G$4:$G$203,Trato_Diario!$B$4:$B$203,F$5,Trato_Diario!$A$4:$A$203,$A141)=0),"",SUMIFS(Trato_Diario!$J$4:$J$203,Trato_Diario!$B$4:$B$203,F$5,Trato_Diario!$A$4:$A$203,$A141)/SUMIFS(Trato_Diario!$G$4:$G$203,Trato_Diario!$B$4:$B$203,F$5,Trato_Diario!$A$4:$A$203,$A141))</f>
        <v/>
      </c>
      <c r="G141" s="20" t="str">
        <f>IF(OR($A141&gt;MAX(Trato_Diario!$A$4:$A$203),SUMIFS(Trato_Diario!$G$4:$G$203,Trato_Diario!$B$4:$B$203,G$5,Trato_Diario!$A$4:$A$203,$A141)=0),"",SUMIFS(Trato_Diario!$J$4:$J$203,Trato_Diario!$B$4:$B$203,G$5,Trato_Diario!$A$4:$A$203,$A141)/SUMIFS(Trato_Diario!$G$4:$G$203,Trato_Diario!$B$4:$B$203,G$5,Trato_Diario!$A$4:$A$203,$A141))</f>
        <v/>
      </c>
      <c r="H141" s="59" t="str">
        <f>IF(OR($A141&gt;MAX(Trato_Diario!$A$4:$A$203),SUMIFS(Trato_Diario!$G$4:$G$203,Trato_Diario!$A$4:$A$203,$A141)=0),"",SUMIFS(Trato_Diario!$J$4:$J$203,Trato_Diario!$A$4:$A$203,$A141)/SUMIFS(Trato_Diario!$G$4:$G$203,Trato_Diario!$A$4:$A$203,$A141))</f>
        <v/>
      </c>
    </row>
    <row r="142" spans="1:8" ht="14.25" customHeight="1" x14ac:dyDescent="0.3">
      <c r="A142" s="71">
        <v>46329</v>
      </c>
      <c r="B142" s="46" t="str">
        <f>IF(OR($A142&gt;MAX(Trato_Diario!$A$4:$A$203),SUMIFS(Trato_Diario!$G$4:$G$203,Trato_Diario!$B$4:$B$203,B$5,Trato_Diario!$A$4:$A$203,$A142)=0),"",SUMIFS(Trato_Diario!$J$4:$J$203,Trato_Diario!$B$4:$B$203,B$5,Trato_Diario!$A$4:$A$203,$A142)/SUMIFS(Trato_Diario!$G$4:$G$203,Trato_Diario!$B$4:$B$203,B$5,Trato_Diario!$A$4:$A$203,$A142))</f>
        <v/>
      </c>
      <c r="C142" s="46" t="str">
        <f>IF(OR($A142&gt;MAX(Trato_Diario!$A$4:$A$203),SUMIFS(Trato_Diario!$G$4:$G$203,Trato_Diario!$B$4:$B$203,C$5,Trato_Diario!$A$4:$A$203,$A142)=0),"",SUMIFS(Trato_Diario!$J$4:$J$203,Trato_Diario!$B$4:$B$203,C$5,Trato_Diario!$A$4:$A$203,$A142)/SUMIFS(Trato_Diario!$G$4:$G$203,Trato_Diario!$B$4:$B$203,C$5,Trato_Diario!$A$4:$A$203,$A142))</f>
        <v/>
      </c>
      <c r="D142" s="46" t="str">
        <f>IF(OR($A142&gt;MAX(Trato_Diario!$A$4:$A$203),SUMIFS(Trato_Diario!$G$4:$G$203,Trato_Diario!$B$4:$B$203,D$5,Trato_Diario!$A$4:$A$203,$A142)=0),"",SUMIFS(Trato_Diario!$J$4:$J$203,Trato_Diario!$B$4:$B$203,D$5,Trato_Diario!$A$4:$A$203,$A142)/SUMIFS(Trato_Diario!$G$4:$G$203,Trato_Diario!$B$4:$B$203,D$5,Trato_Diario!$A$4:$A$203,$A142))</f>
        <v/>
      </c>
      <c r="E142" s="46" t="str">
        <f>IF(OR($A142&gt;MAX(Trato_Diario!$A$4:$A$203),SUMIFS(Trato_Diario!$G$4:$G$203,Trato_Diario!$B$4:$B$203,E$5,Trato_Diario!$A$4:$A$203,$A142)=0),"",SUMIFS(Trato_Diario!$J$4:$J$203,Trato_Diario!$B$4:$B$203,E$5,Trato_Diario!$A$4:$A$203,$A142)/SUMIFS(Trato_Diario!$G$4:$G$203,Trato_Diario!$B$4:$B$203,E$5,Trato_Diario!$A$4:$A$203,$A142))</f>
        <v/>
      </c>
      <c r="F142" s="46" t="str">
        <f>IF(OR($A142&gt;MAX(Trato_Diario!$A$4:$A$203),SUMIFS(Trato_Diario!$G$4:$G$203,Trato_Diario!$B$4:$B$203,F$5,Trato_Diario!$A$4:$A$203,$A142)=0),"",SUMIFS(Trato_Diario!$J$4:$J$203,Trato_Diario!$B$4:$B$203,F$5,Trato_Diario!$A$4:$A$203,$A142)/SUMIFS(Trato_Diario!$G$4:$G$203,Trato_Diario!$B$4:$B$203,F$5,Trato_Diario!$A$4:$A$203,$A142))</f>
        <v/>
      </c>
      <c r="G142" s="46" t="str">
        <f>IF(OR($A142&gt;MAX(Trato_Diario!$A$4:$A$203),SUMIFS(Trato_Diario!$G$4:$G$203,Trato_Diario!$B$4:$B$203,G$5,Trato_Diario!$A$4:$A$203,$A142)=0),"",SUMIFS(Trato_Diario!$J$4:$J$203,Trato_Diario!$B$4:$B$203,G$5,Trato_Diario!$A$4:$A$203,$A142)/SUMIFS(Trato_Diario!$G$4:$G$203,Trato_Diario!$B$4:$B$203,G$5,Trato_Diario!$A$4:$A$203,$A142))</f>
        <v/>
      </c>
      <c r="H142" s="57" t="str">
        <f>IF(OR($A142&gt;MAX(Trato_Diario!$A$4:$A$203),SUMIFS(Trato_Diario!$G$4:$G$203,Trato_Diario!$A$4:$A$203,$A142)=0),"",SUMIFS(Trato_Diario!$J$4:$J$203,Trato_Diario!$A$4:$A$203,$A142)/SUMIFS(Trato_Diario!$G$4:$G$203,Trato_Diario!$A$4:$A$203,$A142))</f>
        <v/>
      </c>
    </row>
    <row r="143" spans="1:8" ht="14.25" customHeight="1" x14ac:dyDescent="0.3">
      <c r="A143" s="72">
        <v>46330</v>
      </c>
      <c r="B143" s="20" t="str">
        <f>IF(OR($A143&gt;MAX(Trato_Diario!$A$4:$A$203),SUMIFS(Trato_Diario!$G$4:$G$203,Trato_Diario!$B$4:$B$203,B$5,Trato_Diario!$A$4:$A$203,$A143)=0),"",SUMIFS(Trato_Diario!$J$4:$J$203,Trato_Diario!$B$4:$B$203,B$5,Trato_Diario!$A$4:$A$203,$A143)/SUMIFS(Trato_Diario!$G$4:$G$203,Trato_Diario!$B$4:$B$203,B$5,Trato_Diario!$A$4:$A$203,$A143))</f>
        <v/>
      </c>
      <c r="C143" s="20" t="str">
        <f>IF(OR($A143&gt;MAX(Trato_Diario!$A$4:$A$203),SUMIFS(Trato_Diario!$G$4:$G$203,Trato_Diario!$B$4:$B$203,C$5,Trato_Diario!$A$4:$A$203,$A143)=0),"",SUMIFS(Trato_Diario!$J$4:$J$203,Trato_Diario!$B$4:$B$203,C$5,Trato_Diario!$A$4:$A$203,$A143)/SUMIFS(Trato_Diario!$G$4:$G$203,Trato_Diario!$B$4:$B$203,C$5,Trato_Diario!$A$4:$A$203,$A143))</f>
        <v/>
      </c>
      <c r="D143" s="20" t="str">
        <f>IF(OR($A143&gt;MAX(Trato_Diario!$A$4:$A$203),SUMIFS(Trato_Diario!$G$4:$G$203,Trato_Diario!$B$4:$B$203,D$5,Trato_Diario!$A$4:$A$203,$A143)=0),"",SUMIFS(Trato_Diario!$J$4:$J$203,Trato_Diario!$B$4:$B$203,D$5,Trato_Diario!$A$4:$A$203,$A143)/SUMIFS(Trato_Diario!$G$4:$G$203,Trato_Diario!$B$4:$B$203,D$5,Trato_Diario!$A$4:$A$203,$A143))</f>
        <v/>
      </c>
      <c r="E143" s="20" t="str">
        <f>IF(OR($A143&gt;MAX(Trato_Diario!$A$4:$A$203),SUMIFS(Trato_Diario!$G$4:$G$203,Trato_Diario!$B$4:$B$203,E$5,Trato_Diario!$A$4:$A$203,$A143)=0),"",SUMIFS(Trato_Diario!$J$4:$J$203,Trato_Diario!$B$4:$B$203,E$5,Trato_Diario!$A$4:$A$203,$A143)/SUMIFS(Trato_Diario!$G$4:$G$203,Trato_Diario!$B$4:$B$203,E$5,Trato_Diario!$A$4:$A$203,$A143))</f>
        <v/>
      </c>
      <c r="F143" s="20" t="str">
        <f>IF(OR($A143&gt;MAX(Trato_Diario!$A$4:$A$203),SUMIFS(Trato_Diario!$G$4:$G$203,Trato_Diario!$B$4:$B$203,F$5,Trato_Diario!$A$4:$A$203,$A143)=0),"",SUMIFS(Trato_Diario!$J$4:$J$203,Trato_Diario!$B$4:$B$203,F$5,Trato_Diario!$A$4:$A$203,$A143)/SUMIFS(Trato_Diario!$G$4:$G$203,Trato_Diario!$B$4:$B$203,F$5,Trato_Diario!$A$4:$A$203,$A143))</f>
        <v/>
      </c>
      <c r="G143" s="20" t="str">
        <f>IF(OR($A143&gt;MAX(Trato_Diario!$A$4:$A$203),SUMIFS(Trato_Diario!$G$4:$G$203,Trato_Diario!$B$4:$B$203,G$5,Trato_Diario!$A$4:$A$203,$A143)=0),"",SUMIFS(Trato_Diario!$J$4:$J$203,Trato_Diario!$B$4:$B$203,G$5,Trato_Diario!$A$4:$A$203,$A143)/SUMIFS(Trato_Diario!$G$4:$G$203,Trato_Diario!$B$4:$B$203,G$5,Trato_Diario!$A$4:$A$203,$A143))</f>
        <v/>
      </c>
      <c r="H143" s="59" t="str">
        <f>IF(OR($A143&gt;MAX(Trato_Diario!$A$4:$A$203),SUMIFS(Trato_Diario!$G$4:$G$203,Trato_Diario!$A$4:$A$203,$A143)=0),"",SUMIFS(Trato_Diario!$J$4:$J$203,Trato_Diario!$A$4:$A$203,$A143)/SUMIFS(Trato_Diario!$G$4:$G$203,Trato_Diario!$A$4:$A$203,$A143))</f>
        <v/>
      </c>
    </row>
    <row r="144" spans="1:8" ht="14.25" customHeight="1" x14ac:dyDescent="0.3">
      <c r="A144" s="71">
        <v>46331</v>
      </c>
      <c r="B144" s="46" t="str">
        <f>IF(OR($A144&gt;MAX(Trato_Diario!$A$4:$A$203),SUMIFS(Trato_Diario!$G$4:$G$203,Trato_Diario!$B$4:$B$203,B$5,Trato_Diario!$A$4:$A$203,$A144)=0),"",SUMIFS(Trato_Diario!$J$4:$J$203,Trato_Diario!$B$4:$B$203,B$5,Trato_Diario!$A$4:$A$203,$A144)/SUMIFS(Trato_Diario!$G$4:$G$203,Trato_Diario!$B$4:$B$203,B$5,Trato_Diario!$A$4:$A$203,$A144))</f>
        <v/>
      </c>
      <c r="C144" s="46" t="str">
        <f>IF(OR($A144&gt;MAX(Trato_Diario!$A$4:$A$203),SUMIFS(Trato_Diario!$G$4:$G$203,Trato_Diario!$B$4:$B$203,C$5,Trato_Diario!$A$4:$A$203,$A144)=0),"",SUMIFS(Trato_Diario!$J$4:$J$203,Trato_Diario!$B$4:$B$203,C$5,Trato_Diario!$A$4:$A$203,$A144)/SUMIFS(Trato_Diario!$G$4:$G$203,Trato_Diario!$B$4:$B$203,C$5,Trato_Diario!$A$4:$A$203,$A144))</f>
        <v/>
      </c>
      <c r="D144" s="46" t="str">
        <f>IF(OR($A144&gt;MAX(Trato_Diario!$A$4:$A$203),SUMIFS(Trato_Diario!$G$4:$G$203,Trato_Diario!$B$4:$B$203,D$5,Trato_Diario!$A$4:$A$203,$A144)=0),"",SUMIFS(Trato_Diario!$J$4:$J$203,Trato_Diario!$B$4:$B$203,D$5,Trato_Diario!$A$4:$A$203,$A144)/SUMIFS(Trato_Diario!$G$4:$G$203,Trato_Diario!$B$4:$B$203,D$5,Trato_Diario!$A$4:$A$203,$A144))</f>
        <v/>
      </c>
      <c r="E144" s="46" t="str">
        <f>IF(OR($A144&gt;MAX(Trato_Diario!$A$4:$A$203),SUMIFS(Trato_Diario!$G$4:$G$203,Trato_Diario!$B$4:$B$203,E$5,Trato_Diario!$A$4:$A$203,$A144)=0),"",SUMIFS(Trato_Diario!$J$4:$J$203,Trato_Diario!$B$4:$B$203,E$5,Trato_Diario!$A$4:$A$203,$A144)/SUMIFS(Trato_Diario!$G$4:$G$203,Trato_Diario!$B$4:$B$203,E$5,Trato_Diario!$A$4:$A$203,$A144))</f>
        <v/>
      </c>
      <c r="F144" s="46" t="str">
        <f>IF(OR($A144&gt;MAX(Trato_Diario!$A$4:$A$203),SUMIFS(Trato_Diario!$G$4:$G$203,Trato_Diario!$B$4:$B$203,F$5,Trato_Diario!$A$4:$A$203,$A144)=0),"",SUMIFS(Trato_Diario!$J$4:$J$203,Trato_Diario!$B$4:$B$203,F$5,Trato_Diario!$A$4:$A$203,$A144)/SUMIFS(Trato_Diario!$G$4:$G$203,Trato_Diario!$B$4:$B$203,F$5,Trato_Diario!$A$4:$A$203,$A144))</f>
        <v/>
      </c>
      <c r="G144" s="46" t="str">
        <f>IF(OR($A144&gt;MAX(Trato_Diario!$A$4:$A$203),SUMIFS(Trato_Diario!$G$4:$G$203,Trato_Diario!$B$4:$B$203,G$5,Trato_Diario!$A$4:$A$203,$A144)=0),"",SUMIFS(Trato_Diario!$J$4:$J$203,Trato_Diario!$B$4:$B$203,G$5,Trato_Diario!$A$4:$A$203,$A144)/SUMIFS(Trato_Diario!$G$4:$G$203,Trato_Diario!$B$4:$B$203,G$5,Trato_Diario!$A$4:$A$203,$A144))</f>
        <v/>
      </c>
      <c r="H144" s="57" t="str">
        <f>IF(OR($A144&gt;MAX(Trato_Diario!$A$4:$A$203),SUMIFS(Trato_Diario!$G$4:$G$203,Trato_Diario!$A$4:$A$203,$A144)=0),"",SUMIFS(Trato_Diario!$J$4:$J$203,Trato_Diario!$A$4:$A$203,$A144)/SUMIFS(Trato_Diario!$G$4:$G$203,Trato_Diario!$A$4:$A$203,$A144))</f>
        <v/>
      </c>
    </row>
    <row r="145" spans="1:8" ht="14.25" customHeight="1" x14ac:dyDescent="0.3">
      <c r="A145" s="72">
        <v>46332</v>
      </c>
      <c r="B145" s="20" t="str">
        <f>IF(OR($A145&gt;MAX(Trato_Diario!$A$4:$A$203),SUMIFS(Trato_Diario!$G$4:$G$203,Trato_Diario!$B$4:$B$203,B$5,Trato_Diario!$A$4:$A$203,$A145)=0),"",SUMIFS(Trato_Diario!$J$4:$J$203,Trato_Diario!$B$4:$B$203,B$5,Trato_Diario!$A$4:$A$203,$A145)/SUMIFS(Trato_Diario!$G$4:$G$203,Trato_Diario!$B$4:$B$203,B$5,Trato_Diario!$A$4:$A$203,$A145))</f>
        <v/>
      </c>
      <c r="C145" s="20" t="str">
        <f>IF(OR($A145&gt;MAX(Trato_Diario!$A$4:$A$203),SUMIFS(Trato_Diario!$G$4:$G$203,Trato_Diario!$B$4:$B$203,C$5,Trato_Diario!$A$4:$A$203,$A145)=0),"",SUMIFS(Trato_Diario!$J$4:$J$203,Trato_Diario!$B$4:$B$203,C$5,Trato_Diario!$A$4:$A$203,$A145)/SUMIFS(Trato_Diario!$G$4:$G$203,Trato_Diario!$B$4:$B$203,C$5,Trato_Diario!$A$4:$A$203,$A145))</f>
        <v/>
      </c>
      <c r="D145" s="20" t="str">
        <f>IF(OR($A145&gt;MAX(Trato_Diario!$A$4:$A$203),SUMIFS(Trato_Diario!$G$4:$G$203,Trato_Diario!$B$4:$B$203,D$5,Trato_Diario!$A$4:$A$203,$A145)=0),"",SUMIFS(Trato_Diario!$J$4:$J$203,Trato_Diario!$B$4:$B$203,D$5,Trato_Diario!$A$4:$A$203,$A145)/SUMIFS(Trato_Diario!$G$4:$G$203,Trato_Diario!$B$4:$B$203,D$5,Trato_Diario!$A$4:$A$203,$A145))</f>
        <v/>
      </c>
      <c r="E145" s="20" t="str">
        <f>IF(OR($A145&gt;MAX(Trato_Diario!$A$4:$A$203),SUMIFS(Trato_Diario!$G$4:$G$203,Trato_Diario!$B$4:$B$203,E$5,Trato_Diario!$A$4:$A$203,$A145)=0),"",SUMIFS(Trato_Diario!$J$4:$J$203,Trato_Diario!$B$4:$B$203,E$5,Trato_Diario!$A$4:$A$203,$A145)/SUMIFS(Trato_Diario!$G$4:$G$203,Trato_Diario!$B$4:$B$203,E$5,Trato_Diario!$A$4:$A$203,$A145))</f>
        <v/>
      </c>
      <c r="F145" s="20" t="str">
        <f>IF(OR($A145&gt;MAX(Trato_Diario!$A$4:$A$203),SUMIFS(Trato_Diario!$G$4:$G$203,Trato_Diario!$B$4:$B$203,F$5,Trato_Diario!$A$4:$A$203,$A145)=0),"",SUMIFS(Trato_Diario!$J$4:$J$203,Trato_Diario!$B$4:$B$203,F$5,Trato_Diario!$A$4:$A$203,$A145)/SUMIFS(Trato_Diario!$G$4:$G$203,Trato_Diario!$B$4:$B$203,F$5,Trato_Diario!$A$4:$A$203,$A145))</f>
        <v/>
      </c>
      <c r="G145" s="20" t="str">
        <f>IF(OR($A145&gt;MAX(Trato_Diario!$A$4:$A$203),SUMIFS(Trato_Diario!$G$4:$G$203,Trato_Diario!$B$4:$B$203,G$5,Trato_Diario!$A$4:$A$203,$A145)=0),"",SUMIFS(Trato_Diario!$J$4:$J$203,Trato_Diario!$B$4:$B$203,G$5,Trato_Diario!$A$4:$A$203,$A145)/SUMIFS(Trato_Diario!$G$4:$G$203,Trato_Diario!$B$4:$B$203,G$5,Trato_Diario!$A$4:$A$203,$A145))</f>
        <v/>
      </c>
      <c r="H145" s="59" t="str">
        <f>IF(OR($A145&gt;MAX(Trato_Diario!$A$4:$A$203),SUMIFS(Trato_Diario!$G$4:$G$203,Trato_Diario!$A$4:$A$203,$A145)=0),"",SUMIFS(Trato_Diario!$J$4:$J$203,Trato_Diario!$A$4:$A$203,$A145)/SUMIFS(Trato_Diario!$G$4:$G$203,Trato_Diario!$A$4:$A$203,$A145))</f>
        <v/>
      </c>
    </row>
    <row r="146" spans="1:8" ht="14.25" customHeight="1" x14ac:dyDescent="0.3">
      <c r="A146" s="71">
        <v>46333</v>
      </c>
      <c r="B146" s="46" t="str">
        <f>IF(OR($A146&gt;MAX(Trato_Diario!$A$4:$A$203),SUMIFS(Trato_Diario!$G$4:$G$203,Trato_Diario!$B$4:$B$203,B$5,Trato_Diario!$A$4:$A$203,$A146)=0),"",SUMIFS(Trato_Diario!$J$4:$J$203,Trato_Diario!$B$4:$B$203,B$5,Trato_Diario!$A$4:$A$203,$A146)/SUMIFS(Trato_Diario!$G$4:$G$203,Trato_Diario!$B$4:$B$203,B$5,Trato_Diario!$A$4:$A$203,$A146))</f>
        <v/>
      </c>
      <c r="C146" s="46" t="str">
        <f>IF(OR($A146&gt;MAX(Trato_Diario!$A$4:$A$203),SUMIFS(Trato_Diario!$G$4:$G$203,Trato_Diario!$B$4:$B$203,C$5,Trato_Diario!$A$4:$A$203,$A146)=0),"",SUMIFS(Trato_Diario!$J$4:$J$203,Trato_Diario!$B$4:$B$203,C$5,Trato_Diario!$A$4:$A$203,$A146)/SUMIFS(Trato_Diario!$G$4:$G$203,Trato_Diario!$B$4:$B$203,C$5,Trato_Diario!$A$4:$A$203,$A146))</f>
        <v/>
      </c>
      <c r="D146" s="46" t="str">
        <f>IF(OR($A146&gt;MAX(Trato_Diario!$A$4:$A$203),SUMIFS(Trato_Diario!$G$4:$G$203,Trato_Diario!$B$4:$B$203,D$5,Trato_Diario!$A$4:$A$203,$A146)=0),"",SUMIFS(Trato_Diario!$J$4:$J$203,Trato_Diario!$B$4:$B$203,D$5,Trato_Diario!$A$4:$A$203,$A146)/SUMIFS(Trato_Diario!$G$4:$G$203,Trato_Diario!$B$4:$B$203,D$5,Trato_Diario!$A$4:$A$203,$A146))</f>
        <v/>
      </c>
      <c r="E146" s="46" t="str">
        <f>IF(OR($A146&gt;MAX(Trato_Diario!$A$4:$A$203),SUMIFS(Trato_Diario!$G$4:$G$203,Trato_Diario!$B$4:$B$203,E$5,Trato_Diario!$A$4:$A$203,$A146)=0),"",SUMIFS(Trato_Diario!$J$4:$J$203,Trato_Diario!$B$4:$B$203,E$5,Trato_Diario!$A$4:$A$203,$A146)/SUMIFS(Trato_Diario!$G$4:$G$203,Trato_Diario!$B$4:$B$203,E$5,Trato_Diario!$A$4:$A$203,$A146))</f>
        <v/>
      </c>
      <c r="F146" s="46" t="str">
        <f>IF(OR($A146&gt;MAX(Trato_Diario!$A$4:$A$203),SUMIFS(Trato_Diario!$G$4:$G$203,Trato_Diario!$B$4:$B$203,F$5,Trato_Diario!$A$4:$A$203,$A146)=0),"",SUMIFS(Trato_Diario!$J$4:$J$203,Trato_Diario!$B$4:$B$203,F$5,Trato_Diario!$A$4:$A$203,$A146)/SUMIFS(Trato_Diario!$G$4:$G$203,Trato_Diario!$B$4:$B$203,F$5,Trato_Diario!$A$4:$A$203,$A146))</f>
        <v/>
      </c>
      <c r="G146" s="46" t="str">
        <f>IF(OR($A146&gt;MAX(Trato_Diario!$A$4:$A$203),SUMIFS(Trato_Diario!$G$4:$G$203,Trato_Diario!$B$4:$B$203,G$5,Trato_Diario!$A$4:$A$203,$A146)=0),"",SUMIFS(Trato_Diario!$J$4:$J$203,Trato_Diario!$B$4:$B$203,G$5,Trato_Diario!$A$4:$A$203,$A146)/SUMIFS(Trato_Diario!$G$4:$G$203,Trato_Diario!$B$4:$B$203,G$5,Trato_Diario!$A$4:$A$203,$A146))</f>
        <v/>
      </c>
      <c r="H146" s="57" t="str">
        <f>IF(OR($A146&gt;MAX(Trato_Diario!$A$4:$A$203),SUMIFS(Trato_Diario!$G$4:$G$203,Trato_Diario!$A$4:$A$203,$A146)=0),"",SUMIFS(Trato_Diario!$J$4:$J$203,Trato_Diario!$A$4:$A$203,$A146)/SUMIFS(Trato_Diario!$G$4:$G$203,Trato_Diario!$A$4:$A$203,$A146))</f>
        <v/>
      </c>
    </row>
    <row r="147" spans="1:8" ht="14.25" customHeight="1" x14ac:dyDescent="0.3">
      <c r="A147" s="72">
        <v>46334</v>
      </c>
      <c r="B147" s="20" t="str">
        <f>IF(OR($A147&gt;MAX(Trato_Diario!$A$4:$A$203),SUMIFS(Trato_Diario!$G$4:$G$203,Trato_Diario!$B$4:$B$203,B$5,Trato_Diario!$A$4:$A$203,$A147)=0),"",SUMIFS(Trato_Diario!$J$4:$J$203,Trato_Diario!$B$4:$B$203,B$5,Trato_Diario!$A$4:$A$203,$A147)/SUMIFS(Trato_Diario!$G$4:$G$203,Trato_Diario!$B$4:$B$203,B$5,Trato_Diario!$A$4:$A$203,$A147))</f>
        <v/>
      </c>
      <c r="C147" s="20" t="str">
        <f>IF(OR($A147&gt;MAX(Trato_Diario!$A$4:$A$203),SUMIFS(Trato_Diario!$G$4:$G$203,Trato_Diario!$B$4:$B$203,C$5,Trato_Diario!$A$4:$A$203,$A147)=0),"",SUMIFS(Trato_Diario!$J$4:$J$203,Trato_Diario!$B$4:$B$203,C$5,Trato_Diario!$A$4:$A$203,$A147)/SUMIFS(Trato_Diario!$G$4:$G$203,Trato_Diario!$B$4:$B$203,C$5,Trato_Diario!$A$4:$A$203,$A147))</f>
        <v/>
      </c>
      <c r="D147" s="20" t="str">
        <f>IF(OR($A147&gt;MAX(Trato_Diario!$A$4:$A$203),SUMIFS(Trato_Diario!$G$4:$G$203,Trato_Diario!$B$4:$B$203,D$5,Trato_Diario!$A$4:$A$203,$A147)=0),"",SUMIFS(Trato_Diario!$J$4:$J$203,Trato_Diario!$B$4:$B$203,D$5,Trato_Diario!$A$4:$A$203,$A147)/SUMIFS(Trato_Diario!$G$4:$G$203,Trato_Diario!$B$4:$B$203,D$5,Trato_Diario!$A$4:$A$203,$A147))</f>
        <v/>
      </c>
      <c r="E147" s="20" t="str">
        <f>IF(OR($A147&gt;MAX(Trato_Diario!$A$4:$A$203),SUMIFS(Trato_Diario!$G$4:$G$203,Trato_Diario!$B$4:$B$203,E$5,Trato_Diario!$A$4:$A$203,$A147)=0),"",SUMIFS(Trato_Diario!$J$4:$J$203,Trato_Diario!$B$4:$B$203,E$5,Trato_Diario!$A$4:$A$203,$A147)/SUMIFS(Trato_Diario!$G$4:$G$203,Trato_Diario!$B$4:$B$203,E$5,Trato_Diario!$A$4:$A$203,$A147))</f>
        <v/>
      </c>
      <c r="F147" s="20" t="str">
        <f>IF(OR($A147&gt;MAX(Trato_Diario!$A$4:$A$203),SUMIFS(Trato_Diario!$G$4:$G$203,Trato_Diario!$B$4:$B$203,F$5,Trato_Diario!$A$4:$A$203,$A147)=0),"",SUMIFS(Trato_Diario!$J$4:$J$203,Trato_Diario!$B$4:$B$203,F$5,Trato_Diario!$A$4:$A$203,$A147)/SUMIFS(Trato_Diario!$G$4:$G$203,Trato_Diario!$B$4:$B$203,F$5,Trato_Diario!$A$4:$A$203,$A147))</f>
        <v/>
      </c>
      <c r="G147" s="20" t="str">
        <f>IF(OR($A147&gt;MAX(Trato_Diario!$A$4:$A$203),SUMIFS(Trato_Diario!$G$4:$G$203,Trato_Diario!$B$4:$B$203,G$5,Trato_Diario!$A$4:$A$203,$A147)=0),"",SUMIFS(Trato_Diario!$J$4:$J$203,Trato_Diario!$B$4:$B$203,G$5,Trato_Diario!$A$4:$A$203,$A147)/SUMIFS(Trato_Diario!$G$4:$G$203,Trato_Diario!$B$4:$B$203,G$5,Trato_Diario!$A$4:$A$203,$A147))</f>
        <v/>
      </c>
      <c r="H147" s="59" t="str">
        <f>IF(OR($A147&gt;MAX(Trato_Diario!$A$4:$A$203),SUMIFS(Trato_Diario!$G$4:$G$203,Trato_Diario!$A$4:$A$203,$A147)=0),"",SUMIFS(Trato_Diario!$J$4:$J$203,Trato_Diario!$A$4:$A$203,$A147)/SUMIFS(Trato_Diario!$G$4:$G$203,Trato_Diario!$A$4:$A$203,$A147))</f>
        <v/>
      </c>
    </row>
    <row r="148" spans="1:8" ht="14.25" customHeight="1" x14ac:dyDescent="0.3">
      <c r="A148" s="71">
        <v>46335</v>
      </c>
      <c r="B148" s="46" t="str">
        <f>IF(OR($A148&gt;MAX(Trato_Diario!$A$4:$A$203),SUMIFS(Trato_Diario!$G$4:$G$203,Trato_Diario!$B$4:$B$203,B$5,Trato_Diario!$A$4:$A$203,$A148)=0),"",SUMIFS(Trato_Diario!$J$4:$J$203,Trato_Diario!$B$4:$B$203,B$5,Trato_Diario!$A$4:$A$203,$A148)/SUMIFS(Trato_Diario!$G$4:$G$203,Trato_Diario!$B$4:$B$203,B$5,Trato_Diario!$A$4:$A$203,$A148))</f>
        <v/>
      </c>
      <c r="C148" s="46" t="str">
        <f>IF(OR($A148&gt;MAX(Trato_Diario!$A$4:$A$203),SUMIFS(Trato_Diario!$G$4:$G$203,Trato_Diario!$B$4:$B$203,C$5,Trato_Diario!$A$4:$A$203,$A148)=0),"",SUMIFS(Trato_Diario!$J$4:$J$203,Trato_Diario!$B$4:$B$203,C$5,Trato_Diario!$A$4:$A$203,$A148)/SUMIFS(Trato_Diario!$G$4:$G$203,Trato_Diario!$B$4:$B$203,C$5,Trato_Diario!$A$4:$A$203,$A148))</f>
        <v/>
      </c>
      <c r="D148" s="46" t="str">
        <f>IF(OR($A148&gt;MAX(Trato_Diario!$A$4:$A$203),SUMIFS(Trato_Diario!$G$4:$G$203,Trato_Diario!$B$4:$B$203,D$5,Trato_Diario!$A$4:$A$203,$A148)=0),"",SUMIFS(Trato_Diario!$J$4:$J$203,Trato_Diario!$B$4:$B$203,D$5,Trato_Diario!$A$4:$A$203,$A148)/SUMIFS(Trato_Diario!$G$4:$G$203,Trato_Diario!$B$4:$B$203,D$5,Trato_Diario!$A$4:$A$203,$A148))</f>
        <v/>
      </c>
      <c r="E148" s="46" t="str">
        <f>IF(OR($A148&gt;MAX(Trato_Diario!$A$4:$A$203),SUMIFS(Trato_Diario!$G$4:$G$203,Trato_Diario!$B$4:$B$203,E$5,Trato_Diario!$A$4:$A$203,$A148)=0),"",SUMIFS(Trato_Diario!$J$4:$J$203,Trato_Diario!$B$4:$B$203,E$5,Trato_Diario!$A$4:$A$203,$A148)/SUMIFS(Trato_Diario!$G$4:$G$203,Trato_Diario!$B$4:$B$203,E$5,Trato_Diario!$A$4:$A$203,$A148))</f>
        <v/>
      </c>
      <c r="F148" s="46" t="str">
        <f>IF(OR($A148&gt;MAX(Trato_Diario!$A$4:$A$203),SUMIFS(Trato_Diario!$G$4:$G$203,Trato_Diario!$B$4:$B$203,F$5,Trato_Diario!$A$4:$A$203,$A148)=0),"",SUMIFS(Trato_Diario!$J$4:$J$203,Trato_Diario!$B$4:$B$203,F$5,Trato_Diario!$A$4:$A$203,$A148)/SUMIFS(Trato_Diario!$G$4:$G$203,Trato_Diario!$B$4:$B$203,F$5,Trato_Diario!$A$4:$A$203,$A148))</f>
        <v/>
      </c>
      <c r="G148" s="46" t="str">
        <f>IF(OR($A148&gt;MAX(Trato_Diario!$A$4:$A$203),SUMIFS(Trato_Diario!$G$4:$G$203,Trato_Diario!$B$4:$B$203,G$5,Trato_Diario!$A$4:$A$203,$A148)=0),"",SUMIFS(Trato_Diario!$J$4:$J$203,Trato_Diario!$B$4:$B$203,G$5,Trato_Diario!$A$4:$A$203,$A148)/SUMIFS(Trato_Diario!$G$4:$G$203,Trato_Diario!$B$4:$B$203,G$5,Trato_Diario!$A$4:$A$203,$A148))</f>
        <v/>
      </c>
      <c r="H148" s="57" t="str">
        <f>IF(OR($A148&gt;MAX(Trato_Diario!$A$4:$A$203),SUMIFS(Trato_Diario!$G$4:$G$203,Trato_Diario!$A$4:$A$203,$A148)=0),"",SUMIFS(Trato_Diario!$J$4:$J$203,Trato_Diario!$A$4:$A$203,$A148)/SUMIFS(Trato_Diario!$G$4:$G$203,Trato_Diario!$A$4:$A$203,$A148))</f>
        <v/>
      </c>
    </row>
    <row r="149" spans="1:8" ht="14.25" customHeight="1" x14ac:dyDescent="0.3">
      <c r="A149" s="72">
        <v>46336</v>
      </c>
      <c r="B149" s="20" t="str">
        <f>IF(OR($A149&gt;MAX(Trato_Diario!$A$4:$A$203),SUMIFS(Trato_Diario!$G$4:$G$203,Trato_Diario!$B$4:$B$203,B$5,Trato_Diario!$A$4:$A$203,$A149)=0),"",SUMIFS(Trato_Diario!$J$4:$J$203,Trato_Diario!$B$4:$B$203,B$5,Trato_Diario!$A$4:$A$203,$A149)/SUMIFS(Trato_Diario!$G$4:$G$203,Trato_Diario!$B$4:$B$203,B$5,Trato_Diario!$A$4:$A$203,$A149))</f>
        <v/>
      </c>
      <c r="C149" s="20" t="str">
        <f>IF(OR($A149&gt;MAX(Trato_Diario!$A$4:$A$203),SUMIFS(Trato_Diario!$G$4:$G$203,Trato_Diario!$B$4:$B$203,C$5,Trato_Diario!$A$4:$A$203,$A149)=0),"",SUMIFS(Trato_Diario!$J$4:$J$203,Trato_Diario!$B$4:$B$203,C$5,Trato_Diario!$A$4:$A$203,$A149)/SUMIFS(Trato_Diario!$G$4:$G$203,Trato_Diario!$B$4:$B$203,C$5,Trato_Diario!$A$4:$A$203,$A149))</f>
        <v/>
      </c>
      <c r="D149" s="20" t="str">
        <f>IF(OR($A149&gt;MAX(Trato_Diario!$A$4:$A$203),SUMIFS(Trato_Diario!$G$4:$G$203,Trato_Diario!$B$4:$B$203,D$5,Trato_Diario!$A$4:$A$203,$A149)=0),"",SUMIFS(Trato_Diario!$J$4:$J$203,Trato_Diario!$B$4:$B$203,D$5,Trato_Diario!$A$4:$A$203,$A149)/SUMIFS(Trato_Diario!$G$4:$G$203,Trato_Diario!$B$4:$B$203,D$5,Trato_Diario!$A$4:$A$203,$A149))</f>
        <v/>
      </c>
      <c r="E149" s="20" t="str">
        <f>IF(OR($A149&gt;MAX(Trato_Diario!$A$4:$A$203),SUMIFS(Trato_Diario!$G$4:$G$203,Trato_Diario!$B$4:$B$203,E$5,Trato_Diario!$A$4:$A$203,$A149)=0),"",SUMIFS(Trato_Diario!$J$4:$J$203,Trato_Diario!$B$4:$B$203,E$5,Trato_Diario!$A$4:$A$203,$A149)/SUMIFS(Trato_Diario!$G$4:$G$203,Trato_Diario!$B$4:$B$203,E$5,Trato_Diario!$A$4:$A$203,$A149))</f>
        <v/>
      </c>
      <c r="F149" s="20" t="str">
        <f>IF(OR($A149&gt;MAX(Trato_Diario!$A$4:$A$203),SUMIFS(Trato_Diario!$G$4:$G$203,Trato_Diario!$B$4:$B$203,F$5,Trato_Diario!$A$4:$A$203,$A149)=0),"",SUMIFS(Trato_Diario!$J$4:$J$203,Trato_Diario!$B$4:$B$203,F$5,Trato_Diario!$A$4:$A$203,$A149)/SUMIFS(Trato_Diario!$G$4:$G$203,Trato_Diario!$B$4:$B$203,F$5,Trato_Diario!$A$4:$A$203,$A149))</f>
        <v/>
      </c>
      <c r="G149" s="20" t="str">
        <f>IF(OR($A149&gt;MAX(Trato_Diario!$A$4:$A$203),SUMIFS(Trato_Diario!$G$4:$G$203,Trato_Diario!$B$4:$B$203,G$5,Trato_Diario!$A$4:$A$203,$A149)=0),"",SUMIFS(Trato_Diario!$J$4:$J$203,Trato_Diario!$B$4:$B$203,G$5,Trato_Diario!$A$4:$A$203,$A149)/SUMIFS(Trato_Diario!$G$4:$G$203,Trato_Diario!$B$4:$B$203,G$5,Trato_Diario!$A$4:$A$203,$A149))</f>
        <v/>
      </c>
      <c r="H149" s="59" t="str">
        <f>IF(OR($A149&gt;MAX(Trato_Diario!$A$4:$A$203),SUMIFS(Trato_Diario!$G$4:$G$203,Trato_Diario!$A$4:$A$203,$A149)=0),"",SUMIFS(Trato_Diario!$J$4:$J$203,Trato_Diario!$A$4:$A$203,$A149)/SUMIFS(Trato_Diario!$G$4:$G$203,Trato_Diario!$A$4:$A$203,$A149))</f>
        <v/>
      </c>
    </row>
    <row r="150" spans="1:8" ht="14.25" customHeight="1" x14ac:dyDescent="0.3">
      <c r="A150" s="71">
        <v>46337</v>
      </c>
      <c r="B150" s="46" t="str">
        <f>IF(OR($A150&gt;MAX(Trato_Diario!$A$4:$A$203),SUMIFS(Trato_Diario!$G$4:$G$203,Trato_Diario!$B$4:$B$203,B$5,Trato_Diario!$A$4:$A$203,$A150)=0),"",SUMIFS(Trato_Diario!$J$4:$J$203,Trato_Diario!$B$4:$B$203,B$5,Trato_Diario!$A$4:$A$203,$A150)/SUMIFS(Trato_Diario!$G$4:$G$203,Trato_Diario!$B$4:$B$203,B$5,Trato_Diario!$A$4:$A$203,$A150))</f>
        <v/>
      </c>
      <c r="C150" s="46" t="str">
        <f>IF(OR($A150&gt;MAX(Trato_Diario!$A$4:$A$203),SUMIFS(Trato_Diario!$G$4:$G$203,Trato_Diario!$B$4:$B$203,C$5,Trato_Diario!$A$4:$A$203,$A150)=0),"",SUMIFS(Trato_Diario!$J$4:$J$203,Trato_Diario!$B$4:$B$203,C$5,Trato_Diario!$A$4:$A$203,$A150)/SUMIFS(Trato_Diario!$G$4:$G$203,Trato_Diario!$B$4:$B$203,C$5,Trato_Diario!$A$4:$A$203,$A150))</f>
        <v/>
      </c>
      <c r="D150" s="46" t="str">
        <f>IF(OR($A150&gt;MAX(Trato_Diario!$A$4:$A$203),SUMIFS(Trato_Diario!$G$4:$G$203,Trato_Diario!$B$4:$B$203,D$5,Trato_Diario!$A$4:$A$203,$A150)=0),"",SUMIFS(Trato_Diario!$J$4:$J$203,Trato_Diario!$B$4:$B$203,D$5,Trato_Diario!$A$4:$A$203,$A150)/SUMIFS(Trato_Diario!$G$4:$G$203,Trato_Diario!$B$4:$B$203,D$5,Trato_Diario!$A$4:$A$203,$A150))</f>
        <v/>
      </c>
      <c r="E150" s="46" t="str">
        <f>IF(OR($A150&gt;MAX(Trato_Diario!$A$4:$A$203),SUMIFS(Trato_Diario!$G$4:$G$203,Trato_Diario!$B$4:$B$203,E$5,Trato_Diario!$A$4:$A$203,$A150)=0),"",SUMIFS(Trato_Diario!$J$4:$J$203,Trato_Diario!$B$4:$B$203,E$5,Trato_Diario!$A$4:$A$203,$A150)/SUMIFS(Trato_Diario!$G$4:$G$203,Trato_Diario!$B$4:$B$203,E$5,Trato_Diario!$A$4:$A$203,$A150))</f>
        <v/>
      </c>
      <c r="F150" s="46" t="str">
        <f>IF(OR($A150&gt;MAX(Trato_Diario!$A$4:$A$203),SUMIFS(Trato_Diario!$G$4:$G$203,Trato_Diario!$B$4:$B$203,F$5,Trato_Diario!$A$4:$A$203,$A150)=0),"",SUMIFS(Trato_Diario!$J$4:$J$203,Trato_Diario!$B$4:$B$203,F$5,Trato_Diario!$A$4:$A$203,$A150)/SUMIFS(Trato_Diario!$G$4:$G$203,Trato_Diario!$B$4:$B$203,F$5,Trato_Diario!$A$4:$A$203,$A150))</f>
        <v/>
      </c>
      <c r="G150" s="46" t="str">
        <f>IF(OR($A150&gt;MAX(Trato_Diario!$A$4:$A$203),SUMIFS(Trato_Diario!$G$4:$G$203,Trato_Diario!$B$4:$B$203,G$5,Trato_Diario!$A$4:$A$203,$A150)=0),"",SUMIFS(Trato_Diario!$J$4:$J$203,Trato_Diario!$B$4:$B$203,G$5,Trato_Diario!$A$4:$A$203,$A150)/SUMIFS(Trato_Diario!$G$4:$G$203,Trato_Diario!$B$4:$B$203,G$5,Trato_Diario!$A$4:$A$203,$A150))</f>
        <v/>
      </c>
      <c r="H150" s="57" t="str">
        <f>IF(OR($A150&gt;MAX(Trato_Diario!$A$4:$A$203),SUMIFS(Trato_Diario!$G$4:$G$203,Trato_Diario!$A$4:$A$203,$A150)=0),"",SUMIFS(Trato_Diario!$J$4:$J$203,Trato_Diario!$A$4:$A$203,$A150)/SUMIFS(Trato_Diario!$G$4:$G$203,Trato_Diario!$A$4:$A$203,$A150))</f>
        <v/>
      </c>
    </row>
    <row r="151" spans="1:8" ht="14.25" customHeight="1" x14ac:dyDescent="0.3">
      <c r="A151" s="72">
        <v>46338</v>
      </c>
      <c r="B151" s="20" t="str">
        <f>IF(OR($A151&gt;MAX(Trato_Diario!$A$4:$A$203),SUMIFS(Trato_Diario!$G$4:$G$203,Trato_Diario!$B$4:$B$203,B$5,Trato_Diario!$A$4:$A$203,$A151)=0),"",SUMIFS(Trato_Diario!$J$4:$J$203,Trato_Diario!$B$4:$B$203,B$5,Trato_Diario!$A$4:$A$203,$A151)/SUMIFS(Trato_Diario!$G$4:$G$203,Trato_Diario!$B$4:$B$203,B$5,Trato_Diario!$A$4:$A$203,$A151))</f>
        <v/>
      </c>
      <c r="C151" s="20" t="str">
        <f>IF(OR($A151&gt;MAX(Trato_Diario!$A$4:$A$203),SUMIFS(Trato_Diario!$G$4:$G$203,Trato_Diario!$B$4:$B$203,C$5,Trato_Diario!$A$4:$A$203,$A151)=0),"",SUMIFS(Trato_Diario!$J$4:$J$203,Trato_Diario!$B$4:$B$203,C$5,Trato_Diario!$A$4:$A$203,$A151)/SUMIFS(Trato_Diario!$G$4:$G$203,Trato_Diario!$B$4:$B$203,C$5,Trato_Diario!$A$4:$A$203,$A151))</f>
        <v/>
      </c>
      <c r="D151" s="20" t="str">
        <f>IF(OR($A151&gt;MAX(Trato_Diario!$A$4:$A$203),SUMIFS(Trato_Diario!$G$4:$G$203,Trato_Diario!$B$4:$B$203,D$5,Trato_Diario!$A$4:$A$203,$A151)=0),"",SUMIFS(Trato_Diario!$J$4:$J$203,Trato_Diario!$B$4:$B$203,D$5,Trato_Diario!$A$4:$A$203,$A151)/SUMIFS(Trato_Diario!$G$4:$G$203,Trato_Diario!$B$4:$B$203,D$5,Trato_Diario!$A$4:$A$203,$A151))</f>
        <v/>
      </c>
      <c r="E151" s="20" t="str">
        <f>IF(OR($A151&gt;MAX(Trato_Diario!$A$4:$A$203),SUMIFS(Trato_Diario!$G$4:$G$203,Trato_Diario!$B$4:$B$203,E$5,Trato_Diario!$A$4:$A$203,$A151)=0),"",SUMIFS(Trato_Diario!$J$4:$J$203,Trato_Diario!$B$4:$B$203,E$5,Trato_Diario!$A$4:$A$203,$A151)/SUMIFS(Trato_Diario!$G$4:$G$203,Trato_Diario!$B$4:$B$203,E$5,Trato_Diario!$A$4:$A$203,$A151))</f>
        <v/>
      </c>
      <c r="F151" s="20" t="str">
        <f>IF(OR($A151&gt;MAX(Trato_Diario!$A$4:$A$203),SUMIFS(Trato_Diario!$G$4:$G$203,Trato_Diario!$B$4:$B$203,F$5,Trato_Diario!$A$4:$A$203,$A151)=0),"",SUMIFS(Trato_Diario!$J$4:$J$203,Trato_Diario!$B$4:$B$203,F$5,Trato_Diario!$A$4:$A$203,$A151)/SUMIFS(Trato_Diario!$G$4:$G$203,Trato_Diario!$B$4:$B$203,F$5,Trato_Diario!$A$4:$A$203,$A151))</f>
        <v/>
      </c>
      <c r="G151" s="20" t="str">
        <f>IF(OR($A151&gt;MAX(Trato_Diario!$A$4:$A$203),SUMIFS(Trato_Diario!$G$4:$G$203,Trato_Diario!$B$4:$B$203,G$5,Trato_Diario!$A$4:$A$203,$A151)=0),"",SUMIFS(Trato_Diario!$J$4:$J$203,Trato_Diario!$B$4:$B$203,G$5,Trato_Diario!$A$4:$A$203,$A151)/SUMIFS(Trato_Diario!$G$4:$G$203,Trato_Diario!$B$4:$B$203,G$5,Trato_Diario!$A$4:$A$203,$A151))</f>
        <v/>
      </c>
      <c r="H151" s="59" t="str">
        <f>IF(OR($A151&gt;MAX(Trato_Diario!$A$4:$A$203),SUMIFS(Trato_Diario!$G$4:$G$203,Trato_Diario!$A$4:$A$203,$A151)=0),"",SUMIFS(Trato_Diario!$J$4:$J$203,Trato_Diario!$A$4:$A$203,$A151)/SUMIFS(Trato_Diario!$G$4:$G$203,Trato_Diario!$A$4:$A$203,$A151))</f>
        <v/>
      </c>
    </row>
    <row r="152" spans="1:8" ht="14.25" customHeight="1" x14ac:dyDescent="0.3">
      <c r="A152" s="71">
        <v>46339</v>
      </c>
      <c r="B152" s="46" t="str">
        <f>IF(OR($A152&gt;MAX(Trato_Diario!$A$4:$A$203),SUMIFS(Trato_Diario!$G$4:$G$203,Trato_Diario!$B$4:$B$203,B$5,Trato_Diario!$A$4:$A$203,$A152)=0),"",SUMIFS(Trato_Diario!$J$4:$J$203,Trato_Diario!$B$4:$B$203,B$5,Trato_Diario!$A$4:$A$203,$A152)/SUMIFS(Trato_Diario!$G$4:$G$203,Trato_Diario!$B$4:$B$203,B$5,Trato_Diario!$A$4:$A$203,$A152))</f>
        <v/>
      </c>
      <c r="C152" s="46" t="str">
        <f>IF(OR($A152&gt;MAX(Trato_Diario!$A$4:$A$203),SUMIFS(Trato_Diario!$G$4:$G$203,Trato_Diario!$B$4:$B$203,C$5,Trato_Diario!$A$4:$A$203,$A152)=0),"",SUMIFS(Trato_Diario!$J$4:$J$203,Trato_Diario!$B$4:$B$203,C$5,Trato_Diario!$A$4:$A$203,$A152)/SUMIFS(Trato_Diario!$G$4:$G$203,Trato_Diario!$B$4:$B$203,C$5,Trato_Diario!$A$4:$A$203,$A152))</f>
        <v/>
      </c>
      <c r="D152" s="46" t="str">
        <f>IF(OR($A152&gt;MAX(Trato_Diario!$A$4:$A$203),SUMIFS(Trato_Diario!$G$4:$G$203,Trato_Diario!$B$4:$B$203,D$5,Trato_Diario!$A$4:$A$203,$A152)=0),"",SUMIFS(Trato_Diario!$J$4:$J$203,Trato_Diario!$B$4:$B$203,D$5,Trato_Diario!$A$4:$A$203,$A152)/SUMIFS(Trato_Diario!$G$4:$G$203,Trato_Diario!$B$4:$B$203,D$5,Trato_Diario!$A$4:$A$203,$A152))</f>
        <v/>
      </c>
      <c r="E152" s="46" t="str">
        <f>IF(OR($A152&gt;MAX(Trato_Diario!$A$4:$A$203),SUMIFS(Trato_Diario!$G$4:$G$203,Trato_Diario!$B$4:$B$203,E$5,Trato_Diario!$A$4:$A$203,$A152)=0),"",SUMIFS(Trato_Diario!$J$4:$J$203,Trato_Diario!$B$4:$B$203,E$5,Trato_Diario!$A$4:$A$203,$A152)/SUMIFS(Trato_Diario!$G$4:$G$203,Trato_Diario!$B$4:$B$203,E$5,Trato_Diario!$A$4:$A$203,$A152))</f>
        <v/>
      </c>
      <c r="F152" s="46" t="str">
        <f>IF(OR($A152&gt;MAX(Trato_Diario!$A$4:$A$203),SUMIFS(Trato_Diario!$G$4:$G$203,Trato_Diario!$B$4:$B$203,F$5,Trato_Diario!$A$4:$A$203,$A152)=0),"",SUMIFS(Trato_Diario!$J$4:$J$203,Trato_Diario!$B$4:$B$203,F$5,Trato_Diario!$A$4:$A$203,$A152)/SUMIFS(Trato_Diario!$G$4:$G$203,Trato_Diario!$B$4:$B$203,F$5,Trato_Diario!$A$4:$A$203,$A152))</f>
        <v/>
      </c>
      <c r="G152" s="46" t="str">
        <f>IF(OR($A152&gt;MAX(Trato_Diario!$A$4:$A$203),SUMIFS(Trato_Diario!$G$4:$G$203,Trato_Diario!$B$4:$B$203,G$5,Trato_Diario!$A$4:$A$203,$A152)=0),"",SUMIFS(Trato_Diario!$J$4:$J$203,Trato_Diario!$B$4:$B$203,G$5,Trato_Diario!$A$4:$A$203,$A152)/SUMIFS(Trato_Diario!$G$4:$G$203,Trato_Diario!$B$4:$B$203,G$5,Trato_Diario!$A$4:$A$203,$A152))</f>
        <v/>
      </c>
      <c r="H152" s="57" t="str">
        <f>IF(OR($A152&gt;MAX(Trato_Diario!$A$4:$A$203),SUMIFS(Trato_Diario!$G$4:$G$203,Trato_Diario!$A$4:$A$203,$A152)=0),"",SUMIFS(Trato_Diario!$J$4:$J$203,Trato_Diario!$A$4:$A$203,$A152)/SUMIFS(Trato_Diario!$G$4:$G$203,Trato_Diario!$A$4:$A$203,$A152))</f>
        <v/>
      </c>
    </row>
    <row r="153" spans="1:8" ht="14.25" customHeight="1" x14ac:dyDescent="0.3">
      <c r="A153" s="72">
        <v>46340</v>
      </c>
      <c r="B153" s="20" t="str">
        <f>IF(OR($A153&gt;MAX(Trato_Diario!$A$4:$A$203),SUMIFS(Trato_Diario!$G$4:$G$203,Trato_Diario!$B$4:$B$203,B$5,Trato_Diario!$A$4:$A$203,$A153)=0),"",SUMIFS(Trato_Diario!$J$4:$J$203,Trato_Diario!$B$4:$B$203,B$5,Trato_Diario!$A$4:$A$203,$A153)/SUMIFS(Trato_Diario!$G$4:$G$203,Trato_Diario!$B$4:$B$203,B$5,Trato_Diario!$A$4:$A$203,$A153))</f>
        <v/>
      </c>
      <c r="C153" s="20" t="str">
        <f>IF(OR($A153&gt;MAX(Trato_Diario!$A$4:$A$203),SUMIFS(Trato_Diario!$G$4:$G$203,Trato_Diario!$B$4:$B$203,C$5,Trato_Diario!$A$4:$A$203,$A153)=0),"",SUMIFS(Trato_Diario!$J$4:$J$203,Trato_Diario!$B$4:$B$203,C$5,Trato_Diario!$A$4:$A$203,$A153)/SUMIFS(Trato_Diario!$G$4:$G$203,Trato_Diario!$B$4:$B$203,C$5,Trato_Diario!$A$4:$A$203,$A153))</f>
        <v/>
      </c>
      <c r="D153" s="20" t="str">
        <f>IF(OR($A153&gt;MAX(Trato_Diario!$A$4:$A$203),SUMIFS(Trato_Diario!$G$4:$G$203,Trato_Diario!$B$4:$B$203,D$5,Trato_Diario!$A$4:$A$203,$A153)=0),"",SUMIFS(Trato_Diario!$J$4:$J$203,Trato_Diario!$B$4:$B$203,D$5,Trato_Diario!$A$4:$A$203,$A153)/SUMIFS(Trato_Diario!$G$4:$G$203,Trato_Diario!$B$4:$B$203,D$5,Trato_Diario!$A$4:$A$203,$A153))</f>
        <v/>
      </c>
      <c r="E153" s="20" t="str">
        <f>IF(OR($A153&gt;MAX(Trato_Diario!$A$4:$A$203),SUMIFS(Trato_Diario!$G$4:$G$203,Trato_Diario!$B$4:$B$203,E$5,Trato_Diario!$A$4:$A$203,$A153)=0),"",SUMIFS(Trato_Diario!$J$4:$J$203,Trato_Diario!$B$4:$B$203,E$5,Trato_Diario!$A$4:$A$203,$A153)/SUMIFS(Trato_Diario!$G$4:$G$203,Trato_Diario!$B$4:$B$203,E$5,Trato_Diario!$A$4:$A$203,$A153))</f>
        <v/>
      </c>
      <c r="F153" s="20" t="str">
        <f>IF(OR($A153&gt;MAX(Trato_Diario!$A$4:$A$203),SUMIFS(Trato_Diario!$G$4:$G$203,Trato_Diario!$B$4:$B$203,F$5,Trato_Diario!$A$4:$A$203,$A153)=0),"",SUMIFS(Trato_Diario!$J$4:$J$203,Trato_Diario!$B$4:$B$203,F$5,Trato_Diario!$A$4:$A$203,$A153)/SUMIFS(Trato_Diario!$G$4:$G$203,Trato_Diario!$B$4:$B$203,F$5,Trato_Diario!$A$4:$A$203,$A153))</f>
        <v/>
      </c>
      <c r="G153" s="20" t="str">
        <f>IF(OR($A153&gt;MAX(Trato_Diario!$A$4:$A$203),SUMIFS(Trato_Diario!$G$4:$G$203,Trato_Diario!$B$4:$B$203,G$5,Trato_Diario!$A$4:$A$203,$A153)=0),"",SUMIFS(Trato_Diario!$J$4:$J$203,Trato_Diario!$B$4:$B$203,G$5,Trato_Diario!$A$4:$A$203,$A153)/SUMIFS(Trato_Diario!$G$4:$G$203,Trato_Diario!$B$4:$B$203,G$5,Trato_Diario!$A$4:$A$203,$A153))</f>
        <v/>
      </c>
      <c r="H153" s="59" t="str">
        <f>IF(OR($A153&gt;MAX(Trato_Diario!$A$4:$A$203),SUMIFS(Trato_Diario!$G$4:$G$203,Trato_Diario!$A$4:$A$203,$A153)=0),"",SUMIFS(Trato_Diario!$J$4:$J$203,Trato_Diario!$A$4:$A$203,$A153)/SUMIFS(Trato_Diario!$G$4:$G$203,Trato_Diario!$A$4:$A$203,$A153))</f>
        <v/>
      </c>
    </row>
    <row r="154" spans="1:8" ht="14.25" customHeight="1" x14ac:dyDescent="0.3">
      <c r="A154" s="71">
        <v>46341</v>
      </c>
      <c r="B154" s="46" t="str">
        <f>IF(OR($A154&gt;MAX(Trato_Diario!$A$4:$A$203),SUMIFS(Trato_Diario!$G$4:$G$203,Trato_Diario!$B$4:$B$203,B$5,Trato_Diario!$A$4:$A$203,$A154)=0),"",SUMIFS(Trato_Diario!$J$4:$J$203,Trato_Diario!$B$4:$B$203,B$5,Trato_Diario!$A$4:$A$203,$A154)/SUMIFS(Trato_Diario!$G$4:$G$203,Trato_Diario!$B$4:$B$203,B$5,Trato_Diario!$A$4:$A$203,$A154))</f>
        <v/>
      </c>
      <c r="C154" s="46" t="str">
        <f>IF(OR($A154&gt;MAX(Trato_Diario!$A$4:$A$203),SUMIFS(Trato_Diario!$G$4:$G$203,Trato_Diario!$B$4:$B$203,C$5,Trato_Diario!$A$4:$A$203,$A154)=0),"",SUMIFS(Trato_Diario!$J$4:$J$203,Trato_Diario!$B$4:$B$203,C$5,Trato_Diario!$A$4:$A$203,$A154)/SUMIFS(Trato_Diario!$G$4:$G$203,Trato_Diario!$B$4:$B$203,C$5,Trato_Diario!$A$4:$A$203,$A154))</f>
        <v/>
      </c>
      <c r="D154" s="46" t="str">
        <f>IF(OR($A154&gt;MAX(Trato_Diario!$A$4:$A$203),SUMIFS(Trato_Diario!$G$4:$G$203,Trato_Diario!$B$4:$B$203,D$5,Trato_Diario!$A$4:$A$203,$A154)=0),"",SUMIFS(Trato_Diario!$J$4:$J$203,Trato_Diario!$B$4:$B$203,D$5,Trato_Diario!$A$4:$A$203,$A154)/SUMIFS(Trato_Diario!$G$4:$G$203,Trato_Diario!$B$4:$B$203,D$5,Trato_Diario!$A$4:$A$203,$A154))</f>
        <v/>
      </c>
      <c r="E154" s="46" t="str">
        <f>IF(OR($A154&gt;MAX(Trato_Diario!$A$4:$A$203),SUMIFS(Trato_Diario!$G$4:$G$203,Trato_Diario!$B$4:$B$203,E$5,Trato_Diario!$A$4:$A$203,$A154)=0),"",SUMIFS(Trato_Diario!$J$4:$J$203,Trato_Diario!$B$4:$B$203,E$5,Trato_Diario!$A$4:$A$203,$A154)/SUMIFS(Trato_Diario!$G$4:$G$203,Trato_Diario!$B$4:$B$203,E$5,Trato_Diario!$A$4:$A$203,$A154))</f>
        <v/>
      </c>
      <c r="F154" s="46" t="str">
        <f>IF(OR($A154&gt;MAX(Trato_Diario!$A$4:$A$203),SUMIFS(Trato_Diario!$G$4:$G$203,Trato_Diario!$B$4:$B$203,F$5,Trato_Diario!$A$4:$A$203,$A154)=0),"",SUMIFS(Trato_Diario!$J$4:$J$203,Trato_Diario!$B$4:$B$203,F$5,Trato_Diario!$A$4:$A$203,$A154)/SUMIFS(Trato_Diario!$G$4:$G$203,Trato_Diario!$B$4:$B$203,F$5,Trato_Diario!$A$4:$A$203,$A154))</f>
        <v/>
      </c>
      <c r="G154" s="46" t="str">
        <f>IF(OR($A154&gt;MAX(Trato_Diario!$A$4:$A$203),SUMIFS(Trato_Diario!$G$4:$G$203,Trato_Diario!$B$4:$B$203,G$5,Trato_Diario!$A$4:$A$203,$A154)=0),"",SUMIFS(Trato_Diario!$J$4:$J$203,Trato_Diario!$B$4:$B$203,G$5,Trato_Diario!$A$4:$A$203,$A154)/SUMIFS(Trato_Diario!$G$4:$G$203,Trato_Diario!$B$4:$B$203,G$5,Trato_Diario!$A$4:$A$203,$A154))</f>
        <v/>
      </c>
      <c r="H154" s="57" t="str">
        <f>IF(OR($A154&gt;MAX(Trato_Diario!$A$4:$A$203),SUMIFS(Trato_Diario!$G$4:$G$203,Trato_Diario!$A$4:$A$203,$A154)=0),"",SUMIFS(Trato_Diario!$J$4:$J$203,Trato_Diario!$A$4:$A$203,$A154)/SUMIFS(Trato_Diario!$G$4:$G$203,Trato_Diario!$A$4:$A$203,$A154))</f>
        <v/>
      </c>
    </row>
    <row r="155" spans="1:8" ht="14.25" customHeight="1" x14ac:dyDescent="0.3">
      <c r="A155" s="72">
        <v>46342</v>
      </c>
      <c r="B155" s="20" t="str">
        <f>IF(OR($A155&gt;MAX(Trato_Diario!$A$4:$A$203),SUMIFS(Trato_Diario!$G$4:$G$203,Trato_Diario!$B$4:$B$203,B$5,Trato_Diario!$A$4:$A$203,$A155)=0),"",SUMIFS(Trato_Diario!$J$4:$J$203,Trato_Diario!$B$4:$B$203,B$5,Trato_Diario!$A$4:$A$203,$A155)/SUMIFS(Trato_Diario!$G$4:$G$203,Trato_Diario!$B$4:$B$203,B$5,Trato_Diario!$A$4:$A$203,$A155))</f>
        <v/>
      </c>
      <c r="C155" s="20" t="str">
        <f>IF(OR($A155&gt;MAX(Trato_Diario!$A$4:$A$203),SUMIFS(Trato_Diario!$G$4:$G$203,Trato_Diario!$B$4:$B$203,C$5,Trato_Diario!$A$4:$A$203,$A155)=0),"",SUMIFS(Trato_Diario!$J$4:$J$203,Trato_Diario!$B$4:$B$203,C$5,Trato_Diario!$A$4:$A$203,$A155)/SUMIFS(Trato_Diario!$G$4:$G$203,Trato_Diario!$B$4:$B$203,C$5,Trato_Diario!$A$4:$A$203,$A155))</f>
        <v/>
      </c>
      <c r="D155" s="20" t="str">
        <f>IF(OR($A155&gt;MAX(Trato_Diario!$A$4:$A$203),SUMIFS(Trato_Diario!$G$4:$G$203,Trato_Diario!$B$4:$B$203,D$5,Trato_Diario!$A$4:$A$203,$A155)=0),"",SUMIFS(Trato_Diario!$J$4:$J$203,Trato_Diario!$B$4:$B$203,D$5,Trato_Diario!$A$4:$A$203,$A155)/SUMIFS(Trato_Diario!$G$4:$G$203,Trato_Diario!$B$4:$B$203,D$5,Trato_Diario!$A$4:$A$203,$A155))</f>
        <v/>
      </c>
      <c r="E155" s="20" t="str">
        <f>IF(OR($A155&gt;MAX(Trato_Diario!$A$4:$A$203),SUMIFS(Trato_Diario!$G$4:$G$203,Trato_Diario!$B$4:$B$203,E$5,Trato_Diario!$A$4:$A$203,$A155)=0),"",SUMIFS(Trato_Diario!$J$4:$J$203,Trato_Diario!$B$4:$B$203,E$5,Trato_Diario!$A$4:$A$203,$A155)/SUMIFS(Trato_Diario!$G$4:$G$203,Trato_Diario!$B$4:$B$203,E$5,Trato_Diario!$A$4:$A$203,$A155))</f>
        <v/>
      </c>
      <c r="F155" s="20" t="str">
        <f>IF(OR($A155&gt;MAX(Trato_Diario!$A$4:$A$203),SUMIFS(Trato_Diario!$G$4:$G$203,Trato_Diario!$B$4:$B$203,F$5,Trato_Diario!$A$4:$A$203,$A155)=0),"",SUMIFS(Trato_Diario!$J$4:$J$203,Trato_Diario!$B$4:$B$203,F$5,Trato_Diario!$A$4:$A$203,$A155)/SUMIFS(Trato_Diario!$G$4:$G$203,Trato_Diario!$B$4:$B$203,F$5,Trato_Diario!$A$4:$A$203,$A155))</f>
        <v/>
      </c>
      <c r="G155" s="20" t="str">
        <f>IF(OR($A155&gt;MAX(Trato_Diario!$A$4:$A$203),SUMIFS(Trato_Diario!$G$4:$G$203,Trato_Diario!$B$4:$B$203,G$5,Trato_Diario!$A$4:$A$203,$A155)=0),"",SUMIFS(Trato_Diario!$J$4:$J$203,Trato_Diario!$B$4:$B$203,G$5,Trato_Diario!$A$4:$A$203,$A155)/SUMIFS(Trato_Diario!$G$4:$G$203,Trato_Diario!$B$4:$B$203,G$5,Trato_Diario!$A$4:$A$203,$A155))</f>
        <v/>
      </c>
      <c r="H155" s="59" t="str">
        <f>IF(OR($A155&gt;MAX(Trato_Diario!$A$4:$A$203),SUMIFS(Trato_Diario!$G$4:$G$203,Trato_Diario!$A$4:$A$203,$A155)=0),"",SUMIFS(Trato_Diario!$J$4:$J$203,Trato_Diario!$A$4:$A$203,$A155)/SUMIFS(Trato_Diario!$G$4:$G$203,Trato_Diario!$A$4:$A$203,$A155))</f>
        <v/>
      </c>
    </row>
    <row r="156" spans="1:8" ht="14.25" customHeight="1" x14ac:dyDescent="0.3">
      <c r="A156" s="71">
        <v>46343</v>
      </c>
      <c r="B156" s="46" t="str">
        <f>IF(OR($A156&gt;MAX(Trato_Diario!$A$4:$A$203),SUMIFS(Trato_Diario!$G$4:$G$203,Trato_Diario!$B$4:$B$203,B$5,Trato_Diario!$A$4:$A$203,$A156)=0),"",SUMIFS(Trato_Diario!$J$4:$J$203,Trato_Diario!$B$4:$B$203,B$5,Trato_Diario!$A$4:$A$203,$A156)/SUMIFS(Trato_Diario!$G$4:$G$203,Trato_Diario!$B$4:$B$203,B$5,Trato_Diario!$A$4:$A$203,$A156))</f>
        <v/>
      </c>
      <c r="C156" s="46" t="str">
        <f>IF(OR($A156&gt;MAX(Trato_Diario!$A$4:$A$203),SUMIFS(Trato_Diario!$G$4:$G$203,Trato_Diario!$B$4:$B$203,C$5,Trato_Diario!$A$4:$A$203,$A156)=0),"",SUMIFS(Trato_Diario!$J$4:$J$203,Trato_Diario!$B$4:$B$203,C$5,Trato_Diario!$A$4:$A$203,$A156)/SUMIFS(Trato_Diario!$G$4:$G$203,Trato_Diario!$B$4:$B$203,C$5,Trato_Diario!$A$4:$A$203,$A156))</f>
        <v/>
      </c>
      <c r="D156" s="46" t="str">
        <f>IF(OR($A156&gt;MAX(Trato_Diario!$A$4:$A$203),SUMIFS(Trato_Diario!$G$4:$G$203,Trato_Diario!$B$4:$B$203,D$5,Trato_Diario!$A$4:$A$203,$A156)=0),"",SUMIFS(Trato_Diario!$J$4:$J$203,Trato_Diario!$B$4:$B$203,D$5,Trato_Diario!$A$4:$A$203,$A156)/SUMIFS(Trato_Diario!$G$4:$G$203,Trato_Diario!$B$4:$B$203,D$5,Trato_Diario!$A$4:$A$203,$A156))</f>
        <v/>
      </c>
      <c r="E156" s="46" t="str">
        <f>IF(OR($A156&gt;MAX(Trato_Diario!$A$4:$A$203),SUMIFS(Trato_Diario!$G$4:$G$203,Trato_Diario!$B$4:$B$203,E$5,Trato_Diario!$A$4:$A$203,$A156)=0),"",SUMIFS(Trato_Diario!$J$4:$J$203,Trato_Diario!$B$4:$B$203,E$5,Trato_Diario!$A$4:$A$203,$A156)/SUMIFS(Trato_Diario!$G$4:$G$203,Trato_Diario!$B$4:$B$203,E$5,Trato_Diario!$A$4:$A$203,$A156))</f>
        <v/>
      </c>
      <c r="F156" s="46" t="str">
        <f>IF(OR($A156&gt;MAX(Trato_Diario!$A$4:$A$203),SUMIFS(Trato_Diario!$G$4:$G$203,Trato_Diario!$B$4:$B$203,F$5,Trato_Diario!$A$4:$A$203,$A156)=0),"",SUMIFS(Trato_Diario!$J$4:$J$203,Trato_Diario!$B$4:$B$203,F$5,Trato_Diario!$A$4:$A$203,$A156)/SUMIFS(Trato_Diario!$G$4:$G$203,Trato_Diario!$B$4:$B$203,F$5,Trato_Diario!$A$4:$A$203,$A156))</f>
        <v/>
      </c>
      <c r="G156" s="46" t="str">
        <f>IF(OR($A156&gt;MAX(Trato_Diario!$A$4:$A$203),SUMIFS(Trato_Diario!$G$4:$G$203,Trato_Diario!$B$4:$B$203,G$5,Trato_Diario!$A$4:$A$203,$A156)=0),"",SUMIFS(Trato_Diario!$J$4:$J$203,Trato_Diario!$B$4:$B$203,G$5,Trato_Diario!$A$4:$A$203,$A156)/SUMIFS(Trato_Diario!$G$4:$G$203,Trato_Diario!$B$4:$B$203,G$5,Trato_Diario!$A$4:$A$203,$A156))</f>
        <v/>
      </c>
      <c r="H156" s="57" t="str">
        <f>IF(OR($A156&gt;MAX(Trato_Diario!$A$4:$A$203),SUMIFS(Trato_Diario!$G$4:$G$203,Trato_Diario!$A$4:$A$203,$A156)=0),"",SUMIFS(Trato_Diario!$J$4:$J$203,Trato_Diario!$A$4:$A$203,$A156)/SUMIFS(Trato_Diario!$G$4:$G$203,Trato_Diario!$A$4:$A$203,$A156))</f>
        <v/>
      </c>
    </row>
    <row r="157" spans="1:8" ht="14.25" customHeight="1" x14ac:dyDescent="0.3">
      <c r="A157" s="72">
        <v>46344</v>
      </c>
      <c r="B157" s="20" t="str">
        <f>IF(OR($A157&gt;MAX(Trato_Diario!$A$4:$A$203),SUMIFS(Trato_Diario!$G$4:$G$203,Trato_Diario!$B$4:$B$203,B$5,Trato_Diario!$A$4:$A$203,$A157)=0),"",SUMIFS(Trato_Diario!$J$4:$J$203,Trato_Diario!$B$4:$B$203,B$5,Trato_Diario!$A$4:$A$203,$A157)/SUMIFS(Trato_Diario!$G$4:$G$203,Trato_Diario!$B$4:$B$203,B$5,Trato_Diario!$A$4:$A$203,$A157))</f>
        <v/>
      </c>
      <c r="C157" s="20" t="str">
        <f>IF(OR($A157&gt;MAX(Trato_Diario!$A$4:$A$203),SUMIFS(Trato_Diario!$G$4:$G$203,Trato_Diario!$B$4:$B$203,C$5,Trato_Diario!$A$4:$A$203,$A157)=0),"",SUMIFS(Trato_Diario!$J$4:$J$203,Trato_Diario!$B$4:$B$203,C$5,Trato_Diario!$A$4:$A$203,$A157)/SUMIFS(Trato_Diario!$G$4:$G$203,Trato_Diario!$B$4:$B$203,C$5,Trato_Diario!$A$4:$A$203,$A157))</f>
        <v/>
      </c>
      <c r="D157" s="20" t="str">
        <f>IF(OR($A157&gt;MAX(Trato_Diario!$A$4:$A$203),SUMIFS(Trato_Diario!$G$4:$G$203,Trato_Diario!$B$4:$B$203,D$5,Trato_Diario!$A$4:$A$203,$A157)=0),"",SUMIFS(Trato_Diario!$J$4:$J$203,Trato_Diario!$B$4:$B$203,D$5,Trato_Diario!$A$4:$A$203,$A157)/SUMIFS(Trato_Diario!$G$4:$G$203,Trato_Diario!$B$4:$B$203,D$5,Trato_Diario!$A$4:$A$203,$A157))</f>
        <v/>
      </c>
      <c r="E157" s="20" t="str">
        <f>IF(OR($A157&gt;MAX(Trato_Diario!$A$4:$A$203),SUMIFS(Trato_Diario!$G$4:$G$203,Trato_Diario!$B$4:$B$203,E$5,Trato_Diario!$A$4:$A$203,$A157)=0),"",SUMIFS(Trato_Diario!$J$4:$J$203,Trato_Diario!$B$4:$B$203,E$5,Trato_Diario!$A$4:$A$203,$A157)/SUMIFS(Trato_Diario!$G$4:$G$203,Trato_Diario!$B$4:$B$203,E$5,Trato_Diario!$A$4:$A$203,$A157))</f>
        <v/>
      </c>
      <c r="F157" s="20" t="str">
        <f>IF(OR($A157&gt;MAX(Trato_Diario!$A$4:$A$203),SUMIFS(Trato_Diario!$G$4:$G$203,Trato_Diario!$B$4:$B$203,F$5,Trato_Diario!$A$4:$A$203,$A157)=0),"",SUMIFS(Trato_Diario!$J$4:$J$203,Trato_Diario!$B$4:$B$203,F$5,Trato_Diario!$A$4:$A$203,$A157)/SUMIFS(Trato_Diario!$G$4:$G$203,Trato_Diario!$B$4:$B$203,F$5,Trato_Diario!$A$4:$A$203,$A157))</f>
        <v/>
      </c>
      <c r="G157" s="20" t="str">
        <f>IF(OR($A157&gt;MAX(Trato_Diario!$A$4:$A$203),SUMIFS(Trato_Diario!$G$4:$G$203,Trato_Diario!$B$4:$B$203,G$5,Trato_Diario!$A$4:$A$203,$A157)=0),"",SUMIFS(Trato_Diario!$J$4:$J$203,Trato_Diario!$B$4:$B$203,G$5,Trato_Diario!$A$4:$A$203,$A157)/SUMIFS(Trato_Diario!$G$4:$G$203,Trato_Diario!$B$4:$B$203,G$5,Trato_Diario!$A$4:$A$203,$A157))</f>
        <v/>
      </c>
      <c r="H157" s="59" t="str">
        <f>IF(OR($A157&gt;MAX(Trato_Diario!$A$4:$A$203),SUMIFS(Trato_Diario!$G$4:$G$203,Trato_Diario!$A$4:$A$203,$A157)=0),"",SUMIFS(Trato_Diario!$J$4:$J$203,Trato_Diario!$A$4:$A$203,$A157)/SUMIFS(Trato_Diario!$G$4:$G$203,Trato_Diario!$A$4:$A$203,$A157))</f>
        <v/>
      </c>
    </row>
    <row r="158" spans="1:8" ht="14.25" customHeight="1" x14ac:dyDescent="0.3">
      <c r="A158" s="71">
        <v>46345</v>
      </c>
      <c r="B158" s="46" t="str">
        <f>IF(OR($A158&gt;MAX(Trato_Diario!$A$4:$A$203),SUMIFS(Trato_Diario!$G$4:$G$203,Trato_Diario!$B$4:$B$203,B$5,Trato_Diario!$A$4:$A$203,$A158)=0),"",SUMIFS(Trato_Diario!$J$4:$J$203,Trato_Diario!$B$4:$B$203,B$5,Trato_Diario!$A$4:$A$203,$A158)/SUMIFS(Trato_Diario!$G$4:$G$203,Trato_Diario!$B$4:$B$203,B$5,Trato_Diario!$A$4:$A$203,$A158))</f>
        <v/>
      </c>
      <c r="C158" s="46" t="str">
        <f>IF(OR($A158&gt;MAX(Trato_Diario!$A$4:$A$203),SUMIFS(Trato_Diario!$G$4:$G$203,Trato_Diario!$B$4:$B$203,C$5,Trato_Diario!$A$4:$A$203,$A158)=0),"",SUMIFS(Trato_Diario!$J$4:$J$203,Trato_Diario!$B$4:$B$203,C$5,Trato_Diario!$A$4:$A$203,$A158)/SUMIFS(Trato_Diario!$G$4:$G$203,Trato_Diario!$B$4:$B$203,C$5,Trato_Diario!$A$4:$A$203,$A158))</f>
        <v/>
      </c>
      <c r="D158" s="46" t="str">
        <f>IF(OR($A158&gt;MAX(Trato_Diario!$A$4:$A$203),SUMIFS(Trato_Diario!$G$4:$G$203,Trato_Diario!$B$4:$B$203,D$5,Trato_Diario!$A$4:$A$203,$A158)=0),"",SUMIFS(Trato_Diario!$J$4:$J$203,Trato_Diario!$B$4:$B$203,D$5,Trato_Diario!$A$4:$A$203,$A158)/SUMIFS(Trato_Diario!$G$4:$G$203,Trato_Diario!$B$4:$B$203,D$5,Trato_Diario!$A$4:$A$203,$A158))</f>
        <v/>
      </c>
      <c r="E158" s="46" t="str">
        <f>IF(OR($A158&gt;MAX(Trato_Diario!$A$4:$A$203),SUMIFS(Trato_Diario!$G$4:$G$203,Trato_Diario!$B$4:$B$203,E$5,Trato_Diario!$A$4:$A$203,$A158)=0),"",SUMIFS(Trato_Diario!$J$4:$J$203,Trato_Diario!$B$4:$B$203,E$5,Trato_Diario!$A$4:$A$203,$A158)/SUMIFS(Trato_Diario!$G$4:$G$203,Trato_Diario!$B$4:$B$203,E$5,Trato_Diario!$A$4:$A$203,$A158))</f>
        <v/>
      </c>
      <c r="F158" s="46" t="str">
        <f>IF(OR($A158&gt;MAX(Trato_Diario!$A$4:$A$203),SUMIFS(Trato_Diario!$G$4:$G$203,Trato_Diario!$B$4:$B$203,F$5,Trato_Diario!$A$4:$A$203,$A158)=0),"",SUMIFS(Trato_Diario!$J$4:$J$203,Trato_Diario!$B$4:$B$203,F$5,Trato_Diario!$A$4:$A$203,$A158)/SUMIFS(Trato_Diario!$G$4:$G$203,Trato_Diario!$B$4:$B$203,F$5,Trato_Diario!$A$4:$A$203,$A158))</f>
        <v/>
      </c>
      <c r="G158" s="46" t="str">
        <f>IF(OR($A158&gt;MAX(Trato_Diario!$A$4:$A$203),SUMIFS(Trato_Diario!$G$4:$G$203,Trato_Diario!$B$4:$B$203,G$5,Trato_Diario!$A$4:$A$203,$A158)=0),"",SUMIFS(Trato_Diario!$J$4:$J$203,Trato_Diario!$B$4:$B$203,G$5,Trato_Diario!$A$4:$A$203,$A158)/SUMIFS(Trato_Diario!$G$4:$G$203,Trato_Diario!$B$4:$B$203,G$5,Trato_Diario!$A$4:$A$203,$A158))</f>
        <v/>
      </c>
      <c r="H158" s="57" t="str">
        <f>IF(OR($A158&gt;MAX(Trato_Diario!$A$4:$A$203),SUMIFS(Trato_Diario!$G$4:$G$203,Trato_Diario!$A$4:$A$203,$A158)=0),"",SUMIFS(Trato_Diario!$J$4:$J$203,Trato_Diario!$A$4:$A$203,$A158)/SUMIFS(Trato_Diario!$G$4:$G$203,Trato_Diario!$A$4:$A$203,$A158))</f>
        <v/>
      </c>
    </row>
    <row r="159" spans="1:8" ht="14.25" customHeight="1" x14ac:dyDescent="0.3">
      <c r="A159" s="72">
        <v>46346</v>
      </c>
      <c r="B159" s="20" t="str">
        <f>IF(OR($A159&gt;MAX(Trato_Diario!$A$4:$A$203),SUMIFS(Trato_Diario!$G$4:$G$203,Trato_Diario!$B$4:$B$203,B$5,Trato_Diario!$A$4:$A$203,$A159)=0),"",SUMIFS(Trato_Diario!$J$4:$J$203,Trato_Diario!$B$4:$B$203,B$5,Trato_Diario!$A$4:$A$203,$A159)/SUMIFS(Trato_Diario!$G$4:$G$203,Trato_Diario!$B$4:$B$203,B$5,Trato_Diario!$A$4:$A$203,$A159))</f>
        <v/>
      </c>
      <c r="C159" s="20" t="str">
        <f>IF(OR($A159&gt;MAX(Trato_Diario!$A$4:$A$203),SUMIFS(Trato_Diario!$G$4:$G$203,Trato_Diario!$B$4:$B$203,C$5,Trato_Diario!$A$4:$A$203,$A159)=0),"",SUMIFS(Trato_Diario!$J$4:$J$203,Trato_Diario!$B$4:$B$203,C$5,Trato_Diario!$A$4:$A$203,$A159)/SUMIFS(Trato_Diario!$G$4:$G$203,Trato_Diario!$B$4:$B$203,C$5,Trato_Diario!$A$4:$A$203,$A159))</f>
        <v/>
      </c>
      <c r="D159" s="20" t="str">
        <f>IF(OR($A159&gt;MAX(Trato_Diario!$A$4:$A$203),SUMIFS(Trato_Diario!$G$4:$G$203,Trato_Diario!$B$4:$B$203,D$5,Trato_Diario!$A$4:$A$203,$A159)=0),"",SUMIFS(Trato_Diario!$J$4:$J$203,Trato_Diario!$B$4:$B$203,D$5,Trato_Diario!$A$4:$A$203,$A159)/SUMIFS(Trato_Diario!$G$4:$G$203,Trato_Diario!$B$4:$B$203,D$5,Trato_Diario!$A$4:$A$203,$A159))</f>
        <v/>
      </c>
      <c r="E159" s="20" t="str">
        <f>IF(OR($A159&gt;MAX(Trato_Diario!$A$4:$A$203),SUMIFS(Trato_Diario!$G$4:$G$203,Trato_Diario!$B$4:$B$203,E$5,Trato_Diario!$A$4:$A$203,$A159)=0),"",SUMIFS(Trato_Diario!$J$4:$J$203,Trato_Diario!$B$4:$B$203,E$5,Trato_Diario!$A$4:$A$203,$A159)/SUMIFS(Trato_Diario!$G$4:$G$203,Trato_Diario!$B$4:$B$203,E$5,Trato_Diario!$A$4:$A$203,$A159))</f>
        <v/>
      </c>
      <c r="F159" s="20" t="str">
        <f>IF(OR($A159&gt;MAX(Trato_Diario!$A$4:$A$203),SUMIFS(Trato_Diario!$G$4:$G$203,Trato_Diario!$B$4:$B$203,F$5,Trato_Diario!$A$4:$A$203,$A159)=0),"",SUMIFS(Trato_Diario!$J$4:$J$203,Trato_Diario!$B$4:$B$203,F$5,Trato_Diario!$A$4:$A$203,$A159)/SUMIFS(Trato_Diario!$G$4:$G$203,Trato_Diario!$B$4:$B$203,F$5,Trato_Diario!$A$4:$A$203,$A159))</f>
        <v/>
      </c>
      <c r="G159" s="20" t="str">
        <f>IF(OR($A159&gt;MAX(Trato_Diario!$A$4:$A$203),SUMIFS(Trato_Diario!$G$4:$G$203,Trato_Diario!$B$4:$B$203,G$5,Trato_Diario!$A$4:$A$203,$A159)=0),"",SUMIFS(Trato_Diario!$J$4:$J$203,Trato_Diario!$B$4:$B$203,G$5,Trato_Diario!$A$4:$A$203,$A159)/SUMIFS(Trato_Diario!$G$4:$G$203,Trato_Diario!$B$4:$B$203,G$5,Trato_Diario!$A$4:$A$203,$A159))</f>
        <v/>
      </c>
      <c r="H159" s="59" t="str">
        <f>IF(OR($A159&gt;MAX(Trato_Diario!$A$4:$A$203),SUMIFS(Trato_Diario!$G$4:$G$203,Trato_Diario!$A$4:$A$203,$A159)=0),"",SUMIFS(Trato_Diario!$J$4:$J$203,Trato_Diario!$A$4:$A$203,$A159)/SUMIFS(Trato_Diario!$G$4:$G$203,Trato_Diario!$A$4:$A$203,$A159))</f>
        <v/>
      </c>
    </row>
    <row r="160" spans="1:8" ht="14.25" customHeight="1" x14ac:dyDescent="0.3">
      <c r="A160" s="71">
        <v>46347</v>
      </c>
      <c r="B160" s="46" t="str">
        <f>IF(OR($A160&gt;MAX(Trato_Diario!$A$4:$A$203),SUMIFS(Trato_Diario!$G$4:$G$203,Trato_Diario!$B$4:$B$203,B$5,Trato_Diario!$A$4:$A$203,$A160)=0),"",SUMIFS(Trato_Diario!$J$4:$J$203,Trato_Diario!$B$4:$B$203,B$5,Trato_Diario!$A$4:$A$203,$A160)/SUMIFS(Trato_Diario!$G$4:$G$203,Trato_Diario!$B$4:$B$203,B$5,Trato_Diario!$A$4:$A$203,$A160))</f>
        <v/>
      </c>
      <c r="C160" s="46" t="str">
        <f>IF(OR($A160&gt;MAX(Trato_Diario!$A$4:$A$203),SUMIFS(Trato_Diario!$G$4:$G$203,Trato_Diario!$B$4:$B$203,C$5,Trato_Diario!$A$4:$A$203,$A160)=0),"",SUMIFS(Trato_Diario!$J$4:$J$203,Trato_Diario!$B$4:$B$203,C$5,Trato_Diario!$A$4:$A$203,$A160)/SUMIFS(Trato_Diario!$G$4:$G$203,Trato_Diario!$B$4:$B$203,C$5,Trato_Diario!$A$4:$A$203,$A160))</f>
        <v/>
      </c>
      <c r="D160" s="46" t="str">
        <f>IF(OR($A160&gt;MAX(Trato_Diario!$A$4:$A$203),SUMIFS(Trato_Diario!$G$4:$G$203,Trato_Diario!$B$4:$B$203,D$5,Trato_Diario!$A$4:$A$203,$A160)=0),"",SUMIFS(Trato_Diario!$J$4:$J$203,Trato_Diario!$B$4:$B$203,D$5,Trato_Diario!$A$4:$A$203,$A160)/SUMIFS(Trato_Diario!$G$4:$G$203,Trato_Diario!$B$4:$B$203,D$5,Trato_Diario!$A$4:$A$203,$A160))</f>
        <v/>
      </c>
      <c r="E160" s="46" t="str">
        <f>IF(OR($A160&gt;MAX(Trato_Diario!$A$4:$A$203),SUMIFS(Trato_Diario!$G$4:$G$203,Trato_Diario!$B$4:$B$203,E$5,Trato_Diario!$A$4:$A$203,$A160)=0),"",SUMIFS(Trato_Diario!$J$4:$J$203,Trato_Diario!$B$4:$B$203,E$5,Trato_Diario!$A$4:$A$203,$A160)/SUMIFS(Trato_Diario!$G$4:$G$203,Trato_Diario!$B$4:$B$203,E$5,Trato_Diario!$A$4:$A$203,$A160))</f>
        <v/>
      </c>
      <c r="F160" s="46" t="str">
        <f>IF(OR($A160&gt;MAX(Trato_Diario!$A$4:$A$203),SUMIFS(Trato_Diario!$G$4:$G$203,Trato_Diario!$B$4:$B$203,F$5,Trato_Diario!$A$4:$A$203,$A160)=0),"",SUMIFS(Trato_Diario!$J$4:$J$203,Trato_Diario!$B$4:$B$203,F$5,Trato_Diario!$A$4:$A$203,$A160)/SUMIFS(Trato_Diario!$G$4:$G$203,Trato_Diario!$B$4:$B$203,F$5,Trato_Diario!$A$4:$A$203,$A160))</f>
        <v/>
      </c>
      <c r="G160" s="46" t="str">
        <f>IF(OR($A160&gt;MAX(Trato_Diario!$A$4:$A$203),SUMIFS(Trato_Diario!$G$4:$G$203,Trato_Diario!$B$4:$B$203,G$5,Trato_Diario!$A$4:$A$203,$A160)=0),"",SUMIFS(Trato_Diario!$J$4:$J$203,Trato_Diario!$B$4:$B$203,G$5,Trato_Diario!$A$4:$A$203,$A160)/SUMIFS(Trato_Diario!$G$4:$G$203,Trato_Diario!$B$4:$B$203,G$5,Trato_Diario!$A$4:$A$203,$A160))</f>
        <v/>
      </c>
      <c r="H160" s="57" t="str">
        <f>IF(OR($A160&gt;MAX(Trato_Diario!$A$4:$A$203),SUMIFS(Trato_Diario!$G$4:$G$203,Trato_Diario!$A$4:$A$203,$A160)=0),"",SUMIFS(Trato_Diario!$J$4:$J$203,Trato_Diario!$A$4:$A$203,$A160)/SUMIFS(Trato_Diario!$G$4:$G$203,Trato_Diario!$A$4:$A$203,$A160))</f>
        <v/>
      </c>
    </row>
    <row r="161" spans="1:8" ht="14.25" customHeight="1" x14ac:dyDescent="0.3">
      <c r="A161" s="72">
        <v>46348</v>
      </c>
      <c r="B161" s="20" t="str">
        <f>IF(OR($A161&gt;MAX(Trato_Diario!$A$4:$A$203),SUMIFS(Trato_Diario!$G$4:$G$203,Trato_Diario!$B$4:$B$203,B$5,Trato_Diario!$A$4:$A$203,$A161)=0),"",SUMIFS(Trato_Diario!$J$4:$J$203,Trato_Diario!$B$4:$B$203,B$5,Trato_Diario!$A$4:$A$203,$A161)/SUMIFS(Trato_Diario!$G$4:$G$203,Trato_Diario!$B$4:$B$203,B$5,Trato_Diario!$A$4:$A$203,$A161))</f>
        <v/>
      </c>
      <c r="C161" s="20" t="str">
        <f>IF(OR($A161&gt;MAX(Trato_Diario!$A$4:$A$203),SUMIFS(Trato_Diario!$G$4:$G$203,Trato_Diario!$B$4:$B$203,C$5,Trato_Diario!$A$4:$A$203,$A161)=0),"",SUMIFS(Trato_Diario!$J$4:$J$203,Trato_Diario!$B$4:$B$203,C$5,Trato_Diario!$A$4:$A$203,$A161)/SUMIFS(Trato_Diario!$G$4:$G$203,Trato_Diario!$B$4:$B$203,C$5,Trato_Diario!$A$4:$A$203,$A161))</f>
        <v/>
      </c>
      <c r="D161" s="20" t="str">
        <f>IF(OR($A161&gt;MAX(Trato_Diario!$A$4:$A$203),SUMIFS(Trato_Diario!$G$4:$G$203,Trato_Diario!$B$4:$B$203,D$5,Trato_Diario!$A$4:$A$203,$A161)=0),"",SUMIFS(Trato_Diario!$J$4:$J$203,Trato_Diario!$B$4:$B$203,D$5,Trato_Diario!$A$4:$A$203,$A161)/SUMIFS(Trato_Diario!$G$4:$G$203,Trato_Diario!$B$4:$B$203,D$5,Trato_Diario!$A$4:$A$203,$A161))</f>
        <v/>
      </c>
      <c r="E161" s="20" t="str">
        <f>IF(OR($A161&gt;MAX(Trato_Diario!$A$4:$A$203),SUMIFS(Trato_Diario!$G$4:$G$203,Trato_Diario!$B$4:$B$203,E$5,Trato_Diario!$A$4:$A$203,$A161)=0),"",SUMIFS(Trato_Diario!$J$4:$J$203,Trato_Diario!$B$4:$B$203,E$5,Trato_Diario!$A$4:$A$203,$A161)/SUMIFS(Trato_Diario!$G$4:$G$203,Trato_Diario!$B$4:$B$203,E$5,Trato_Diario!$A$4:$A$203,$A161))</f>
        <v/>
      </c>
      <c r="F161" s="20" t="str">
        <f>IF(OR($A161&gt;MAX(Trato_Diario!$A$4:$A$203),SUMIFS(Trato_Diario!$G$4:$G$203,Trato_Diario!$B$4:$B$203,F$5,Trato_Diario!$A$4:$A$203,$A161)=0),"",SUMIFS(Trato_Diario!$J$4:$J$203,Trato_Diario!$B$4:$B$203,F$5,Trato_Diario!$A$4:$A$203,$A161)/SUMIFS(Trato_Diario!$G$4:$G$203,Trato_Diario!$B$4:$B$203,F$5,Trato_Diario!$A$4:$A$203,$A161))</f>
        <v/>
      </c>
      <c r="G161" s="20" t="str">
        <f>IF(OR($A161&gt;MAX(Trato_Diario!$A$4:$A$203),SUMIFS(Trato_Diario!$G$4:$G$203,Trato_Diario!$B$4:$B$203,G$5,Trato_Diario!$A$4:$A$203,$A161)=0),"",SUMIFS(Trato_Diario!$J$4:$J$203,Trato_Diario!$B$4:$B$203,G$5,Trato_Diario!$A$4:$A$203,$A161)/SUMIFS(Trato_Diario!$G$4:$G$203,Trato_Diario!$B$4:$B$203,G$5,Trato_Diario!$A$4:$A$203,$A161))</f>
        <v/>
      </c>
      <c r="H161" s="59" t="str">
        <f>IF(OR($A161&gt;MAX(Trato_Diario!$A$4:$A$203),SUMIFS(Trato_Diario!$G$4:$G$203,Trato_Diario!$A$4:$A$203,$A161)=0),"",SUMIFS(Trato_Diario!$J$4:$J$203,Trato_Diario!$A$4:$A$203,$A161)/SUMIFS(Trato_Diario!$G$4:$G$203,Trato_Diario!$A$4:$A$203,$A161))</f>
        <v/>
      </c>
    </row>
    <row r="162" spans="1:8" ht="14.25" customHeight="1" x14ac:dyDescent="0.3">
      <c r="A162" s="71">
        <v>46349</v>
      </c>
      <c r="B162" s="46" t="str">
        <f>IF(OR($A162&gt;MAX(Trato_Diario!$A$4:$A$203),SUMIFS(Trato_Diario!$G$4:$G$203,Trato_Diario!$B$4:$B$203,B$5,Trato_Diario!$A$4:$A$203,$A162)=0),"",SUMIFS(Trato_Diario!$J$4:$J$203,Trato_Diario!$B$4:$B$203,B$5,Trato_Diario!$A$4:$A$203,$A162)/SUMIFS(Trato_Diario!$G$4:$G$203,Trato_Diario!$B$4:$B$203,B$5,Trato_Diario!$A$4:$A$203,$A162))</f>
        <v/>
      </c>
      <c r="C162" s="46" t="str">
        <f>IF(OR($A162&gt;MAX(Trato_Diario!$A$4:$A$203),SUMIFS(Trato_Diario!$G$4:$G$203,Trato_Diario!$B$4:$B$203,C$5,Trato_Diario!$A$4:$A$203,$A162)=0),"",SUMIFS(Trato_Diario!$J$4:$J$203,Trato_Diario!$B$4:$B$203,C$5,Trato_Diario!$A$4:$A$203,$A162)/SUMIFS(Trato_Diario!$G$4:$G$203,Trato_Diario!$B$4:$B$203,C$5,Trato_Diario!$A$4:$A$203,$A162))</f>
        <v/>
      </c>
      <c r="D162" s="46" t="str">
        <f>IF(OR($A162&gt;MAX(Trato_Diario!$A$4:$A$203),SUMIFS(Trato_Diario!$G$4:$G$203,Trato_Diario!$B$4:$B$203,D$5,Trato_Diario!$A$4:$A$203,$A162)=0),"",SUMIFS(Trato_Diario!$J$4:$J$203,Trato_Diario!$B$4:$B$203,D$5,Trato_Diario!$A$4:$A$203,$A162)/SUMIFS(Trato_Diario!$G$4:$G$203,Trato_Diario!$B$4:$B$203,D$5,Trato_Diario!$A$4:$A$203,$A162))</f>
        <v/>
      </c>
      <c r="E162" s="46" t="str">
        <f>IF(OR($A162&gt;MAX(Trato_Diario!$A$4:$A$203),SUMIFS(Trato_Diario!$G$4:$G$203,Trato_Diario!$B$4:$B$203,E$5,Trato_Diario!$A$4:$A$203,$A162)=0),"",SUMIFS(Trato_Diario!$J$4:$J$203,Trato_Diario!$B$4:$B$203,E$5,Trato_Diario!$A$4:$A$203,$A162)/SUMIFS(Trato_Diario!$G$4:$G$203,Trato_Diario!$B$4:$B$203,E$5,Trato_Diario!$A$4:$A$203,$A162))</f>
        <v/>
      </c>
      <c r="F162" s="46" t="str">
        <f>IF(OR($A162&gt;MAX(Trato_Diario!$A$4:$A$203),SUMIFS(Trato_Diario!$G$4:$G$203,Trato_Diario!$B$4:$B$203,F$5,Trato_Diario!$A$4:$A$203,$A162)=0),"",SUMIFS(Trato_Diario!$J$4:$J$203,Trato_Diario!$B$4:$B$203,F$5,Trato_Diario!$A$4:$A$203,$A162)/SUMIFS(Trato_Diario!$G$4:$G$203,Trato_Diario!$B$4:$B$203,F$5,Trato_Diario!$A$4:$A$203,$A162))</f>
        <v/>
      </c>
      <c r="G162" s="46" t="str">
        <f>IF(OR($A162&gt;MAX(Trato_Diario!$A$4:$A$203),SUMIFS(Trato_Diario!$G$4:$G$203,Trato_Diario!$B$4:$B$203,G$5,Trato_Diario!$A$4:$A$203,$A162)=0),"",SUMIFS(Trato_Diario!$J$4:$J$203,Trato_Diario!$B$4:$B$203,G$5,Trato_Diario!$A$4:$A$203,$A162)/SUMIFS(Trato_Diario!$G$4:$G$203,Trato_Diario!$B$4:$B$203,G$5,Trato_Diario!$A$4:$A$203,$A162))</f>
        <v/>
      </c>
      <c r="H162" s="57" t="str">
        <f>IF(OR($A162&gt;MAX(Trato_Diario!$A$4:$A$203),SUMIFS(Trato_Diario!$G$4:$G$203,Trato_Diario!$A$4:$A$203,$A162)=0),"",SUMIFS(Trato_Diario!$J$4:$J$203,Trato_Diario!$A$4:$A$203,$A162)/SUMIFS(Trato_Diario!$G$4:$G$203,Trato_Diario!$A$4:$A$203,$A162))</f>
        <v/>
      </c>
    </row>
    <row r="163" spans="1:8" ht="14.25" customHeight="1" x14ac:dyDescent="0.3">
      <c r="A163" s="72">
        <v>46350</v>
      </c>
      <c r="B163" s="20" t="str">
        <f>IF(OR($A163&gt;MAX(Trato_Diario!$A$4:$A$203),SUMIFS(Trato_Diario!$G$4:$G$203,Trato_Diario!$B$4:$B$203,B$5,Trato_Diario!$A$4:$A$203,$A163)=0),"",SUMIFS(Trato_Diario!$J$4:$J$203,Trato_Diario!$B$4:$B$203,B$5,Trato_Diario!$A$4:$A$203,$A163)/SUMIFS(Trato_Diario!$G$4:$G$203,Trato_Diario!$B$4:$B$203,B$5,Trato_Diario!$A$4:$A$203,$A163))</f>
        <v/>
      </c>
      <c r="C163" s="20" t="str">
        <f>IF(OR($A163&gt;MAX(Trato_Diario!$A$4:$A$203),SUMIFS(Trato_Diario!$G$4:$G$203,Trato_Diario!$B$4:$B$203,C$5,Trato_Diario!$A$4:$A$203,$A163)=0),"",SUMIFS(Trato_Diario!$J$4:$J$203,Trato_Diario!$B$4:$B$203,C$5,Trato_Diario!$A$4:$A$203,$A163)/SUMIFS(Trato_Diario!$G$4:$G$203,Trato_Diario!$B$4:$B$203,C$5,Trato_Diario!$A$4:$A$203,$A163))</f>
        <v/>
      </c>
      <c r="D163" s="20" t="str">
        <f>IF(OR($A163&gt;MAX(Trato_Diario!$A$4:$A$203),SUMIFS(Trato_Diario!$G$4:$G$203,Trato_Diario!$B$4:$B$203,D$5,Trato_Diario!$A$4:$A$203,$A163)=0),"",SUMIFS(Trato_Diario!$J$4:$J$203,Trato_Diario!$B$4:$B$203,D$5,Trato_Diario!$A$4:$A$203,$A163)/SUMIFS(Trato_Diario!$G$4:$G$203,Trato_Diario!$B$4:$B$203,D$5,Trato_Diario!$A$4:$A$203,$A163))</f>
        <v/>
      </c>
      <c r="E163" s="20" t="str">
        <f>IF(OR($A163&gt;MAX(Trato_Diario!$A$4:$A$203),SUMIFS(Trato_Diario!$G$4:$G$203,Trato_Diario!$B$4:$B$203,E$5,Trato_Diario!$A$4:$A$203,$A163)=0),"",SUMIFS(Trato_Diario!$J$4:$J$203,Trato_Diario!$B$4:$B$203,E$5,Trato_Diario!$A$4:$A$203,$A163)/SUMIFS(Trato_Diario!$G$4:$G$203,Trato_Diario!$B$4:$B$203,E$5,Trato_Diario!$A$4:$A$203,$A163))</f>
        <v/>
      </c>
      <c r="F163" s="20" t="str">
        <f>IF(OR($A163&gt;MAX(Trato_Diario!$A$4:$A$203),SUMIFS(Trato_Diario!$G$4:$G$203,Trato_Diario!$B$4:$B$203,F$5,Trato_Diario!$A$4:$A$203,$A163)=0),"",SUMIFS(Trato_Diario!$J$4:$J$203,Trato_Diario!$B$4:$B$203,F$5,Trato_Diario!$A$4:$A$203,$A163)/SUMIFS(Trato_Diario!$G$4:$G$203,Trato_Diario!$B$4:$B$203,F$5,Trato_Diario!$A$4:$A$203,$A163))</f>
        <v/>
      </c>
      <c r="G163" s="20" t="str">
        <f>IF(OR($A163&gt;MAX(Trato_Diario!$A$4:$A$203),SUMIFS(Trato_Diario!$G$4:$G$203,Trato_Diario!$B$4:$B$203,G$5,Trato_Diario!$A$4:$A$203,$A163)=0),"",SUMIFS(Trato_Diario!$J$4:$J$203,Trato_Diario!$B$4:$B$203,G$5,Trato_Diario!$A$4:$A$203,$A163)/SUMIFS(Trato_Diario!$G$4:$G$203,Trato_Diario!$B$4:$B$203,G$5,Trato_Diario!$A$4:$A$203,$A163))</f>
        <v/>
      </c>
      <c r="H163" s="59" t="str">
        <f>IF(OR($A163&gt;MAX(Trato_Diario!$A$4:$A$203),SUMIFS(Trato_Diario!$G$4:$G$203,Trato_Diario!$A$4:$A$203,$A163)=0),"",SUMIFS(Trato_Diario!$J$4:$J$203,Trato_Diario!$A$4:$A$203,$A163)/SUMIFS(Trato_Diario!$G$4:$G$203,Trato_Diario!$A$4:$A$203,$A163))</f>
        <v/>
      </c>
    </row>
    <row r="164" spans="1:8" ht="14.25" customHeight="1" x14ac:dyDescent="0.3">
      <c r="A164" s="71">
        <v>46351</v>
      </c>
      <c r="B164" s="46" t="str">
        <f>IF(OR($A164&gt;MAX(Trato_Diario!$A$4:$A$203),SUMIFS(Trato_Diario!$G$4:$G$203,Trato_Diario!$B$4:$B$203,B$5,Trato_Diario!$A$4:$A$203,$A164)=0),"",SUMIFS(Trato_Diario!$J$4:$J$203,Trato_Diario!$B$4:$B$203,B$5,Trato_Diario!$A$4:$A$203,$A164)/SUMIFS(Trato_Diario!$G$4:$G$203,Trato_Diario!$B$4:$B$203,B$5,Trato_Diario!$A$4:$A$203,$A164))</f>
        <v/>
      </c>
      <c r="C164" s="46" t="str">
        <f>IF(OR($A164&gt;MAX(Trato_Diario!$A$4:$A$203),SUMIFS(Trato_Diario!$G$4:$G$203,Trato_Diario!$B$4:$B$203,C$5,Trato_Diario!$A$4:$A$203,$A164)=0),"",SUMIFS(Trato_Diario!$J$4:$J$203,Trato_Diario!$B$4:$B$203,C$5,Trato_Diario!$A$4:$A$203,$A164)/SUMIFS(Trato_Diario!$G$4:$G$203,Trato_Diario!$B$4:$B$203,C$5,Trato_Diario!$A$4:$A$203,$A164))</f>
        <v/>
      </c>
      <c r="D164" s="46" t="str">
        <f>IF(OR($A164&gt;MAX(Trato_Diario!$A$4:$A$203),SUMIFS(Trato_Diario!$G$4:$G$203,Trato_Diario!$B$4:$B$203,D$5,Trato_Diario!$A$4:$A$203,$A164)=0),"",SUMIFS(Trato_Diario!$J$4:$J$203,Trato_Diario!$B$4:$B$203,D$5,Trato_Diario!$A$4:$A$203,$A164)/SUMIFS(Trato_Diario!$G$4:$G$203,Trato_Diario!$B$4:$B$203,D$5,Trato_Diario!$A$4:$A$203,$A164))</f>
        <v/>
      </c>
      <c r="E164" s="46" t="str">
        <f>IF(OR($A164&gt;MAX(Trato_Diario!$A$4:$A$203),SUMIFS(Trato_Diario!$G$4:$G$203,Trato_Diario!$B$4:$B$203,E$5,Trato_Diario!$A$4:$A$203,$A164)=0),"",SUMIFS(Trato_Diario!$J$4:$J$203,Trato_Diario!$B$4:$B$203,E$5,Trato_Diario!$A$4:$A$203,$A164)/SUMIFS(Trato_Diario!$G$4:$G$203,Trato_Diario!$B$4:$B$203,E$5,Trato_Diario!$A$4:$A$203,$A164))</f>
        <v/>
      </c>
      <c r="F164" s="46" t="str">
        <f>IF(OR($A164&gt;MAX(Trato_Diario!$A$4:$A$203),SUMIFS(Trato_Diario!$G$4:$G$203,Trato_Diario!$B$4:$B$203,F$5,Trato_Diario!$A$4:$A$203,$A164)=0),"",SUMIFS(Trato_Diario!$J$4:$J$203,Trato_Diario!$B$4:$B$203,F$5,Trato_Diario!$A$4:$A$203,$A164)/SUMIFS(Trato_Diario!$G$4:$G$203,Trato_Diario!$B$4:$B$203,F$5,Trato_Diario!$A$4:$A$203,$A164))</f>
        <v/>
      </c>
      <c r="G164" s="46" t="str">
        <f>IF(OR($A164&gt;MAX(Trato_Diario!$A$4:$A$203),SUMIFS(Trato_Diario!$G$4:$G$203,Trato_Diario!$B$4:$B$203,G$5,Trato_Diario!$A$4:$A$203,$A164)=0),"",SUMIFS(Trato_Diario!$J$4:$J$203,Trato_Diario!$B$4:$B$203,G$5,Trato_Diario!$A$4:$A$203,$A164)/SUMIFS(Trato_Diario!$G$4:$G$203,Trato_Diario!$B$4:$B$203,G$5,Trato_Diario!$A$4:$A$203,$A164))</f>
        <v/>
      </c>
      <c r="H164" s="57" t="str">
        <f>IF(OR($A164&gt;MAX(Trato_Diario!$A$4:$A$203),SUMIFS(Trato_Diario!$G$4:$G$203,Trato_Diario!$A$4:$A$203,$A164)=0),"",SUMIFS(Trato_Diario!$J$4:$J$203,Trato_Diario!$A$4:$A$203,$A164)/SUMIFS(Trato_Diario!$G$4:$G$203,Trato_Diario!$A$4:$A$203,$A164))</f>
        <v/>
      </c>
    </row>
    <row r="165" spans="1:8" ht="14.25" customHeight="1" x14ac:dyDescent="0.3">
      <c r="A165" s="72">
        <v>46352</v>
      </c>
      <c r="B165" s="20" t="str">
        <f>IF(OR($A165&gt;MAX(Trato_Diario!$A$4:$A$203),SUMIFS(Trato_Diario!$G$4:$G$203,Trato_Diario!$B$4:$B$203,B$5,Trato_Diario!$A$4:$A$203,$A165)=0),"",SUMIFS(Trato_Diario!$J$4:$J$203,Trato_Diario!$B$4:$B$203,B$5,Trato_Diario!$A$4:$A$203,$A165)/SUMIFS(Trato_Diario!$G$4:$G$203,Trato_Diario!$B$4:$B$203,B$5,Trato_Diario!$A$4:$A$203,$A165))</f>
        <v/>
      </c>
      <c r="C165" s="20" t="str">
        <f>IF(OR($A165&gt;MAX(Trato_Diario!$A$4:$A$203),SUMIFS(Trato_Diario!$G$4:$G$203,Trato_Diario!$B$4:$B$203,C$5,Trato_Diario!$A$4:$A$203,$A165)=0),"",SUMIFS(Trato_Diario!$J$4:$J$203,Trato_Diario!$B$4:$B$203,C$5,Trato_Diario!$A$4:$A$203,$A165)/SUMIFS(Trato_Diario!$G$4:$G$203,Trato_Diario!$B$4:$B$203,C$5,Trato_Diario!$A$4:$A$203,$A165))</f>
        <v/>
      </c>
      <c r="D165" s="20" t="str">
        <f>IF(OR($A165&gt;MAX(Trato_Diario!$A$4:$A$203),SUMIFS(Trato_Diario!$G$4:$G$203,Trato_Diario!$B$4:$B$203,D$5,Trato_Diario!$A$4:$A$203,$A165)=0),"",SUMIFS(Trato_Diario!$J$4:$J$203,Trato_Diario!$B$4:$B$203,D$5,Trato_Diario!$A$4:$A$203,$A165)/SUMIFS(Trato_Diario!$G$4:$G$203,Trato_Diario!$B$4:$B$203,D$5,Trato_Diario!$A$4:$A$203,$A165))</f>
        <v/>
      </c>
      <c r="E165" s="20" t="str">
        <f>IF(OR($A165&gt;MAX(Trato_Diario!$A$4:$A$203),SUMIFS(Trato_Diario!$G$4:$G$203,Trato_Diario!$B$4:$B$203,E$5,Trato_Diario!$A$4:$A$203,$A165)=0),"",SUMIFS(Trato_Diario!$J$4:$J$203,Trato_Diario!$B$4:$B$203,E$5,Trato_Diario!$A$4:$A$203,$A165)/SUMIFS(Trato_Diario!$G$4:$G$203,Trato_Diario!$B$4:$B$203,E$5,Trato_Diario!$A$4:$A$203,$A165))</f>
        <v/>
      </c>
      <c r="F165" s="20" t="str">
        <f>IF(OR($A165&gt;MAX(Trato_Diario!$A$4:$A$203),SUMIFS(Trato_Diario!$G$4:$G$203,Trato_Diario!$B$4:$B$203,F$5,Trato_Diario!$A$4:$A$203,$A165)=0),"",SUMIFS(Trato_Diario!$J$4:$J$203,Trato_Diario!$B$4:$B$203,F$5,Trato_Diario!$A$4:$A$203,$A165)/SUMIFS(Trato_Diario!$G$4:$G$203,Trato_Diario!$B$4:$B$203,F$5,Trato_Diario!$A$4:$A$203,$A165))</f>
        <v/>
      </c>
      <c r="G165" s="20" t="str">
        <f>IF(OR($A165&gt;MAX(Trato_Diario!$A$4:$A$203),SUMIFS(Trato_Diario!$G$4:$G$203,Trato_Diario!$B$4:$B$203,G$5,Trato_Diario!$A$4:$A$203,$A165)=0),"",SUMIFS(Trato_Diario!$J$4:$J$203,Trato_Diario!$B$4:$B$203,G$5,Trato_Diario!$A$4:$A$203,$A165)/SUMIFS(Trato_Diario!$G$4:$G$203,Trato_Diario!$B$4:$B$203,G$5,Trato_Diario!$A$4:$A$203,$A165))</f>
        <v/>
      </c>
      <c r="H165" s="59" t="str">
        <f>IF(OR($A165&gt;MAX(Trato_Diario!$A$4:$A$203),SUMIFS(Trato_Diario!$G$4:$G$203,Trato_Diario!$A$4:$A$203,$A165)=0),"",SUMIFS(Trato_Diario!$J$4:$J$203,Trato_Diario!$A$4:$A$203,$A165)/SUMIFS(Trato_Diario!$G$4:$G$203,Trato_Diario!$A$4:$A$203,$A165))</f>
        <v/>
      </c>
    </row>
    <row r="166" spans="1:8" ht="14.25" customHeight="1" x14ac:dyDescent="0.3">
      <c r="A166" s="71">
        <v>46353</v>
      </c>
      <c r="B166" s="46" t="str">
        <f>IF(OR($A166&gt;MAX(Trato_Diario!$A$4:$A$203),SUMIFS(Trato_Diario!$G$4:$G$203,Trato_Diario!$B$4:$B$203,B$5,Trato_Diario!$A$4:$A$203,$A166)=0),"",SUMIFS(Trato_Diario!$J$4:$J$203,Trato_Diario!$B$4:$B$203,B$5,Trato_Diario!$A$4:$A$203,$A166)/SUMIFS(Trato_Diario!$G$4:$G$203,Trato_Diario!$B$4:$B$203,B$5,Trato_Diario!$A$4:$A$203,$A166))</f>
        <v/>
      </c>
      <c r="C166" s="46" t="str">
        <f>IF(OR($A166&gt;MAX(Trato_Diario!$A$4:$A$203),SUMIFS(Trato_Diario!$G$4:$G$203,Trato_Diario!$B$4:$B$203,C$5,Trato_Diario!$A$4:$A$203,$A166)=0),"",SUMIFS(Trato_Diario!$J$4:$J$203,Trato_Diario!$B$4:$B$203,C$5,Trato_Diario!$A$4:$A$203,$A166)/SUMIFS(Trato_Diario!$G$4:$G$203,Trato_Diario!$B$4:$B$203,C$5,Trato_Diario!$A$4:$A$203,$A166))</f>
        <v/>
      </c>
      <c r="D166" s="46" t="str">
        <f>IF(OR($A166&gt;MAX(Trato_Diario!$A$4:$A$203),SUMIFS(Trato_Diario!$G$4:$G$203,Trato_Diario!$B$4:$B$203,D$5,Trato_Diario!$A$4:$A$203,$A166)=0),"",SUMIFS(Trato_Diario!$J$4:$J$203,Trato_Diario!$B$4:$B$203,D$5,Trato_Diario!$A$4:$A$203,$A166)/SUMIFS(Trato_Diario!$G$4:$G$203,Trato_Diario!$B$4:$B$203,D$5,Trato_Diario!$A$4:$A$203,$A166))</f>
        <v/>
      </c>
      <c r="E166" s="46" t="str">
        <f>IF(OR($A166&gt;MAX(Trato_Diario!$A$4:$A$203),SUMIFS(Trato_Diario!$G$4:$G$203,Trato_Diario!$B$4:$B$203,E$5,Trato_Diario!$A$4:$A$203,$A166)=0),"",SUMIFS(Trato_Diario!$J$4:$J$203,Trato_Diario!$B$4:$B$203,E$5,Trato_Diario!$A$4:$A$203,$A166)/SUMIFS(Trato_Diario!$G$4:$G$203,Trato_Diario!$B$4:$B$203,E$5,Trato_Diario!$A$4:$A$203,$A166))</f>
        <v/>
      </c>
      <c r="F166" s="46" t="str">
        <f>IF(OR($A166&gt;MAX(Trato_Diario!$A$4:$A$203),SUMIFS(Trato_Diario!$G$4:$G$203,Trato_Diario!$B$4:$B$203,F$5,Trato_Diario!$A$4:$A$203,$A166)=0),"",SUMIFS(Trato_Diario!$J$4:$J$203,Trato_Diario!$B$4:$B$203,F$5,Trato_Diario!$A$4:$A$203,$A166)/SUMIFS(Trato_Diario!$G$4:$G$203,Trato_Diario!$B$4:$B$203,F$5,Trato_Diario!$A$4:$A$203,$A166))</f>
        <v/>
      </c>
      <c r="G166" s="46" t="str">
        <f>IF(OR($A166&gt;MAX(Trato_Diario!$A$4:$A$203),SUMIFS(Trato_Diario!$G$4:$G$203,Trato_Diario!$B$4:$B$203,G$5,Trato_Diario!$A$4:$A$203,$A166)=0),"",SUMIFS(Trato_Diario!$J$4:$J$203,Trato_Diario!$B$4:$B$203,G$5,Trato_Diario!$A$4:$A$203,$A166)/SUMIFS(Trato_Diario!$G$4:$G$203,Trato_Diario!$B$4:$B$203,G$5,Trato_Diario!$A$4:$A$203,$A166))</f>
        <v/>
      </c>
      <c r="H166" s="57" t="str">
        <f>IF(OR($A166&gt;MAX(Trato_Diario!$A$4:$A$203),SUMIFS(Trato_Diario!$G$4:$G$203,Trato_Diario!$A$4:$A$203,$A166)=0),"",SUMIFS(Trato_Diario!$J$4:$J$203,Trato_Diario!$A$4:$A$203,$A166)/SUMIFS(Trato_Diario!$G$4:$G$203,Trato_Diario!$A$4:$A$203,$A166))</f>
        <v/>
      </c>
    </row>
    <row r="167" spans="1:8" ht="14.25" customHeight="1" x14ac:dyDescent="0.3">
      <c r="A167" s="72">
        <v>46354</v>
      </c>
      <c r="B167" s="20" t="str">
        <f>IF(OR($A167&gt;MAX(Trato_Diario!$A$4:$A$203),SUMIFS(Trato_Diario!$G$4:$G$203,Trato_Diario!$B$4:$B$203,B$5,Trato_Diario!$A$4:$A$203,$A167)=0),"",SUMIFS(Trato_Diario!$J$4:$J$203,Trato_Diario!$B$4:$B$203,B$5,Trato_Diario!$A$4:$A$203,$A167)/SUMIFS(Trato_Diario!$G$4:$G$203,Trato_Diario!$B$4:$B$203,B$5,Trato_Diario!$A$4:$A$203,$A167))</f>
        <v/>
      </c>
      <c r="C167" s="20" t="str">
        <f>IF(OR($A167&gt;MAX(Trato_Diario!$A$4:$A$203),SUMIFS(Trato_Diario!$G$4:$G$203,Trato_Diario!$B$4:$B$203,C$5,Trato_Diario!$A$4:$A$203,$A167)=0),"",SUMIFS(Trato_Diario!$J$4:$J$203,Trato_Diario!$B$4:$B$203,C$5,Trato_Diario!$A$4:$A$203,$A167)/SUMIFS(Trato_Diario!$G$4:$G$203,Trato_Diario!$B$4:$B$203,C$5,Trato_Diario!$A$4:$A$203,$A167))</f>
        <v/>
      </c>
      <c r="D167" s="20" t="str">
        <f>IF(OR($A167&gt;MAX(Trato_Diario!$A$4:$A$203),SUMIFS(Trato_Diario!$G$4:$G$203,Trato_Diario!$B$4:$B$203,D$5,Trato_Diario!$A$4:$A$203,$A167)=0),"",SUMIFS(Trato_Diario!$J$4:$J$203,Trato_Diario!$B$4:$B$203,D$5,Trato_Diario!$A$4:$A$203,$A167)/SUMIFS(Trato_Diario!$G$4:$G$203,Trato_Diario!$B$4:$B$203,D$5,Trato_Diario!$A$4:$A$203,$A167))</f>
        <v/>
      </c>
      <c r="E167" s="20" t="str">
        <f>IF(OR($A167&gt;MAX(Trato_Diario!$A$4:$A$203),SUMIFS(Trato_Diario!$G$4:$G$203,Trato_Diario!$B$4:$B$203,E$5,Trato_Diario!$A$4:$A$203,$A167)=0),"",SUMIFS(Trato_Diario!$J$4:$J$203,Trato_Diario!$B$4:$B$203,E$5,Trato_Diario!$A$4:$A$203,$A167)/SUMIFS(Trato_Diario!$G$4:$G$203,Trato_Diario!$B$4:$B$203,E$5,Trato_Diario!$A$4:$A$203,$A167))</f>
        <v/>
      </c>
      <c r="F167" s="20" t="str">
        <f>IF(OR($A167&gt;MAX(Trato_Diario!$A$4:$A$203),SUMIFS(Trato_Diario!$G$4:$G$203,Trato_Diario!$B$4:$B$203,F$5,Trato_Diario!$A$4:$A$203,$A167)=0),"",SUMIFS(Trato_Diario!$J$4:$J$203,Trato_Diario!$B$4:$B$203,F$5,Trato_Diario!$A$4:$A$203,$A167)/SUMIFS(Trato_Diario!$G$4:$G$203,Trato_Diario!$B$4:$B$203,F$5,Trato_Diario!$A$4:$A$203,$A167))</f>
        <v/>
      </c>
      <c r="G167" s="20" t="str">
        <f>IF(OR($A167&gt;MAX(Trato_Diario!$A$4:$A$203),SUMIFS(Trato_Diario!$G$4:$G$203,Trato_Diario!$B$4:$B$203,G$5,Trato_Diario!$A$4:$A$203,$A167)=0),"",SUMIFS(Trato_Diario!$J$4:$J$203,Trato_Diario!$B$4:$B$203,G$5,Trato_Diario!$A$4:$A$203,$A167)/SUMIFS(Trato_Diario!$G$4:$G$203,Trato_Diario!$B$4:$B$203,G$5,Trato_Diario!$A$4:$A$203,$A167))</f>
        <v/>
      </c>
      <c r="H167" s="59" t="str">
        <f>IF(OR($A167&gt;MAX(Trato_Diario!$A$4:$A$203),SUMIFS(Trato_Diario!$G$4:$G$203,Trato_Diario!$A$4:$A$203,$A167)=0),"",SUMIFS(Trato_Diario!$J$4:$J$203,Trato_Diario!$A$4:$A$203,$A167)/SUMIFS(Trato_Diario!$G$4:$G$203,Trato_Diario!$A$4:$A$203,$A167))</f>
        <v/>
      </c>
    </row>
    <row r="168" spans="1:8" ht="14.25" customHeight="1" x14ac:dyDescent="0.3">
      <c r="A168" s="71">
        <v>46355</v>
      </c>
      <c r="B168" s="46" t="str">
        <f>IF(OR($A168&gt;MAX(Trato_Diario!$A$4:$A$203),SUMIFS(Trato_Diario!$G$4:$G$203,Trato_Diario!$B$4:$B$203,B$5,Trato_Diario!$A$4:$A$203,$A168)=0),"",SUMIFS(Trato_Diario!$J$4:$J$203,Trato_Diario!$B$4:$B$203,B$5,Trato_Diario!$A$4:$A$203,$A168)/SUMIFS(Trato_Diario!$G$4:$G$203,Trato_Diario!$B$4:$B$203,B$5,Trato_Diario!$A$4:$A$203,$A168))</f>
        <v/>
      </c>
      <c r="C168" s="46" t="str">
        <f>IF(OR($A168&gt;MAX(Trato_Diario!$A$4:$A$203),SUMIFS(Trato_Diario!$G$4:$G$203,Trato_Diario!$B$4:$B$203,C$5,Trato_Diario!$A$4:$A$203,$A168)=0),"",SUMIFS(Trato_Diario!$J$4:$J$203,Trato_Diario!$B$4:$B$203,C$5,Trato_Diario!$A$4:$A$203,$A168)/SUMIFS(Trato_Diario!$G$4:$G$203,Trato_Diario!$B$4:$B$203,C$5,Trato_Diario!$A$4:$A$203,$A168))</f>
        <v/>
      </c>
      <c r="D168" s="46" t="str">
        <f>IF(OR($A168&gt;MAX(Trato_Diario!$A$4:$A$203),SUMIFS(Trato_Diario!$G$4:$G$203,Trato_Diario!$B$4:$B$203,D$5,Trato_Diario!$A$4:$A$203,$A168)=0),"",SUMIFS(Trato_Diario!$J$4:$J$203,Trato_Diario!$B$4:$B$203,D$5,Trato_Diario!$A$4:$A$203,$A168)/SUMIFS(Trato_Diario!$G$4:$G$203,Trato_Diario!$B$4:$B$203,D$5,Trato_Diario!$A$4:$A$203,$A168))</f>
        <v/>
      </c>
      <c r="E168" s="46" t="str">
        <f>IF(OR($A168&gt;MAX(Trato_Diario!$A$4:$A$203),SUMIFS(Trato_Diario!$G$4:$G$203,Trato_Diario!$B$4:$B$203,E$5,Trato_Diario!$A$4:$A$203,$A168)=0),"",SUMIFS(Trato_Diario!$J$4:$J$203,Trato_Diario!$B$4:$B$203,E$5,Trato_Diario!$A$4:$A$203,$A168)/SUMIFS(Trato_Diario!$G$4:$G$203,Trato_Diario!$B$4:$B$203,E$5,Trato_Diario!$A$4:$A$203,$A168))</f>
        <v/>
      </c>
      <c r="F168" s="46" t="str">
        <f>IF(OR($A168&gt;MAX(Trato_Diario!$A$4:$A$203),SUMIFS(Trato_Diario!$G$4:$G$203,Trato_Diario!$B$4:$B$203,F$5,Trato_Diario!$A$4:$A$203,$A168)=0),"",SUMIFS(Trato_Diario!$J$4:$J$203,Trato_Diario!$B$4:$B$203,F$5,Trato_Diario!$A$4:$A$203,$A168)/SUMIFS(Trato_Diario!$G$4:$G$203,Trato_Diario!$B$4:$B$203,F$5,Trato_Diario!$A$4:$A$203,$A168))</f>
        <v/>
      </c>
      <c r="G168" s="46" t="str">
        <f>IF(OR($A168&gt;MAX(Trato_Diario!$A$4:$A$203),SUMIFS(Trato_Diario!$G$4:$G$203,Trato_Diario!$B$4:$B$203,G$5,Trato_Diario!$A$4:$A$203,$A168)=0),"",SUMIFS(Trato_Diario!$J$4:$J$203,Trato_Diario!$B$4:$B$203,G$5,Trato_Diario!$A$4:$A$203,$A168)/SUMIFS(Trato_Diario!$G$4:$G$203,Trato_Diario!$B$4:$B$203,G$5,Trato_Diario!$A$4:$A$203,$A168))</f>
        <v/>
      </c>
      <c r="H168" s="57" t="str">
        <f>IF(OR($A168&gt;MAX(Trato_Diario!$A$4:$A$203),SUMIFS(Trato_Diario!$G$4:$G$203,Trato_Diario!$A$4:$A$203,$A168)=0),"",SUMIFS(Trato_Diario!$J$4:$J$203,Trato_Diario!$A$4:$A$203,$A168)/SUMIFS(Trato_Diario!$G$4:$G$203,Trato_Diario!$A$4:$A$203,$A168))</f>
        <v/>
      </c>
    </row>
    <row r="169" spans="1:8" ht="14.25" customHeight="1" x14ac:dyDescent="0.3">
      <c r="A169" s="72">
        <v>46356</v>
      </c>
      <c r="B169" s="20" t="str">
        <f>IF(OR($A169&gt;MAX(Trato_Diario!$A$4:$A$203),SUMIFS(Trato_Diario!$G$4:$G$203,Trato_Diario!$B$4:$B$203,B$5,Trato_Diario!$A$4:$A$203,$A169)=0),"",SUMIFS(Trato_Diario!$J$4:$J$203,Trato_Diario!$B$4:$B$203,B$5,Trato_Diario!$A$4:$A$203,$A169)/SUMIFS(Trato_Diario!$G$4:$G$203,Trato_Diario!$B$4:$B$203,B$5,Trato_Diario!$A$4:$A$203,$A169))</f>
        <v/>
      </c>
      <c r="C169" s="20" t="str">
        <f>IF(OR($A169&gt;MAX(Trato_Diario!$A$4:$A$203),SUMIFS(Trato_Diario!$G$4:$G$203,Trato_Diario!$B$4:$B$203,C$5,Trato_Diario!$A$4:$A$203,$A169)=0),"",SUMIFS(Trato_Diario!$J$4:$J$203,Trato_Diario!$B$4:$B$203,C$5,Trato_Diario!$A$4:$A$203,$A169)/SUMIFS(Trato_Diario!$G$4:$G$203,Trato_Diario!$B$4:$B$203,C$5,Trato_Diario!$A$4:$A$203,$A169))</f>
        <v/>
      </c>
      <c r="D169" s="20" t="str">
        <f>IF(OR($A169&gt;MAX(Trato_Diario!$A$4:$A$203),SUMIFS(Trato_Diario!$G$4:$G$203,Trato_Diario!$B$4:$B$203,D$5,Trato_Diario!$A$4:$A$203,$A169)=0),"",SUMIFS(Trato_Diario!$J$4:$J$203,Trato_Diario!$B$4:$B$203,D$5,Trato_Diario!$A$4:$A$203,$A169)/SUMIFS(Trato_Diario!$G$4:$G$203,Trato_Diario!$B$4:$B$203,D$5,Trato_Diario!$A$4:$A$203,$A169))</f>
        <v/>
      </c>
      <c r="E169" s="20" t="str">
        <f>IF(OR($A169&gt;MAX(Trato_Diario!$A$4:$A$203),SUMIFS(Trato_Diario!$G$4:$G$203,Trato_Diario!$B$4:$B$203,E$5,Trato_Diario!$A$4:$A$203,$A169)=0),"",SUMIFS(Trato_Diario!$J$4:$J$203,Trato_Diario!$B$4:$B$203,E$5,Trato_Diario!$A$4:$A$203,$A169)/SUMIFS(Trato_Diario!$G$4:$G$203,Trato_Diario!$B$4:$B$203,E$5,Trato_Diario!$A$4:$A$203,$A169))</f>
        <v/>
      </c>
      <c r="F169" s="20" t="str">
        <f>IF(OR($A169&gt;MAX(Trato_Diario!$A$4:$A$203),SUMIFS(Trato_Diario!$G$4:$G$203,Trato_Diario!$B$4:$B$203,F$5,Trato_Diario!$A$4:$A$203,$A169)=0),"",SUMIFS(Trato_Diario!$J$4:$J$203,Trato_Diario!$B$4:$B$203,F$5,Trato_Diario!$A$4:$A$203,$A169)/SUMIFS(Trato_Diario!$G$4:$G$203,Trato_Diario!$B$4:$B$203,F$5,Trato_Diario!$A$4:$A$203,$A169))</f>
        <v/>
      </c>
      <c r="G169" s="20" t="str">
        <f>IF(OR($A169&gt;MAX(Trato_Diario!$A$4:$A$203),SUMIFS(Trato_Diario!$G$4:$G$203,Trato_Diario!$B$4:$B$203,G$5,Trato_Diario!$A$4:$A$203,$A169)=0),"",SUMIFS(Trato_Diario!$J$4:$J$203,Trato_Diario!$B$4:$B$203,G$5,Trato_Diario!$A$4:$A$203,$A169)/SUMIFS(Trato_Diario!$G$4:$G$203,Trato_Diario!$B$4:$B$203,G$5,Trato_Diario!$A$4:$A$203,$A169))</f>
        <v/>
      </c>
      <c r="H169" s="59" t="str">
        <f>IF(OR($A169&gt;MAX(Trato_Diario!$A$4:$A$203),SUMIFS(Trato_Diario!$G$4:$G$203,Trato_Diario!$A$4:$A$203,$A169)=0),"",SUMIFS(Trato_Diario!$J$4:$J$203,Trato_Diario!$A$4:$A$203,$A169)/SUMIFS(Trato_Diario!$G$4:$G$203,Trato_Diario!$A$4:$A$203,$A169))</f>
        <v/>
      </c>
    </row>
    <row r="170" spans="1:8" ht="14.25" customHeight="1" x14ac:dyDescent="0.3">
      <c r="A170" s="71">
        <v>46357</v>
      </c>
      <c r="B170" s="46" t="str">
        <f>IF(OR($A170&gt;MAX(Trato_Diario!$A$4:$A$203),SUMIFS(Trato_Diario!$G$4:$G$203,Trato_Diario!$B$4:$B$203,B$5,Trato_Diario!$A$4:$A$203,$A170)=0),"",SUMIFS(Trato_Diario!$J$4:$J$203,Trato_Diario!$B$4:$B$203,B$5,Trato_Diario!$A$4:$A$203,$A170)/SUMIFS(Trato_Diario!$G$4:$G$203,Trato_Diario!$B$4:$B$203,B$5,Trato_Diario!$A$4:$A$203,$A170))</f>
        <v/>
      </c>
      <c r="C170" s="46" t="str">
        <f>IF(OR($A170&gt;MAX(Trato_Diario!$A$4:$A$203),SUMIFS(Trato_Diario!$G$4:$G$203,Trato_Diario!$B$4:$B$203,C$5,Trato_Diario!$A$4:$A$203,$A170)=0),"",SUMIFS(Trato_Diario!$J$4:$J$203,Trato_Diario!$B$4:$B$203,C$5,Trato_Diario!$A$4:$A$203,$A170)/SUMIFS(Trato_Diario!$G$4:$G$203,Trato_Diario!$B$4:$B$203,C$5,Trato_Diario!$A$4:$A$203,$A170))</f>
        <v/>
      </c>
      <c r="D170" s="46" t="str">
        <f>IF(OR($A170&gt;MAX(Trato_Diario!$A$4:$A$203),SUMIFS(Trato_Diario!$G$4:$G$203,Trato_Diario!$B$4:$B$203,D$5,Trato_Diario!$A$4:$A$203,$A170)=0),"",SUMIFS(Trato_Diario!$J$4:$J$203,Trato_Diario!$B$4:$B$203,D$5,Trato_Diario!$A$4:$A$203,$A170)/SUMIFS(Trato_Diario!$G$4:$G$203,Trato_Diario!$B$4:$B$203,D$5,Trato_Diario!$A$4:$A$203,$A170))</f>
        <v/>
      </c>
      <c r="E170" s="46" t="str">
        <f>IF(OR($A170&gt;MAX(Trato_Diario!$A$4:$A$203),SUMIFS(Trato_Diario!$G$4:$G$203,Trato_Diario!$B$4:$B$203,E$5,Trato_Diario!$A$4:$A$203,$A170)=0),"",SUMIFS(Trato_Diario!$J$4:$J$203,Trato_Diario!$B$4:$B$203,E$5,Trato_Diario!$A$4:$A$203,$A170)/SUMIFS(Trato_Diario!$G$4:$G$203,Trato_Diario!$B$4:$B$203,E$5,Trato_Diario!$A$4:$A$203,$A170))</f>
        <v/>
      </c>
      <c r="F170" s="46" t="str">
        <f>IF(OR($A170&gt;MAX(Trato_Diario!$A$4:$A$203),SUMIFS(Trato_Diario!$G$4:$G$203,Trato_Diario!$B$4:$B$203,F$5,Trato_Diario!$A$4:$A$203,$A170)=0),"",SUMIFS(Trato_Diario!$J$4:$J$203,Trato_Diario!$B$4:$B$203,F$5,Trato_Diario!$A$4:$A$203,$A170)/SUMIFS(Trato_Diario!$G$4:$G$203,Trato_Diario!$B$4:$B$203,F$5,Trato_Diario!$A$4:$A$203,$A170))</f>
        <v/>
      </c>
      <c r="G170" s="46" t="str">
        <f>IF(OR($A170&gt;MAX(Trato_Diario!$A$4:$A$203),SUMIFS(Trato_Diario!$G$4:$G$203,Trato_Diario!$B$4:$B$203,G$5,Trato_Diario!$A$4:$A$203,$A170)=0),"",SUMIFS(Trato_Diario!$J$4:$J$203,Trato_Diario!$B$4:$B$203,G$5,Trato_Diario!$A$4:$A$203,$A170)/SUMIFS(Trato_Diario!$G$4:$G$203,Trato_Diario!$B$4:$B$203,G$5,Trato_Diario!$A$4:$A$203,$A170))</f>
        <v/>
      </c>
      <c r="H170" s="57" t="str">
        <f>IF(OR($A170&gt;MAX(Trato_Diario!$A$4:$A$203),SUMIFS(Trato_Diario!$G$4:$G$203,Trato_Diario!$A$4:$A$203,$A170)=0),"",SUMIFS(Trato_Diario!$J$4:$J$203,Trato_Diario!$A$4:$A$203,$A170)/SUMIFS(Trato_Diario!$G$4:$G$203,Trato_Diario!$A$4:$A$203,$A170))</f>
        <v/>
      </c>
    </row>
    <row r="171" spans="1:8" ht="14.25" customHeight="1" x14ac:dyDescent="0.3">
      <c r="A171" s="72">
        <v>46358</v>
      </c>
      <c r="B171" s="20" t="str">
        <f>IF(OR($A171&gt;MAX(Trato_Diario!$A$4:$A$203),SUMIFS(Trato_Diario!$G$4:$G$203,Trato_Diario!$B$4:$B$203,B$5,Trato_Diario!$A$4:$A$203,$A171)=0),"",SUMIFS(Trato_Diario!$J$4:$J$203,Trato_Diario!$B$4:$B$203,B$5,Trato_Diario!$A$4:$A$203,$A171)/SUMIFS(Trato_Diario!$G$4:$G$203,Trato_Diario!$B$4:$B$203,B$5,Trato_Diario!$A$4:$A$203,$A171))</f>
        <v/>
      </c>
      <c r="C171" s="20" t="str">
        <f>IF(OR($A171&gt;MAX(Trato_Diario!$A$4:$A$203),SUMIFS(Trato_Diario!$G$4:$G$203,Trato_Diario!$B$4:$B$203,C$5,Trato_Diario!$A$4:$A$203,$A171)=0),"",SUMIFS(Trato_Diario!$J$4:$J$203,Trato_Diario!$B$4:$B$203,C$5,Trato_Diario!$A$4:$A$203,$A171)/SUMIFS(Trato_Diario!$G$4:$G$203,Trato_Diario!$B$4:$B$203,C$5,Trato_Diario!$A$4:$A$203,$A171))</f>
        <v/>
      </c>
      <c r="D171" s="20" t="str">
        <f>IF(OR($A171&gt;MAX(Trato_Diario!$A$4:$A$203),SUMIFS(Trato_Diario!$G$4:$G$203,Trato_Diario!$B$4:$B$203,D$5,Trato_Diario!$A$4:$A$203,$A171)=0),"",SUMIFS(Trato_Diario!$J$4:$J$203,Trato_Diario!$B$4:$B$203,D$5,Trato_Diario!$A$4:$A$203,$A171)/SUMIFS(Trato_Diario!$G$4:$G$203,Trato_Diario!$B$4:$B$203,D$5,Trato_Diario!$A$4:$A$203,$A171))</f>
        <v/>
      </c>
      <c r="E171" s="20" t="str">
        <f>IF(OR($A171&gt;MAX(Trato_Diario!$A$4:$A$203),SUMIFS(Trato_Diario!$G$4:$G$203,Trato_Diario!$B$4:$B$203,E$5,Trato_Diario!$A$4:$A$203,$A171)=0),"",SUMIFS(Trato_Diario!$J$4:$J$203,Trato_Diario!$B$4:$B$203,E$5,Trato_Diario!$A$4:$A$203,$A171)/SUMIFS(Trato_Diario!$G$4:$G$203,Trato_Diario!$B$4:$B$203,E$5,Trato_Diario!$A$4:$A$203,$A171))</f>
        <v/>
      </c>
      <c r="F171" s="20" t="str">
        <f>IF(OR($A171&gt;MAX(Trato_Diario!$A$4:$A$203),SUMIFS(Trato_Diario!$G$4:$G$203,Trato_Diario!$B$4:$B$203,F$5,Trato_Diario!$A$4:$A$203,$A171)=0),"",SUMIFS(Trato_Diario!$J$4:$J$203,Trato_Diario!$B$4:$B$203,F$5,Trato_Diario!$A$4:$A$203,$A171)/SUMIFS(Trato_Diario!$G$4:$G$203,Trato_Diario!$B$4:$B$203,F$5,Trato_Diario!$A$4:$A$203,$A171))</f>
        <v/>
      </c>
      <c r="G171" s="20" t="str">
        <f>IF(OR($A171&gt;MAX(Trato_Diario!$A$4:$A$203),SUMIFS(Trato_Diario!$G$4:$G$203,Trato_Diario!$B$4:$B$203,G$5,Trato_Diario!$A$4:$A$203,$A171)=0),"",SUMIFS(Trato_Diario!$J$4:$J$203,Trato_Diario!$B$4:$B$203,G$5,Trato_Diario!$A$4:$A$203,$A171)/SUMIFS(Trato_Diario!$G$4:$G$203,Trato_Diario!$B$4:$B$203,G$5,Trato_Diario!$A$4:$A$203,$A171))</f>
        <v/>
      </c>
      <c r="H171" s="59" t="str">
        <f>IF(OR($A171&gt;MAX(Trato_Diario!$A$4:$A$203),SUMIFS(Trato_Diario!$G$4:$G$203,Trato_Diario!$A$4:$A$203,$A171)=0),"",SUMIFS(Trato_Diario!$J$4:$J$203,Trato_Diario!$A$4:$A$203,$A171)/SUMIFS(Trato_Diario!$G$4:$G$203,Trato_Diario!$A$4:$A$203,$A171))</f>
        <v/>
      </c>
    </row>
    <row r="172" spans="1:8" ht="14.25" customHeight="1" x14ac:dyDescent="0.3">
      <c r="A172" s="71">
        <v>46359</v>
      </c>
      <c r="B172" s="46" t="str">
        <f>IF(OR($A172&gt;MAX(Trato_Diario!$A$4:$A$203),SUMIFS(Trato_Diario!$G$4:$G$203,Trato_Diario!$B$4:$B$203,B$5,Trato_Diario!$A$4:$A$203,$A172)=0),"",SUMIFS(Trato_Diario!$J$4:$J$203,Trato_Diario!$B$4:$B$203,B$5,Trato_Diario!$A$4:$A$203,$A172)/SUMIFS(Trato_Diario!$G$4:$G$203,Trato_Diario!$B$4:$B$203,B$5,Trato_Diario!$A$4:$A$203,$A172))</f>
        <v/>
      </c>
      <c r="C172" s="46" t="str">
        <f>IF(OR($A172&gt;MAX(Trato_Diario!$A$4:$A$203),SUMIFS(Trato_Diario!$G$4:$G$203,Trato_Diario!$B$4:$B$203,C$5,Trato_Diario!$A$4:$A$203,$A172)=0),"",SUMIFS(Trato_Diario!$J$4:$J$203,Trato_Diario!$B$4:$B$203,C$5,Trato_Diario!$A$4:$A$203,$A172)/SUMIFS(Trato_Diario!$G$4:$G$203,Trato_Diario!$B$4:$B$203,C$5,Trato_Diario!$A$4:$A$203,$A172))</f>
        <v/>
      </c>
      <c r="D172" s="46" t="str">
        <f>IF(OR($A172&gt;MAX(Trato_Diario!$A$4:$A$203),SUMIFS(Trato_Diario!$G$4:$G$203,Trato_Diario!$B$4:$B$203,D$5,Trato_Diario!$A$4:$A$203,$A172)=0),"",SUMIFS(Trato_Diario!$J$4:$J$203,Trato_Diario!$B$4:$B$203,D$5,Trato_Diario!$A$4:$A$203,$A172)/SUMIFS(Trato_Diario!$G$4:$G$203,Trato_Diario!$B$4:$B$203,D$5,Trato_Diario!$A$4:$A$203,$A172))</f>
        <v/>
      </c>
      <c r="E172" s="46" t="str">
        <f>IF(OR($A172&gt;MAX(Trato_Diario!$A$4:$A$203),SUMIFS(Trato_Diario!$G$4:$G$203,Trato_Diario!$B$4:$B$203,E$5,Trato_Diario!$A$4:$A$203,$A172)=0),"",SUMIFS(Trato_Diario!$J$4:$J$203,Trato_Diario!$B$4:$B$203,E$5,Trato_Diario!$A$4:$A$203,$A172)/SUMIFS(Trato_Diario!$G$4:$G$203,Trato_Diario!$B$4:$B$203,E$5,Trato_Diario!$A$4:$A$203,$A172))</f>
        <v/>
      </c>
      <c r="F172" s="46" t="str">
        <f>IF(OR($A172&gt;MAX(Trato_Diario!$A$4:$A$203),SUMIFS(Trato_Diario!$G$4:$G$203,Trato_Diario!$B$4:$B$203,F$5,Trato_Diario!$A$4:$A$203,$A172)=0),"",SUMIFS(Trato_Diario!$J$4:$J$203,Trato_Diario!$B$4:$B$203,F$5,Trato_Diario!$A$4:$A$203,$A172)/SUMIFS(Trato_Diario!$G$4:$G$203,Trato_Diario!$B$4:$B$203,F$5,Trato_Diario!$A$4:$A$203,$A172))</f>
        <v/>
      </c>
      <c r="G172" s="46" t="str">
        <f>IF(OR($A172&gt;MAX(Trato_Diario!$A$4:$A$203),SUMIFS(Trato_Diario!$G$4:$G$203,Trato_Diario!$B$4:$B$203,G$5,Trato_Diario!$A$4:$A$203,$A172)=0),"",SUMIFS(Trato_Diario!$J$4:$J$203,Trato_Diario!$B$4:$B$203,G$5,Trato_Diario!$A$4:$A$203,$A172)/SUMIFS(Trato_Diario!$G$4:$G$203,Trato_Diario!$B$4:$B$203,G$5,Trato_Diario!$A$4:$A$203,$A172))</f>
        <v/>
      </c>
      <c r="H172" s="57" t="str">
        <f>IF(OR($A172&gt;MAX(Trato_Diario!$A$4:$A$203),SUMIFS(Trato_Diario!$G$4:$G$203,Trato_Diario!$A$4:$A$203,$A172)=0),"",SUMIFS(Trato_Diario!$J$4:$J$203,Trato_Diario!$A$4:$A$203,$A172)/SUMIFS(Trato_Diario!$G$4:$G$203,Trato_Diario!$A$4:$A$203,$A172))</f>
        <v/>
      </c>
    </row>
    <row r="173" spans="1:8" ht="14.25" customHeight="1" x14ac:dyDescent="0.3">
      <c r="A173" s="72">
        <v>46360</v>
      </c>
      <c r="B173" s="20" t="str">
        <f>IF(OR($A173&gt;MAX(Trato_Diario!$A$4:$A$203),SUMIFS(Trato_Diario!$G$4:$G$203,Trato_Diario!$B$4:$B$203,B$5,Trato_Diario!$A$4:$A$203,$A173)=0),"",SUMIFS(Trato_Diario!$J$4:$J$203,Trato_Diario!$B$4:$B$203,B$5,Trato_Diario!$A$4:$A$203,$A173)/SUMIFS(Trato_Diario!$G$4:$G$203,Trato_Diario!$B$4:$B$203,B$5,Trato_Diario!$A$4:$A$203,$A173))</f>
        <v/>
      </c>
      <c r="C173" s="20" t="str">
        <f>IF(OR($A173&gt;MAX(Trato_Diario!$A$4:$A$203),SUMIFS(Trato_Diario!$G$4:$G$203,Trato_Diario!$B$4:$B$203,C$5,Trato_Diario!$A$4:$A$203,$A173)=0),"",SUMIFS(Trato_Diario!$J$4:$J$203,Trato_Diario!$B$4:$B$203,C$5,Trato_Diario!$A$4:$A$203,$A173)/SUMIFS(Trato_Diario!$G$4:$G$203,Trato_Diario!$B$4:$B$203,C$5,Trato_Diario!$A$4:$A$203,$A173))</f>
        <v/>
      </c>
      <c r="D173" s="20" t="str">
        <f>IF(OR($A173&gt;MAX(Trato_Diario!$A$4:$A$203),SUMIFS(Trato_Diario!$G$4:$G$203,Trato_Diario!$B$4:$B$203,D$5,Trato_Diario!$A$4:$A$203,$A173)=0),"",SUMIFS(Trato_Diario!$J$4:$J$203,Trato_Diario!$B$4:$B$203,D$5,Trato_Diario!$A$4:$A$203,$A173)/SUMIFS(Trato_Diario!$G$4:$G$203,Trato_Diario!$B$4:$B$203,D$5,Trato_Diario!$A$4:$A$203,$A173))</f>
        <v/>
      </c>
      <c r="E173" s="20" t="str">
        <f>IF(OR($A173&gt;MAX(Trato_Diario!$A$4:$A$203),SUMIFS(Trato_Diario!$G$4:$G$203,Trato_Diario!$B$4:$B$203,E$5,Trato_Diario!$A$4:$A$203,$A173)=0),"",SUMIFS(Trato_Diario!$J$4:$J$203,Trato_Diario!$B$4:$B$203,E$5,Trato_Diario!$A$4:$A$203,$A173)/SUMIFS(Trato_Diario!$G$4:$G$203,Trato_Diario!$B$4:$B$203,E$5,Trato_Diario!$A$4:$A$203,$A173))</f>
        <v/>
      </c>
      <c r="F173" s="20" t="str">
        <f>IF(OR($A173&gt;MAX(Trato_Diario!$A$4:$A$203),SUMIFS(Trato_Diario!$G$4:$G$203,Trato_Diario!$B$4:$B$203,F$5,Trato_Diario!$A$4:$A$203,$A173)=0),"",SUMIFS(Trato_Diario!$J$4:$J$203,Trato_Diario!$B$4:$B$203,F$5,Trato_Diario!$A$4:$A$203,$A173)/SUMIFS(Trato_Diario!$G$4:$G$203,Trato_Diario!$B$4:$B$203,F$5,Trato_Diario!$A$4:$A$203,$A173))</f>
        <v/>
      </c>
      <c r="G173" s="20" t="str">
        <f>IF(OR($A173&gt;MAX(Trato_Diario!$A$4:$A$203),SUMIFS(Trato_Diario!$G$4:$G$203,Trato_Diario!$B$4:$B$203,G$5,Trato_Diario!$A$4:$A$203,$A173)=0),"",SUMIFS(Trato_Diario!$J$4:$J$203,Trato_Diario!$B$4:$B$203,G$5,Trato_Diario!$A$4:$A$203,$A173)/SUMIFS(Trato_Diario!$G$4:$G$203,Trato_Diario!$B$4:$B$203,G$5,Trato_Diario!$A$4:$A$203,$A173))</f>
        <v/>
      </c>
      <c r="H173" s="59" t="str">
        <f>IF(OR($A173&gt;MAX(Trato_Diario!$A$4:$A$203),SUMIFS(Trato_Diario!$G$4:$G$203,Trato_Diario!$A$4:$A$203,$A173)=0),"",SUMIFS(Trato_Diario!$J$4:$J$203,Trato_Diario!$A$4:$A$203,$A173)/SUMIFS(Trato_Diario!$G$4:$G$203,Trato_Diario!$A$4:$A$203,$A173))</f>
        <v/>
      </c>
    </row>
    <row r="174" spans="1:8" ht="14.25" customHeight="1" x14ac:dyDescent="0.3">
      <c r="A174" s="71">
        <v>46361</v>
      </c>
      <c r="B174" s="46" t="str">
        <f>IF(OR($A174&gt;MAX(Trato_Diario!$A$4:$A$203),SUMIFS(Trato_Diario!$G$4:$G$203,Trato_Diario!$B$4:$B$203,B$5,Trato_Diario!$A$4:$A$203,$A174)=0),"",SUMIFS(Trato_Diario!$J$4:$J$203,Trato_Diario!$B$4:$B$203,B$5,Trato_Diario!$A$4:$A$203,$A174)/SUMIFS(Trato_Diario!$G$4:$G$203,Trato_Diario!$B$4:$B$203,B$5,Trato_Diario!$A$4:$A$203,$A174))</f>
        <v/>
      </c>
      <c r="C174" s="46" t="str">
        <f>IF(OR($A174&gt;MAX(Trato_Diario!$A$4:$A$203),SUMIFS(Trato_Diario!$G$4:$G$203,Trato_Diario!$B$4:$B$203,C$5,Trato_Diario!$A$4:$A$203,$A174)=0),"",SUMIFS(Trato_Diario!$J$4:$J$203,Trato_Diario!$B$4:$B$203,C$5,Trato_Diario!$A$4:$A$203,$A174)/SUMIFS(Trato_Diario!$G$4:$G$203,Trato_Diario!$B$4:$B$203,C$5,Trato_Diario!$A$4:$A$203,$A174))</f>
        <v/>
      </c>
      <c r="D174" s="46" t="str">
        <f>IF(OR($A174&gt;MAX(Trato_Diario!$A$4:$A$203),SUMIFS(Trato_Diario!$G$4:$G$203,Trato_Diario!$B$4:$B$203,D$5,Trato_Diario!$A$4:$A$203,$A174)=0),"",SUMIFS(Trato_Diario!$J$4:$J$203,Trato_Diario!$B$4:$B$203,D$5,Trato_Diario!$A$4:$A$203,$A174)/SUMIFS(Trato_Diario!$G$4:$G$203,Trato_Diario!$B$4:$B$203,D$5,Trato_Diario!$A$4:$A$203,$A174))</f>
        <v/>
      </c>
      <c r="E174" s="46" t="str">
        <f>IF(OR($A174&gt;MAX(Trato_Diario!$A$4:$A$203),SUMIFS(Trato_Diario!$G$4:$G$203,Trato_Diario!$B$4:$B$203,E$5,Trato_Diario!$A$4:$A$203,$A174)=0),"",SUMIFS(Trato_Diario!$J$4:$J$203,Trato_Diario!$B$4:$B$203,E$5,Trato_Diario!$A$4:$A$203,$A174)/SUMIFS(Trato_Diario!$G$4:$G$203,Trato_Diario!$B$4:$B$203,E$5,Trato_Diario!$A$4:$A$203,$A174))</f>
        <v/>
      </c>
      <c r="F174" s="46" t="str">
        <f>IF(OR($A174&gt;MAX(Trato_Diario!$A$4:$A$203),SUMIFS(Trato_Diario!$G$4:$G$203,Trato_Diario!$B$4:$B$203,F$5,Trato_Diario!$A$4:$A$203,$A174)=0),"",SUMIFS(Trato_Diario!$J$4:$J$203,Trato_Diario!$B$4:$B$203,F$5,Trato_Diario!$A$4:$A$203,$A174)/SUMIFS(Trato_Diario!$G$4:$G$203,Trato_Diario!$B$4:$B$203,F$5,Trato_Diario!$A$4:$A$203,$A174))</f>
        <v/>
      </c>
      <c r="G174" s="46" t="str">
        <f>IF(OR($A174&gt;MAX(Trato_Diario!$A$4:$A$203),SUMIFS(Trato_Diario!$G$4:$G$203,Trato_Diario!$B$4:$B$203,G$5,Trato_Diario!$A$4:$A$203,$A174)=0),"",SUMIFS(Trato_Diario!$J$4:$J$203,Trato_Diario!$B$4:$B$203,G$5,Trato_Diario!$A$4:$A$203,$A174)/SUMIFS(Trato_Diario!$G$4:$G$203,Trato_Diario!$B$4:$B$203,G$5,Trato_Diario!$A$4:$A$203,$A174))</f>
        <v/>
      </c>
      <c r="H174" s="57" t="str">
        <f>IF(OR($A174&gt;MAX(Trato_Diario!$A$4:$A$203),SUMIFS(Trato_Diario!$G$4:$G$203,Trato_Diario!$A$4:$A$203,$A174)=0),"",SUMIFS(Trato_Diario!$J$4:$J$203,Trato_Diario!$A$4:$A$203,$A174)/SUMIFS(Trato_Diario!$G$4:$G$203,Trato_Diario!$A$4:$A$203,$A174))</f>
        <v/>
      </c>
    </row>
    <row r="175" spans="1:8" ht="14.25" customHeight="1" x14ac:dyDescent="0.3">
      <c r="A175" s="72">
        <v>46362</v>
      </c>
      <c r="B175" s="20" t="str">
        <f>IF(OR($A175&gt;MAX(Trato_Diario!$A$4:$A$203),SUMIFS(Trato_Diario!$G$4:$G$203,Trato_Diario!$B$4:$B$203,B$5,Trato_Diario!$A$4:$A$203,$A175)=0),"",SUMIFS(Trato_Diario!$J$4:$J$203,Trato_Diario!$B$4:$B$203,B$5,Trato_Diario!$A$4:$A$203,$A175)/SUMIFS(Trato_Diario!$G$4:$G$203,Trato_Diario!$B$4:$B$203,B$5,Trato_Diario!$A$4:$A$203,$A175))</f>
        <v/>
      </c>
      <c r="C175" s="20" t="str">
        <f>IF(OR($A175&gt;MAX(Trato_Diario!$A$4:$A$203),SUMIFS(Trato_Diario!$G$4:$G$203,Trato_Diario!$B$4:$B$203,C$5,Trato_Diario!$A$4:$A$203,$A175)=0),"",SUMIFS(Trato_Diario!$J$4:$J$203,Trato_Diario!$B$4:$B$203,C$5,Trato_Diario!$A$4:$A$203,$A175)/SUMIFS(Trato_Diario!$G$4:$G$203,Trato_Diario!$B$4:$B$203,C$5,Trato_Diario!$A$4:$A$203,$A175))</f>
        <v/>
      </c>
      <c r="D175" s="20" t="str">
        <f>IF(OR($A175&gt;MAX(Trato_Diario!$A$4:$A$203),SUMIFS(Trato_Diario!$G$4:$G$203,Trato_Diario!$B$4:$B$203,D$5,Trato_Diario!$A$4:$A$203,$A175)=0),"",SUMIFS(Trato_Diario!$J$4:$J$203,Trato_Diario!$B$4:$B$203,D$5,Trato_Diario!$A$4:$A$203,$A175)/SUMIFS(Trato_Diario!$G$4:$G$203,Trato_Diario!$B$4:$B$203,D$5,Trato_Diario!$A$4:$A$203,$A175))</f>
        <v/>
      </c>
      <c r="E175" s="20" t="str">
        <f>IF(OR($A175&gt;MAX(Trato_Diario!$A$4:$A$203),SUMIFS(Trato_Diario!$G$4:$G$203,Trato_Diario!$B$4:$B$203,E$5,Trato_Diario!$A$4:$A$203,$A175)=0),"",SUMIFS(Trato_Diario!$J$4:$J$203,Trato_Diario!$B$4:$B$203,E$5,Trato_Diario!$A$4:$A$203,$A175)/SUMIFS(Trato_Diario!$G$4:$G$203,Trato_Diario!$B$4:$B$203,E$5,Trato_Diario!$A$4:$A$203,$A175))</f>
        <v/>
      </c>
      <c r="F175" s="20" t="str">
        <f>IF(OR($A175&gt;MAX(Trato_Diario!$A$4:$A$203),SUMIFS(Trato_Diario!$G$4:$G$203,Trato_Diario!$B$4:$B$203,F$5,Trato_Diario!$A$4:$A$203,$A175)=0),"",SUMIFS(Trato_Diario!$J$4:$J$203,Trato_Diario!$B$4:$B$203,F$5,Trato_Diario!$A$4:$A$203,$A175)/SUMIFS(Trato_Diario!$G$4:$G$203,Trato_Diario!$B$4:$B$203,F$5,Trato_Diario!$A$4:$A$203,$A175))</f>
        <v/>
      </c>
      <c r="G175" s="20" t="str">
        <f>IF(OR($A175&gt;MAX(Trato_Diario!$A$4:$A$203),SUMIFS(Trato_Diario!$G$4:$G$203,Trato_Diario!$B$4:$B$203,G$5,Trato_Diario!$A$4:$A$203,$A175)=0),"",SUMIFS(Trato_Diario!$J$4:$J$203,Trato_Diario!$B$4:$B$203,G$5,Trato_Diario!$A$4:$A$203,$A175)/SUMIFS(Trato_Diario!$G$4:$G$203,Trato_Diario!$B$4:$B$203,G$5,Trato_Diario!$A$4:$A$203,$A175))</f>
        <v/>
      </c>
      <c r="H175" s="59" t="str">
        <f>IF(OR($A175&gt;MAX(Trato_Diario!$A$4:$A$203),SUMIFS(Trato_Diario!$G$4:$G$203,Trato_Diario!$A$4:$A$203,$A175)=0),"",SUMIFS(Trato_Diario!$J$4:$J$203,Trato_Diario!$A$4:$A$203,$A175)/SUMIFS(Trato_Diario!$G$4:$G$203,Trato_Diario!$A$4:$A$203,$A175))</f>
        <v/>
      </c>
    </row>
    <row r="176" spans="1:8" ht="14.25" customHeight="1" x14ac:dyDescent="0.3">
      <c r="A176" s="71">
        <v>46363</v>
      </c>
      <c r="B176" s="46" t="str">
        <f>IF(OR($A176&gt;MAX(Trato_Diario!$A$4:$A$203),SUMIFS(Trato_Diario!$G$4:$G$203,Trato_Diario!$B$4:$B$203,B$5,Trato_Diario!$A$4:$A$203,$A176)=0),"",SUMIFS(Trato_Diario!$J$4:$J$203,Trato_Diario!$B$4:$B$203,B$5,Trato_Diario!$A$4:$A$203,$A176)/SUMIFS(Trato_Diario!$G$4:$G$203,Trato_Diario!$B$4:$B$203,B$5,Trato_Diario!$A$4:$A$203,$A176))</f>
        <v/>
      </c>
      <c r="C176" s="46" t="str">
        <f>IF(OR($A176&gt;MAX(Trato_Diario!$A$4:$A$203),SUMIFS(Trato_Diario!$G$4:$G$203,Trato_Diario!$B$4:$B$203,C$5,Trato_Diario!$A$4:$A$203,$A176)=0),"",SUMIFS(Trato_Diario!$J$4:$J$203,Trato_Diario!$B$4:$B$203,C$5,Trato_Diario!$A$4:$A$203,$A176)/SUMIFS(Trato_Diario!$G$4:$G$203,Trato_Diario!$B$4:$B$203,C$5,Trato_Diario!$A$4:$A$203,$A176))</f>
        <v/>
      </c>
      <c r="D176" s="46" t="str">
        <f>IF(OR($A176&gt;MAX(Trato_Diario!$A$4:$A$203),SUMIFS(Trato_Diario!$G$4:$G$203,Trato_Diario!$B$4:$B$203,D$5,Trato_Diario!$A$4:$A$203,$A176)=0),"",SUMIFS(Trato_Diario!$J$4:$J$203,Trato_Diario!$B$4:$B$203,D$5,Trato_Diario!$A$4:$A$203,$A176)/SUMIFS(Trato_Diario!$G$4:$G$203,Trato_Diario!$B$4:$B$203,D$5,Trato_Diario!$A$4:$A$203,$A176))</f>
        <v/>
      </c>
      <c r="E176" s="46" t="str">
        <f>IF(OR($A176&gt;MAX(Trato_Diario!$A$4:$A$203),SUMIFS(Trato_Diario!$G$4:$G$203,Trato_Diario!$B$4:$B$203,E$5,Trato_Diario!$A$4:$A$203,$A176)=0),"",SUMIFS(Trato_Diario!$J$4:$J$203,Trato_Diario!$B$4:$B$203,E$5,Trato_Diario!$A$4:$A$203,$A176)/SUMIFS(Trato_Diario!$G$4:$G$203,Trato_Diario!$B$4:$B$203,E$5,Trato_Diario!$A$4:$A$203,$A176))</f>
        <v/>
      </c>
      <c r="F176" s="46" t="str">
        <f>IF(OR($A176&gt;MAX(Trato_Diario!$A$4:$A$203),SUMIFS(Trato_Diario!$G$4:$G$203,Trato_Diario!$B$4:$B$203,F$5,Trato_Diario!$A$4:$A$203,$A176)=0),"",SUMIFS(Trato_Diario!$J$4:$J$203,Trato_Diario!$B$4:$B$203,F$5,Trato_Diario!$A$4:$A$203,$A176)/SUMIFS(Trato_Diario!$G$4:$G$203,Trato_Diario!$B$4:$B$203,F$5,Trato_Diario!$A$4:$A$203,$A176))</f>
        <v/>
      </c>
      <c r="G176" s="46" t="str">
        <f>IF(OR($A176&gt;MAX(Trato_Diario!$A$4:$A$203),SUMIFS(Trato_Diario!$G$4:$G$203,Trato_Diario!$B$4:$B$203,G$5,Trato_Diario!$A$4:$A$203,$A176)=0),"",SUMIFS(Trato_Diario!$J$4:$J$203,Trato_Diario!$B$4:$B$203,G$5,Trato_Diario!$A$4:$A$203,$A176)/SUMIFS(Trato_Diario!$G$4:$G$203,Trato_Diario!$B$4:$B$203,G$5,Trato_Diario!$A$4:$A$203,$A176))</f>
        <v/>
      </c>
      <c r="H176" s="57" t="str">
        <f>IF(OR($A176&gt;MAX(Trato_Diario!$A$4:$A$203),SUMIFS(Trato_Diario!$G$4:$G$203,Trato_Diario!$A$4:$A$203,$A176)=0),"",SUMIFS(Trato_Diario!$J$4:$J$203,Trato_Diario!$A$4:$A$203,$A176)/SUMIFS(Trato_Diario!$G$4:$G$203,Trato_Diario!$A$4:$A$203,$A176))</f>
        <v/>
      </c>
    </row>
    <row r="177" spans="1:8" ht="14.25" customHeight="1" x14ac:dyDescent="0.3">
      <c r="A177" s="72">
        <v>46364</v>
      </c>
      <c r="B177" s="20" t="str">
        <f>IF(OR($A177&gt;MAX(Trato_Diario!$A$4:$A$203),SUMIFS(Trato_Diario!$G$4:$G$203,Trato_Diario!$B$4:$B$203,B$5,Trato_Diario!$A$4:$A$203,$A177)=0),"",SUMIFS(Trato_Diario!$J$4:$J$203,Trato_Diario!$B$4:$B$203,B$5,Trato_Diario!$A$4:$A$203,$A177)/SUMIFS(Trato_Diario!$G$4:$G$203,Trato_Diario!$B$4:$B$203,B$5,Trato_Diario!$A$4:$A$203,$A177))</f>
        <v/>
      </c>
      <c r="C177" s="20" t="str">
        <f>IF(OR($A177&gt;MAX(Trato_Diario!$A$4:$A$203),SUMIFS(Trato_Diario!$G$4:$G$203,Trato_Diario!$B$4:$B$203,C$5,Trato_Diario!$A$4:$A$203,$A177)=0),"",SUMIFS(Trato_Diario!$J$4:$J$203,Trato_Diario!$B$4:$B$203,C$5,Trato_Diario!$A$4:$A$203,$A177)/SUMIFS(Trato_Diario!$G$4:$G$203,Trato_Diario!$B$4:$B$203,C$5,Trato_Diario!$A$4:$A$203,$A177))</f>
        <v/>
      </c>
      <c r="D177" s="20" t="str">
        <f>IF(OR($A177&gt;MAX(Trato_Diario!$A$4:$A$203),SUMIFS(Trato_Diario!$G$4:$G$203,Trato_Diario!$B$4:$B$203,D$5,Trato_Diario!$A$4:$A$203,$A177)=0),"",SUMIFS(Trato_Diario!$J$4:$J$203,Trato_Diario!$B$4:$B$203,D$5,Trato_Diario!$A$4:$A$203,$A177)/SUMIFS(Trato_Diario!$G$4:$G$203,Trato_Diario!$B$4:$B$203,D$5,Trato_Diario!$A$4:$A$203,$A177))</f>
        <v/>
      </c>
      <c r="E177" s="20" t="str">
        <f>IF(OR($A177&gt;MAX(Trato_Diario!$A$4:$A$203),SUMIFS(Trato_Diario!$G$4:$G$203,Trato_Diario!$B$4:$B$203,E$5,Trato_Diario!$A$4:$A$203,$A177)=0),"",SUMIFS(Trato_Diario!$J$4:$J$203,Trato_Diario!$B$4:$B$203,E$5,Trato_Diario!$A$4:$A$203,$A177)/SUMIFS(Trato_Diario!$G$4:$G$203,Trato_Diario!$B$4:$B$203,E$5,Trato_Diario!$A$4:$A$203,$A177))</f>
        <v/>
      </c>
      <c r="F177" s="20" t="str">
        <f>IF(OR($A177&gt;MAX(Trato_Diario!$A$4:$A$203),SUMIFS(Trato_Diario!$G$4:$G$203,Trato_Diario!$B$4:$B$203,F$5,Trato_Diario!$A$4:$A$203,$A177)=0),"",SUMIFS(Trato_Diario!$J$4:$J$203,Trato_Diario!$B$4:$B$203,F$5,Trato_Diario!$A$4:$A$203,$A177)/SUMIFS(Trato_Diario!$G$4:$G$203,Trato_Diario!$B$4:$B$203,F$5,Trato_Diario!$A$4:$A$203,$A177))</f>
        <v/>
      </c>
      <c r="G177" s="20" t="str">
        <f>IF(OR($A177&gt;MAX(Trato_Diario!$A$4:$A$203),SUMIFS(Trato_Diario!$G$4:$G$203,Trato_Diario!$B$4:$B$203,G$5,Trato_Diario!$A$4:$A$203,$A177)=0),"",SUMIFS(Trato_Diario!$J$4:$J$203,Trato_Diario!$B$4:$B$203,G$5,Trato_Diario!$A$4:$A$203,$A177)/SUMIFS(Trato_Diario!$G$4:$G$203,Trato_Diario!$B$4:$B$203,G$5,Trato_Diario!$A$4:$A$203,$A177))</f>
        <v/>
      </c>
      <c r="H177" s="59" t="str">
        <f>IF(OR($A177&gt;MAX(Trato_Diario!$A$4:$A$203),SUMIFS(Trato_Diario!$G$4:$G$203,Trato_Diario!$A$4:$A$203,$A177)=0),"",SUMIFS(Trato_Diario!$J$4:$J$203,Trato_Diario!$A$4:$A$203,$A177)/SUMIFS(Trato_Diario!$G$4:$G$203,Trato_Diario!$A$4:$A$203,$A177))</f>
        <v/>
      </c>
    </row>
    <row r="178" spans="1:8" ht="14.25" customHeight="1" x14ac:dyDescent="0.3">
      <c r="A178" s="71">
        <v>46365</v>
      </c>
      <c r="B178" s="46" t="str">
        <f>IF(OR($A178&gt;MAX(Trato_Diario!$A$4:$A$203),SUMIFS(Trato_Diario!$G$4:$G$203,Trato_Diario!$B$4:$B$203,B$5,Trato_Diario!$A$4:$A$203,$A178)=0),"",SUMIFS(Trato_Diario!$J$4:$J$203,Trato_Diario!$B$4:$B$203,B$5,Trato_Diario!$A$4:$A$203,$A178)/SUMIFS(Trato_Diario!$G$4:$G$203,Trato_Diario!$B$4:$B$203,B$5,Trato_Diario!$A$4:$A$203,$A178))</f>
        <v/>
      </c>
      <c r="C178" s="46" t="str">
        <f>IF(OR($A178&gt;MAX(Trato_Diario!$A$4:$A$203),SUMIFS(Trato_Diario!$G$4:$G$203,Trato_Diario!$B$4:$B$203,C$5,Trato_Diario!$A$4:$A$203,$A178)=0),"",SUMIFS(Trato_Diario!$J$4:$J$203,Trato_Diario!$B$4:$B$203,C$5,Trato_Diario!$A$4:$A$203,$A178)/SUMIFS(Trato_Diario!$G$4:$G$203,Trato_Diario!$B$4:$B$203,C$5,Trato_Diario!$A$4:$A$203,$A178))</f>
        <v/>
      </c>
      <c r="D178" s="46" t="str">
        <f>IF(OR($A178&gt;MAX(Trato_Diario!$A$4:$A$203),SUMIFS(Trato_Diario!$G$4:$G$203,Trato_Diario!$B$4:$B$203,D$5,Trato_Diario!$A$4:$A$203,$A178)=0),"",SUMIFS(Trato_Diario!$J$4:$J$203,Trato_Diario!$B$4:$B$203,D$5,Trato_Diario!$A$4:$A$203,$A178)/SUMIFS(Trato_Diario!$G$4:$G$203,Trato_Diario!$B$4:$B$203,D$5,Trato_Diario!$A$4:$A$203,$A178))</f>
        <v/>
      </c>
      <c r="E178" s="46" t="str">
        <f>IF(OR($A178&gt;MAX(Trato_Diario!$A$4:$A$203),SUMIFS(Trato_Diario!$G$4:$G$203,Trato_Diario!$B$4:$B$203,E$5,Trato_Diario!$A$4:$A$203,$A178)=0),"",SUMIFS(Trato_Diario!$J$4:$J$203,Trato_Diario!$B$4:$B$203,E$5,Trato_Diario!$A$4:$A$203,$A178)/SUMIFS(Trato_Diario!$G$4:$G$203,Trato_Diario!$B$4:$B$203,E$5,Trato_Diario!$A$4:$A$203,$A178))</f>
        <v/>
      </c>
      <c r="F178" s="46" t="str">
        <f>IF(OR($A178&gt;MAX(Trato_Diario!$A$4:$A$203),SUMIFS(Trato_Diario!$G$4:$G$203,Trato_Diario!$B$4:$B$203,F$5,Trato_Diario!$A$4:$A$203,$A178)=0),"",SUMIFS(Trato_Diario!$J$4:$J$203,Trato_Diario!$B$4:$B$203,F$5,Trato_Diario!$A$4:$A$203,$A178)/SUMIFS(Trato_Diario!$G$4:$G$203,Trato_Diario!$B$4:$B$203,F$5,Trato_Diario!$A$4:$A$203,$A178))</f>
        <v/>
      </c>
      <c r="G178" s="46" t="str">
        <f>IF(OR($A178&gt;MAX(Trato_Diario!$A$4:$A$203),SUMIFS(Trato_Diario!$G$4:$G$203,Trato_Diario!$B$4:$B$203,G$5,Trato_Diario!$A$4:$A$203,$A178)=0),"",SUMIFS(Trato_Diario!$J$4:$J$203,Trato_Diario!$B$4:$B$203,G$5,Trato_Diario!$A$4:$A$203,$A178)/SUMIFS(Trato_Diario!$G$4:$G$203,Trato_Diario!$B$4:$B$203,G$5,Trato_Diario!$A$4:$A$203,$A178))</f>
        <v/>
      </c>
      <c r="H178" s="57" t="str">
        <f>IF(OR($A178&gt;MAX(Trato_Diario!$A$4:$A$203),SUMIFS(Trato_Diario!$G$4:$G$203,Trato_Diario!$A$4:$A$203,$A178)=0),"",SUMIFS(Trato_Diario!$J$4:$J$203,Trato_Diario!$A$4:$A$203,$A178)/SUMIFS(Trato_Diario!$G$4:$G$203,Trato_Diario!$A$4:$A$203,$A178))</f>
        <v/>
      </c>
    </row>
    <row r="179" spans="1:8" ht="14.25" customHeight="1" x14ac:dyDescent="0.3">
      <c r="A179" s="72">
        <v>46366</v>
      </c>
      <c r="B179" s="20" t="str">
        <f>IF(OR($A179&gt;MAX(Trato_Diario!$A$4:$A$203),SUMIFS(Trato_Diario!$G$4:$G$203,Trato_Diario!$B$4:$B$203,B$5,Trato_Diario!$A$4:$A$203,$A179)=0),"",SUMIFS(Trato_Diario!$J$4:$J$203,Trato_Diario!$B$4:$B$203,B$5,Trato_Diario!$A$4:$A$203,$A179)/SUMIFS(Trato_Diario!$G$4:$G$203,Trato_Diario!$B$4:$B$203,B$5,Trato_Diario!$A$4:$A$203,$A179))</f>
        <v/>
      </c>
      <c r="C179" s="20" t="str">
        <f>IF(OR($A179&gt;MAX(Trato_Diario!$A$4:$A$203),SUMIFS(Trato_Diario!$G$4:$G$203,Trato_Diario!$B$4:$B$203,C$5,Trato_Diario!$A$4:$A$203,$A179)=0),"",SUMIFS(Trato_Diario!$J$4:$J$203,Trato_Diario!$B$4:$B$203,C$5,Trato_Diario!$A$4:$A$203,$A179)/SUMIFS(Trato_Diario!$G$4:$G$203,Trato_Diario!$B$4:$B$203,C$5,Trato_Diario!$A$4:$A$203,$A179))</f>
        <v/>
      </c>
      <c r="D179" s="20" t="str">
        <f>IF(OR($A179&gt;MAX(Trato_Diario!$A$4:$A$203),SUMIFS(Trato_Diario!$G$4:$G$203,Trato_Diario!$B$4:$B$203,D$5,Trato_Diario!$A$4:$A$203,$A179)=0),"",SUMIFS(Trato_Diario!$J$4:$J$203,Trato_Diario!$B$4:$B$203,D$5,Trato_Diario!$A$4:$A$203,$A179)/SUMIFS(Trato_Diario!$G$4:$G$203,Trato_Diario!$B$4:$B$203,D$5,Trato_Diario!$A$4:$A$203,$A179))</f>
        <v/>
      </c>
      <c r="E179" s="20" t="str">
        <f>IF(OR($A179&gt;MAX(Trato_Diario!$A$4:$A$203),SUMIFS(Trato_Diario!$G$4:$G$203,Trato_Diario!$B$4:$B$203,E$5,Trato_Diario!$A$4:$A$203,$A179)=0),"",SUMIFS(Trato_Diario!$J$4:$J$203,Trato_Diario!$B$4:$B$203,E$5,Trato_Diario!$A$4:$A$203,$A179)/SUMIFS(Trato_Diario!$G$4:$G$203,Trato_Diario!$B$4:$B$203,E$5,Trato_Diario!$A$4:$A$203,$A179))</f>
        <v/>
      </c>
      <c r="F179" s="20" t="str">
        <f>IF(OR($A179&gt;MAX(Trato_Diario!$A$4:$A$203),SUMIFS(Trato_Diario!$G$4:$G$203,Trato_Diario!$B$4:$B$203,F$5,Trato_Diario!$A$4:$A$203,$A179)=0),"",SUMIFS(Trato_Diario!$J$4:$J$203,Trato_Diario!$B$4:$B$203,F$5,Trato_Diario!$A$4:$A$203,$A179)/SUMIFS(Trato_Diario!$G$4:$G$203,Trato_Diario!$B$4:$B$203,F$5,Trato_Diario!$A$4:$A$203,$A179))</f>
        <v/>
      </c>
      <c r="G179" s="20" t="str">
        <f>IF(OR($A179&gt;MAX(Trato_Diario!$A$4:$A$203),SUMIFS(Trato_Diario!$G$4:$G$203,Trato_Diario!$B$4:$B$203,G$5,Trato_Diario!$A$4:$A$203,$A179)=0),"",SUMIFS(Trato_Diario!$J$4:$J$203,Trato_Diario!$B$4:$B$203,G$5,Trato_Diario!$A$4:$A$203,$A179)/SUMIFS(Trato_Diario!$G$4:$G$203,Trato_Diario!$B$4:$B$203,G$5,Trato_Diario!$A$4:$A$203,$A179))</f>
        <v/>
      </c>
      <c r="H179" s="59" t="str">
        <f>IF(OR($A179&gt;MAX(Trato_Diario!$A$4:$A$203),SUMIFS(Trato_Diario!$G$4:$G$203,Trato_Diario!$A$4:$A$203,$A179)=0),"",SUMIFS(Trato_Diario!$J$4:$J$203,Trato_Diario!$A$4:$A$203,$A179)/SUMIFS(Trato_Diario!$G$4:$G$203,Trato_Diario!$A$4:$A$203,$A179))</f>
        <v/>
      </c>
    </row>
    <row r="180" spans="1:8" ht="14.25" customHeight="1" x14ac:dyDescent="0.3">
      <c r="A180" s="71">
        <v>46367</v>
      </c>
      <c r="B180" s="46" t="str">
        <f>IF(OR($A180&gt;MAX(Trato_Diario!$A$4:$A$203),SUMIFS(Trato_Diario!$G$4:$G$203,Trato_Diario!$B$4:$B$203,B$5,Trato_Diario!$A$4:$A$203,$A180)=0),"",SUMIFS(Trato_Diario!$J$4:$J$203,Trato_Diario!$B$4:$B$203,B$5,Trato_Diario!$A$4:$A$203,$A180)/SUMIFS(Trato_Diario!$G$4:$G$203,Trato_Diario!$B$4:$B$203,B$5,Trato_Diario!$A$4:$A$203,$A180))</f>
        <v/>
      </c>
      <c r="C180" s="46" t="str">
        <f>IF(OR($A180&gt;MAX(Trato_Diario!$A$4:$A$203),SUMIFS(Trato_Diario!$G$4:$G$203,Trato_Diario!$B$4:$B$203,C$5,Trato_Diario!$A$4:$A$203,$A180)=0),"",SUMIFS(Trato_Diario!$J$4:$J$203,Trato_Diario!$B$4:$B$203,C$5,Trato_Diario!$A$4:$A$203,$A180)/SUMIFS(Trato_Diario!$G$4:$G$203,Trato_Diario!$B$4:$B$203,C$5,Trato_Diario!$A$4:$A$203,$A180))</f>
        <v/>
      </c>
      <c r="D180" s="46" t="str">
        <f>IF(OR($A180&gt;MAX(Trato_Diario!$A$4:$A$203),SUMIFS(Trato_Diario!$G$4:$G$203,Trato_Diario!$B$4:$B$203,D$5,Trato_Diario!$A$4:$A$203,$A180)=0),"",SUMIFS(Trato_Diario!$J$4:$J$203,Trato_Diario!$B$4:$B$203,D$5,Trato_Diario!$A$4:$A$203,$A180)/SUMIFS(Trato_Diario!$G$4:$G$203,Trato_Diario!$B$4:$B$203,D$5,Trato_Diario!$A$4:$A$203,$A180))</f>
        <v/>
      </c>
      <c r="E180" s="46" t="str">
        <f>IF(OR($A180&gt;MAX(Trato_Diario!$A$4:$A$203),SUMIFS(Trato_Diario!$G$4:$G$203,Trato_Diario!$B$4:$B$203,E$5,Trato_Diario!$A$4:$A$203,$A180)=0),"",SUMIFS(Trato_Diario!$J$4:$J$203,Trato_Diario!$B$4:$B$203,E$5,Trato_Diario!$A$4:$A$203,$A180)/SUMIFS(Trato_Diario!$G$4:$G$203,Trato_Diario!$B$4:$B$203,E$5,Trato_Diario!$A$4:$A$203,$A180))</f>
        <v/>
      </c>
      <c r="F180" s="46" t="str">
        <f>IF(OR($A180&gt;MAX(Trato_Diario!$A$4:$A$203),SUMIFS(Trato_Diario!$G$4:$G$203,Trato_Diario!$B$4:$B$203,F$5,Trato_Diario!$A$4:$A$203,$A180)=0),"",SUMIFS(Trato_Diario!$J$4:$J$203,Trato_Diario!$B$4:$B$203,F$5,Trato_Diario!$A$4:$A$203,$A180)/SUMIFS(Trato_Diario!$G$4:$G$203,Trato_Diario!$B$4:$B$203,F$5,Trato_Diario!$A$4:$A$203,$A180))</f>
        <v/>
      </c>
      <c r="G180" s="46" t="str">
        <f>IF(OR($A180&gt;MAX(Trato_Diario!$A$4:$A$203),SUMIFS(Trato_Diario!$G$4:$G$203,Trato_Diario!$B$4:$B$203,G$5,Trato_Diario!$A$4:$A$203,$A180)=0),"",SUMIFS(Trato_Diario!$J$4:$J$203,Trato_Diario!$B$4:$B$203,G$5,Trato_Diario!$A$4:$A$203,$A180)/SUMIFS(Trato_Diario!$G$4:$G$203,Trato_Diario!$B$4:$B$203,G$5,Trato_Diario!$A$4:$A$203,$A180))</f>
        <v/>
      </c>
      <c r="H180" s="57" t="str">
        <f>IF(OR($A180&gt;MAX(Trato_Diario!$A$4:$A$203),SUMIFS(Trato_Diario!$G$4:$G$203,Trato_Diario!$A$4:$A$203,$A180)=0),"",SUMIFS(Trato_Diario!$J$4:$J$203,Trato_Diario!$A$4:$A$203,$A180)/SUMIFS(Trato_Diario!$G$4:$G$203,Trato_Diario!$A$4:$A$203,$A180))</f>
        <v/>
      </c>
    </row>
    <row r="181" spans="1:8" ht="14.25" customHeight="1" x14ac:dyDescent="0.3">
      <c r="A181" s="72">
        <v>46368</v>
      </c>
      <c r="B181" s="20" t="str">
        <f>IF(OR($A181&gt;MAX(Trato_Diario!$A$4:$A$203),SUMIFS(Trato_Diario!$G$4:$G$203,Trato_Diario!$B$4:$B$203,B$5,Trato_Diario!$A$4:$A$203,$A181)=0),"",SUMIFS(Trato_Diario!$J$4:$J$203,Trato_Diario!$B$4:$B$203,B$5,Trato_Diario!$A$4:$A$203,$A181)/SUMIFS(Trato_Diario!$G$4:$G$203,Trato_Diario!$B$4:$B$203,B$5,Trato_Diario!$A$4:$A$203,$A181))</f>
        <v/>
      </c>
      <c r="C181" s="20" t="str">
        <f>IF(OR($A181&gt;MAX(Trato_Diario!$A$4:$A$203),SUMIFS(Trato_Diario!$G$4:$G$203,Trato_Diario!$B$4:$B$203,C$5,Trato_Diario!$A$4:$A$203,$A181)=0),"",SUMIFS(Trato_Diario!$J$4:$J$203,Trato_Diario!$B$4:$B$203,C$5,Trato_Diario!$A$4:$A$203,$A181)/SUMIFS(Trato_Diario!$G$4:$G$203,Trato_Diario!$B$4:$B$203,C$5,Trato_Diario!$A$4:$A$203,$A181))</f>
        <v/>
      </c>
      <c r="D181" s="20" t="str">
        <f>IF(OR($A181&gt;MAX(Trato_Diario!$A$4:$A$203),SUMIFS(Trato_Diario!$G$4:$G$203,Trato_Diario!$B$4:$B$203,D$5,Trato_Diario!$A$4:$A$203,$A181)=0),"",SUMIFS(Trato_Diario!$J$4:$J$203,Trato_Diario!$B$4:$B$203,D$5,Trato_Diario!$A$4:$A$203,$A181)/SUMIFS(Trato_Diario!$G$4:$G$203,Trato_Diario!$B$4:$B$203,D$5,Trato_Diario!$A$4:$A$203,$A181))</f>
        <v/>
      </c>
      <c r="E181" s="20" t="str">
        <f>IF(OR($A181&gt;MAX(Trato_Diario!$A$4:$A$203),SUMIFS(Trato_Diario!$G$4:$G$203,Trato_Diario!$B$4:$B$203,E$5,Trato_Diario!$A$4:$A$203,$A181)=0),"",SUMIFS(Trato_Diario!$J$4:$J$203,Trato_Diario!$B$4:$B$203,E$5,Trato_Diario!$A$4:$A$203,$A181)/SUMIFS(Trato_Diario!$G$4:$G$203,Trato_Diario!$B$4:$B$203,E$5,Trato_Diario!$A$4:$A$203,$A181))</f>
        <v/>
      </c>
      <c r="F181" s="20" t="str">
        <f>IF(OR($A181&gt;MAX(Trato_Diario!$A$4:$A$203),SUMIFS(Trato_Diario!$G$4:$G$203,Trato_Diario!$B$4:$B$203,F$5,Trato_Diario!$A$4:$A$203,$A181)=0),"",SUMIFS(Trato_Diario!$J$4:$J$203,Trato_Diario!$B$4:$B$203,F$5,Trato_Diario!$A$4:$A$203,$A181)/SUMIFS(Trato_Diario!$G$4:$G$203,Trato_Diario!$B$4:$B$203,F$5,Trato_Diario!$A$4:$A$203,$A181))</f>
        <v/>
      </c>
      <c r="G181" s="20" t="str">
        <f>IF(OR($A181&gt;MAX(Trato_Diario!$A$4:$A$203),SUMIFS(Trato_Diario!$G$4:$G$203,Trato_Diario!$B$4:$B$203,G$5,Trato_Diario!$A$4:$A$203,$A181)=0),"",SUMIFS(Trato_Diario!$J$4:$J$203,Trato_Diario!$B$4:$B$203,G$5,Trato_Diario!$A$4:$A$203,$A181)/SUMIFS(Trato_Diario!$G$4:$G$203,Trato_Diario!$B$4:$B$203,G$5,Trato_Diario!$A$4:$A$203,$A181))</f>
        <v/>
      </c>
      <c r="H181" s="59" t="str">
        <f>IF(OR($A181&gt;MAX(Trato_Diario!$A$4:$A$203),SUMIFS(Trato_Diario!$G$4:$G$203,Trato_Diario!$A$4:$A$203,$A181)=0),"",SUMIFS(Trato_Diario!$J$4:$J$203,Trato_Diario!$A$4:$A$203,$A181)/SUMIFS(Trato_Diario!$G$4:$G$203,Trato_Diario!$A$4:$A$203,$A181))</f>
        <v/>
      </c>
    </row>
    <row r="182" spans="1:8" ht="14.25" customHeight="1" x14ac:dyDescent="0.3">
      <c r="A182" s="71">
        <v>46369</v>
      </c>
      <c r="B182" s="46" t="str">
        <f>IF(OR($A182&gt;MAX(Trato_Diario!$A$4:$A$203),SUMIFS(Trato_Diario!$G$4:$G$203,Trato_Diario!$B$4:$B$203,B$5,Trato_Diario!$A$4:$A$203,$A182)=0),"",SUMIFS(Trato_Diario!$J$4:$J$203,Trato_Diario!$B$4:$B$203,B$5,Trato_Diario!$A$4:$A$203,$A182)/SUMIFS(Trato_Diario!$G$4:$G$203,Trato_Diario!$B$4:$B$203,B$5,Trato_Diario!$A$4:$A$203,$A182))</f>
        <v/>
      </c>
      <c r="C182" s="46" t="str">
        <f>IF(OR($A182&gt;MAX(Trato_Diario!$A$4:$A$203),SUMIFS(Trato_Diario!$G$4:$G$203,Trato_Diario!$B$4:$B$203,C$5,Trato_Diario!$A$4:$A$203,$A182)=0),"",SUMIFS(Trato_Diario!$J$4:$J$203,Trato_Diario!$B$4:$B$203,C$5,Trato_Diario!$A$4:$A$203,$A182)/SUMIFS(Trato_Diario!$G$4:$G$203,Trato_Diario!$B$4:$B$203,C$5,Trato_Diario!$A$4:$A$203,$A182))</f>
        <v/>
      </c>
      <c r="D182" s="46" t="str">
        <f>IF(OR($A182&gt;MAX(Trato_Diario!$A$4:$A$203),SUMIFS(Trato_Diario!$G$4:$G$203,Trato_Diario!$B$4:$B$203,D$5,Trato_Diario!$A$4:$A$203,$A182)=0),"",SUMIFS(Trato_Diario!$J$4:$J$203,Trato_Diario!$B$4:$B$203,D$5,Trato_Diario!$A$4:$A$203,$A182)/SUMIFS(Trato_Diario!$G$4:$G$203,Trato_Diario!$B$4:$B$203,D$5,Trato_Diario!$A$4:$A$203,$A182))</f>
        <v/>
      </c>
      <c r="E182" s="46" t="str">
        <f>IF(OR($A182&gt;MAX(Trato_Diario!$A$4:$A$203),SUMIFS(Trato_Diario!$G$4:$G$203,Trato_Diario!$B$4:$B$203,E$5,Trato_Diario!$A$4:$A$203,$A182)=0),"",SUMIFS(Trato_Diario!$J$4:$J$203,Trato_Diario!$B$4:$B$203,E$5,Trato_Diario!$A$4:$A$203,$A182)/SUMIFS(Trato_Diario!$G$4:$G$203,Trato_Diario!$B$4:$B$203,E$5,Trato_Diario!$A$4:$A$203,$A182))</f>
        <v/>
      </c>
      <c r="F182" s="46" t="str">
        <f>IF(OR($A182&gt;MAX(Trato_Diario!$A$4:$A$203),SUMIFS(Trato_Diario!$G$4:$G$203,Trato_Diario!$B$4:$B$203,F$5,Trato_Diario!$A$4:$A$203,$A182)=0),"",SUMIFS(Trato_Diario!$J$4:$J$203,Trato_Diario!$B$4:$B$203,F$5,Trato_Diario!$A$4:$A$203,$A182)/SUMIFS(Trato_Diario!$G$4:$G$203,Trato_Diario!$B$4:$B$203,F$5,Trato_Diario!$A$4:$A$203,$A182))</f>
        <v/>
      </c>
      <c r="G182" s="46" t="str">
        <f>IF(OR($A182&gt;MAX(Trato_Diario!$A$4:$A$203),SUMIFS(Trato_Diario!$G$4:$G$203,Trato_Diario!$B$4:$B$203,G$5,Trato_Diario!$A$4:$A$203,$A182)=0),"",SUMIFS(Trato_Diario!$J$4:$J$203,Trato_Diario!$B$4:$B$203,G$5,Trato_Diario!$A$4:$A$203,$A182)/SUMIFS(Trato_Diario!$G$4:$G$203,Trato_Diario!$B$4:$B$203,G$5,Trato_Diario!$A$4:$A$203,$A182))</f>
        <v/>
      </c>
      <c r="H182" s="57" t="str">
        <f>IF(OR($A182&gt;MAX(Trato_Diario!$A$4:$A$203),SUMIFS(Trato_Diario!$G$4:$G$203,Trato_Diario!$A$4:$A$203,$A182)=0),"",SUMIFS(Trato_Diario!$J$4:$J$203,Trato_Diario!$A$4:$A$203,$A182)/SUMIFS(Trato_Diario!$G$4:$G$203,Trato_Diario!$A$4:$A$203,$A182))</f>
        <v/>
      </c>
    </row>
    <row r="183" spans="1:8" ht="14.25" customHeight="1" x14ac:dyDescent="0.3">
      <c r="A183" s="72">
        <v>46370</v>
      </c>
      <c r="B183" s="20" t="str">
        <f>IF(OR($A183&gt;MAX(Trato_Diario!$A$4:$A$203),SUMIFS(Trato_Diario!$G$4:$G$203,Trato_Diario!$B$4:$B$203,B$5,Trato_Diario!$A$4:$A$203,$A183)=0),"",SUMIFS(Trato_Diario!$J$4:$J$203,Trato_Diario!$B$4:$B$203,B$5,Trato_Diario!$A$4:$A$203,$A183)/SUMIFS(Trato_Diario!$G$4:$G$203,Trato_Diario!$B$4:$B$203,B$5,Trato_Diario!$A$4:$A$203,$A183))</f>
        <v/>
      </c>
      <c r="C183" s="20" t="str">
        <f>IF(OR($A183&gt;MAX(Trato_Diario!$A$4:$A$203),SUMIFS(Trato_Diario!$G$4:$G$203,Trato_Diario!$B$4:$B$203,C$5,Trato_Diario!$A$4:$A$203,$A183)=0),"",SUMIFS(Trato_Diario!$J$4:$J$203,Trato_Diario!$B$4:$B$203,C$5,Trato_Diario!$A$4:$A$203,$A183)/SUMIFS(Trato_Diario!$G$4:$G$203,Trato_Diario!$B$4:$B$203,C$5,Trato_Diario!$A$4:$A$203,$A183))</f>
        <v/>
      </c>
      <c r="D183" s="20" t="str">
        <f>IF(OR($A183&gt;MAX(Trato_Diario!$A$4:$A$203),SUMIFS(Trato_Diario!$G$4:$G$203,Trato_Diario!$B$4:$B$203,D$5,Trato_Diario!$A$4:$A$203,$A183)=0),"",SUMIFS(Trato_Diario!$J$4:$J$203,Trato_Diario!$B$4:$B$203,D$5,Trato_Diario!$A$4:$A$203,$A183)/SUMIFS(Trato_Diario!$G$4:$G$203,Trato_Diario!$B$4:$B$203,D$5,Trato_Diario!$A$4:$A$203,$A183))</f>
        <v/>
      </c>
      <c r="E183" s="20" t="str">
        <f>IF(OR($A183&gt;MAX(Trato_Diario!$A$4:$A$203),SUMIFS(Trato_Diario!$G$4:$G$203,Trato_Diario!$B$4:$B$203,E$5,Trato_Diario!$A$4:$A$203,$A183)=0),"",SUMIFS(Trato_Diario!$J$4:$J$203,Trato_Diario!$B$4:$B$203,E$5,Trato_Diario!$A$4:$A$203,$A183)/SUMIFS(Trato_Diario!$G$4:$G$203,Trato_Diario!$B$4:$B$203,E$5,Trato_Diario!$A$4:$A$203,$A183))</f>
        <v/>
      </c>
      <c r="F183" s="20" t="str">
        <f>IF(OR($A183&gt;MAX(Trato_Diario!$A$4:$A$203),SUMIFS(Trato_Diario!$G$4:$G$203,Trato_Diario!$B$4:$B$203,F$5,Trato_Diario!$A$4:$A$203,$A183)=0),"",SUMIFS(Trato_Diario!$J$4:$J$203,Trato_Diario!$B$4:$B$203,F$5,Trato_Diario!$A$4:$A$203,$A183)/SUMIFS(Trato_Diario!$G$4:$G$203,Trato_Diario!$B$4:$B$203,F$5,Trato_Diario!$A$4:$A$203,$A183))</f>
        <v/>
      </c>
      <c r="G183" s="20" t="str">
        <f>IF(OR($A183&gt;MAX(Trato_Diario!$A$4:$A$203),SUMIFS(Trato_Diario!$G$4:$G$203,Trato_Diario!$B$4:$B$203,G$5,Trato_Diario!$A$4:$A$203,$A183)=0),"",SUMIFS(Trato_Diario!$J$4:$J$203,Trato_Diario!$B$4:$B$203,G$5,Trato_Diario!$A$4:$A$203,$A183)/SUMIFS(Trato_Diario!$G$4:$G$203,Trato_Diario!$B$4:$B$203,G$5,Trato_Diario!$A$4:$A$203,$A183))</f>
        <v/>
      </c>
      <c r="H183" s="59" t="str">
        <f>IF(OR($A183&gt;MAX(Trato_Diario!$A$4:$A$203),SUMIFS(Trato_Diario!$G$4:$G$203,Trato_Diario!$A$4:$A$203,$A183)=0),"",SUMIFS(Trato_Diario!$J$4:$J$203,Trato_Diario!$A$4:$A$203,$A183)/SUMIFS(Trato_Diario!$G$4:$G$203,Trato_Diario!$A$4:$A$203,$A183))</f>
        <v/>
      </c>
    </row>
    <row r="184" spans="1:8" ht="14.25" customHeight="1" x14ac:dyDescent="0.3">
      <c r="A184" s="71">
        <v>46371</v>
      </c>
      <c r="B184" s="46" t="str">
        <f>IF(OR($A184&gt;MAX(Trato_Diario!$A$4:$A$203),SUMIFS(Trato_Diario!$G$4:$G$203,Trato_Diario!$B$4:$B$203,B$5,Trato_Diario!$A$4:$A$203,$A184)=0),"",SUMIFS(Trato_Diario!$J$4:$J$203,Trato_Diario!$B$4:$B$203,B$5,Trato_Diario!$A$4:$A$203,$A184)/SUMIFS(Trato_Diario!$G$4:$G$203,Trato_Diario!$B$4:$B$203,B$5,Trato_Diario!$A$4:$A$203,$A184))</f>
        <v/>
      </c>
      <c r="C184" s="46" t="str">
        <f>IF(OR($A184&gt;MAX(Trato_Diario!$A$4:$A$203),SUMIFS(Trato_Diario!$G$4:$G$203,Trato_Diario!$B$4:$B$203,C$5,Trato_Diario!$A$4:$A$203,$A184)=0),"",SUMIFS(Trato_Diario!$J$4:$J$203,Trato_Diario!$B$4:$B$203,C$5,Trato_Diario!$A$4:$A$203,$A184)/SUMIFS(Trato_Diario!$G$4:$G$203,Trato_Diario!$B$4:$B$203,C$5,Trato_Diario!$A$4:$A$203,$A184))</f>
        <v/>
      </c>
      <c r="D184" s="46" t="str">
        <f>IF(OR($A184&gt;MAX(Trato_Diario!$A$4:$A$203),SUMIFS(Trato_Diario!$G$4:$G$203,Trato_Diario!$B$4:$B$203,D$5,Trato_Diario!$A$4:$A$203,$A184)=0),"",SUMIFS(Trato_Diario!$J$4:$J$203,Trato_Diario!$B$4:$B$203,D$5,Trato_Diario!$A$4:$A$203,$A184)/SUMIFS(Trato_Diario!$G$4:$G$203,Trato_Diario!$B$4:$B$203,D$5,Trato_Diario!$A$4:$A$203,$A184))</f>
        <v/>
      </c>
      <c r="E184" s="46" t="str">
        <f>IF(OR($A184&gt;MAX(Trato_Diario!$A$4:$A$203),SUMIFS(Trato_Diario!$G$4:$G$203,Trato_Diario!$B$4:$B$203,E$5,Trato_Diario!$A$4:$A$203,$A184)=0),"",SUMIFS(Trato_Diario!$J$4:$J$203,Trato_Diario!$B$4:$B$203,E$5,Trato_Diario!$A$4:$A$203,$A184)/SUMIFS(Trato_Diario!$G$4:$G$203,Trato_Diario!$B$4:$B$203,E$5,Trato_Diario!$A$4:$A$203,$A184))</f>
        <v/>
      </c>
      <c r="F184" s="46" t="str">
        <f>IF(OR($A184&gt;MAX(Trato_Diario!$A$4:$A$203),SUMIFS(Trato_Diario!$G$4:$G$203,Trato_Diario!$B$4:$B$203,F$5,Trato_Diario!$A$4:$A$203,$A184)=0),"",SUMIFS(Trato_Diario!$J$4:$J$203,Trato_Diario!$B$4:$B$203,F$5,Trato_Diario!$A$4:$A$203,$A184)/SUMIFS(Trato_Diario!$G$4:$G$203,Trato_Diario!$B$4:$B$203,F$5,Trato_Diario!$A$4:$A$203,$A184))</f>
        <v/>
      </c>
      <c r="G184" s="46" t="str">
        <f>IF(OR($A184&gt;MAX(Trato_Diario!$A$4:$A$203),SUMIFS(Trato_Diario!$G$4:$G$203,Trato_Diario!$B$4:$B$203,G$5,Trato_Diario!$A$4:$A$203,$A184)=0),"",SUMIFS(Trato_Diario!$J$4:$J$203,Trato_Diario!$B$4:$B$203,G$5,Trato_Diario!$A$4:$A$203,$A184)/SUMIFS(Trato_Diario!$G$4:$G$203,Trato_Diario!$B$4:$B$203,G$5,Trato_Diario!$A$4:$A$203,$A184))</f>
        <v/>
      </c>
      <c r="H184" s="57" t="str">
        <f>IF(OR($A184&gt;MAX(Trato_Diario!$A$4:$A$203),SUMIFS(Trato_Diario!$G$4:$G$203,Trato_Diario!$A$4:$A$203,$A184)=0),"",SUMIFS(Trato_Diario!$J$4:$J$203,Trato_Diario!$A$4:$A$203,$A184)/SUMIFS(Trato_Diario!$G$4:$G$203,Trato_Diario!$A$4:$A$203,$A184))</f>
        <v/>
      </c>
    </row>
    <row r="185" spans="1:8" ht="14.25" customHeight="1" x14ac:dyDescent="0.3">
      <c r="A185" s="72">
        <v>46372</v>
      </c>
      <c r="B185" s="20" t="str">
        <f>IF(OR($A185&gt;MAX(Trato_Diario!$A$4:$A$203),SUMIFS(Trato_Diario!$G$4:$G$203,Trato_Diario!$B$4:$B$203,B$5,Trato_Diario!$A$4:$A$203,$A185)=0),"",SUMIFS(Trato_Diario!$J$4:$J$203,Trato_Diario!$B$4:$B$203,B$5,Trato_Diario!$A$4:$A$203,$A185)/SUMIFS(Trato_Diario!$G$4:$G$203,Trato_Diario!$B$4:$B$203,B$5,Trato_Diario!$A$4:$A$203,$A185))</f>
        <v/>
      </c>
      <c r="C185" s="20" t="str">
        <f>IF(OR($A185&gt;MAX(Trato_Diario!$A$4:$A$203),SUMIFS(Trato_Diario!$G$4:$G$203,Trato_Diario!$B$4:$B$203,C$5,Trato_Diario!$A$4:$A$203,$A185)=0),"",SUMIFS(Trato_Diario!$J$4:$J$203,Trato_Diario!$B$4:$B$203,C$5,Trato_Diario!$A$4:$A$203,$A185)/SUMIFS(Trato_Diario!$G$4:$G$203,Trato_Diario!$B$4:$B$203,C$5,Trato_Diario!$A$4:$A$203,$A185))</f>
        <v/>
      </c>
      <c r="D185" s="20" t="str">
        <f>IF(OR($A185&gt;MAX(Trato_Diario!$A$4:$A$203),SUMIFS(Trato_Diario!$G$4:$G$203,Trato_Diario!$B$4:$B$203,D$5,Trato_Diario!$A$4:$A$203,$A185)=0),"",SUMIFS(Trato_Diario!$J$4:$J$203,Trato_Diario!$B$4:$B$203,D$5,Trato_Diario!$A$4:$A$203,$A185)/SUMIFS(Trato_Diario!$G$4:$G$203,Trato_Diario!$B$4:$B$203,D$5,Trato_Diario!$A$4:$A$203,$A185))</f>
        <v/>
      </c>
      <c r="E185" s="20" t="str">
        <f>IF(OR($A185&gt;MAX(Trato_Diario!$A$4:$A$203),SUMIFS(Trato_Diario!$G$4:$G$203,Trato_Diario!$B$4:$B$203,E$5,Trato_Diario!$A$4:$A$203,$A185)=0),"",SUMIFS(Trato_Diario!$J$4:$J$203,Trato_Diario!$B$4:$B$203,E$5,Trato_Diario!$A$4:$A$203,$A185)/SUMIFS(Trato_Diario!$G$4:$G$203,Trato_Diario!$B$4:$B$203,E$5,Trato_Diario!$A$4:$A$203,$A185))</f>
        <v/>
      </c>
      <c r="F185" s="20" t="str">
        <f>IF(OR($A185&gt;MAX(Trato_Diario!$A$4:$A$203),SUMIFS(Trato_Diario!$G$4:$G$203,Trato_Diario!$B$4:$B$203,F$5,Trato_Diario!$A$4:$A$203,$A185)=0),"",SUMIFS(Trato_Diario!$J$4:$J$203,Trato_Diario!$B$4:$B$203,F$5,Trato_Diario!$A$4:$A$203,$A185)/SUMIFS(Trato_Diario!$G$4:$G$203,Trato_Diario!$B$4:$B$203,F$5,Trato_Diario!$A$4:$A$203,$A185))</f>
        <v/>
      </c>
      <c r="G185" s="20" t="str">
        <f>IF(OR($A185&gt;MAX(Trato_Diario!$A$4:$A$203),SUMIFS(Trato_Diario!$G$4:$G$203,Trato_Diario!$B$4:$B$203,G$5,Trato_Diario!$A$4:$A$203,$A185)=0),"",SUMIFS(Trato_Diario!$J$4:$J$203,Trato_Diario!$B$4:$B$203,G$5,Trato_Diario!$A$4:$A$203,$A185)/SUMIFS(Trato_Diario!$G$4:$G$203,Trato_Diario!$B$4:$B$203,G$5,Trato_Diario!$A$4:$A$203,$A185))</f>
        <v/>
      </c>
      <c r="H185" s="59" t="str">
        <f>IF(OR($A185&gt;MAX(Trato_Diario!$A$4:$A$203),SUMIFS(Trato_Diario!$G$4:$G$203,Trato_Diario!$A$4:$A$203,$A185)=0),"",SUMIFS(Trato_Diario!$J$4:$J$203,Trato_Diario!$A$4:$A$203,$A185)/SUMIFS(Trato_Diario!$G$4:$G$203,Trato_Diario!$A$4:$A$203,$A185))</f>
        <v/>
      </c>
    </row>
    <row r="186" spans="1:8" ht="14.25" customHeight="1" x14ac:dyDescent="0.3">
      <c r="A186" s="71">
        <v>46373</v>
      </c>
      <c r="B186" s="46" t="str">
        <f>IF(OR($A186&gt;MAX(Trato_Diario!$A$4:$A$203),SUMIFS(Trato_Diario!$G$4:$G$203,Trato_Diario!$B$4:$B$203,B$5,Trato_Diario!$A$4:$A$203,$A186)=0),"",SUMIFS(Trato_Diario!$J$4:$J$203,Trato_Diario!$B$4:$B$203,B$5,Trato_Diario!$A$4:$A$203,$A186)/SUMIFS(Trato_Diario!$G$4:$G$203,Trato_Diario!$B$4:$B$203,B$5,Trato_Diario!$A$4:$A$203,$A186))</f>
        <v/>
      </c>
      <c r="C186" s="46" t="str">
        <f>IF(OR($A186&gt;MAX(Trato_Diario!$A$4:$A$203),SUMIFS(Trato_Diario!$G$4:$G$203,Trato_Diario!$B$4:$B$203,C$5,Trato_Diario!$A$4:$A$203,$A186)=0),"",SUMIFS(Trato_Diario!$J$4:$J$203,Trato_Diario!$B$4:$B$203,C$5,Trato_Diario!$A$4:$A$203,$A186)/SUMIFS(Trato_Diario!$G$4:$G$203,Trato_Diario!$B$4:$B$203,C$5,Trato_Diario!$A$4:$A$203,$A186))</f>
        <v/>
      </c>
      <c r="D186" s="46" t="str">
        <f>IF(OR($A186&gt;MAX(Trato_Diario!$A$4:$A$203),SUMIFS(Trato_Diario!$G$4:$G$203,Trato_Diario!$B$4:$B$203,D$5,Trato_Diario!$A$4:$A$203,$A186)=0),"",SUMIFS(Trato_Diario!$J$4:$J$203,Trato_Diario!$B$4:$B$203,D$5,Trato_Diario!$A$4:$A$203,$A186)/SUMIFS(Trato_Diario!$G$4:$G$203,Trato_Diario!$B$4:$B$203,D$5,Trato_Diario!$A$4:$A$203,$A186))</f>
        <v/>
      </c>
      <c r="E186" s="46" t="str">
        <f>IF(OR($A186&gt;MAX(Trato_Diario!$A$4:$A$203),SUMIFS(Trato_Diario!$G$4:$G$203,Trato_Diario!$B$4:$B$203,E$5,Trato_Diario!$A$4:$A$203,$A186)=0),"",SUMIFS(Trato_Diario!$J$4:$J$203,Trato_Diario!$B$4:$B$203,E$5,Trato_Diario!$A$4:$A$203,$A186)/SUMIFS(Trato_Diario!$G$4:$G$203,Trato_Diario!$B$4:$B$203,E$5,Trato_Diario!$A$4:$A$203,$A186))</f>
        <v/>
      </c>
      <c r="F186" s="46" t="str">
        <f>IF(OR($A186&gt;MAX(Trato_Diario!$A$4:$A$203),SUMIFS(Trato_Diario!$G$4:$G$203,Trato_Diario!$B$4:$B$203,F$5,Trato_Diario!$A$4:$A$203,$A186)=0),"",SUMIFS(Trato_Diario!$J$4:$J$203,Trato_Diario!$B$4:$B$203,F$5,Trato_Diario!$A$4:$A$203,$A186)/SUMIFS(Trato_Diario!$G$4:$G$203,Trato_Diario!$B$4:$B$203,F$5,Trato_Diario!$A$4:$A$203,$A186))</f>
        <v/>
      </c>
      <c r="G186" s="46" t="str">
        <f>IF(OR($A186&gt;MAX(Trato_Diario!$A$4:$A$203),SUMIFS(Trato_Diario!$G$4:$G$203,Trato_Diario!$B$4:$B$203,G$5,Trato_Diario!$A$4:$A$203,$A186)=0),"",SUMIFS(Trato_Diario!$J$4:$J$203,Trato_Diario!$B$4:$B$203,G$5,Trato_Diario!$A$4:$A$203,$A186)/SUMIFS(Trato_Diario!$G$4:$G$203,Trato_Diario!$B$4:$B$203,G$5,Trato_Diario!$A$4:$A$203,$A186))</f>
        <v/>
      </c>
      <c r="H186" s="57" t="str">
        <f>IF(OR($A186&gt;MAX(Trato_Diario!$A$4:$A$203),SUMIFS(Trato_Diario!$G$4:$G$203,Trato_Diario!$A$4:$A$203,$A186)=0),"",SUMIFS(Trato_Diario!$J$4:$J$203,Trato_Diario!$A$4:$A$203,$A186)/SUMIFS(Trato_Diario!$G$4:$G$203,Trato_Diario!$A$4:$A$203,$A186))</f>
        <v/>
      </c>
    </row>
    <row r="187" spans="1:8" ht="14.25" customHeight="1" x14ac:dyDescent="0.3">
      <c r="A187" s="72">
        <v>46374</v>
      </c>
      <c r="B187" s="20" t="str">
        <f>IF(OR($A187&gt;MAX(Trato_Diario!$A$4:$A$203),SUMIFS(Trato_Diario!$G$4:$G$203,Trato_Diario!$B$4:$B$203,B$5,Trato_Diario!$A$4:$A$203,$A187)=0),"",SUMIFS(Trato_Diario!$J$4:$J$203,Trato_Diario!$B$4:$B$203,B$5,Trato_Diario!$A$4:$A$203,$A187)/SUMIFS(Trato_Diario!$G$4:$G$203,Trato_Diario!$B$4:$B$203,B$5,Trato_Diario!$A$4:$A$203,$A187))</f>
        <v/>
      </c>
      <c r="C187" s="20" t="str">
        <f>IF(OR($A187&gt;MAX(Trato_Diario!$A$4:$A$203),SUMIFS(Trato_Diario!$G$4:$G$203,Trato_Diario!$B$4:$B$203,C$5,Trato_Diario!$A$4:$A$203,$A187)=0),"",SUMIFS(Trato_Diario!$J$4:$J$203,Trato_Diario!$B$4:$B$203,C$5,Trato_Diario!$A$4:$A$203,$A187)/SUMIFS(Trato_Diario!$G$4:$G$203,Trato_Diario!$B$4:$B$203,C$5,Trato_Diario!$A$4:$A$203,$A187))</f>
        <v/>
      </c>
      <c r="D187" s="20" t="str">
        <f>IF(OR($A187&gt;MAX(Trato_Diario!$A$4:$A$203),SUMIFS(Trato_Diario!$G$4:$G$203,Trato_Diario!$B$4:$B$203,D$5,Trato_Diario!$A$4:$A$203,$A187)=0),"",SUMIFS(Trato_Diario!$J$4:$J$203,Trato_Diario!$B$4:$B$203,D$5,Trato_Diario!$A$4:$A$203,$A187)/SUMIFS(Trato_Diario!$G$4:$G$203,Trato_Diario!$B$4:$B$203,D$5,Trato_Diario!$A$4:$A$203,$A187))</f>
        <v/>
      </c>
      <c r="E187" s="20" t="str">
        <f>IF(OR($A187&gt;MAX(Trato_Diario!$A$4:$A$203),SUMIFS(Trato_Diario!$G$4:$G$203,Trato_Diario!$B$4:$B$203,E$5,Trato_Diario!$A$4:$A$203,$A187)=0),"",SUMIFS(Trato_Diario!$J$4:$J$203,Trato_Diario!$B$4:$B$203,E$5,Trato_Diario!$A$4:$A$203,$A187)/SUMIFS(Trato_Diario!$G$4:$G$203,Trato_Diario!$B$4:$B$203,E$5,Trato_Diario!$A$4:$A$203,$A187))</f>
        <v/>
      </c>
      <c r="F187" s="20" t="str">
        <f>IF(OR($A187&gt;MAX(Trato_Diario!$A$4:$A$203),SUMIFS(Trato_Diario!$G$4:$G$203,Trato_Diario!$B$4:$B$203,F$5,Trato_Diario!$A$4:$A$203,$A187)=0),"",SUMIFS(Trato_Diario!$J$4:$J$203,Trato_Diario!$B$4:$B$203,F$5,Trato_Diario!$A$4:$A$203,$A187)/SUMIFS(Trato_Diario!$G$4:$G$203,Trato_Diario!$B$4:$B$203,F$5,Trato_Diario!$A$4:$A$203,$A187))</f>
        <v/>
      </c>
      <c r="G187" s="20" t="str">
        <f>IF(OR($A187&gt;MAX(Trato_Diario!$A$4:$A$203),SUMIFS(Trato_Diario!$G$4:$G$203,Trato_Diario!$B$4:$B$203,G$5,Trato_Diario!$A$4:$A$203,$A187)=0),"",SUMIFS(Trato_Diario!$J$4:$J$203,Trato_Diario!$B$4:$B$203,G$5,Trato_Diario!$A$4:$A$203,$A187)/SUMIFS(Trato_Diario!$G$4:$G$203,Trato_Diario!$B$4:$B$203,G$5,Trato_Diario!$A$4:$A$203,$A187))</f>
        <v/>
      </c>
      <c r="H187" s="59" t="str">
        <f>IF(OR($A187&gt;MAX(Trato_Diario!$A$4:$A$203),SUMIFS(Trato_Diario!$G$4:$G$203,Trato_Diario!$A$4:$A$203,$A187)=0),"",SUMIFS(Trato_Diario!$J$4:$J$203,Trato_Diario!$A$4:$A$203,$A187)/SUMIFS(Trato_Diario!$G$4:$G$203,Trato_Diario!$A$4:$A$203,$A187))</f>
        <v/>
      </c>
    </row>
    <row r="188" spans="1:8" ht="14.25" customHeight="1" x14ac:dyDescent="0.3">
      <c r="A188" s="71">
        <v>46375</v>
      </c>
      <c r="B188" s="46" t="str">
        <f>IF(OR($A188&gt;MAX(Trato_Diario!$A$4:$A$203),SUMIFS(Trato_Diario!$G$4:$G$203,Trato_Diario!$B$4:$B$203,B$5,Trato_Diario!$A$4:$A$203,$A188)=0),"",SUMIFS(Trato_Diario!$J$4:$J$203,Trato_Diario!$B$4:$B$203,B$5,Trato_Diario!$A$4:$A$203,$A188)/SUMIFS(Trato_Diario!$G$4:$G$203,Trato_Diario!$B$4:$B$203,B$5,Trato_Diario!$A$4:$A$203,$A188))</f>
        <v/>
      </c>
      <c r="C188" s="46" t="str">
        <f>IF(OR($A188&gt;MAX(Trato_Diario!$A$4:$A$203),SUMIFS(Trato_Diario!$G$4:$G$203,Trato_Diario!$B$4:$B$203,C$5,Trato_Diario!$A$4:$A$203,$A188)=0),"",SUMIFS(Trato_Diario!$J$4:$J$203,Trato_Diario!$B$4:$B$203,C$5,Trato_Diario!$A$4:$A$203,$A188)/SUMIFS(Trato_Diario!$G$4:$G$203,Trato_Diario!$B$4:$B$203,C$5,Trato_Diario!$A$4:$A$203,$A188))</f>
        <v/>
      </c>
      <c r="D188" s="46" t="str">
        <f>IF(OR($A188&gt;MAX(Trato_Diario!$A$4:$A$203),SUMIFS(Trato_Diario!$G$4:$G$203,Trato_Diario!$B$4:$B$203,D$5,Trato_Diario!$A$4:$A$203,$A188)=0),"",SUMIFS(Trato_Diario!$J$4:$J$203,Trato_Diario!$B$4:$B$203,D$5,Trato_Diario!$A$4:$A$203,$A188)/SUMIFS(Trato_Diario!$G$4:$G$203,Trato_Diario!$B$4:$B$203,D$5,Trato_Diario!$A$4:$A$203,$A188))</f>
        <v/>
      </c>
      <c r="E188" s="46" t="str">
        <f>IF(OR($A188&gt;MAX(Trato_Diario!$A$4:$A$203),SUMIFS(Trato_Diario!$G$4:$G$203,Trato_Diario!$B$4:$B$203,E$5,Trato_Diario!$A$4:$A$203,$A188)=0),"",SUMIFS(Trato_Diario!$J$4:$J$203,Trato_Diario!$B$4:$B$203,E$5,Trato_Diario!$A$4:$A$203,$A188)/SUMIFS(Trato_Diario!$G$4:$G$203,Trato_Diario!$B$4:$B$203,E$5,Trato_Diario!$A$4:$A$203,$A188))</f>
        <v/>
      </c>
      <c r="F188" s="46" t="str">
        <f>IF(OR($A188&gt;MAX(Trato_Diario!$A$4:$A$203),SUMIFS(Trato_Diario!$G$4:$G$203,Trato_Diario!$B$4:$B$203,F$5,Trato_Diario!$A$4:$A$203,$A188)=0),"",SUMIFS(Trato_Diario!$J$4:$J$203,Trato_Diario!$B$4:$B$203,F$5,Trato_Diario!$A$4:$A$203,$A188)/SUMIFS(Trato_Diario!$G$4:$G$203,Trato_Diario!$B$4:$B$203,F$5,Trato_Diario!$A$4:$A$203,$A188))</f>
        <v/>
      </c>
      <c r="G188" s="46" t="str">
        <f>IF(OR($A188&gt;MAX(Trato_Diario!$A$4:$A$203),SUMIFS(Trato_Diario!$G$4:$G$203,Trato_Diario!$B$4:$B$203,G$5,Trato_Diario!$A$4:$A$203,$A188)=0),"",SUMIFS(Trato_Diario!$J$4:$J$203,Trato_Diario!$B$4:$B$203,G$5,Trato_Diario!$A$4:$A$203,$A188)/SUMIFS(Trato_Diario!$G$4:$G$203,Trato_Diario!$B$4:$B$203,G$5,Trato_Diario!$A$4:$A$203,$A188))</f>
        <v/>
      </c>
      <c r="H188" s="57" t="str">
        <f>IF(OR($A188&gt;MAX(Trato_Diario!$A$4:$A$203),SUMIFS(Trato_Diario!$G$4:$G$203,Trato_Diario!$A$4:$A$203,$A188)=0),"",SUMIFS(Trato_Diario!$J$4:$J$203,Trato_Diario!$A$4:$A$203,$A188)/SUMIFS(Trato_Diario!$G$4:$G$203,Trato_Diario!$A$4:$A$203,$A188))</f>
        <v/>
      </c>
    </row>
    <row r="189" spans="1:8" ht="14.25" customHeight="1" x14ac:dyDescent="0.3">
      <c r="A189" s="72">
        <v>46376</v>
      </c>
      <c r="B189" s="20" t="str">
        <f>IF(OR($A189&gt;MAX(Trato_Diario!$A$4:$A$203),SUMIFS(Trato_Diario!$G$4:$G$203,Trato_Diario!$B$4:$B$203,B$5,Trato_Diario!$A$4:$A$203,$A189)=0),"",SUMIFS(Trato_Diario!$J$4:$J$203,Trato_Diario!$B$4:$B$203,B$5,Trato_Diario!$A$4:$A$203,$A189)/SUMIFS(Trato_Diario!$G$4:$G$203,Trato_Diario!$B$4:$B$203,B$5,Trato_Diario!$A$4:$A$203,$A189))</f>
        <v/>
      </c>
      <c r="C189" s="20" t="str">
        <f>IF(OR($A189&gt;MAX(Trato_Diario!$A$4:$A$203),SUMIFS(Trato_Diario!$G$4:$G$203,Trato_Diario!$B$4:$B$203,C$5,Trato_Diario!$A$4:$A$203,$A189)=0),"",SUMIFS(Trato_Diario!$J$4:$J$203,Trato_Diario!$B$4:$B$203,C$5,Trato_Diario!$A$4:$A$203,$A189)/SUMIFS(Trato_Diario!$G$4:$G$203,Trato_Diario!$B$4:$B$203,C$5,Trato_Diario!$A$4:$A$203,$A189))</f>
        <v/>
      </c>
      <c r="D189" s="20" t="str">
        <f>IF(OR($A189&gt;MAX(Trato_Diario!$A$4:$A$203),SUMIFS(Trato_Diario!$G$4:$G$203,Trato_Diario!$B$4:$B$203,D$5,Trato_Diario!$A$4:$A$203,$A189)=0),"",SUMIFS(Trato_Diario!$J$4:$J$203,Trato_Diario!$B$4:$B$203,D$5,Trato_Diario!$A$4:$A$203,$A189)/SUMIFS(Trato_Diario!$G$4:$G$203,Trato_Diario!$B$4:$B$203,D$5,Trato_Diario!$A$4:$A$203,$A189))</f>
        <v/>
      </c>
      <c r="E189" s="20" t="str">
        <f>IF(OR($A189&gt;MAX(Trato_Diario!$A$4:$A$203),SUMIFS(Trato_Diario!$G$4:$G$203,Trato_Diario!$B$4:$B$203,E$5,Trato_Diario!$A$4:$A$203,$A189)=0),"",SUMIFS(Trato_Diario!$J$4:$J$203,Trato_Diario!$B$4:$B$203,E$5,Trato_Diario!$A$4:$A$203,$A189)/SUMIFS(Trato_Diario!$G$4:$G$203,Trato_Diario!$B$4:$B$203,E$5,Trato_Diario!$A$4:$A$203,$A189))</f>
        <v/>
      </c>
      <c r="F189" s="20" t="str">
        <f>IF(OR($A189&gt;MAX(Trato_Diario!$A$4:$A$203),SUMIFS(Trato_Diario!$G$4:$G$203,Trato_Diario!$B$4:$B$203,F$5,Trato_Diario!$A$4:$A$203,$A189)=0),"",SUMIFS(Trato_Diario!$J$4:$J$203,Trato_Diario!$B$4:$B$203,F$5,Trato_Diario!$A$4:$A$203,$A189)/SUMIFS(Trato_Diario!$G$4:$G$203,Trato_Diario!$B$4:$B$203,F$5,Trato_Diario!$A$4:$A$203,$A189))</f>
        <v/>
      </c>
      <c r="G189" s="20" t="str">
        <f>IF(OR($A189&gt;MAX(Trato_Diario!$A$4:$A$203),SUMIFS(Trato_Diario!$G$4:$G$203,Trato_Diario!$B$4:$B$203,G$5,Trato_Diario!$A$4:$A$203,$A189)=0),"",SUMIFS(Trato_Diario!$J$4:$J$203,Trato_Diario!$B$4:$B$203,G$5,Trato_Diario!$A$4:$A$203,$A189)/SUMIFS(Trato_Diario!$G$4:$G$203,Trato_Diario!$B$4:$B$203,G$5,Trato_Diario!$A$4:$A$203,$A189))</f>
        <v/>
      </c>
      <c r="H189" s="59" t="str">
        <f>IF(OR($A189&gt;MAX(Trato_Diario!$A$4:$A$203),SUMIFS(Trato_Diario!$G$4:$G$203,Trato_Diario!$A$4:$A$203,$A189)=0),"",SUMIFS(Trato_Diario!$J$4:$J$203,Trato_Diario!$A$4:$A$203,$A189)/SUMIFS(Trato_Diario!$G$4:$G$203,Trato_Diario!$A$4:$A$203,$A189))</f>
        <v/>
      </c>
    </row>
    <row r="190" spans="1:8" ht="14.25" customHeight="1" x14ac:dyDescent="0.3">
      <c r="A190" s="71">
        <v>46377</v>
      </c>
      <c r="B190" s="46" t="str">
        <f>IF(OR($A190&gt;MAX(Trato_Diario!$A$4:$A$203),SUMIFS(Trato_Diario!$G$4:$G$203,Trato_Diario!$B$4:$B$203,B$5,Trato_Diario!$A$4:$A$203,$A190)=0),"",SUMIFS(Trato_Diario!$J$4:$J$203,Trato_Diario!$B$4:$B$203,B$5,Trato_Diario!$A$4:$A$203,$A190)/SUMIFS(Trato_Diario!$G$4:$G$203,Trato_Diario!$B$4:$B$203,B$5,Trato_Diario!$A$4:$A$203,$A190))</f>
        <v/>
      </c>
      <c r="C190" s="46" t="str">
        <f>IF(OR($A190&gt;MAX(Trato_Diario!$A$4:$A$203),SUMIFS(Trato_Diario!$G$4:$G$203,Trato_Diario!$B$4:$B$203,C$5,Trato_Diario!$A$4:$A$203,$A190)=0),"",SUMIFS(Trato_Diario!$J$4:$J$203,Trato_Diario!$B$4:$B$203,C$5,Trato_Diario!$A$4:$A$203,$A190)/SUMIFS(Trato_Diario!$G$4:$G$203,Trato_Diario!$B$4:$B$203,C$5,Trato_Diario!$A$4:$A$203,$A190))</f>
        <v/>
      </c>
      <c r="D190" s="46" t="str">
        <f>IF(OR($A190&gt;MAX(Trato_Diario!$A$4:$A$203),SUMIFS(Trato_Diario!$G$4:$G$203,Trato_Diario!$B$4:$B$203,D$5,Trato_Diario!$A$4:$A$203,$A190)=0),"",SUMIFS(Trato_Diario!$J$4:$J$203,Trato_Diario!$B$4:$B$203,D$5,Trato_Diario!$A$4:$A$203,$A190)/SUMIFS(Trato_Diario!$G$4:$G$203,Trato_Diario!$B$4:$B$203,D$5,Trato_Diario!$A$4:$A$203,$A190))</f>
        <v/>
      </c>
      <c r="E190" s="46" t="str">
        <f>IF(OR($A190&gt;MAX(Trato_Diario!$A$4:$A$203),SUMIFS(Trato_Diario!$G$4:$G$203,Trato_Diario!$B$4:$B$203,E$5,Trato_Diario!$A$4:$A$203,$A190)=0),"",SUMIFS(Trato_Diario!$J$4:$J$203,Trato_Diario!$B$4:$B$203,E$5,Trato_Diario!$A$4:$A$203,$A190)/SUMIFS(Trato_Diario!$G$4:$G$203,Trato_Diario!$B$4:$B$203,E$5,Trato_Diario!$A$4:$A$203,$A190))</f>
        <v/>
      </c>
      <c r="F190" s="46" t="str">
        <f>IF(OR($A190&gt;MAX(Trato_Diario!$A$4:$A$203),SUMIFS(Trato_Diario!$G$4:$G$203,Trato_Diario!$B$4:$B$203,F$5,Trato_Diario!$A$4:$A$203,$A190)=0),"",SUMIFS(Trato_Diario!$J$4:$J$203,Trato_Diario!$B$4:$B$203,F$5,Trato_Diario!$A$4:$A$203,$A190)/SUMIFS(Trato_Diario!$G$4:$G$203,Trato_Diario!$B$4:$B$203,F$5,Trato_Diario!$A$4:$A$203,$A190))</f>
        <v/>
      </c>
      <c r="G190" s="46" t="str">
        <f>IF(OR($A190&gt;MAX(Trato_Diario!$A$4:$A$203),SUMIFS(Trato_Diario!$G$4:$G$203,Trato_Diario!$B$4:$B$203,G$5,Trato_Diario!$A$4:$A$203,$A190)=0),"",SUMIFS(Trato_Diario!$J$4:$J$203,Trato_Diario!$B$4:$B$203,G$5,Trato_Diario!$A$4:$A$203,$A190)/SUMIFS(Trato_Diario!$G$4:$G$203,Trato_Diario!$B$4:$B$203,G$5,Trato_Diario!$A$4:$A$203,$A190))</f>
        <v/>
      </c>
      <c r="H190" s="57" t="str">
        <f>IF(OR($A190&gt;MAX(Trato_Diario!$A$4:$A$203),SUMIFS(Trato_Diario!$G$4:$G$203,Trato_Diario!$A$4:$A$203,$A190)=0),"",SUMIFS(Trato_Diario!$J$4:$J$203,Trato_Diario!$A$4:$A$203,$A190)/SUMIFS(Trato_Diario!$G$4:$G$203,Trato_Diario!$A$4:$A$203,$A190))</f>
        <v/>
      </c>
    </row>
    <row r="191" spans="1:8" ht="14.25" customHeight="1" x14ac:dyDescent="0.3">
      <c r="A191" s="72">
        <v>46378</v>
      </c>
      <c r="B191" s="20" t="str">
        <f>IF(OR($A191&gt;MAX(Trato_Diario!$A$4:$A$203),SUMIFS(Trato_Diario!$G$4:$G$203,Trato_Diario!$B$4:$B$203,B$5,Trato_Diario!$A$4:$A$203,$A191)=0),"",SUMIFS(Trato_Diario!$J$4:$J$203,Trato_Diario!$B$4:$B$203,B$5,Trato_Diario!$A$4:$A$203,$A191)/SUMIFS(Trato_Diario!$G$4:$G$203,Trato_Diario!$B$4:$B$203,B$5,Trato_Diario!$A$4:$A$203,$A191))</f>
        <v/>
      </c>
      <c r="C191" s="20" t="str">
        <f>IF(OR($A191&gt;MAX(Trato_Diario!$A$4:$A$203),SUMIFS(Trato_Diario!$G$4:$G$203,Trato_Diario!$B$4:$B$203,C$5,Trato_Diario!$A$4:$A$203,$A191)=0),"",SUMIFS(Trato_Diario!$J$4:$J$203,Trato_Diario!$B$4:$B$203,C$5,Trato_Diario!$A$4:$A$203,$A191)/SUMIFS(Trato_Diario!$G$4:$G$203,Trato_Diario!$B$4:$B$203,C$5,Trato_Diario!$A$4:$A$203,$A191))</f>
        <v/>
      </c>
      <c r="D191" s="20" t="str">
        <f>IF(OR($A191&gt;MAX(Trato_Diario!$A$4:$A$203),SUMIFS(Trato_Diario!$G$4:$G$203,Trato_Diario!$B$4:$B$203,D$5,Trato_Diario!$A$4:$A$203,$A191)=0),"",SUMIFS(Trato_Diario!$J$4:$J$203,Trato_Diario!$B$4:$B$203,D$5,Trato_Diario!$A$4:$A$203,$A191)/SUMIFS(Trato_Diario!$G$4:$G$203,Trato_Diario!$B$4:$B$203,D$5,Trato_Diario!$A$4:$A$203,$A191))</f>
        <v/>
      </c>
      <c r="E191" s="20" t="str">
        <f>IF(OR($A191&gt;MAX(Trato_Diario!$A$4:$A$203),SUMIFS(Trato_Diario!$G$4:$G$203,Trato_Diario!$B$4:$B$203,E$5,Trato_Diario!$A$4:$A$203,$A191)=0),"",SUMIFS(Trato_Diario!$J$4:$J$203,Trato_Diario!$B$4:$B$203,E$5,Trato_Diario!$A$4:$A$203,$A191)/SUMIFS(Trato_Diario!$G$4:$G$203,Trato_Diario!$B$4:$B$203,E$5,Trato_Diario!$A$4:$A$203,$A191))</f>
        <v/>
      </c>
      <c r="F191" s="20" t="str">
        <f>IF(OR($A191&gt;MAX(Trato_Diario!$A$4:$A$203),SUMIFS(Trato_Diario!$G$4:$G$203,Trato_Diario!$B$4:$B$203,F$5,Trato_Diario!$A$4:$A$203,$A191)=0),"",SUMIFS(Trato_Diario!$J$4:$J$203,Trato_Diario!$B$4:$B$203,F$5,Trato_Diario!$A$4:$A$203,$A191)/SUMIFS(Trato_Diario!$G$4:$G$203,Trato_Diario!$B$4:$B$203,F$5,Trato_Diario!$A$4:$A$203,$A191))</f>
        <v/>
      </c>
      <c r="G191" s="20" t="str">
        <f>IF(OR($A191&gt;MAX(Trato_Diario!$A$4:$A$203),SUMIFS(Trato_Diario!$G$4:$G$203,Trato_Diario!$B$4:$B$203,G$5,Trato_Diario!$A$4:$A$203,$A191)=0),"",SUMIFS(Trato_Diario!$J$4:$J$203,Trato_Diario!$B$4:$B$203,G$5,Trato_Diario!$A$4:$A$203,$A191)/SUMIFS(Trato_Diario!$G$4:$G$203,Trato_Diario!$B$4:$B$203,G$5,Trato_Diario!$A$4:$A$203,$A191))</f>
        <v/>
      </c>
      <c r="H191" s="59" t="str">
        <f>IF(OR($A191&gt;MAX(Trato_Diario!$A$4:$A$203),SUMIFS(Trato_Diario!$G$4:$G$203,Trato_Diario!$A$4:$A$203,$A191)=0),"",SUMIFS(Trato_Diario!$J$4:$J$203,Trato_Diario!$A$4:$A$203,$A191)/SUMIFS(Trato_Diario!$G$4:$G$203,Trato_Diario!$A$4:$A$203,$A191))</f>
        <v/>
      </c>
    </row>
    <row r="192" spans="1:8" ht="14.25" customHeight="1" x14ac:dyDescent="0.3">
      <c r="A192" s="71">
        <v>46379</v>
      </c>
      <c r="B192" s="46" t="str">
        <f>IF(OR($A192&gt;MAX(Trato_Diario!$A$4:$A$203),SUMIFS(Trato_Diario!$G$4:$G$203,Trato_Diario!$B$4:$B$203,B$5,Trato_Diario!$A$4:$A$203,$A192)=0),"",SUMIFS(Trato_Diario!$J$4:$J$203,Trato_Diario!$B$4:$B$203,B$5,Trato_Diario!$A$4:$A$203,$A192)/SUMIFS(Trato_Diario!$G$4:$G$203,Trato_Diario!$B$4:$B$203,B$5,Trato_Diario!$A$4:$A$203,$A192))</f>
        <v/>
      </c>
      <c r="C192" s="46" t="str">
        <f>IF(OR($A192&gt;MAX(Trato_Diario!$A$4:$A$203),SUMIFS(Trato_Diario!$G$4:$G$203,Trato_Diario!$B$4:$B$203,C$5,Trato_Diario!$A$4:$A$203,$A192)=0),"",SUMIFS(Trato_Diario!$J$4:$J$203,Trato_Diario!$B$4:$B$203,C$5,Trato_Diario!$A$4:$A$203,$A192)/SUMIFS(Trato_Diario!$G$4:$G$203,Trato_Diario!$B$4:$B$203,C$5,Trato_Diario!$A$4:$A$203,$A192))</f>
        <v/>
      </c>
      <c r="D192" s="46" t="str">
        <f>IF(OR($A192&gt;MAX(Trato_Diario!$A$4:$A$203),SUMIFS(Trato_Diario!$G$4:$G$203,Trato_Diario!$B$4:$B$203,D$5,Trato_Diario!$A$4:$A$203,$A192)=0),"",SUMIFS(Trato_Diario!$J$4:$J$203,Trato_Diario!$B$4:$B$203,D$5,Trato_Diario!$A$4:$A$203,$A192)/SUMIFS(Trato_Diario!$G$4:$G$203,Trato_Diario!$B$4:$B$203,D$5,Trato_Diario!$A$4:$A$203,$A192))</f>
        <v/>
      </c>
      <c r="E192" s="46" t="str">
        <f>IF(OR($A192&gt;MAX(Trato_Diario!$A$4:$A$203),SUMIFS(Trato_Diario!$G$4:$G$203,Trato_Diario!$B$4:$B$203,E$5,Trato_Diario!$A$4:$A$203,$A192)=0),"",SUMIFS(Trato_Diario!$J$4:$J$203,Trato_Diario!$B$4:$B$203,E$5,Trato_Diario!$A$4:$A$203,$A192)/SUMIFS(Trato_Diario!$G$4:$G$203,Trato_Diario!$B$4:$B$203,E$5,Trato_Diario!$A$4:$A$203,$A192))</f>
        <v/>
      </c>
      <c r="F192" s="46" t="str">
        <f>IF(OR($A192&gt;MAX(Trato_Diario!$A$4:$A$203),SUMIFS(Trato_Diario!$G$4:$G$203,Trato_Diario!$B$4:$B$203,F$5,Trato_Diario!$A$4:$A$203,$A192)=0),"",SUMIFS(Trato_Diario!$J$4:$J$203,Trato_Diario!$B$4:$B$203,F$5,Trato_Diario!$A$4:$A$203,$A192)/SUMIFS(Trato_Diario!$G$4:$G$203,Trato_Diario!$B$4:$B$203,F$5,Trato_Diario!$A$4:$A$203,$A192))</f>
        <v/>
      </c>
      <c r="G192" s="46" t="str">
        <f>IF(OR($A192&gt;MAX(Trato_Diario!$A$4:$A$203),SUMIFS(Trato_Diario!$G$4:$G$203,Trato_Diario!$B$4:$B$203,G$5,Trato_Diario!$A$4:$A$203,$A192)=0),"",SUMIFS(Trato_Diario!$J$4:$J$203,Trato_Diario!$B$4:$B$203,G$5,Trato_Diario!$A$4:$A$203,$A192)/SUMIFS(Trato_Diario!$G$4:$G$203,Trato_Diario!$B$4:$B$203,G$5,Trato_Diario!$A$4:$A$203,$A192))</f>
        <v/>
      </c>
      <c r="H192" s="57" t="str">
        <f>IF(OR($A192&gt;MAX(Trato_Diario!$A$4:$A$203),SUMIFS(Trato_Diario!$G$4:$G$203,Trato_Diario!$A$4:$A$203,$A192)=0),"",SUMIFS(Trato_Diario!$J$4:$J$203,Trato_Diario!$A$4:$A$203,$A192)/SUMIFS(Trato_Diario!$G$4:$G$203,Trato_Diario!$A$4:$A$203,$A192))</f>
        <v/>
      </c>
    </row>
    <row r="193" spans="1:8" ht="14.25" customHeight="1" x14ac:dyDescent="0.3">
      <c r="A193" s="72">
        <v>46380</v>
      </c>
      <c r="B193" s="20" t="str">
        <f>IF(OR($A193&gt;MAX(Trato_Diario!$A$4:$A$203),SUMIFS(Trato_Diario!$G$4:$G$203,Trato_Diario!$B$4:$B$203,B$5,Trato_Diario!$A$4:$A$203,$A193)=0),"",SUMIFS(Trato_Diario!$J$4:$J$203,Trato_Diario!$B$4:$B$203,B$5,Trato_Diario!$A$4:$A$203,$A193)/SUMIFS(Trato_Diario!$G$4:$G$203,Trato_Diario!$B$4:$B$203,B$5,Trato_Diario!$A$4:$A$203,$A193))</f>
        <v/>
      </c>
      <c r="C193" s="20" t="str">
        <f>IF(OR($A193&gt;MAX(Trato_Diario!$A$4:$A$203),SUMIFS(Trato_Diario!$G$4:$G$203,Trato_Diario!$B$4:$B$203,C$5,Trato_Diario!$A$4:$A$203,$A193)=0),"",SUMIFS(Trato_Diario!$J$4:$J$203,Trato_Diario!$B$4:$B$203,C$5,Trato_Diario!$A$4:$A$203,$A193)/SUMIFS(Trato_Diario!$G$4:$G$203,Trato_Diario!$B$4:$B$203,C$5,Trato_Diario!$A$4:$A$203,$A193))</f>
        <v/>
      </c>
      <c r="D193" s="20" t="str">
        <f>IF(OR($A193&gt;MAX(Trato_Diario!$A$4:$A$203),SUMIFS(Trato_Diario!$G$4:$G$203,Trato_Diario!$B$4:$B$203,D$5,Trato_Diario!$A$4:$A$203,$A193)=0),"",SUMIFS(Trato_Diario!$J$4:$J$203,Trato_Diario!$B$4:$B$203,D$5,Trato_Diario!$A$4:$A$203,$A193)/SUMIFS(Trato_Diario!$G$4:$G$203,Trato_Diario!$B$4:$B$203,D$5,Trato_Diario!$A$4:$A$203,$A193))</f>
        <v/>
      </c>
      <c r="E193" s="20" t="str">
        <f>IF(OR($A193&gt;MAX(Trato_Diario!$A$4:$A$203),SUMIFS(Trato_Diario!$G$4:$G$203,Trato_Diario!$B$4:$B$203,E$5,Trato_Diario!$A$4:$A$203,$A193)=0),"",SUMIFS(Trato_Diario!$J$4:$J$203,Trato_Diario!$B$4:$B$203,E$5,Trato_Diario!$A$4:$A$203,$A193)/SUMIFS(Trato_Diario!$G$4:$G$203,Trato_Diario!$B$4:$B$203,E$5,Trato_Diario!$A$4:$A$203,$A193))</f>
        <v/>
      </c>
      <c r="F193" s="20" t="str">
        <f>IF(OR($A193&gt;MAX(Trato_Diario!$A$4:$A$203),SUMIFS(Trato_Diario!$G$4:$G$203,Trato_Diario!$B$4:$B$203,F$5,Trato_Diario!$A$4:$A$203,$A193)=0),"",SUMIFS(Trato_Diario!$J$4:$J$203,Trato_Diario!$B$4:$B$203,F$5,Trato_Diario!$A$4:$A$203,$A193)/SUMIFS(Trato_Diario!$G$4:$G$203,Trato_Diario!$B$4:$B$203,F$5,Trato_Diario!$A$4:$A$203,$A193))</f>
        <v/>
      </c>
      <c r="G193" s="20" t="str">
        <f>IF(OR($A193&gt;MAX(Trato_Diario!$A$4:$A$203),SUMIFS(Trato_Diario!$G$4:$G$203,Trato_Diario!$B$4:$B$203,G$5,Trato_Diario!$A$4:$A$203,$A193)=0),"",SUMIFS(Trato_Diario!$J$4:$J$203,Trato_Diario!$B$4:$B$203,G$5,Trato_Diario!$A$4:$A$203,$A193)/SUMIFS(Trato_Diario!$G$4:$G$203,Trato_Diario!$B$4:$B$203,G$5,Trato_Diario!$A$4:$A$203,$A193))</f>
        <v/>
      </c>
      <c r="H193" s="59" t="str">
        <f>IF(OR($A193&gt;MAX(Trato_Diario!$A$4:$A$203),SUMIFS(Trato_Diario!$G$4:$G$203,Trato_Diario!$A$4:$A$203,$A193)=0),"",SUMIFS(Trato_Diario!$J$4:$J$203,Trato_Diario!$A$4:$A$203,$A193)/SUMIFS(Trato_Diario!$G$4:$G$203,Trato_Diario!$A$4:$A$203,$A193))</f>
        <v/>
      </c>
    </row>
    <row r="194" spans="1:8" ht="14.25" customHeight="1" x14ac:dyDescent="0.3">
      <c r="A194" s="71">
        <v>46381</v>
      </c>
      <c r="B194" s="46" t="str">
        <f>IF(OR($A194&gt;MAX(Trato_Diario!$A$4:$A$203),SUMIFS(Trato_Diario!$G$4:$G$203,Trato_Diario!$B$4:$B$203,B$5,Trato_Diario!$A$4:$A$203,$A194)=0),"",SUMIFS(Trato_Diario!$J$4:$J$203,Trato_Diario!$B$4:$B$203,B$5,Trato_Diario!$A$4:$A$203,$A194)/SUMIFS(Trato_Diario!$G$4:$G$203,Trato_Diario!$B$4:$B$203,B$5,Trato_Diario!$A$4:$A$203,$A194))</f>
        <v/>
      </c>
      <c r="C194" s="46" t="str">
        <f>IF(OR($A194&gt;MAX(Trato_Diario!$A$4:$A$203),SUMIFS(Trato_Diario!$G$4:$G$203,Trato_Diario!$B$4:$B$203,C$5,Trato_Diario!$A$4:$A$203,$A194)=0),"",SUMIFS(Trato_Diario!$J$4:$J$203,Trato_Diario!$B$4:$B$203,C$5,Trato_Diario!$A$4:$A$203,$A194)/SUMIFS(Trato_Diario!$G$4:$G$203,Trato_Diario!$B$4:$B$203,C$5,Trato_Diario!$A$4:$A$203,$A194))</f>
        <v/>
      </c>
      <c r="D194" s="46" t="str">
        <f>IF(OR($A194&gt;MAX(Trato_Diario!$A$4:$A$203),SUMIFS(Trato_Diario!$G$4:$G$203,Trato_Diario!$B$4:$B$203,D$5,Trato_Diario!$A$4:$A$203,$A194)=0),"",SUMIFS(Trato_Diario!$J$4:$J$203,Trato_Diario!$B$4:$B$203,D$5,Trato_Diario!$A$4:$A$203,$A194)/SUMIFS(Trato_Diario!$G$4:$G$203,Trato_Diario!$B$4:$B$203,D$5,Trato_Diario!$A$4:$A$203,$A194))</f>
        <v/>
      </c>
      <c r="E194" s="46" t="str">
        <f>IF(OR($A194&gt;MAX(Trato_Diario!$A$4:$A$203),SUMIFS(Trato_Diario!$G$4:$G$203,Trato_Diario!$B$4:$B$203,E$5,Trato_Diario!$A$4:$A$203,$A194)=0),"",SUMIFS(Trato_Diario!$J$4:$J$203,Trato_Diario!$B$4:$B$203,E$5,Trato_Diario!$A$4:$A$203,$A194)/SUMIFS(Trato_Diario!$G$4:$G$203,Trato_Diario!$B$4:$B$203,E$5,Trato_Diario!$A$4:$A$203,$A194))</f>
        <v/>
      </c>
      <c r="F194" s="46" t="str">
        <f>IF(OR($A194&gt;MAX(Trato_Diario!$A$4:$A$203),SUMIFS(Trato_Diario!$G$4:$G$203,Trato_Diario!$B$4:$B$203,F$5,Trato_Diario!$A$4:$A$203,$A194)=0),"",SUMIFS(Trato_Diario!$J$4:$J$203,Trato_Diario!$B$4:$B$203,F$5,Trato_Diario!$A$4:$A$203,$A194)/SUMIFS(Trato_Diario!$G$4:$G$203,Trato_Diario!$B$4:$B$203,F$5,Trato_Diario!$A$4:$A$203,$A194))</f>
        <v/>
      </c>
      <c r="G194" s="46" t="str">
        <f>IF(OR($A194&gt;MAX(Trato_Diario!$A$4:$A$203),SUMIFS(Trato_Diario!$G$4:$G$203,Trato_Diario!$B$4:$B$203,G$5,Trato_Diario!$A$4:$A$203,$A194)=0),"",SUMIFS(Trato_Diario!$J$4:$J$203,Trato_Diario!$B$4:$B$203,G$5,Trato_Diario!$A$4:$A$203,$A194)/SUMIFS(Trato_Diario!$G$4:$G$203,Trato_Diario!$B$4:$B$203,G$5,Trato_Diario!$A$4:$A$203,$A194))</f>
        <v/>
      </c>
      <c r="H194" s="57" t="str">
        <f>IF(OR($A194&gt;MAX(Trato_Diario!$A$4:$A$203),SUMIFS(Trato_Diario!$G$4:$G$203,Trato_Diario!$A$4:$A$203,$A194)=0),"",SUMIFS(Trato_Diario!$J$4:$J$203,Trato_Diario!$A$4:$A$203,$A194)/SUMIFS(Trato_Diario!$G$4:$G$203,Trato_Diario!$A$4:$A$203,$A194))</f>
        <v/>
      </c>
    </row>
    <row r="195" spans="1:8" ht="14.25" customHeight="1" x14ac:dyDescent="0.3">
      <c r="A195" s="72">
        <v>46382</v>
      </c>
      <c r="B195" s="20" t="str">
        <f>IF(OR($A195&gt;MAX(Trato_Diario!$A$4:$A$203),SUMIFS(Trato_Diario!$G$4:$G$203,Trato_Diario!$B$4:$B$203,B$5,Trato_Diario!$A$4:$A$203,$A195)=0),"",SUMIFS(Trato_Diario!$J$4:$J$203,Trato_Diario!$B$4:$B$203,B$5,Trato_Diario!$A$4:$A$203,$A195)/SUMIFS(Trato_Diario!$G$4:$G$203,Trato_Diario!$B$4:$B$203,B$5,Trato_Diario!$A$4:$A$203,$A195))</f>
        <v/>
      </c>
      <c r="C195" s="20" t="str">
        <f>IF(OR($A195&gt;MAX(Trato_Diario!$A$4:$A$203),SUMIFS(Trato_Diario!$G$4:$G$203,Trato_Diario!$B$4:$B$203,C$5,Trato_Diario!$A$4:$A$203,$A195)=0),"",SUMIFS(Trato_Diario!$J$4:$J$203,Trato_Diario!$B$4:$B$203,C$5,Trato_Diario!$A$4:$A$203,$A195)/SUMIFS(Trato_Diario!$G$4:$G$203,Trato_Diario!$B$4:$B$203,C$5,Trato_Diario!$A$4:$A$203,$A195))</f>
        <v/>
      </c>
      <c r="D195" s="20" t="str">
        <f>IF(OR($A195&gt;MAX(Trato_Diario!$A$4:$A$203),SUMIFS(Trato_Diario!$G$4:$G$203,Trato_Diario!$B$4:$B$203,D$5,Trato_Diario!$A$4:$A$203,$A195)=0),"",SUMIFS(Trato_Diario!$J$4:$J$203,Trato_Diario!$B$4:$B$203,D$5,Trato_Diario!$A$4:$A$203,$A195)/SUMIFS(Trato_Diario!$G$4:$G$203,Trato_Diario!$B$4:$B$203,D$5,Trato_Diario!$A$4:$A$203,$A195))</f>
        <v/>
      </c>
      <c r="E195" s="20" t="str">
        <f>IF(OR($A195&gt;MAX(Trato_Diario!$A$4:$A$203),SUMIFS(Trato_Diario!$G$4:$G$203,Trato_Diario!$B$4:$B$203,E$5,Trato_Diario!$A$4:$A$203,$A195)=0),"",SUMIFS(Trato_Diario!$J$4:$J$203,Trato_Diario!$B$4:$B$203,E$5,Trato_Diario!$A$4:$A$203,$A195)/SUMIFS(Trato_Diario!$G$4:$G$203,Trato_Diario!$B$4:$B$203,E$5,Trato_Diario!$A$4:$A$203,$A195))</f>
        <v/>
      </c>
      <c r="F195" s="20" t="str">
        <f>IF(OR($A195&gt;MAX(Trato_Diario!$A$4:$A$203),SUMIFS(Trato_Diario!$G$4:$G$203,Trato_Diario!$B$4:$B$203,F$5,Trato_Diario!$A$4:$A$203,$A195)=0),"",SUMIFS(Trato_Diario!$J$4:$J$203,Trato_Diario!$B$4:$B$203,F$5,Trato_Diario!$A$4:$A$203,$A195)/SUMIFS(Trato_Diario!$G$4:$G$203,Trato_Diario!$B$4:$B$203,F$5,Trato_Diario!$A$4:$A$203,$A195))</f>
        <v/>
      </c>
      <c r="G195" s="20" t="str">
        <f>IF(OR($A195&gt;MAX(Trato_Diario!$A$4:$A$203),SUMIFS(Trato_Diario!$G$4:$G$203,Trato_Diario!$B$4:$B$203,G$5,Trato_Diario!$A$4:$A$203,$A195)=0),"",SUMIFS(Trato_Diario!$J$4:$J$203,Trato_Diario!$B$4:$B$203,G$5,Trato_Diario!$A$4:$A$203,$A195)/SUMIFS(Trato_Diario!$G$4:$G$203,Trato_Diario!$B$4:$B$203,G$5,Trato_Diario!$A$4:$A$203,$A195))</f>
        <v/>
      </c>
      <c r="H195" s="59" t="str">
        <f>IF(OR($A195&gt;MAX(Trato_Diario!$A$4:$A$203),SUMIFS(Trato_Diario!$G$4:$G$203,Trato_Diario!$A$4:$A$203,$A195)=0),"",SUMIFS(Trato_Diario!$J$4:$J$203,Trato_Diario!$A$4:$A$203,$A195)/SUMIFS(Trato_Diario!$G$4:$G$203,Trato_Diario!$A$4:$A$203,$A195))</f>
        <v/>
      </c>
    </row>
    <row r="196" spans="1:8" ht="14.25" customHeight="1" x14ac:dyDescent="0.3">
      <c r="A196" s="71">
        <v>46383</v>
      </c>
      <c r="B196" s="46" t="str">
        <f>IF(OR($A196&gt;MAX(Trato_Diario!$A$4:$A$203),SUMIFS(Trato_Diario!$G$4:$G$203,Trato_Diario!$B$4:$B$203,B$5,Trato_Diario!$A$4:$A$203,$A196)=0),"",SUMIFS(Trato_Diario!$J$4:$J$203,Trato_Diario!$B$4:$B$203,B$5,Trato_Diario!$A$4:$A$203,$A196)/SUMIFS(Trato_Diario!$G$4:$G$203,Trato_Diario!$B$4:$B$203,B$5,Trato_Diario!$A$4:$A$203,$A196))</f>
        <v/>
      </c>
      <c r="C196" s="46" t="str">
        <f>IF(OR($A196&gt;MAX(Trato_Diario!$A$4:$A$203),SUMIFS(Trato_Diario!$G$4:$G$203,Trato_Diario!$B$4:$B$203,C$5,Trato_Diario!$A$4:$A$203,$A196)=0),"",SUMIFS(Trato_Diario!$J$4:$J$203,Trato_Diario!$B$4:$B$203,C$5,Trato_Diario!$A$4:$A$203,$A196)/SUMIFS(Trato_Diario!$G$4:$G$203,Trato_Diario!$B$4:$B$203,C$5,Trato_Diario!$A$4:$A$203,$A196))</f>
        <v/>
      </c>
      <c r="D196" s="46" t="str">
        <f>IF(OR($A196&gt;MAX(Trato_Diario!$A$4:$A$203),SUMIFS(Trato_Diario!$G$4:$G$203,Trato_Diario!$B$4:$B$203,D$5,Trato_Diario!$A$4:$A$203,$A196)=0),"",SUMIFS(Trato_Diario!$J$4:$J$203,Trato_Diario!$B$4:$B$203,D$5,Trato_Diario!$A$4:$A$203,$A196)/SUMIFS(Trato_Diario!$G$4:$G$203,Trato_Diario!$B$4:$B$203,D$5,Trato_Diario!$A$4:$A$203,$A196))</f>
        <v/>
      </c>
      <c r="E196" s="46" t="str">
        <f>IF(OR($A196&gt;MAX(Trato_Diario!$A$4:$A$203),SUMIFS(Trato_Diario!$G$4:$G$203,Trato_Diario!$B$4:$B$203,E$5,Trato_Diario!$A$4:$A$203,$A196)=0),"",SUMIFS(Trato_Diario!$J$4:$J$203,Trato_Diario!$B$4:$B$203,E$5,Trato_Diario!$A$4:$A$203,$A196)/SUMIFS(Trato_Diario!$G$4:$G$203,Trato_Diario!$B$4:$B$203,E$5,Trato_Diario!$A$4:$A$203,$A196))</f>
        <v/>
      </c>
      <c r="F196" s="46" t="str">
        <f>IF(OR($A196&gt;MAX(Trato_Diario!$A$4:$A$203),SUMIFS(Trato_Diario!$G$4:$G$203,Trato_Diario!$B$4:$B$203,F$5,Trato_Diario!$A$4:$A$203,$A196)=0),"",SUMIFS(Trato_Diario!$J$4:$J$203,Trato_Diario!$B$4:$B$203,F$5,Trato_Diario!$A$4:$A$203,$A196)/SUMIFS(Trato_Diario!$G$4:$G$203,Trato_Diario!$B$4:$B$203,F$5,Trato_Diario!$A$4:$A$203,$A196))</f>
        <v/>
      </c>
      <c r="G196" s="46" t="str">
        <f>IF(OR($A196&gt;MAX(Trato_Diario!$A$4:$A$203),SUMIFS(Trato_Diario!$G$4:$G$203,Trato_Diario!$B$4:$B$203,G$5,Trato_Diario!$A$4:$A$203,$A196)=0),"",SUMIFS(Trato_Diario!$J$4:$J$203,Trato_Diario!$B$4:$B$203,G$5,Trato_Diario!$A$4:$A$203,$A196)/SUMIFS(Trato_Diario!$G$4:$G$203,Trato_Diario!$B$4:$B$203,G$5,Trato_Diario!$A$4:$A$203,$A196))</f>
        <v/>
      </c>
      <c r="H196" s="57" t="str">
        <f>IF(OR($A196&gt;MAX(Trato_Diario!$A$4:$A$203),SUMIFS(Trato_Diario!$G$4:$G$203,Trato_Diario!$A$4:$A$203,$A196)=0),"",SUMIFS(Trato_Diario!$J$4:$J$203,Trato_Diario!$A$4:$A$203,$A196)/SUMIFS(Trato_Diario!$G$4:$G$203,Trato_Diario!$A$4:$A$203,$A196))</f>
        <v/>
      </c>
    </row>
    <row r="197" spans="1:8" ht="14.25" customHeight="1" x14ac:dyDescent="0.3">
      <c r="A197" s="72">
        <v>46384</v>
      </c>
      <c r="B197" s="20" t="str">
        <f>IF(OR($A197&gt;MAX(Trato_Diario!$A$4:$A$203),SUMIFS(Trato_Diario!$G$4:$G$203,Trato_Diario!$B$4:$B$203,B$5,Trato_Diario!$A$4:$A$203,$A197)=0),"",SUMIFS(Trato_Diario!$J$4:$J$203,Trato_Diario!$B$4:$B$203,B$5,Trato_Diario!$A$4:$A$203,$A197)/SUMIFS(Trato_Diario!$G$4:$G$203,Trato_Diario!$B$4:$B$203,B$5,Trato_Diario!$A$4:$A$203,$A197))</f>
        <v/>
      </c>
      <c r="C197" s="20" t="str">
        <f>IF(OR($A197&gt;MAX(Trato_Diario!$A$4:$A$203),SUMIFS(Trato_Diario!$G$4:$G$203,Trato_Diario!$B$4:$B$203,C$5,Trato_Diario!$A$4:$A$203,$A197)=0),"",SUMIFS(Trato_Diario!$J$4:$J$203,Trato_Diario!$B$4:$B$203,C$5,Trato_Diario!$A$4:$A$203,$A197)/SUMIFS(Trato_Diario!$G$4:$G$203,Trato_Diario!$B$4:$B$203,C$5,Trato_Diario!$A$4:$A$203,$A197))</f>
        <v/>
      </c>
      <c r="D197" s="20" t="str">
        <f>IF(OR($A197&gt;MAX(Trato_Diario!$A$4:$A$203),SUMIFS(Trato_Diario!$G$4:$G$203,Trato_Diario!$B$4:$B$203,D$5,Trato_Diario!$A$4:$A$203,$A197)=0),"",SUMIFS(Trato_Diario!$J$4:$J$203,Trato_Diario!$B$4:$B$203,D$5,Trato_Diario!$A$4:$A$203,$A197)/SUMIFS(Trato_Diario!$G$4:$G$203,Trato_Diario!$B$4:$B$203,D$5,Trato_Diario!$A$4:$A$203,$A197))</f>
        <v/>
      </c>
      <c r="E197" s="20" t="str">
        <f>IF(OR($A197&gt;MAX(Trato_Diario!$A$4:$A$203),SUMIFS(Trato_Diario!$G$4:$G$203,Trato_Diario!$B$4:$B$203,E$5,Trato_Diario!$A$4:$A$203,$A197)=0),"",SUMIFS(Trato_Diario!$J$4:$J$203,Trato_Diario!$B$4:$B$203,E$5,Trato_Diario!$A$4:$A$203,$A197)/SUMIFS(Trato_Diario!$G$4:$G$203,Trato_Diario!$B$4:$B$203,E$5,Trato_Diario!$A$4:$A$203,$A197))</f>
        <v/>
      </c>
      <c r="F197" s="20" t="str">
        <f>IF(OR($A197&gt;MAX(Trato_Diario!$A$4:$A$203),SUMIFS(Trato_Diario!$G$4:$G$203,Trato_Diario!$B$4:$B$203,F$5,Trato_Diario!$A$4:$A$203,$A197)=0),"",SUMIFS(Trato_Diario!$J$4:$J$203,Trato_Diario!$B$4:$B$203,F$5,Trato_Diario!$A$4:$A$203,$A197)/SUMIFS(Trato_Diario!$G$4:$G$203,Trato_Diario!$B$4:$B$203,F$5,Trato_Diario!$A$4:$A$203,$A197))</f>
        <v/>
      </c>
      <c r="G197" s="20" t="str">
        <f>IF(OR($A197&gt;MAX(Trato_Diario!$A$4:$A$203),SUMIFS(Trato_Diario!$G$4:$G$203,Trato_Diario!$B$4:$B$203,G$5,Trato_Diario!$A$4:$A$203,$A197)=0),"",SUMIFS(Trato_Diario!$J$4:$J$203,Trato_Diario!$B$4:$B$203,G$5,Trato_Diario!$A$4:$A$203,$A197)/SUMIFS(Trato_Diario!$G$4:$G$203,Trato_Diario!$B$4:$B$203,G$5,Trato_Diario!$A$4:$A$203,$A197))</f>
        <v/>
      </c>
      <c r="H197" s="59" t="str">
        <f>IF(OR($A197&gt;MAX(Trato_Diario!$A$4:$A$203),SUMIFS(Trato_Diario!$G$4:$G$203,Trato_Diario!$A$4:$A$203,$A197)=0),"",SUMIFS(Trato_Diario!$J$4:$J$203,Trato_Diario!$A$4:$A$203,$A197)/SUMIFS(Trato_Diario!$G$4:$G$203,Trato_Diario!$A$4:$A$203,$A197))</f>
        <v/>
      </c>
    </row>
    <row r="198" spans="1:8" ht="14.25" customHeight="1" x14ac:dyDescent="0.3">
      <c r="A198" s="71">
        <v>46385</v>
      </c>
      <c r="B198" s="46" t="str">
        <f>IF(OR($A198&gt;MAX(Trato_Diario!$A$4:$A$203),SUMIFS(Trato_Diario!$G$4:$G$203,Trato_Diario!$B$4:$B$203,B$5,Trato_Diario!$A$4:$A$203,$A198)=0),"",SUMIFS(Trato_Diario!$J$4:$J$203,Trato_Diario!$B$4:$B$203,B$5,Trato_Diario!$A$4:$A$203,$A198)/SUMIFS(Trato_Diario!$G$4:$G$203,Trato_Diario!$B$4:$B$203,B$5,Trato_Diario!$A$4:$A$203,$A198))</f>
        <v/>
      </c>
      <c r="C198" s="46" t="str">
        <f>IF(OR($A198&gt;MAX(Trato_Diario!$A$4:$A$203),SUMIFS(Trato_Diario!$G$4:$G$203,Trato_Diario!$B$4:$B$203,C$5,Trato_Diario!$A$4:$A$203,$A198)=0),"",SUMIFS(Trato_Diario!$J$4:$J$203,Trato_Diario!$B$4:$B$203,C$5,Trato_Diario!$A$4:$A$203,$A198)/SUMIFS(Trato_Diario!$G$4:$G$203,Trato_Diario!$B$4:$B$203,C$5,Trato_Diario!$A$4:$A$203,$A198))</f>
        <v/>
      </c>
      <c r="D198" s="46" t="str">
        <f>IF(OR($A198&gt;MAX(Trato_Diario!$A$4:$A$203),SUMIFS(Trato_Diario!$G$4:$G$203,Trato_Diario!$B$4:$B$203,D$5,Trato_Diario!$A$4:$A$203,$A198)=0),"",SUMIFS(Trato_Diario!$J$4:$J$203,Trato_Diario!$B$4:$B$203,D$5,Trato_Diario!$A$4:$A$203,$A198)/SUMIFS(Trato_Diario!$G$4:$G$203,Trato_Diario!$B$4:$B$203,D$5,Trato_Diario!$A$4:$A$203,$A198))</f>
        <v/>
      </c>
      <c r="E198" s="46" t="str">
        <f>IF(OR($A198&gt;MAX(Trato_Diario!$A$4:$A$203),SUMIFS(Trato_Diario!$G$4:$G$203,Trato_Diario!$B$4:$B$203,E$5,Trato_Diario!$A$4:$A$203,$A198)=0),"",SUMIFS(Trato_Diario!$J$4:$J$203,Trato_Diario!$B$4:$B$203,E$5,Trato_Diario!$A$4:$A$203,$A198)/SUMIFS(Trato_Diario!$G$4:$G$203,Trato_Diario!$B$4:$B$203,E$5,Trato_Diario!$A$4:$A$203,$A198))</f>
        <v/>
      </c>
      <c r="F198" s="46" t="str">
        <f>IF(OR($A198&gt;MAX(Trato_Diario!$A$4:$A$203),SUMIFS(Trato_Diario!$G$4:$G$203,Trato_Diario!$B$4:$B$203,F$5,Trato_Diario!$A$4:$A$203,$A198)=0),"",SUMIFS(Trato_Diario!$J$4:$J$203,Trato_Diario!$B$4:$B$203,F$5,Trato_Diario!$A$4:$A$203,$A198)/SUMIFS(Trato_Diario!$G$4:$G$203,Trato_Diario!$B$4:$B$203,F$5,Trato_Diario!$A$4:$A$203,$A198))</f>
        <v/>
      </c>
      <c r="G198" s="46" t="str">
        <f>IF(OR($A198&gt;MAX(Trato_Diario!$A$4:$A$203),SUMIFS(Trato_Diario!$G$4:$G$203,Trato_Diario!$B$4:$B$203,G$5,Trato_Diario!$A$4:$A$203,$A198)=0),"",SUMIFS(Trato_Diario!$J$4:$J$203,Trato_Diario!$B$4:$B$203,G$5,Trato_Diario!$A$4:$A$203,$A198)/SUMIFS(Trato_Diario!$G$4:$G$203,Trato_Diario!$B$4:$B$203,G$5,Trato_Diario!$A$4:$A$203,$A198))</f>
        <v/>
      </c>
      <c r="H198" s="57" t="str">
        <f>IF(OR($A198&gt;MAX(Trato_Diario!$A$4:$A$203),SUMIFS(Trato_Diario!$G$4:$G$203,Trato_Diario!$A$4:$A$203,$A198)=0),"",SUMIFS(Trato_Diario!$J$4:$J$203,Trato_Diario!$A$4:$A$203,$A198)/SUMIFS(Trato_Diario!$G$4:$G$203,Trato_Diario!$A$4:$A$203,$A198))</f>
        <v/>
      </c>
    </row>
    <row r="199" spans="1:8" ht="14.25" customHeight="1" x14ac:dyDescent="0.3">
      <c r="A199" s="72">
        <v>46386</v>
      </c>
      <c r="B199" s="20" t="str">
        <f>IF(OR($A199&gt;MAX(Trato_Diario!$A$4:$A$203),SUMIFS(Trato_Diario!$G$4:$G$203,Trato_Diario!$B$4:$B$203,B$5,Trato_Diario!$A$4:$A$203,$A199)=0),"",SUMIFS(Trato_Diario!$J$4:$J$203,Trato_Diario!$B$4:$B$203,B$5,Trato_Diario!$A$4:$A$203,$A199)/SUMIFS(Trato_Diario!$G$4:$G$203,Trato_Diario!$B$4:$B$203,B$5,Trato_Diario!$A$4:$A$203,$A199))</f>
        <v/>
      </c>
      <c r="C199" s="20" t="str">
        <f>IF(OR($A199&gt;MAX(Trato_Diario!$A$4:$A$203),SUMIFS(Trato_Diario!$G$4:$G$203,Trato_Diario!$B$4:$B$203,C$5,Trato_Diario!$A$4:$A$203,$A199)=0),"",SUMIFS(Trato_Diario!$J$4:$J$203,Trato_Diario!$B$4:$B$203,C$5,Trato_Diario!$A$4:$A$203,$A199)/SUMIFS(Trato_Diario!$G$4:$G$203,Trato_Diario!$B$4:$B$203,C$5,Trato_Diario!$A$4:$A$203,$A199))</f>
        <v/>
      </c>
      <c r="D199" s="20" t="str">
        <f>IF(OR($A199&gt;MAX(Trato_Diario!$A$4:$A$203),SUMIFS(Trato_Diario!$G$4:$G$203,Trato_Diario!$B$4:$B$203,D$5,Trato_Diario!$A$4:$A$203,$A199)=0),"",SUMIFS(Trato_Diario!$J$4:$J$203,Trato_Diario!$B$4:$B$203,D$5,Trato_Diario!$A$4:$A$203,$A199)/SUMIFS(Trato_Diario!$G$4:$G$203,Trato_Diario!$B$4:$B$203,D$5,Trato_Diario!$A$4:$A$203,$A199))</f>
        <v/>
      </c>
      <c r="E199" s="20" t="str">
        <f>IF(OR($A199&gt;MAX(Trato_Diario!$A$4:$A$203),SUMIFS(Trato_Diario!$G$4:$G$203,Trato_Diario!$B$4:$B$203,E$5,Trato_Diario!$A$4:$A$203,$A199)=0),"",SUMIFS(Trato_Diario!$J$4:$J$203,Trato_Diario!$B$4:$B$203,E$5,Trato_Diario!$A$4:$A$203,$A199)/SUMIFS(Trato_Diario!$G$4:$G$203,Trato_Diario!$B$4:$B$203,E$5,Trato_Diario!$A$4:$A$203,$A199))</f>
        <v/>
      </c>
      <c r="F199" s="20" t="str">
        <f>IF(OR($A199&gt;MAX(Trato_Diario!$A$4:$A$203),SUMIFS(Trato_Diario!$G$4:$G$203,Trato_Diario!$B$4:$B$203,F$5,Trato_Diario!$A$4:$A$203,$A199)=0),"",SUMIFS(Trato_Diario!$J$4:$J$203,Trato_Diario!$B$4:$B$203,F$5,Trato_Diario!$A$4:$A$203,$A199)/SUMIFS(Trato_Diario!$G$4:$G$203,Trato_Diario!$B$4:$B$203,F$5,Trato_Diario!$A$4:$A$203,$A199))</f>
        <v/>
      </c>
      <c r="G199" s="20" t="str">
        <f>IF(OR($A199&gt;MAX(Trato_Diario!$A$4:$A$203),SUMIFS(Trato_Diario!$G$4:$G$203,Trato_Diario!$B$4:$B$203,G$5,Trato_Diario!$A$4:$A$203,$A199)=0),"",SUMIFS(Trato_Diario!$J$4:$J$203,Trato_Diario!$B$4:$B$203,G$5,Trato_Diario!$A$4:$A$203,$A199)/SUMIFS(Trato_Diario!$G$4:$G$203,Trato_Diario!$B$4:$B$203,G$5,Trato_Diario!$A$4:$A$203,$A199))</f>
        <v/>
      </c>
      <c r="H199" s="59" t="str">
        <f>IF(OR($A199&gt;MAX(Trato_Diario!$A$4:$A$203),SUMIFS(Trato_Diario!$G$4:$G$203,Trato_Diario!$A$4:$A$203,$A199)=0),"",SUMIFS(Trato_Diario!$J$4:$J$203,Trato_Diario!$A$4:$A$203,$A199)/SUMIFS(Trato_Diario!$G$4:$G$203,Trato_Diario!$A$4:$A$203,$A199))</f>
        <v/>
      </c>
    </row>
    <row r="200" spans="1:8" ht="14.25" customHeight="1" x14ac:dyDescent="0.3">
      <c r="A200" s="71">
        <v>46387</v>
      </c>
      <c r="B200" s="46" t="str">
        <f>IF(OR($A200&gt;MAX(Trato_Diario!$A$4:$A$203),SUMIFS(Trato_Diario!$G$4:$G$203,Trato_Diario!$B$4:$B$203,B$5,Trato_Diario!$A$4:$A$203,$A200)=0),"",SUMIFS(Trato_Diario!$J$4:$J$203,Trato_Diario!$B$4:$B$203,B$5,Trato_Diario!$A$4:$A$203,$A200)/SUMIFS(Trato_Diario!$G$4:$G$203,Trato_Diario!$B$4:$B$203,B$5,Trato_Diario!$A$4:$A$203,$A200))</f>
        <v/>
      </c>
      <c r="C200" s="46" t="str">
        <f>IF(OR($A200&gt;MAX(Trato_Diario!$A$4:$A$203),SUMIFS(Trato_Diario!$G$4:$G$203,Trato_Diario!$B$4:$B$203,C$5,Trato_Diario!$A$4:$A$203,$A200)=0),"",SUMIFS(Trato_Diario!$J$4:$J$203,Trato_Diario!$B$4:$B$203,C$5,Trato_Diario!$A$4:$A$203,$A200)/SUMIFS(Trato_Diario!$G$4:$G$203,Trato_Diario!$B$4:$B$203,C$5,Trato_Diario!$A$4:$A$203,$A200))</f>
        <v/>
      </c>
      <c r="D200" s="46" t="str">
        <f>IF(OR($A200&gt;MAX(Trato_Diario!$A$4:$A$203),SUMIFS(Trato_Diario!$G$4:$G$203,Trato_Diario!$B$4:$B$203,D$5,Trato_Diario!$A$4:$A$203,$A200)=0),"",SUMIFS(Trato_Diario!$J$4:$J$203,Trato_Diario!$B$4:$B$203,D$5,Trato_Diario!$A$4:$A$203,$A200)/SUMIFS(Trato_Diario!$G$4:$G$203,Trato_Diario!$B$4:$B$203,D$5,Trato_Diario!$A$4:$A$203,$A200))</f>
        <v/>
      </c>
      <c r="E200" s="46" t="str">
        <f>IF(OR($A200&gt;MAX(Trato_Diario!$A$4:$A$203),SUMIFS(Trato_Diario!$G$4:$G$203,Trato_Diario!$B$4:$B$203,E$5,Trato_Diario!$A$4:$A$203,$A200)=0),"",SUMIFS(Trato_Diario!$J$4:$J$203,Trato_Diario!$B$4:$B$203,E$5,Trato_Diario!$A$4:$A$203,$A200)/SUMIFS(Trato_Diario!$G$4:$G$203,Trato_Diario!$B$4:$B$203,E$5,Trato_Diario!$A$4:$A$203,$A200))</f>
        <v/>
      </c>
      <c r="F200" s="46" t="str">
        <f>IF(OR($A200&gt;MAX(Trato_Diario!$A$4:$A$203),SUMIFS(Trato_Diario!$G$4:$G$203,Trato_Diario!$B$4:$B$203,F$5,Trato_Diario!$A$4:$A$203,$A200)=0),"",SUMIFS(Trato_Diario!$J$4:$J$203,Trato_Diario!$B$4:$B$203,F$5,Trato_Diario!$A$4:$A$203,$A200)/SUMIFS(Trato_Diario!$G$4:$G$203,Trato_Diario!$B$4:$B$203,F$5,Trato_Diario!$A$4:$A$203,$A200))</f>
        <v/>
      </c>
      <c r="G200" s="46" t="str">
        <f>IF(OR($A200&gt;MAX(Trato_Diario!$A$4:$A$203),SUMIFS(Trato_Diario!$G$4:$G$203,Trato_Diario!$B$4:$B$203,G$5,Trato_Diario!$A$4:$A$203,$A200)=0),"",SUMIFS(Trato_Diario!$J$4:$J$203,Trato_Diario!$B$4:$B$203,G$5,Trato_Diario!$A$4:$A$203,$A200)/SUMIFS(Trato_Diario!$G$4:$G$203,Trato_Diario!$B$4:$B$203,G$5,Trato_Diario!$A$4:$A$203,$A200))</f>
        <v/>
      </c>
      <c r="H200" s="57" t="str">
        <f>IF(OR($A200&gt;MAX(Trato_Diario!$A$4:$A$203),SUMIFS(Trato_Diario!$G$4:$G$203,Trato_Diario!$A$4:$A$203,$A200)=0),"",SUMIFS(Trato_Diario!$J$4:$J$203,Trato_Diario!$A$4:$A$203,$A200)/SUMIFS(Trato_Diario!$G$4:$G$203,Trato_Diario!$A$4:$A$203,$A200))</f>
        <v/>
      </c>
    </row>
    <row r="201" spans="1:8" ht="14.25" customHeight="1" x14ac:dyDescent="0.3">
      <c r="A201" s="72">
        <v>46388</v>
      </c>
      <c r="B201" s="20" t="str">
        <f>IF(OR($A201&gt;MAX(Trato_Diario!$A$4:$A$203),SUMIFS(Trato_Diario!$G$4:$G$203,Trato_Diario!$B$4:$B$203,B$5,Trato_Diario!$A$4:$A$203,$A201)=0),"",SUMIFS(Trato_Diario!$J$4:$J$203,Trato_Diario!$B$4:$B$203,B$5,Trato_Diario!$A$4:$A$203,$A201)/SUMIFS(Trato_Diario!$G$4:$G$203,Trato_Diario!$B$4:$B$203,B$5,Trato_Diario!$A$4:$A$203,$A201))</f>
        <v/>
      </c>
      <c r="C201" s="20" t="str">
        <f>IF(OR($A201&gt;MAX(Trato_Diario!$A$4:$A$203),SUMIFS(Trato_Diario!$G$4:$G$203,Trato_Diario!$B$4:$B$203,C$5,Trato_Diario!$A$4:$A$203,$A201)=0),"",SUMIFS(Trato_Diario!$J$4:$J$203,Trato_Diario!$B$4:$B$203,C$5,Trato_Diario!$A$4:$A$203,$A201)/SUMIFS(Trato_Diario!$G$4:$G$203,Trato_Diario!$B$4:$B$203,C$5,Trato_Diario!$A$4:$A$203,$A201))</f>
        <v/>
      </c>
      <c r="D201" s="20" t="str">
        <f>IF(OR($A201&gt;MAX(Trato_Diario!$A$4:$A$203),SUMIFS(Trato_Diario!$G$4:$G$203,Trato_Diario!$B$4:$B$203,D$5,Trato_Diario!$A$4:$A$203,$A201)=0),"",SUMIFS(Trato_Diario!$J$4:$J$203,Trato_Diario!$B$4:$B$203,D$5,Trato_Diario!$A$4:$A$203,$A201)/SUMIFS(Trato_Diario!$G$4:$G$203,Trato_Diario!$B$4:$B$203,D$5,Trato_Diario!$A$4:$A$203,$A201))</f>
        <v/>
      </c>
      <c r="E201" s="20" t="str">
        <f>IF(OR($A201&gt;MAX(Trato_Diario!$A$4:$A$203),SUMIFS(Trato_Diario!$G$4:$G$203,Trato_Diario!$B$4:$B$203,E$5,Trato_Diario!$A$4:$A$203,$A201)=0),"",SUMIFS(Trato_Diario!$J$4:$J$203,Trato_Diario!$B$4:$B$203,E$5,Trato_Diario!$A$4:$A$203,$A201)/SUMIFS(Trato_Diario!$G$4:$G$203,Trato_Diario!$B$4:$B$203,E$5,Trato_Diario!$A$4:$A$203,$A201))</f>
        <v/>
      </c>
      <c r="F201" s="20" t="str">
        <f>IF(OR($A201&gt;MAX(Trato_Diario!$A$4:$A$203),SUMIFS(Trato_Diario!$G$4:$G$203,Trato_Diario!$B$4:$B$203,F$5,Trato_Diario!$A$4:$A$203,$A201)=0),"",SUMIFS(Trato_Diario!$J$4:$J$203,Trato_Diario!$B$4:$B$203,F$5,Trato_Diario!$A$4:$A$203,$A201)/SUMIFS(Trato_Diario!$G$4:$G$203,Trato_Diario!$B$4:$B$203,F$5,Trato_Diario!$A$4:$A$203,$A201))</f>
        <v/>
      </c>
      <c r="G201" s="20" t="str">
        <f>IF(OR($A201&gt;MAX(Trato_Diario!$A$4:$A$203),SUMIFS(Trato_Diario!$G$4:$G$203,Trato_Diario!$B$4:$B$203,G$5,Trato_Diario!$A$4:$A$203,$A201)=0),"",SUMIFS(Trato_Diario!$J$4:$J$203,Trato_Diario!$B$4:$B$203,G$5,Trato_Diario!$A$4:$A$203,$A201)/SUMIFS(Trato_Diario!$G$4:$G$203,Trato_Diario!$B$4:$B$203,G$5,Trato_Diario!$A$4:$A$203,$A201))</f>
        <v/>
      </c>
      <c r="H201" s="59" t="str">
        <f>IF(OR($A201&gt;MAX(Trato_Diario!$A$4:$A$203),SUMIFS(Trato_Diario!$G$4:$G$203,Trato_Diario!$A$4:$A$203,$A201)=0),"",SUMIFS(Trato_Diario!$J$4:$J$203,Trato_Diario!$A$4:$A$203,$A201)/SUMIFS(Trato_Diario!$G$4:$G$203,Trato_Diario!$A$4:$A$203,$A201))</f>
        <v/>
      </c>
    </row>
  </sheetData>
  <mergeCells count="3">
    <mergeCell ref="A1:H1"/>
    <mergeCell ref="A2:H2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9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1" customWidth="1"/>
    <col min="3" max="3" width="14" customWidth="1"/>
    <col min="4" max="4" width="15" customWidth="1"/>
    <col min="5" max="5" width="12" customWidth="1"/>
    <col min="6" max="6" width="14" customWidth="1"/>
    <col min="7" max="7" width="12" customWidth="1"/>
    <col min="8" max="8" width="16" customWidth="1"/>
    <col min="9" max="9" width="17" customWidth="1"/>
    <col min="10" max="10" width="16" customWidth="1"/>
    <col min="11" max="11" width="17" customWidth="1"/>
    <col min="12" max="12" width="18" customWidth="1"/>
    <col min="13" max="13" width="15" customWidth="1"/>
    <col min="14" max="14" width="16" customWidth="1"/>
    <col min="15" max="15" width="24" customWidth="1"/>
  </cols>
  <sheetData>
    <row r="1" spans="1:15" ht="24" customHeight="1" x14ac:dyDescent="0.3">
      <c r="A1" s="127" t="s">
        <v>584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</row>
    <row r="2" spans="1:15" ht="36" customHeight="1" x14ac:dyDescent="0.3">
      <c r="A2" s="131" t="s">
        <v>585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</row>
    <row r="3" spans="1:15" ht="31.5" customHeight="1" x14ac:dyDescent="0.3">
      <c r="A3" s="15" t="s">
        <v>1</v>
      </c>
      <c r="B3" s="15" t="s">
        <v>586</v>
      </c>
      <c r="C3" s="15" t="s">
        <v>536</v>
      </c>
      <c r="D3" s="15" t="s">
        <v>587</v>
      </c>
      <c r="E3" s="15" t="s">
        <v>588</v>
      </c>
      <c r="F3" s="15" t="s">
        <v>589</v>
      </c>
      <c r="G3" s="15" t="s">
        <v>568</v>
      </c>
      <c r="H3" s="15" t="s">
        <v>590</v>
      </c>
      <c r="I3" s="15" t="s">
        <v>591</v>
      </c>
      <c r="J3" s="15" t="s">
        <v>564</v>
      </c>
      <c r="K3" s="15" t="s">
        <v>592</v>
      </c>
      <c r="L3" s="15" t="s">
        <v>593</v>
      </c>
      <c r="M3" s="15" t="s">
        <v>594</v>
      </c>
      <c r="N3" s="15" t="s">
        <v>595</v>
      </c>
      <c r="O3" s="15" t="s">
        <v>504</v>
      </c>
    </row>
    <row r="4" spans="1:15" ht="15" customHeight="1" x14ac:dyDescent="0.3">
      <c r="A4" s="73">
        <f>Parâmetros!$C$4</f>
        <v>46246</v>
      </c>
      <c r="B4" s="74">
        <f>COUNTA(Cadastro_Animais!$B$3:$B$5001)</f>
        <v>385</v>
      </c>
      <c r="C4" s="74">
        <f>IFERROR(AVERAGE(Cadastro_Animais!$I$3:$I$5001),"")</f>
        <v>348.91168831168829</v>
      </c>
      <c r="D4" s="75">
        <f>IFERROR(AVERAGE(Cadastro_Animais!$L$3:$L$5001),"")</f>
        <v>2.3696280303497628</v>
      </c>
      <c r="E4" s="76">
        <f>SUM(Cadastro_Animais!$M$3:$M$5001)</f>
        <v>4746.3620000000001</v>
      </c>
      <c r="F4" s="74">
        <f>SUM(Cadastro_Animais!$K$3:$K$5001)</f>
        <v>5995</v>
      </c>
      <c r="G4" s="76">
        <f>SUM(Cadastro_Animais!$N$3:$N$5001)</f>
        <v>211.82333333333344</v>
      </c>
      <c r="H4" s="74">
        <f>Calculadora_Trato!$I$14</f>
        <v>3223.9440000000004</v>
      </c>
      <c r="I4" s="77">
        <f>Parâmetros!$C$6</f>
        <v>0.54970799212393273</v>
      </c>
      <c r="J4" s="78">
        <f>Calculadora_Trato!$N$14</f>
        <v>1772.2277829600005</v>
      </c>
      <c r="K4" s="78">
        <f>IFERROR(Calculadora_Trato!$N$14/COUNTA(Cadastro_Animais!$B$3:$B$5001),"")</f>
        <v>4.6031890466493515</v>
      </c>
      <c r="L4" s="78">
        <f>IF(Custo_Nutricao_Lote!$L$12&lt;=0,"",Custo_Nutricao_Lote!$I$12/Custo_Nutricao_Lote!$L$12)</f>
        <v>303.83857082260374</v>
      </c>
      <c r="M4" s="78">
        <f>Parâmetros!$C$5</f>
        <v>310</v>
      </c>
      <c r="N4" s="78">
        <f>SUM(Cadastro_Animais!$O$3:$O$5001)</f>
        <v>1471372.2200000011</v>
      </c>
      <c r="O4" s="41" t="s">
        <v>596</v>
      </c>
    </row>
    <row r="6" spans="1:15" ht="15" customHeight="1" x14ac:dyDescent="0.3">
      <c r="A6" s="133" t="s">
        <v>597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</row>
    <row r="7" spans="1:15" ht="31.5" customHeight="1" x14ac:dyDescent="0.3">
      <c r="A7" s="15" t="s">
        <v>1</v>
      </c>
      <c r="B7" s="15" t="s">
        <v>586</v>
      </c>
      <c r="C7" s="15" t="s">
        <v>536</v>
      </c>
      <c r="D7" s="15" t="s">
        <v>587</v>
      </c>
      <c r="E7" s="15" t="s">
        <v>588</v>
      </c>
      <c r="F7" s="15" t="s">
        <v>589</v>
      </c>
      <c r="G7" s="15" t="s">
        <v>568</v>
      </c>
      <c r="H7" s="15" t="s">
        <v>590</v>
      </c>
      <c r="I7" s="15" t="s">
        <v>591</v>
      </c>
      <c r="J7" s="15" t="s">
        <v>564</v>
      </c>
      <c r="K7" s="15" t="s">
        <v>592</v>
      </c>
      <c r="L7" s="15" t="s">
        <v>593</v>
      </c>
      <c r="M7" s="15" t="s">
        <v>594</v>
      </c>
      <c r="N7" s="15" t="s">
        <v>595</v>
      </c>
      <c r="O7" s="15" t="s">
        <v>504</v>
      </c>
    </row>
    <row r="8" spans="1:15" ht="15" customHeight="1" x14ac:dyDescent="0.3">
      <c r="A8" s="79">
        <v>46233</v>
      </c>
      <c r="B8" s="80">
        <v>385</v>
      </c>
      <c r="C8" s="80">
        <v>346.74285714285702</v>
      </c>
      <c r="D8" s="81">
        <v>1.878015274567</v>
      </c>
      <c r="E8" s="82">
        <v>4716.8586666666697</v>
      </c>
      <c r="F8" s="80">
        <v>7376</v>
      </c>
      <c r="G8" s="82">
        <v>260.61866666666702</v>
      </c>
      <c r="H8" s="80">
        <v>3203.904</v>
      </c>
      <c r="I8" s="83">
        <v>0.54896152349134097</v>
      </c>
      <c r="J8" s="84">
        <v>1758.82002096</v>
      </c>
      <c r="K8" s="84">
        <v>4.5683636908052003</v>
      </c>
      <c r="L8" s="84">
        <v>275.36318463399903</v>
      </c>
      <c r="M8" s="84">
        <v>320</v>
      </c>
      <c r="N8" s="84">
        <v>1509394.7733333299</v>
      </c>
      <c r="O8" s="53" t="s">
        <v>598</v>
      </c>
    </row>
    <row r="9" spans="1:15" ht="15" customHeight="1" x14ac:dyDescent="0.3">
      <c r="A9" s="79"/>
      <c r="B9" s="80"/>
      <c r="C9" s="80"/>
      <c r="D9" s="81"/>
      <c r="E9" s="82"/>
      <c r="F9" s="80"/>
      <c r="G9" s="82"/>
      <c r="H9" s="80"/>
      <c r="I9" s="83"/>
      <c r="J9" s="84"/>
      <c r="K9" s="84"/>
      <c r="L9" s="84"/>
      <c r="M9" s="84"/>
      <c r="N9" s="84"/>
      <c r="O9" s="85"/>
    </row>
    <row r="10" spans="1:15" ht="15" customHeight="1" x14ac:dyDescent="0.3">
      <c r="A10" s="79"/>
      <c r="B10" s="80"/>
      <c r="C10" s="80"/>
      <c r="D10" s="81"/>
      <c r="E10" s="82"/>
      <c r="F10" s="80"/>
      <c r="G10" s="82"/>
      <c r="H10" s="80"/>
      <c r="I10" s="83"/>
      <c r="J10" s="84"/>
      <c r="K10" s="84"/>
      <c r="L10" s="84"/>
      <c r="M10" s="84"/>
      <c r="N10" s="84"/>
      <c r="O10" s="85"/>
    </row>
    <row r="11" spans="1:15" ht="15" customHeight="1" x14ac:dyDescent="0.3">
      <c r="A11" s="79"/>
      <c r="B11" s="80"/>
      <c r="C11" s="80"/>
      <c r="D11" s="81"/>
      <c r="E11" s="82"/>
      <c r="F11" s="80"/>
      <c r="G11" s="82"/>
      <c r="H11" s="80"/>
      <c r="I11" s="83"/>
      <c r="J11" s="84"/>
      <c r="K11" s="84"/>
      <c r="L11" s="84"/>
      <c r="M11" s="84"/>
      <c r="N11" s="84"/>
      <c r="O11" s="85"/>
    </row>
    <row r="12" spans="1:15" ht="15" customHeight="1" x14ac:dyDescent="0.3">
      <c r="A12" s="79"/>
      <c r="B12" s="80"/>
      <c r="C12" s="80"/>
      <c r="D12" s="81"/>
      <c r="E12" s="82"/>
      <c r="F12" s="80"/>
      <c r="G12" s="82"/>
      <c r="H12" s="80"/>
      <c r="I12" s="83"/>
      <c r="J12" s="84"/>
      <c r="K12" s="84"/>
      <c r="L12" s="84"/>
      <c r="M12" s="84"/>
      <c r="N12" s="84"/>
      <c r="O12" s="85"/>
    </row>
    <row r="13" spans="1:15" ht="15" customHeight="1" x14ac:dyDescent="0.3">
      <c r="A13" s="79"/>
      <c r="B13" s="80"/>
      <c r="C13" s="80"/>
      <c r="D13" s="81"/>
      <c r="E13" s="82"/>
      <c r="F13" s="80"/>
      <c r="G13" s="82"/>
      <c r="H13" s="80"/>
      <c r="I13" s="83"/>
      <c r="J13" s="84"/>
      <c r="K13" s="84"/>
      <c r="L13" s="84"/>
      <c r="M13" s="84"/>
      <c r="N13" s="84"/>
      <c r="O13" s="85"/>
    </row>
    <row r="14" spans="1:15" ht="15" customHeight="1" x14ac:dyDescent="0.3">
      <c r="A14" s="79"/>
      <c r="B14" s="80"/>
      <c r="C14" s="80"/>
      <c r="D14" s="81"/>
      <c r="E14" s="82"/>
      <c r="F14" s="80"/>
      <c r="G14" s="82"/>
      <c r="H14" s="80"/>
      <c r="I14" s="83"/>
      <c r="J14" s="84"/>
      <c r="K14" s="84"/>
      <c r="L14" s="84"/>
      <c r="M14" s="84"/>
      <c r="N14" s="84"/>
      <c r="O14" s="85"/>
    </row>
    <row r="15" spans="1:15" ht="15" customHeight="1" x14ac:dyDescent="0.3">
      <c r="A15" s="79"/>
      <c r="B15" s="80"/>
      <c r="C15" s="80"/>
      <c r="D15" s="81"/>
      <c r="E15" s="82"/>
      <c r="F15" s="80"/>
      <c r="G15" s="82"/>
      <c r="H15" s="80"/>
      <c r="I15" s="83"/>
      <c r="J15" s="84"/>
      <c r="K15" s="84"/>
      <c r="L15" s="84"/>
      <c r="M15" s="84"/>
      <c r="N15" s="84"/>
      <c r="O15" s="85"/>
    </row>
    <row r="16" spans="1:15" ht="15" customHeight="1" x14ac:dyDescent="0.3">
      <c r="A16" s="79"/>
      <c r="B16" s="80"/>
      <c r="C16" s="80"/>
      <c r="D16" s="81"/>
      <c r="E16" s="82"/>
      <c r="F16" s="80"/>
      <c r="G16" s="82"/>
      <c r="H16" s="80"/>
      <c r="I16" s="83"/>
      <c r="J16" s="84"/>
      <c r="K16" s="84"/>
      <c r="L16" s="84"/>
      <c r="M16" s="84"/>
      <c r="N16" s="84"/>
      <c r="O16" s="85"/>
    </row>
    <row r="17" spans="1:15" ht="15" customHeight="1" x14ac:dyDescent="0.3">
      <c r="A17" s="79"/>
      <c r="B17" s="80"/>
      <c r="C17" s="80"/>
      <c r="D17" s="81"/>
      <c r="E17" s="82"/>
      <c r="F17" s="80"/>
      <c r="G17" s="82"/>
      <c r="H17" s="80"/>
      <c r="I17" s="83"/>
      <c r="J17" s="84"/>
      <c r="K17" s="84"/>
      <c r="L17" s="84"/>
      <c r="M17" s="84"/>
      <c r="N17" s="84"/>
      <c r="O17" s="85"/>
    </row>
    <row r="18" spans="1:15" ht="15" customHeight="1" x14ac:dyDescent="0.3">
      <c r="A18" s="79"/>
      <c r="B18" s="80"/>
      <c r="C18" s="80"/>
      <c r="D18" s="81"/>
      <c r="E18" s="82"/>
      <c r="F18" s="80"/>
      <c r="G18" s="82"/>
      <c r="H18" s="80"/>
      <c r="I18" s="83"/>
      <c r="J18" s="84"/>
      <c r="K18" s="84"/>
      <c r="L18" s="84"/>
      <c r="M18" s="84"/>
      <c r="N18" s="84"/>
      <c r="O18" s="85"/>
    </row>
    <row r="19" spans="1:15" ht="15" customHeight="1" x14ac:dyDescent="0.3">
      <c r="A19" s="79"/>
      <c r="B19" s="80"/>
      <c r="C19" s="80"/>
      <c r="D19" s="81"/>
      <c r="E19" s="82"/>
      <c r="F19" s="80"/>
      <c r="G19" s="82"/>
      <c r="H19" s="80"/>
      <c r="I19" s="83"/>
      <c r="J19" s="84"/>
      <c r="K19" s="84"/>
      <c r="L19" s="84"/>
      <c r="M19" s="84"/>
      <c r="N19" s="84"/>
      <c r="O19" s="85"/>
    </row>
    <row r="20" spans="1:15" ht="15" customHeight="1" x14ac:dyDescent="0.3">
      <c r="A20" s="79"/>
      <c r="B20" s="80"/>
      <c r="C20" s="80"/>
      <c r="D20" s="81"/>
      <c r="E20" s="82"/>
      <c r="F20" s="80"/>
      <c r="G20" s="82"/>
      <c r="H20" s="80"/>
      <c r="I20" s="83"/>
      <c r="J20" s="84"/>
      <c r="K20" s="84"/>
      <c r="L20" s="84"/>
      <c r="M20" s="84"/>
      <c r="N20" s="84"/>
      <c r="O20" s="85"/>
    </row>
    <row r="21" spans="1:15" ht="15" customHeight="1" x14ac:dyDescent="0.3">
      <c r="A21" s="79"/>
      <c r="B21" s="80"/>
      <c r="C21" s="80"/>
      <c r="D21" s="81"/>
      <c r="E21" s="82"/>
      <c r="F21" s="80"/>
      <c r="G21" s="82"/>
      <c r="H21" s="80"/>
      <c r="I21" s="83"/>
      <c r="J21" s="84"/>
      <c r="K21" s="84"/>
      <c r="L21" s="84"/>
      <c r="M21" s="84"/>
      <c r="N21" s="84"/>
      <c r="O21" s="85"/>
    </row>
    <row r="22" spans="1:15" ht="15" customHeight="1" x14ac:dyDescent="0.3">
      <c r="A22" s="79"/>
      <c r="B22" s="80"/>
      <c r="C22" s="80"/>
      <c r="D22" s="81"/>
      <c r="E22" s="82"/>
      <c r="F22" s="80"/>
      <c r="G22" s="82"/>
      <c r="H22" s="80"/>
      <c r="I22" s="83"/>
      <c r="J22" s="84"/>
      <c r="K22" s="84"/>
      <c r="L22" s="84"/>
      <c r="M22" s="84"/>
      <c r="N22" s="84"/>
      <c r="O22" s="85"/>
    </row>
    <row r="23" spans="1:15" ht="15" customHeight="1" x14ac:dyDescent="0.3">
      <c r="A23" s="79"/>
      <c r="B23" s="80"/>
      <c r="C23" s="80"/>
      <c r="D23" s="81"/>
      <c r="E23" s="82"/>
      <c r="F23" s="80"/>
      <c r="G23" s="82"/>
      <c r="H23" s="80"/>
      <c r="I23" s="83"/>
      <c r="J23" s="84"/>
      <c r="K23" s="84"/>
      <c r="L23" s="84"/>
      <c r="M23" s="84"/>
      <c r="N23" s="84"/>
      <c r="O23" s="85"/>
    </row>
    <row r="24" spans="1:15" ht="15" customHeight="1" x14ac:dyDescent="0.3">
      <c r="A24" s="79"/>
      <c r="B24" s="80"/>
      <c r="C24" s="80"/>
      <c r="D24" s="81"/>
      <c r="E24" s="82"/>
      <c r="F24" s="80"/>
      <c r="G24" s="82"/>
      <c r="H24" s="80"/>
      <c r="I24" s="83"/>
      <c r="J24" s="84"/>
      <c r="K24" s="84"/>
      <c r="L24" s="84"/>
      <c r="M24" s="84"/>
      <c r="N24" s="84"/>
      <c r="O24" s="85"/>
    </row>
    <row r="25" spans="1:15" ht="15" customHeight="1" x14ac:dyDescent="0.3">
      <c r="A25" s="79"/>
      <c r="B25" s="80"/>
      <c r="C25" s="80"/>
      <c r="D25" s="81"/>
      <c r="E25" s="82"/>
      <c r="F25" s="80"/>
      <c r="G25" s="82"/>
      <c r="H25" s="80"/>
      <c r="I25" s="83"/>
      <c r="J25" s="84"/>
      <c r="K25" s="84"/>
      <c r="L25" s="84"/>
      <c r="M25" s="84"/>
      <c r="N25" s="84"/>
      <c r="O25" s="85"/>
    </row>
    <row r="26" spans="1:15" ht="15" customHeight="1" x14ac:dyDescent="0.3">
      <c r="A26" s="79"/>
      <c r="B26" s="80"/>
      <c r="C26" s="80"/>
      <c r="D26" s="81"/>
      <c r="E26" s="82"/>
      <c r="F26" s="80"/>
      <c r="G26" s="82"/>
      <c r="H26" s="80"/>
      <c r="I26" s="83"/>
      <c r="J26" s="84"/>
      <c r="K26" s="84"/>
      <c r="L26" s="84"/>
      <c r="M26" s="84"/>
      <c r="N26" s="84"/>
      <c r="O26" s="85"/>
    </row>
    <row r="27" spans="1:15" ht="15" customHeight="1" x14ac:dyDescent="0.3">
      <c r="A27" s="79"/>
      <c r="B27" s="80"/>
      <c r="C27" s="80"/>
      <c r="D27" s="81"/>
      <c r="E27" s="82"/>
      <c r="F27" s="80"/>
      <c r="G27" s="82"/>
      <c r="H27" s="80"/>
      <c r="I27" s="83"/>
      <c r="J27" s="84"/>
      <c r="K27" s="84"/>
      <c r="L27" s="84"/>
      <c r="M27" s="84"/>
      <c r="N27" s="84"/>
      <c r="O27" s="85"/>
    </row>
    <row r="28" spans="1:15" ht="15" customHeight="1" x14ac:dyDescent="0.3">
      <c r="A28" s="79"/>
      <c r="B28" s="80"/>
      <c r="C28" s="80"/>
      <c r="D28" s="81"/>
      <c r="E28" s="82"/>
      <c r="F28" s="80"/>
      <c r="G28" s="82"/>
      <c r="H28" s="80"/>
      <c r="I28" s="83"/>
      <c r="J28" s="84"/>
      <c r="K28" s="84"/>
      <c r="L28" s="84"/>
      <c r="M28" s="84"/>
      <c r="N28" s="84"/>
      <c r="O28" s="85"/>
    </row>
    <row r="29" spans="1:15" ht="15" customHeight="1" x14ac:dyDescent="0.3">
      <c r="A29" s="79"/>
      <c r="B29" s="80"/>
      <c r="C29" s="80"/>
      <c r="D29" s="81"/>
      <c r="E29" s="82"/>
      <c r="F29" s="80"/>
      <c r="G29" s="82"/>
      <c r="H29" s="80"/>
      <c r="I29" s="83"/>
      <c r="J29" s="84"/>
      <c r="K29" s="84"/>
      <c r="L29" s="84"/>
      <c r="M29" s="84"/>
      <c r="N29" s="84"/>
      <c r="O29" s="85"/>
    </row>
    <row r="30" spans="1:15" ht="15" customHeight="1" x14ac:dyDescent="0.3">
      <c r="A30" s="79"/>
      <c r="B30" s="80"/>
      <c r="C30" s="80"/>
      <c r="D30" s="81"/>
      <c r="E30" s="82"/>
      <c r="F30" s="80"/>
      <c r="G30" s="82"/>
      <c r="H30" s="80"/>
      <c r="I30" s="83"/>
      <c r="J30" s="84"/>
      <c r="K30" s="84"/>
      <c r="L30" s="84"/>
      <c r="M30" s="84"/>
      <c r="N30" s="84"/>
      <c r="O30" s="85"/>
    </row>
    <row r="31" spans="1:15" ht="15" customHeight="1" x14ac:dyDescent="0.3">
      <c r="A31" s="79"/>
      <c r="B31" s="80"/>
      <c r="C31" s="80"/>
      <c r="D31" s="81"/>
      <c r="E31" s="82"/>
      <c r="F31" s="80"/>
      <c r="G31" s="82"/>
      <c r="H31" s="80"/>
      <c r="I31" s="83"/>
      <c r="J31" s="84"/>
      <c r="K31" s="84"/>
      <c r="L31" s="84"/>
      <c r="M31" s="84"/>
      <c r="N31" s="84"/>
      <c r="O31" s="85"/>
    </row>
    <row r="32" spans="1:15" ht="15" customHeight="1" x14ac:dyDescent="0.3">
      <c r="A32" s="79"/>
      <c r="B32" s="80"/>
      <c r="C32" s="80"/>
      <c r="D32" s="81"/>
      <c r="E32" s="82"/>
      <c r="F32" s="80"/>
      <c r="G32" s="82"/>
      <c r="H32" s="80"/>
      <c r="I32" s="83"/>
      <c r="J32" s="84"/>
      <c r="K32" s="84"/>
      <c r="L32" s="84"/>
      <c r="M32" s="84"/>
      <c r="N32" s="84"/>
      <c r="O32" s="85"/>
    </row>
    <row r="33" spans="1:15" ht="15" customHeight="1" x14ac:dyDescent="0.3">
      <c r="A33" s="79"/>
      <c r="B33" s="80"/>
      <c r="C33" s="80"/>
      <c r="D33" s="81"/>
      <c r="E33" s="82"/>
      <c r="F33" s="80"/>
      <c r="G33" s="82"/>
      <c r="H33" s="80"/>
      <c r="I33" s="83"/>
      <c r="J33" s="84"/>
      <c r="K33" s="84"/>
      <c r="L33" s="84"/>
      <c r="M33" s="84"/>
      <c r="N33" s="84"/>
      <c r="O33" s="85"/>
    </row>
    <row r="34" spans="1:15" ht="15" customHeight="1" x14ac:dyDescent="0.3">
      <c r="A34" s="79"/>
      <c r="B34" s="80"/>
      <c r="C34" s="80"/>
      <c r="D34" s="81"/>
      <c r="E34" s="82"/>
      <c r="F34" s="80"/>
      <c r="G34" s="82"/>
      <c r="H34" s="80"/>
      <c r="I34" s="83"/>
      <c r="J34" s="84"/>
      <c r="K34" s="84"/>
      <c r="L34" s="84"/>
      <c r="M34" s="84"/>
      <c r="N34" s="84"/>
      <c r="O34" s="85"/>
    </row>
    <row r="35" spans="1:15" ht="15" customHeight="1" x14ac:dyDescent="0.3">
      <c r="A35" s="79"/>
      <c r="B35" s="80"/>
      <c r="C35" s="80"/>
      <c r="D35" s="81"/>
      <c r="E35" s="82"/>
      <c r="F35" s="80"/>
      <c r="G35" s="82"/>
      <c r="H35" s="80"/>
      <c r="I35" s="83"/>
      <c r="J35" s="84"/>
      <c r="K35" s="84"/>
      <c r="L35" s="84"/>
      <c r="M35" s="84"/>
      <c r="N35" s="84"/>
      <c r="O35" s="85"/>
    </row>
    <row r="36" spans="1:15" ht="15" customHeight="1" x14ac:dyDescent="0.3">
      <c r="A36" s="79"/>
      <c r="B36" s="80"/>
      <c r="C36" s="80"/>
      <c r="D36" s="81"/>
      <c r="E36" s="82"/>
      <c r="F36" s="80"/>
      <c r="G36" s="82"/>
      <c r="H36" s="80"/>
      <c r="I36" s="83"/>
      <c r="J36" s="84"/>
      <c r="K36" s="84"/>
      <c r="L36" s="84"/>
      <c r="M36" s="84"/>
      <c r="N36" s="84"/>
      <c r="O36" s="85"/>
    </row>
    <row r="37" spans="1:15" ht="15" customHeight="1" x14ac:dyDescent="0.3">
      <c r="A37" s="79"/>
      <c r="B37" s="80"/>
      <c r="C37" s="80"/>
      <c r="D37" s="81"/>
      <c r="E37" s="82"/>
      <c r="F37" s="80"/>
      <c r="G37" s="82"/>
      <c r="H37" s="80"/>
      <c r="I37" s="83"/>
      <c r="J37" s="84"/>
      <c r="K37" s="84"/>
      <c r="L37" s="84"/>
      <c r="M37" s="84"/>
      <c r="N37" s="84"/>
      <c r="O37" s="85"/>
    </row>
    <row r="38" spans="1:15" ht="15" customHeight="1" x14ac:dyDescent="0.3">
      <c r="A38" s="79"/>
      <c r="B38" s="80"/>
      <c r="C38" s="80"/>
      <c r="D38" s="81"/>
      <c r="E38" s="82"/>
      <c r="F38" s="80"/>
      <c r="G38" s="82"/>
      <c r="H38" s="80"/>
      <c r="I38" s="83"/>
      <c r="J38" s="84"/>
      <c r="K38" s="84"/>
      <c r="L38" s="84"/>
      <c r="M38" s="84"/>
      <c r="N38" s="84"/>
      <c r="O38" s="85"/>
    </row>
    <row r="39" spans="1:15" ht="15" customHeight="1" x14ac:dyDescent="0.3">
      <c r="A39" s="79"/>
      <c r="B39" s="80"/>
      <c r="C39" s="80"/>
      <c r="D39" s="81"/>
      <c r="E39" s="82"/>
      <c r="F39" s="80"/>
      <c r="G39" s="82"/>
      <c r="H39" s="80"/>
      <c r="I39" s="83"/>
      <c r="J39" s="84"/>
      <c r="K39" s="84"/>
      <c r="L39" s="84"/>
      <c r="M39" s="84"/>
      <c r="N39" s="84"/>
      <c r="O39" s="85"/>
    </row>
    <row r="40" spans="1:15" ht="15" customHeight="1" x14ac:dyDescent="0.3">
      <c r="A40" s="79"/>
      <c r="B40" s="80"/>
      <c r="C40" s="80"/>
      <c r="D40" s="81"/>
      <c r="E40" s="82"/>
      <c r="F40" s="80"/>
      <c r="G40" s="82"/>
      <c r="H40" s="80"/>
      <c r="I40" s="83"/>
      <c r="J40" s="84"/>
      <c r="K40" s="84"/>
      <c r="L40" s="84"/>
      <c r="M40" s="84"/>
      <c r="N40" s="84"/>
      <c r="O40" s="85"/>
    </row>
    <row r="41" spans="1:15" ht="15" customHeight="1" x14ac:dyDescent="0.3">
      <c r="A41" s="79"/>
      <c r="B41" s="80"/>
      <c r="C41" s="80"/>
      <c r="D41" s="81"/>
      <c r="E41" s="82"/>
      <c r="F41" s="80"/>
      <c r="G41" s="82"/>
      <c r="H41" s="80"/>
      <c r="I41" s="83"/>
      <c r="J41" s="84"/>
      <c r="K41" s="84"/>
      <c r="L41" s="84"/>
      <c r="M41" s="84"/>
      <c r="N41" s="84"/>
      <c r="O41" s="85"/>
    </row>
    <row r="42" spans="1:15" ht="15" customHeight="1" x14ac:dyDescent="0.3">
      <c r="A42" s="79"/>
      <c r="B42" s="80"/>
      <c r="C42" s="80"/>
      <c r="D42" s="81"/>
      <c r="E42" s="82"/>
      <c r="F42" s="80"/>
      <c r="G42" s="82"/>
      <c r="H42" s="80"/>
      <c r="I42" s="83"/>
      <c r="J42" s="84"/>
      <c r="K42" s="84"/>
      <c r="L42" s="84"/>
      <c r="M42" s="84"/>
      <c r="N42" s="84"/>
      <c r="O42" s="85"/>
    </row>
    <row r="43" spans="1:15" ht="15" customHeight="1" x14ac:dyDescent="0.3">
      <c r="A43" s="79"/>
      <c r="B43" s="80"/>
      <c r="C43" s="80"/>
      <c r="D43" s="81"/>
      <c r="E43" s="82"/>
      <c r="F43" s="80"/>
      <c r="G43" s="82"/>
      <c r="H43" s="80"/>
      <c r="I43" s="83"/>
      <c r="J43" s="84"/>
      <c r="K43" s="84"/>
      <c r="L43" s="84"/>
      <c r="M43" s="84"/>
      <c r="N43" s="84"/>
      <c r="O43" s="85"/>
    </row>
    <row r="44" spans="1:15" ht="15" customHeight="1" x14ac:dyDescent="0.3">
      <c r="A44" s="79"/>
      <c r="B44" s="80"/>
      <c r="C44" s="80"/>
      <c r="D44" s="81"/>
      <c r="E44" s="82"/>
      <c r="F44" s="80"/>
      <c r="G44" s="82"/>
      <c r="H44" s="80"/>
      <c r="I44" s="83"/>
      <c r="J44" s="84"/>
      <c r="K44" s="84"/>
      <c r="L44" s="84"/>
      <c r="M44" s="84"/>
      <c r="N44" s="84"/>
      <c r="O44" s="85"/>
    </row>
    <row r="45" spans="1:15" ht="15" customHeight="1" x14ac:dyDescent="0.3">
      <c r="A45" s="79"/>
      <c r="B45" s="80"/>
      <c r="C45" s="80"/>
      <c r="D45" s="81"/>
      <c r="E45" s="82"/>
      <c r="F45" s="80"/>
      <c r="G45" s="82"/>
      <c r="H45" s="80"/>
      <c r="I45" s="83"/>
      <c r="J45" s="84"/>
      <c r="K45" s="84"/>
      <c r="L45" s="84"/>
      <c r="M45" s="84"/>
      <c r="N45" s="84"/>
      <c r="O45" s="85"/>
    </row>
    <row r="46" spans="1:15" ht="15" customHeight="1" x14ac:dyDescent="0.3">
      <c r="A46" s="79"/>
      <c r="B46" s="80"/>
      <c r="C46" s="80"/>
      <c r="D46" s="81"/>
      <c r="E46" s="82"/>
      <c r="F46" s="80"/>
      <c r="G46" s="82"/>
      <c r="H46" s="80"/>
      <c r="I46" s="83"/>
      <c r="J46" s="84"/>
      <c r="K46" s="84"/>
      <c r="L46" s="84"/>
      <c r="M46" s="84"/>
      <c r="N46" s="84"/>
      <c r="O46" s="85"/>
    </row>
    <row r="47" spans="1:15" ht="15" customHeight="1" x14ac:dyDescent="0.3">
      <c r="A47" s="79"/>
      <c r="B47" s="80"/>
      <c r="C47" s="80"/>
      <c r="D47" s="81"/>
      <c r="E47" s="82"/>
      <c r="F47" s="80"/>
      <c r="G47" s="82"/>
      <c r="H47" s="80"/>
      <c r="I47" s="83"/>
      <c r="J47" s="84"/>
      <c r="K47" s="84"/>
      <c r="L47" s="84"/>
      <c r="M47" s="84"/>
      <c r="N47" s="84"/>
      <c r="O47" s="85"/>
    </row>
    <row r="48" spans="1:15" ht="15" customHeight="1" x14ac:dyDescent="0.3">
      <c r="A48" s="79"/>
      <c r="B48" s="80"/>
      <c r="C48" s="80"/>
      <c r="D48" s="81"/>
      <c r="E48" s="82"/>
      <c r="F48" s="80"/>
      <c r="G48" s="82"/>
      <c r="H48" s="80"/>
      <c r="I48" s="83"/>
      <c r="J48" s="84"/>
      <c r="K48" s="84"/>
      <c r="L48" s="84"/>
      <c r="M48" s="84"/>
      <c r="N48" s="84"/>
      <c r="O48" s="85"/>
    </row>
    <row r="49" spans="1:15" ht="15" customHeight="1" x14ac:dyDescent="0.3">
      <c r="A49" s="79"/>
      <c r="B49" s="80"/>
      <c r="C49" s="80"/>
      <c r="D49" s="81"/>
      <c r="E49" s="82"/>
      <c r="F49" s="80"/>
      <c r="G49" s="82"/>
      <c r="H49" s="80"/>
      <c r="I49" s="83"/>
      <c r="J49" s="84"/>
      <c r="K49" s="84"/>
      <c r="L49" s="84"/>
      <c r="M49" s="84"/>
      <c r="N49" s="84"/>
      <c r="O49" s="85"/>
    </row>
    <row r="50" spans="1:15" ht="15" customHeight="1" x14ac:dyDescent="0.3">
      <c r="A50" s="79"/>
      <c r="B50" s="80"/>
      <c r="C50" s="80"/>
      <c r="D50" s="81"/>
      <c r="E50" s="82"/>
      <c r="F50" s="80"/>
      <c r="G50" s="82"/>
      <c r="H50" s="80"/>
      <c r="I50" s="83"/>
      <c r="J50" s="84"/>
      <c r="K50" s="84"/>
      <c r="L50" s="84"/>
      <c r="M50" s="84"/>
      <c r="N50" s="84"/>
      <c r="O50" s="85"/>
    </row>
    <row r="51" spans="1:15" ht="15" customHeight="1" x14ac:dyDescent="0.3">
      <c r="A51" s="79"/>
      <c r="B51" s="80"/>
      <c r="C51" s="80"/>
      <c r="D51" s="81"/>
      <c r="E51" s="82"/>
      <c r="F51" s="80"/>
      <c r="G51" s="82"/>
      <c r="H51" s="80"/>
      <c r="I51" s="83"/>
      <c r="J51" s="84"/>
      <c r="K51" s="84"/>
      <c r="L51" s="84"/>
      <c r="M51" s="84"/>
      <c r="N51" s="84"/>
      <c r="O51" s="85"/>
    </row>
    <row r="52" spans="1:15" ht="15" customHeight="1" x14ac:dyDescent="0.3">
      <c r="A52" s="79"/>
      <c r="B52" s="80"/>
      <c r="C52" s="80"/>
      <c r="D52" s="81"/>
      <c r="E52" s="82"/>
      <c r="F52" s="80"/>
      <c r="G52" s="82"/>
      <c r="H52" s="80"/>
      <c r="I52" s="83"/>
      <c r="J52" s="84"/>
      <c r="K52" s="84"/>
      <c r="L52" s="84"/>
      <c r="M52" s="84"/>
      <c r="N52" s="84"/>
      <c r="O52" s="85"/>
    </row>
    <row r="53" spans="1:15" ht="15" customHeight="1" x14ac:dyDescent="0.3">
      <c r="A53" s="79"/>
      <c r="B53" s="80"/>
      <c r="C53" s="80"/>
      <c r="D53" s="81"/>
      <c r="E53" s="82"/>
      <c r="F53" s="80"/>
      <c r="G53" s="82"/>
      <c r="H53" s="80"/>
      <c r="I53" s="83"/>
      <c r="J53" s="84"/>
      <c r="K53" s="84"/>
      <c r="L53" s="84"/>
      <c r="M53" s="84"/>
      <c r="N53" s="84"/>
      <c r="O53" s="85"/>
    </row>
    <row r="54" spans="1:15" ht="15" customHeight="1" x14ac:dyDescent="0.3">
      <c r="A54" s="79"/>
      <c r="B54" s="80"/>
      <c r="C54" s="80"/>
      <c r="D54" s="81"/>
      <c r="E54" s="82"/>
      <c r="F54" s="80"/>
      <c r="G54" s="82"/>
      <c r="H54" s="80"/>
      <c r="I54" s="83"/>
      <c r="J54" s="84"/>
      <c r="K54" s="84"/>
      <c r="L54" s="84"/>
      <c r="M54" s="84"/>
      <c r="N54" s="84"/>
      <c r="O54" s="85"/>
    </row>
    <row r="55" spans="1:15" ht="15" customHeight="1" x14ac:dyDescent="0.3">
      <c r="A55" s="79"/>
      <c r="B55" s="80"/>
      <c r="C55" s="80"/>
      <c r="D55" s="81"/>
      <c r="E55" s="82"/>
      <c r="F55" s="80"/>
      <c r="G55" s="82"/>
      <c r="H55" s="80"/>
      <c r="I55" s="83"/>
      <c r="J55" s="84"/>
      <c r="K55" s="84"/>
      <c r="L55" s="84"/>
      <c r="M55" s="84"/>
      <c r="N55" s="84"/>
      <c r="O55" s="85"/>
    </row>
    <row r="56" spans="1:15" ht="15" customHeight="1" x14ac:dyDescent="0.3">
      <c r="A56" s="79"/>
      <c r="B56" s="80"/>
      <c r="C56" s="80"/>
      <c r="D56" s="81"/>
      <c r="E56" s="82"/>
      <c r="F56" s="80"/>
      <c r="G56" s="82"/>
      <c r="H56" s="80"/>
      <c r="I56" s="83"/>
      <c r="J56" s="84"/>
      <c r="K56" s="84"/>
      <c r="L56" s="84"/>
      <c r="M56" s="84"/>
      <c r="N56" s="84"/>
      <c r="O56" s="85"/>
    </row>
    <row r="57" spans="1:15" ht="15" customHeight="1" x14ac:dyDescent="0.3">
      <c r="A57" s="79"/>
      <c r="B57" s="80"/>
      <c r="C57" s="80"/>
      <c r="D57" s="81"/>
      <c r="E57" s="82"/>
      <c r="F57" s="80"/>
      <c r="G57" s="82"/>
      <c r="H57" s="80"/>
      <c r="I57" s="83"/>
      <c r="J57" s="84"/>
      <c r="K57" s="84"/>
      <c r="L57" s="84"/>
      <c r="M57" s="84"/>
      <c r="N57" s="84"/>
      <c r="O57" s="85"/>
    </row>
    <row r="58" spans="1:15" ht="15" customHeight="1" x14ac:dyDescent="0.3">
      <c r="A58" s="79"/>
      <c r="B58" s="80"/>
      <c r="C58" s="80"/>
      <c r="D58" s="81"/>
      <c r="E58" s="82"/>
      <c r="F58" s="80"/>
      <c r="G58" s="82"/>
      <c r="H58" s="80"/>
      <c r="I58" s="83"/>
      <c r="J58" s="84"/>
      <c r="K58" s="84"/>
      <c r="L58" s="84"/>
      <c r="M58" s="84"/>
      <c r="N58" s="84"/>
      <c r="O58" s="85"/>
    </row>
    <row r="59" spans="1:15" ht="15" customHeight="1" x14ac:dyDescent="0.3">
      <c r="A59" s="79"/>
      <c r="B59" s="80"/>
      <c r="C59" s="80"/>
      <c r="D59" s="81"/>
      <c r="E59" s="82"/>
      <c r="F59" s="80"/>
      <c r="G59" s="82"/>
      <c r="H59" s="80"/>
      <c r="I59" s="83"/>
      <c r="J59" s="84"/>
      <c r="K59" s="84"/>
      <c r="L59" s="84"/>
      <c r="M59" s="84"/>
      <c r="N59" s="84"/>
      <c r="O59" s="85"/>
    </row>
  </sheetData>
  <mergeCells count="3">
    <mergeCell ref="A1:O1"/>
    <mergeCell ref="A2:O2"/>
    <mergeCell ref="A6:O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87"/>
  <sheetViews>
    <sheetView showGridLines="0" zoomScaleNormal="100" workbookViewId="0">
      <pane ySplit="2" topLeftCell="A3" activePane="bottomLeft" state="frozen"/>
      <selection pane="bottomLeft" activeCell="B4" sqref="B4"/>
    </sheetView>
  </sheetViews>
  <sheetFormatPr defaultColWidth="8.6640625" defaultRowHeight="14.4" x14ac:dyDescent="0.3"/>
  <cols>
    <col min="1" max="1" width="6" customWidth="1"/>
    <col min="2" max="2" width="13" customWidth="1"/>
    <col min="3" max="3" width="16" customWidth="1"/>
    <col min="4" max="4" width="15" customWidth="1"/>
    <col min="5" max="5" width="9" customWidth="1"/>
    <col min="6" max="6" width="13" customWidth="1"/>
    <col min="7" max="8" width="15" customWidth="1"/>
    <col min="9" max="9" width="13" customWidth="1"/>
    <col min="10" max="10" width="12" customWidth="1"/>
    <col min="11" max="11" width="13" customWidth="1"/>
    <col min="12" max="12" width="11" customWidth="1"/>
    <col min="13" max="14" width="9" customWidth="1"/>
    <col min="15" max="15" width="15" customWidth="1"/>
    <col min="16" max="16" width="10" customWidth="1"/>
  </cols>
  <sheetData>
    <row r="1" spans="1:16" ht="24" customHeight="1" x14ac:dyDescent="0.3">
      <c r="A1" s="124" t="s">
        <v>599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</row>
    <row r="2" spans="1:16" ht="27" customHeight="1" x14ac:dyDescent="0.3">
      <c r="A2" s="86" t="s">
        <v>600</v>
      </c>
      <c r="B2" s="86" t="s">
        <v>2</v>
      </c>
      <c r="C2" s="86" t="s">
        <v>3</v>
      </c>
      <c r="D2" s="86" t="s">
        <v>601</v>
      </c>
      <c r="E2" s="86" t="s">
        <v>4</v>
      </c>
      <c r="F2" s="86" t="s">
        <v>602</v>
      </c>
      <c r="G2" s="86" t="s">
        <v>603</v>
      </c>
      <c r="H2" s="86" t="s">
        <v>604</v>
      </c>
      <c r="I2" s="86" t="s">
        <v>605</v>
      </c>
      <c r="J2" s="86" t="s">
        <v>606</v>
      </c>
      <c r="K2" s="86" t="s">
        <v>607</v>
      </c>
      <c r="L2" s="86" t="s">
        <v>608</v>
      </c>
      <c r="M2" s="86" t="s">
        <v>609</v>
      </c>
      <c r="N2" s="86" t="s">
        <v>610</v>
      </c>
      <c r="O2" s="86" t="s">
        <v>611</v>
      </c>
      <c r="P2" s="86" t="s">
        <v>612</v>
      </c>
    </row>
    <row r="3" spans="1:16" ht="14.25" customHeight="1" x14ac:dyDescent="0.3">
      <c r="A3" s="87">
        <v>1</v>
      </c>
      <c r="B3" s="88" t="s">
        <v>219</v>
      </c>
      <c r="C3" s="88" t="s">
        <v>206</v>
      </c>
      <c r="D3" s="88" t="s">
        <v>613</v>
      </c>
      <c r="E3" s="87" t="s">
        <v>207</v>
      </c>
      <c r="F3" s="89">
        <v>46203</v>
      </c>
      <c r="G3" s="90">
        <v>550</v>
      </c>
      <c r="H3" s="89">
        <f>IF(COUNTIFS(Pesagens!$B$3:$B$5001,$B3)=0,"",_xlfn.MAXIFS(Pesagens!$A$3:$A$5001,Pesagens!$B$3:$B$5001,$B3,Pesagens!$E$3:$E$5001,"&lt;&gt;"))</f>
        <v>46203</v>
      </c>
      <c r="I3" s="90">
        <f>IF($H3="","",IFERROR(AVERAGEIFS(Pesagens!$E$3:$E$5001,Pesagens!$B$3:$B$5001,$B3,Pesagens!$A$3:$A$5001,$H3),""))</f>
        <v>550</v>
      </c>
      <c r="J3" s="87">
        <f>IF(F3="","",Parâmetros!$C$4-F3)</f>
        <v>43</v>
      </c>
      <c r="K3" s="90">
        <f t="shared" ref="K3:K66" si="0">IF(OR(I3="",G3=""),"",I3-G3)</f>
        <v>0</v>
      </c>
      <c r="L3" s="91" t="str">
        <f t="shared" ref="L3:L66" si="1">IF(OR(I3="",G3="",H3&lt;=F3),"",(I3-G3)/(H3-F3))</f>
        <v/>
      </c>
      <c r="M3" s="92">
        <f>IF(I3="","",I3*Parâmetros!$C$8/15)</f>
        <v>19.433333333333334</v>
      </c>
      <c r="N3" s="92">
        <f>IF(K3="","",K3*Parâmetros!$C$8/15)</f>
        <v>0</v>
      </c>
      <c r="O3" s="93">
        <f>IF(M3="","",M3*Parâmetros!$C$5)</f>
        <v>6024.333333333333</v>
      </c>
      <c r="P3" s="87" t="str">
        <f>IF(L3="","",IF(L3&gt;=Parâmetros!$C$10,"Sim","Não"))</f>
        <v/>
      </c>
    </row>
    <row r="4" spans="1:16" ht="14.25" customHeight="1" x14ac:dyDescent="0.3">
      <c r="A4" s="94">
        <v>2</v>
      </c>
      <c r="B4" s="95" t="s">
        <v>220</v>
      </c>
      <c r="C4" s="95" t="s">
        <v>206</v>
      </c>
      <c r="D4" s="95" t="s">
        <v>613</v>
      </c>
      <c r="E4" s="94" t="s">
        <v>207</v>
      </c>
      <c r="F4" s="96">
        <v>46203</v>
      </c>
      <c r="G4" s="97">
        <v>564</v>
      </c>
      <c r="H4" s="96">
        <f>IF(COUNTIFS(Pesagens!$B$3:$B$5001,$B4)=0,"",_xlfn.MAXIFS(Pesagens!$A$3:$A$5001,Pesagens!$B$3:$B$5001,$B4,Pesagens!$E$3:$E$5001,"&lt;&gt;"))</f>
        <v>46203</v>
      </c>
      <c r="I4" s="97">
        <f>IF($H4="","",IFERROR(AVERAGEIFS(Pesagens!$E$3:$E$5001,Pesagens!$B$3:$B$5001,$B4,Pesagens!$A$3:$A$5001,$H4),""))</f>
        <v>564</v>
      </c>
      <c r="J4" s="94">
        <f>IF(F4="","",Parâmetros!$C$4-F4)</f>
        <v>43</v>
      </c>
      <c r="K4" s="97">
        <f t="shared" si="0"/>
        <v>0</v>
      </c>
      <c r="L4" s="98" t="str">
        <f t="shared" si="1"/>
        <v/>
      </c>
      <c r="M4" s="99">
        <f>IF(I4="","",I4*Parâmetros!$C$8/15)</f>
        <v>19.928000000000001</v>
      </c>
      <c r="N4" s="99">
        <f>IF(K4="","",K4*Parâmetros!$C$8/15)</f>
        <v>0</v>
      </c>
      <c r="O4" s="100">
        <f>IF(M4="","",M4*Parâmetros!$C$5)</f>
        <v>6177.68</v>
      </c>
      <c r="P4" s="94" t="str">
        <f>IF(L4="","",IF(L4&gt;=Parâmetros!$C$10,"Sim","Não"))</f>
        <v/>
      </c>
    </row>
    <row r="5" spans="1:16" ht="14.25" customHeight="1" x14ac:dyDescent="0.3">
      <c r="A5" s="87">
        <v>3</v>
      </c>
      <c r="B5" s="88" t="s">
        <v>205</v>
      </c>
      <c r="C5" s="88" t="s">
        <v>206</v>
      </c>
      <c r="D5" s="88" t="s">
        <v>613</v>
      </c>
      <c r="E5" s="87" t="s">
        <v>207</v>
      </c>
      <c r="F5" s="89">
        <v>46203</v>
      </c>
      <c r="G5" s="90">
        <v>516</v>
      </c>
      <c r="H5" s="89">
        <f>IF(COUNTIFS(Pesagens!$B$3:$B$5001,$B5)=0,"",_xlfn.MAXIFS(Pesagens!$A$3:$A$5001,Pesagens!$B$3:$B$5001,$B5,Pesagens!$E$3:$E$5001,"&lt;&gt;"))</f>
        <v>46203</v>
      </c>
      <c r="I5" s="90">
        <f>IF($H5="","",IFERROR(AVERAGEIFS(Pesagens!$E$3:$E$5001,Pesagens!$B$3:$B$5001,$B5,Pesagens!$A$3:$A$5001,$H5),""))</f>
        <v>516</v>
      </c>
      <c r="J5" s="87">
        <f>IF(F5="","",Parâmetros!$C$4-F5)</f>
        <v>43</v>
      </c>
      <c r="K5" s="90">
        <f t="shared" si="0"/>
        <v>0</v>
      </c>
      <c r="L5" s="91" t="str">
        <f t="shared" si="1"/>
        <v/>
      </c>
      <c r="M5" s="92">
        <f>IF(I5="","",I5*Parâmetros!$C$8/15)</f>
        <v>18.232000000000003</v>
      </c>
      <c r="N5" s="92">
        <f>IF(K5="","",K5*Parâmetros!$C$8/15)</f>
        <v>0</v>
      </c>
      <c r="O5" s="93">
        <f>IF(M5="","",M5*Parâmetros!$C$5)</f>
        <v>5651.920000000001</v>
      </c>
      <c r="P5" s="87" t="str">
        <f>IF(L5="","",IF(L5&gt;=Parâmetros!$C$10,"Sim","Não"))</f>
        <v/>
      </c>
    </row>
    <row r="6" spans="1:16" ht="14.25" customHeight="1" x14ac:dyDescent="0.3">
      <c r="A6" s="94">
        <v>4</v>
      </c>
      <c r="B6" s="95" t="s">
        <v>209</v>
      </c>
      <c r="C6" s="95" t="s">
        <v>206</v>
      </c>
      <c r="D6" s="95" t="s">
        <v>613</v>
      </c>
      <c r="E6" s="94" t="s">
        <v>207</v>
      </c>
      <c r="F6" s="96">
        <v>46203</v>
      </c>
      <c r="G6" s="97">
        <v>533</v>
      </c>
      <c r="H6" s="96">
        <f>IF(COUNTIFS(Pesagens!$B$3:$B$5001,$B6)=0,"",_xlfn.MAXIFS(Pesagens!$A$3:$A$5001,Pesagens!$B$3:$B$5001,$B6,Pesagens!$E$3:$E$5001,"&lt;&gt;"))</f>
        <v>46203</v>
      </c>
      <c r="I6" s="97">
        <f>IF($H6="","",IFERROR(AVERAGEIFS(Pesagens!$E$3:$E$5001,Pesagens!$B$3:$B$5001,$B6,Pesagens!$A$3:$A$5001,$H6),""))</f>
        <v>533</v>
      </c>
      <c r="J6" s="94">
        <f>IF(F6="","",Parâmetros!$C$4-F6)</f>
        <v>43</v>
      </c>
      <c r="K6" s="97">
        <f t="shared" si="0"/>
        <v>0</v>
      </c>
      <c r="L6" s="98" t="str">
        <f t="shared" si="1"/>
        <v/>
      </c>
      <c r="M6" s="99">
        <f>IF(I6="","",I6*Parâmetros!$C$8/15)</f>
        <v>18.832666666666668</v>
      </c>
      <c r="N6" s="99">
        <f>IF(K6="","",K6*Parâmetros!$C$8/15)</f>
        <v>0</v>
      </c>
      <c r="O6" s="100">
        <f>IF(M6="","",M6*Parâmetros!$C$5)</f>
        <v>5838.126666666667</v>
      </c>
      <c r="P6" s="94" t="str">
        <f>IF(L6="","",IF(L6&gt;=Parâmetros!$C$10,"Sim","Não"))</f>
        <v/>
      </c>
    </row>
    <row r="7" spans="1:16" ht="14.25" customHeight="1" x14ac:dyDescent="0.3">
      <c r="A7" s="87">
        <v>5</v>
      </c>
      <c r="B7" s="88" t="s">
        <v>210</v>
      </c>
      <c r="C7" s="88" t="s">
        <v>206</v>
      </c>
      <c r="D7" s="88" t="s">
        <v>613</v>
      </c>
      <c r="E7" s="87" t="s">
        <v>207</v>
      </c>
      <c r="F7" s="89">
        <v>46203</v>
      </c>
      <c r="G7" s="90">
        <v>586</v>
      </c>
      <c r="H7" s="89">
        <f>IF(COUNTIFS(Pesagens!$B$3:$B$5001,$B7)=0,"",_xlfn.MAXIFS(Pesagens!$A$3:$A$5001,Pesagens!$B$3:$B$5001,$B7,Pesagens!$E$3:$E$5001,"&lt;&gt;"))</f>
        <v>46203</v>
      </c>
      <c r="I7" s="90">
        <f>IF($H7="","",IFERROR(AVERAGEIFS(Pesagens!$E$3:$E$5001,Pesagens!$B$3:$B$5001,$B7,Pesagens!$A$3:$A$5001,$H7),""))</f>
        <v>586</v>
      </c>
      <c r="J7" s="87">
        <f>IF(F7="","",Parâmetros!$C$4-F7)</f>
        <v>43</v>
      </c>
      <c r="K7" s="90">
        <f t="shared" si="0"/>
        <v>0</v>
      </c>
      <c r="L7" s="91" t="str">
        <f t="shared" si="1"/>
        <v/>
      </c>
      <c r="M7" s="92">
        <f>IF(I7="","",I7*Parâmetros!$C$8/15)</f>
        <v>20.705333333333336</v>
      </c>
      <c r="N7" s="92">
        <f>IF(K7="","",K7*Parâmetros!$C$8/15)</f>
        <v>0</v>
      </c>
      <c r="O7" s="93">
        <f>IF(M7="","",M7*Parâmetros!$C$5)</f>
        <v>6418.6533333333336</v>
      </c>
      <c r="P7" s="87" t="str">
        <f>IF(L7="","",IF(L7&gt;=Parâmetros!$C$10,"Sim","Não"))</f>
        <v/>
      </c>
    </row>
    <row r="8" spans="1:16" ht="14.25" customHeight="1" x14ac:dyDescent="0.3">
      <c r="A8" s="94">
        <v>6</v>
      </c>
      <c r="B8" s="95" t="s">
        <v>211</v>
      </c>
      <c r="C8" s="95" t="s">
        <v>206</v>
      </c>
      <c r="D8" s="95" t="s">
        <v>613</v>
      </c>
      <c r="E8" s="94" t="s">
        <v>207</v>
      </c>
      <c r="F8" s="96">
        <v>46203</v>
      </c>
      <c r="G8" s="97">
        <v>553</v>
      </c>
      <c r="H8" s="96">
        <f>IF(COUNTIFS(Pesagens!$B$3:$B$5001,$B8)=0,"",_xlfn.MAXIFS(Pesagens!$A$3:$A$5001,Pesagens!$B$3:$B$5001,$B8,Pesagens!$E$3:$E$5001,"&lt;&gt;"))</f>
        <v>46203</v>
      </c>
      <c r="I8" s="97">
        <f>IF($H8="","",IFERROR(AVERAGEIFS(Pesagens!$E$3:$E$5001,Pesagens!$B$3:$B$5001,$B8,Pesagens!$A$3:$A$5001,$H8),""))</f>
        <v>553</v>
      </c>
      <c r="J8" s="94">
        <f>IF(F8="","",Parâmetros!$C$4-F8)</f>
        <v>43</v>
      </c>
      <c r="K8" s="97">
        <f t="shared" si="0"/>
        <v>0</v>
      </c>
      <c r="L8" s="98" t="str">
        <f t="shared" si="1"/>
        <v/>
      </c>
      <c r="M8" s="99">
        <f>IF(I8="","",I8*Parâmetros!$C$8/15)</f>
        <v>19.539333333333335</v>
      </c>
      <c r="N8" s="99">
        <f>IF(K8="","",K8*Parâmetros!$C$8/15)</f>
        <v>0</v>
      </c>
      <c r="O8" s="100">
        <f>IF(M8="","",M8*Parâmetros!$C$5)</f>
        <v>6057.1933333333336</v>
      </c>
      <c r="P8" s="94" t="str">
        <f>IF(L8="","",IF(L8&gt;=Parâmetros!$C$10,"Sim","Não"))</f>
        <v/>
      </c>
    </row>
    <row r="9" spans="1:16" ht="14.25" customHeight="1" x14ac:dyDescent="0.3">
      <c r="A9" s="87">
        <v>7</v>
      </c>
      <c r="B9" s="88" t="s">
        <v>215</v>
      </c>
      <c r="C9" s="88" t="s">
        <v>206</v>
      </c>
      <c r="D9" s="88" t="s">
        <v>613</v>
      </c>
      <c r="E9" s="87" t="s">
        <v>207</v>
      </c>
      <c r="F9" s="89">
        <v>46203</v>
      </c>
      <c r="G9" s="90">
        <v>566</v>
      </c>
      <c r="H9" s="89">
        <f>IF(COUNTIFS(Pesagens!$B$3:$B$5001,$B9)=0,"",_xlfn.MAXIFS(Pesagens!$A$3:$A$5001,Pesagens!$B$3:$B$5001,$B9,Pesagens!$E$3:$E$5001,"&lt;&gt;"))</f>
        <v>46203</v>
      </c>
      <c r="I9" s="90">
        <f>IF($H9="","",IFERROR(AVERAGEIFS(Pesagens!$E$3:$E$5001,Pesagens!$B$3:$B$5001,$B9,Pesagens!$A$3:$A$5001,$H9),""))</f>
        <v>566</v>
      </c>
      <c r="J9" s="87">
        <f>IF(F9="","",Parâmetros!$C$4-F9)</f>
        <v>43</v>
      </c>
      <c r="K9" s="90">
        <f t="shared" si="0"/>
        <v>0</v>
      </c>
      <c r="L9" s="91" t="str">
        <f t="shared" si="1"/>
        <v/>
      </c>
      <c r="M9" s="92">
        <f>IF(I9="","",I9*Parâmetros!$C$8/15)</f>
        <v>19.998666666666669</v>
      </c>
      <c r="N9" s="92">
        <f>IF(K9="","",K9*Parâmetros!$C$8/15)</f>
        <v>0</v>
      </c>
      <c r="O9" s="93">
        <f>IF(M9="","",M9*Parâmetros!$C$5)</f>
        <v>6199.586666666667</v>
      </c>
      <c r="P9" s="87" t="str">
        <f>IF(L9="","",IF(L9&gt;=Parâmetros!$C$10,"Sim","Não"))</f>
        <v/>
      </c>
    </row>
    <row r="10" spans="1:16" ht="14.25" customHeight="1" x14ac:dyDescent="0.3">
      <c r="A10" s="94">
        <v>8</v>
      </c>
      <c r="B10" s="95" t="s">
        <v>216</v>
      </c>
      <c r="C10" s="95" t="s">
        <v>206</v>
      </c>
      <c r="D10" s="95" t="s">
        <v>613</v>
      </c>
      <c r="E10" s="94" t="s">
        <v>207</v>
      </c>
      <c r="F10" s="96">
        <v>46203</v>
      </c>
      <c r="G10" s="97">
        <v>518</v>
      </c>
      <c r="H10" s="96">
        <f>IF(COUNTIFS(Pesagens!$B$3:$B$5001,$B10)=0,"",_xlfn.MAXIFS(Pesagens!$A$3:$A$5001,Pesagens!$B$3:$B$5001,$B10,Pesagens!$E$3:$E$5001,"&lt;&gt;"))</f>
        <v>46203</v>
      </c>
      <c r="I10" s="97">
        <f>IF($H10="","",IFERROR(AVERAGEIFS(Pesagens!$E$3:$E$5001,Pesagens!$B$3:$B$5001,$B10,Pesagens!$A$3:$A$5001,$H10),""))</f>
        <v>518</v>
      </c>
      <c r="J10" s="94">
        <f>IF(F10="","",Parâmetros!$C$4-F10)</f>
        <v>43</v>
      </c>
      <c r="K10" s="97">
        <f t="shared" si="0"/>
        <v>0</v>
      </c>
      <c r="L10" s="98" t="str">
        <f t="shared" si="1"/>
        <v/>
      </c>
      <c r="M10" s="99">
        <f>IF(I10="","",I10*Parâmetros!$C$8/15)</f>
        <v>18.302666666666667</v>
      </c>
      <c r="N10" s="99">
        <f>IF(K10="","",K10*Parâmetros!$C$8/15)</f>
        <v>0</v>
      </c>
      <c r="O10" s="100">
        <f>IF(M10="","",M10*Parâmetros!$C$5)</f>
        <v>5673.8266666666668</v>
      </c>
      <c r="P10" s="94" t="str">
        <f>IF(L10="","",IF(L10&gt;=Parâmetros!$C$10,"Sim","Não"))</f>
        <v/>
      </c>
    </row>
    <row r="11" spans="1:16" ht="14.25" customHeight="1" x14ac:dyDescent="0.3">
      <c r="A11" s="87">
        <v>9</v>
      </c>
      <c r="B11" s="88" t="s">
        <v>223</v>
      </c>
      <c r="C11" s="88" t="s">
        <v>206</v>
      </c>
      <c r="D11" s="88" t="s">
        <v>613</v>
      </c>
      <c r="E11" s="87" t="s">
        <v>207</v>
      </c>
      <c r="F11" s="89">
        <v>46203</v>
      </c>
      <c r="G11" s="90">
        <v>670</v>
      </c>
      <c r="H11" s="89">
        <f>IF(COUNTIFS(Pesagens!$B$3:$B$5001,$B11)=0,"",_xlfn.MAXIFS(Pesagens!$A$3:$A$5001,Pesagens!$B$3:$B$5001,$B11,Pesagens!$E$3:$E$5001,"&lt;&gt;"))</f>
        <v>46203</v>
      </c>
      <c r="I11" s="90">
        <f>IF($H11="","",IFERROR(AVERAGEIFS(Pesagens!$E$3:$E$5001,Pesagens!$B$3:$B$5001,$B11,Pesagens!$A$3:$A$5001,$H11),""))</f>
        <v>670</v>
      </c>
      <c r="J11" s="87">
        <f>IF(F11="","",Parâmetros!$C$4-F11)</f>
        <v>43</v>
      </c>
      <c r="K11" s="90">
        <f t="shared" si="0"/>
        <v>0</v>
      </c>
      <c r="L11" s="91" t="str">
        <f t="shared" si="1"/>
        <v/>
      </c>
      <c r="M11" s="92">
        <f>IF(I11="","",I11*Parâmetros!$C$8/15)</f>
        <v>23.673333333333336</v>
      </c>
      <c r="N11" s="92">
        <f>IF(K11="","",K11*Parâmetros!$C$8/15)</f>
        <v>0</v>
      </c>
      <c r="O11" s="93">
        <f>IF(M11="","",M11*Parâmetros!$C$5)</f>
        <v>7338.7333333333336</v>
      </c>
      <c r="P11" s="87" t="str">
        <f>IF(L11="","",IF(L11&gt;=Parâmetros!$C$10,"Sim","Não"))</f>
        <v/>
      </c>
    </row>
    <row r="12" spans="1:16" ht="14.25" customHeight="1" x14ac:dyDescent="0.3">
      <c r="A12" s="94">
        <v>10</v>
      </c>
      <c r="B12" s="95" t="s">
        <v>226</v>
      </c>
      <c r="C12" s="95" t="s">
        <v>206</v>
      </c>
      <c r="D12" s="95" t="s">
        <v>613</v>
      </c>
      <c r="E12" s="94" t="s">
        <v>207</v>
      </c>
      <c r="F12" s="96">
        <v>46203</v>
      </c>
      <c r="G12" s="97">
        <v>577</v>
      </c>
      <c r="H12" s="96">
        <f>IF(COUNTIFS(Pesagens!$B$3:$B$5001,$B12)=0,"",_xlfn.MAXIFS(Pesagens!$A$3:$A$5001,Pesagens!$B$3:$B$5001,$B12,Pesagens!$E$3:$E$5001,"&lt;&gt;"))</f>
        <v>46203</v>
      </c>
      <c r="I12" s="97">
        <f>IF($H12="","",IFERROR(AVERAGEIFS(Pesagens!$E$3:$E$5001,Pesagens!$B$3:$B$5001,$B12,Pesagens!$A$3:$A$5001,$H12),""))</f>
        <v>577</v>
      </c>
      <c r="J12" s="94">
        <f>IF(F12="","",Parâmetros!$C$4-F12)</f>
        <v>43</v>
      </c>
      <c r="K12" s="97">
        <f t="shared" si="0"/>
        <v>0</v>
      </c>
      <c r="L12" s="98" t="str">
        <f t="shared" si="1"/>
        <v/>
      </c>
      <c r="M12" s="99">
        <f>IF(I12="","",I12*Parâmetros!$C$8/15)</f>
        <v>20.387333333333334</v>
      </c>
      <c r="N12" s="99">
        <f>IF(K12="","",K12*Parâmetros!$C$8/15)</f>
        <v>0</v>
      </c>
      <c r="O12" s="100">
        <f>IF(M12="","",M12*Parâmetros!$C$5)</f>
        <v>6320.0733333333337</v>
      </c>
      <c r="P12" s="94" t="str">
        <f>IF(L12="","",IF(L12&gt;=Parâmetros!$C$10,"Sim","Não"))</f>
        <v/>
      </c>
    </row>
    <row r="13" spans="1:16" ht="14.25" customHeight="1" x14ac:dyDescent="0.3">
      <c r="A13" s="87">
        <v>11</v>
      </c>
      <c r="B13" s="88" t="s">
        <v>227</v>
      </c>
      <c r="C13" s="88" t="s">
        <v>206</v>
      </c>
      <c r="D13" s="88" t="s">
        <v>613</v>
      </c>
      <c r="E13" s="87" t="s">
        <v>207</v>
      </c>
      <c r="F13" s="89">
        <v>46203</v>
      </c>
      <c r="G13" s="90">
        <v>548</v>
      </c>
      <c r="H13" s="89">
        <f>IF(COUNTIFS(Pesagens!$B$3:$B$5001,$B13)=0,"",_xlfn.MAXIFS(Pesagens!$A$3:$A$5001,Pesagens!$B$3:$B$5001,$B13,Pesagens!$E$3:$E$5001,"&lt;&gt;"))</f>
        <v>46203</v>
      </c>
      <c r="I13" s="90">
        <f>IF($H13="","",IFERROR(AVERAGEIFS(Pesagens!$E$3:$E$5001,Pesagens!$B$3:$B$5001,$B13,Pesagens!$A$3:$A$5001,$H13),""))</f>
        <v>548</v>
      </c>
      <c r="J13" s="87">
        <f>IF(F13="","",Parâmetros!$C$4-F13)</f>
        <v>43</v>
      </c>
      <c r="K13" s="90">
        <f t="shared" si="0"/>
        <v>0</v>
      </c>
      <c r="L13" s="91" t="str">
        <f t="shared" si="1"/>
        <v/>
      </c>
      <c r="M13" s="92">
        <f>IF(I13="","",I13*Parâmetros!$C$8/15)</f>
        <v>19.362666666666666</v>
      </c>
      <c r="N13" s="92">
        <f>IF(K13="","",K13*Parâmetros!$C$8/15)</f>
        <v>0</v>
      </c>
      <c r="O13" s="93">
        <f>IF(M13="","",M13*Parâmetros!$C$5)</f>
        <v>6002.4266666666663</v>
      </c>
      <c r="P13" s="87" t="str">
        <f>IF(L13="","",IF(L13&gt;=Parâmetros!$C$10,"Sim","Não"))</f>
        <v/>
      </c>
    </row>
    <row r="14" spans="1:16" ht="14.25" customHeight="1" x14ac:dyDescent="0.3">
      <c r="A14" s="94">
        <v>12</v>
      </c>
      <c r="B14" s="95" t="s">
        <v>228</v>
      </c>
      <c r="C14" s="95" t="s">
        <v>206</v>
      </c>
      <c r="D14" s="95" t="s">
        <v>613</v>
      </c>
      <c r="E14" s="94" t="s">
        <v>207</v>
      </c>
      <c r="F14" s="96">
        <v>46203</v>
      </c>
      <c r="G14" s="97">
        <v>508</v>
      </c>
      <c r="H14" s="96">
        <f>IF(COUNTIFS(Pesagens!$B$3:$B$5001,$B14)=0,"",_xlfn.MAXIFS(Pesagens!$A$3:$A$5001,Pesagens!$B$3:$B$5001,$B14,Pesagens!$E$3:$E$5001,"&lt;&gt;"))</f>
        <v>46203</v>
      </c>
      <c r="I14" s="97">
        <f>IF($H14="","",IFERROR(AVERAGEIFS(Pesagens!$E$3:$E$5001,Pesagens!$B$3:$B$5001,$B14,Pesagens!$A$3:$A$5001,$H14),""))</f>
        <v>508</v>
      </c>
      <c r="J14" s="94">
        <f>IF(F14="","",Parâmetros!$C$4-F14)</f>
        <v>43</v>
      </c>
      <c r="K14" s="97">
        <f t="shared" si="0"/>
        <v>0</v>
      </c>
      <c r="L14" s="98" t="str">
        <f t="shared" si="1"/>
        <v/>
      </c>
      <c r="M14" s="99">
        <f>IF(I14="","",I14*Parâmetros!$C$8/15)</f>
        <v>17.949333333333335</v>
      </c>
      <c r="N14" s="99">
        <f>IF(K14="","",K14*Parâmetros!$C$8/15)</f>
        <v>0</v>
      </c>
      <c r="O14" s="100">
        <f>IF(M14="","",M14*Parâmetros!$C$5)</f>
        <v>5564.293333333334</v>
      </c>
      <c r="P14" s="94" t="str">
        <f>IF(L14="","",IF(L14&gt;=Parâmetros!$C$10,"Sim","Não"))</f>
        <v/>
      </c>
    </row>
    <row r="15" spans="1:16" ht="14.25" customHeight="1" x14ac:dyDescent="0.3">
      <c r="A15" s="87">
        <v>13</v>
      </c>
      <c r="B15" s="88" t="s">
        <v>230</v>
      </c>
      <c r="C15" s="88" t="s">
        <v>206</v>
      </c>
      <c r="D15" s="88" t="s">
        <v>613</v>
      </c>
      <c r="E15" s="87" t="s">
        <v>207</v>
      </c>
      <c r="F15" s="89">
        <v>46203</v>
      </c>
      <c r="G15" s="90">
        <v>584</v>
      </c>
      <c r="H15" s="89">
        <f>IF(COUNTIFS(Pesagens!$B$3:$B$5001,$B15)=0,"",_xlfn.MAXIFS(Pesagens!$A$3:$A$5001,Pesagens!$B$3:$B$5001,$B15,Pesagens!$E$3:$E$5001,"&lt;&gt;"))</f>
        <v>46203</v>
      </c>
      <c r="I15" s="90">
        <f>IF($H15="","",IFERROR(AVERAGEIFS(Pesagens!$E$3:$E$5001,Pesagens!$B$3:$B$5001,$B15,Pesagens!$A$3:$A$5001,$H15),""))</f>
        <v>584</v>
      </c>
      <c r="J15" s="87">
        <f>IF(F15="","",Parâmetros!$C$4-F15)</f>
        <v>43</v>
      </c>
      <c r="K15" s="90">
        <f t="shared" si="0"/>
        <v>0</v>
      </c>
      <c r="L15" s="91" t="str">
        <f t="shared" si="1"/>
        <v/>
      </c>
      <c r="M15" s="92">
        <f>IF(I15="","",I15*Parâmetros!$C$8/15)</f>
        <v>20.634666666666668</v>
      </c>
      <c r="N15" s="92">
        <f>IF(K15="","",K15*Parâmetros!$C$8/15)</f>
        <v>0</v>
      </c>
      <c r="O15" s="93">
        <f>IF(M15="","",M15*Parâmetros!$C$5)</f>
        <v>6396.7466666666669</v>
      </c>
      <c r="P15" s="87" t="str">
        <f>IF(L15="","",IF(L15&gt;=Parâmetros!$C$10,"Sim","Não"))</f>
        <v/>
      </c>
    </row>
    <row r="16" spans="1:16" ht="14.25" customHeight="1" x14ac:dyDescent="0.3">
      <c r="A16" s="94">
        <v>14</v>
      </c>
      <c r="B16" s="95" t="s">
        <v>231</v>
      </c>
      <c r="C16" s="95" t="s">
        <v>206</v>
      </c>
      <c r="D16" s="95" t="s">
        <v>613</v>
      </c>
      <c r="E16" s="94" t="s">
        <v>207</v>
      </c>
      <c r="F16" s="96">
        <v>46203</v>
      </c>
      <c r="G16" s="97">
        <v>501</v>
      </c>
      <c r="H16" s="96">
        <f>IF(COUNTIFS(Pesagens!$B$3:$B$5001,$B16)=0,"",_xlfn.MAXIFS(Pesagens!$A$3:$A$5001,Pesagens!$B$3:$B$5001,$B16,Pesagens!$E$3:$E$5001,"&lt;&gt;"))</f>
        <v>46203</v>
      </c>
      <c r="I16" s="97">
        <f>IF($H16="","",IFERROR(AVERAGEIFS(Pesagens!$E$3:$E$5001,Pesagens!$B$3:$B$5001,$B16,Pesagens!$A$3:$A$5001,$H16),""))</f>
        <v>501</v>
      </c>
      <c r="J16" s="94">
        <f>IF(F16="","",Parâmetros!$C$4-F16)</f>
        <v>43</v>
      </c>
      <c r="K16" s="97">
        <f t="shared" si="0"/>
        <v>0</v>
      </c>
      <c r="L16" s="98" t="str">
        <f t="shared" si="1"/>
        <v/>
      </c>
      <c r="M16" s="99">
        <f>IF(I16="","",I16*Parâmetros!$C$8/15)</f>
        <v>17.702000000000002</v>
      </c>
      <c r="N16" s="99">
        <f>IF(K16="","",K16*Parâmetros!$C$8/15)</f>
        <v>0</v>
      </c>
      <c r="O16" s="100">
        <f>IF(M16="","",M16*Parâmetros!$C$5)</f>
        <v>5487.6200000000008</v>
      </c>
      <c r="P16" s="94" t="str">
        <f>IF(L16="","",IF(L16&gt;=Parâmetros!$C$10,"Sim","Não"))</f>
        <v/>
      </c>
    </row>
    <row r="17" spans="1:16" ht="14.25" customHeight="1" x14ac:dyDescent="0.3">
      <c r="A17" s="87">
        <v>15</v>
      </c>
      <c r="B17" s="88" t="s">
        <v>233</v>
      </c>
      <c r="C17" s="88" t="s">
        <v>206</v>
      </c>
      <c r="D17" s="88" t="s">
        <v>613</v>
      </c>
      <c r="E17" s="87" t="s">
        <v>207</v>
      </c>
      <c r="F17" s="89">
        <v>46203</v>
      </c>
      <c r="G17" s="90">
        <v>546</v>
      </c>
      <c r="H17" s="89">
        <f>IF(COUNTIFS(Pesagens!$B$3:$B$5001,$B17)=0,"",_xlfn.MAXIFS(Pesagens!$A$3:$A$5001,Pesagens!$B$3:$B$5001,$B17,Pesagens!$E$3:$E$5001,"&lt;&gt;"))</f>
        <v>46203</v>
      </c>
      <c r="I17" s="90">
        <f>IF($H17="","",IFERROR(AVERAGEIFS(Pesagens!$E$3:$E$5001,Pesagens!$B$3:$B$5001,$B17,Pesagens!$A$3:$A$5001,$H17),""))</f>
        <v>546</v>
      </c>
      <c r="J17" s="87">
        <f>IF(F17="","",Parâmetros!$C$4-F17)</f>
        <v>43</v>
      </c>
      <c r="K17" s="90">
        <f t="shared" si="0"/>
        <v>0</v>
      </c>
      <c r="L17" s="91" t="str">
        <f t="shared" si="1"/>
        <v/>
      </c>
      <c r="M17" s="92">
        <f>IF(I17="","",I17*Parâmetros!$C$8/15)</f>
        <v>19.291999999999998</v>
      </c>
      <c r="N17" s="92">
        <f>IF(K17="","",K17*Parâmetros!$C$8/15)</f>
        <v>0</v>
      </c>
      <c r="O17" s="93">
        <f>IF(M17="","",M17*Parâmetros!$C$5)</f>
        <v>5980.5199999999995</v>
      </c>
      <c r="P17" s="87" t="str">
        <f>IF(L17="","",IF(L17&gt;=Parâmetros!$C$10,"Sim","Não"))</f>
        <v/>
      </c>
    </row>
    <row r="18" spans="1:16" ht="14.25" customHeight="1" x14ac:dyDescent="0.3">
      <c r="A18" s="94">
        <v>16</v>
      </c>
      <c r="B18" s="95" t="s">
        <v>234</v>
      </c>
      <c r="C18" s="95" t="s">
        <v>206</v>
      </c>
      <c r="D18" s="95" t="s">
        <v>613</v>
      </c>
      <c r="E18" s="94" t="s">
        <v>207</v>
      </c>
      <c r="F18" s="96">
        <v>46203</v>
      </c>
      <c r="G18" s="97">
        <v>519</v>
      </c>
      <c r="H18" s="96">
        <f>IF(COUNTIFS(Pesagens!$B$3:$B$5001,$B18)=0,"",_xlfn.MAXIFS(Pesagens!$A$3:$A$5001,Pesagens!$B$3:$B$5001,$B18,Pesagens!$E$3:$E$5001,"&lt;&gt;"))</f>
        <v>46203</v>
      </c>
      <c r="I18" s="97">
        <f>IF($H18="","",IFERROR(AVERAGEIFS(Pesagens!$E$3:$E$5001,Pesagens!$B$3:$B$5001,$B18,Pesagens!$A$3:$A$5001,$H18),""))</f>
        <v>519</v>
      </c>
      <c r="J18" s="94">
        <f>IF(F18="","",Parâmetros!$C$4-F18)</f>
        <v>43</v>
      </c>
      <c r="K18" s="97">
        <f t="shared" si="0"/>
        <v>0</v>
      </c>
      <c r="L18" s="98" t="str">
        <f t="shared" si="1"/>
        <v/>
      </c>
      <c r="M18" s="99">
        <f>IF(I18="","",I18*Parâmetros!$C$8/15)</f>
        <v>18.338000000000001</v>
      </c>
      <c r="N18" s="99">
        <f>IF(K18="","",K18*Parâmetros!$C$8/15)</f>
        <v>0</v>
      </c>
      <c r="O18" s="100">
        <f>IF(M18="","",M18*Parâmetros!$C$5)</f>
        <v>5684.7800000000007</v>
      </c>
      <c r="P18" s="94" t="str">
        <f>IF(L18="","",IF(L18&gt;=Parâmetros!$C$10,"Sim","Não"))</f>
        <v/>
      </c>
    </row>
    <row r="19" spans="1:16" ht="14.25" customHeight="1" x14ac:dyDescent="0.3">
      <c r="A19" s="87">
        <v>17</v>
      </c>
      <c r="B19" s="88" t="s">
        <v>236</v>
      </c>
      <c r="C19" s="88" t="s">
        <v>206</v>
      </c>
      <c r="D19" s="88" t="s">
        <v>613</v>
      </c>
      <c r="E19" s="87" t="s">
        <v>207</v>
      </c>
      <c r="F19" s="89">
        <v>46203</v>
      </c>
      <c r="G19" s="90">
        <v>555</v>
      </c>
      <c r="H19" s="89">
        <f>IF(COUNTIFS(Pesagens!$B$3:$B$5001,$B19)=0,"",_xlfn.MAXIFS(Pesagens!$A$3:$A$5001,Pesagens!$B$3:$B$5001,$B19,Pesagens!$E$3:$E$5001,"&lt;&gt;"))</f>
        <v>46203</v>
      </c>
      <c r="I19" s="90">
        <f>IF($H19="","",IFERROR(AVERAGEIFS(Pesagens!$E$3:$E$5001,Pesagens!$B$3:$B$5001,$B19,Pesagens!$A$3:$A$5001,$H19),""))</f>
        <v>555</v>
      </c>
      <c r="J19" s="87">
        <f>IF(F19="","",Parâmetros!$C$4-F19)</f>
        <v>43</v>
      </c>
      <c r="K19" s="90">
        <f t="shared" si="0"/>
        <v>0</v>
      </c>
      <c r="L19" s="91" t="str">
        <f t="shared" si="1"/>
        <v/>
      </c>
      <c r="M19" s="92">
        <f>IF(I19="","",I19*Parâmetros!$C$8/15)</f>
        <v>19.610000000000003</v>
      </c>
      <c r="N19" s="92">
        <f>IF(K19="","",K19*Parâmetros!$C$8/15)</f>
        <v>0</v>
      </c>
      <c r="O19" s="93">
        <f>IF(M19="","",M19*Parâmetros!$C$5)</f>
        <v>6079.1000000000013</v>
      </c>
      <c r="P19" s="87" t="str">
        <f>IF(L19="","",IF(L19&gt;=Parâmetros!$C$10,"Sim","Não"))</f>
        <v/>
      </c>
    </row>
    <row r="20" spans="1:16" ht="14.25" customHeight="1" x14ac:dyDescent="0.3">
      <c r="A20" s="94">
        <v>18</v>
      </c>
      <c r="B20" s="95" t="s">
        <v>237</v>
      </c>
      <c r="C20" s="95" t="s">
        <v>206</v>
      </c>
      <c r="D20" s="95" t="s">
        <v>613</v>
      </c>
      <c r="E20" s="94" t="s">
        <v>207</v>
      </c>
      <c r="F20" s="96">
        <v>46203</v>
      </c>
      <c r="G20" s="97">
        <v>551</v>
      </c>
      <c r="H20" s="96">
        <f>IF(COUNTIFS(Pesagens!$B$3:$B$5001,$B20)=0,"",_xlfn.MAXIFS(Pesagens!$A$3:$A$5001,Pesagens!$B$3:$B$5001,$B20,Pesagens!$E$3:$E$5001,"&lt;&gt;"))</f>
        <v>46203</v>
      </c>
      <c r="I20" s="97">
        <f>IF($H20="","",IFERROR(AVERAGEIFS(Pesagens!$E$3:$E$5001,Pesagens!$B$3:$B$5001,$B20,Pesagens!$A$3:$A$5001,$H20),""))</f>
        <v>551</v>
      </c>
      <c r="J20" s="94">
        <f>IF(F20="","",Parâmetros!$C$4-F20)</f>
        <v>43</v>
      </c>
      <c r="K20" s="97">
        <f t="shared" si="0"/>
        <v>0</v>
      </c>
      <c r="L20" s="98" t="str">
        <f t="shared" si="1"/>
        <v/>
      </c>
      <c r="M20" s="99">
        <f>IF(I20="","",I20*Parâmetros!$C$8/15)</f>
        <v>19.468666666666667</v>
      </c>
      <c r="N20" s="99">
        <f>IF(K20="","",K20*Parâmetros!$C$8/15)</f>
        <v>0</v>
      </c>
      <c r="O20" s="100">
        <f>IF(M20="","",M20*Parâmetros!$C$5)</f>
        <v>6035.2866666666669</v>
      </c>
      <c r="P20" s="94" t="str">
        <f>IF(L20="","",IF(L20&gt;=Parâmetros!$C$10,"Sim","Não"))</f>
        <v/>
      </c>
    </row>
    <row r="21" spans="1:16" ht="14.25" customHeight="1" x14ac:dyDescent="0.3">
      <c r="A21" s="87">
        <v>19</v>
      </c>
      <c r="B21" s="88" t="s">
        <v>238</v>
      </c>
      <c r="C21" s="88" t="s">
        <v>206</v>
      </c>
      <c r="D21" s="88" t="s">
        <v>613</v>
      </c>
      <c r="E21" s="87" t="s">
        <v>207</v>
      </c>
      <c r="F21" s="89">
        <v>46203</v>
      </c>
      <c r="G21" s="90">
        <v>506</v>
      </c>
      <c r="H21" s="89">
        <f>IF(COUNTIFS(Pesagens!$B$3:$B$5001,$B21)=0,"",_xlfn.MAXIFS(Pesagens!$A$3:$A$5001,Pesagens!$B$3:$B$5001,$B21,Pesagens!$E$3:$E$5001,"&lt;&gt;"))</f>
        <v>46203</v>
      </c>
      <c r="I21" s="90">
        <f>IF($H21="","",IFERROR(AVERAGEIFS(Pesagens!$E$3:$E$5001,Pesagens!$B$3:$B$5001,$B21,Pesagens!$A$3:$A$5001,$H21),""))</f>
        <v>506</v>
      </c>
      <c r="J21" s="87">
        <f>IF(F21="","",Parâmetros!$C$4-F21)</f>
        <v>43</v>
      </c>
      <c r="K21" s="90">
        <f t="shared" si="0"/>
        <v>0</v>
      </c>
      <c r="L21" s="91" t="str">
        <f t="shared" si="1"/>
        <v/>
      </c>
      <c r="M21" s="92">
        <f>IF(I21="","",I21*Parâmetros!$C$8/15)</f>
        <v>17.878666666666668</v>
      </c>
      <c r="N21" s="92">
        <f>IF(K21="","",K21*Parâmetros!$C$8/15)</f>
        <v>0</v>
      </c>
      <c r="O21" s="93">
        <f>IF(M21="","",M21*Parâmetros!$C$5)</f>
        <v>5542.3866666666672</v>
      </c>
      <c r="P21" s="87" t="str">
        <f>IF(L21="","",IF(L21&gt;=Parâmetros!$C$10,"Sim","Não"))</f>
        <v/>
      </c>
    </row>
    <row r="22" spans="1:16" ht="14.25" customHeight="1" x14ac:dyDescent="0.3">
      <c r="A22" s="94">
        <v>20</v>
      </c>
      <c r="B22" s="95" t="s">
        <v>240</v>
      </c>
      <c r="C22" s="95" t="s">
        <v>206</v>
      </c>
      <c r="D22" s="95" t="s">
        <v>613</v>
      </c>
      <c r="E22" s="94" t="s">
        <v>207</v>
      </c>
      <c r="F22" s="96">
        <v>46203</v>
      </c>
      <c r="G22" s="97">
        <v>554</v>
      </c>
      <c r="H22" s="96">
        <f>IF(COUNTIFS(Pesagens!$B$3:$B$5001,$B22)=0,"",_xlfn.MAXIFS(Pesagens!$A$3:$A$5001,Pesagens!$B$3:$B$5001,$B22,Pesagens!$E$3:$E$5001,"&lt;&gt;"))</f>
        <v>46203</v>
      </c>
      <c r="I22" s="97">
        <f>IF($H22="","",IFERROR(AVERAGEIFS(Pesagens!$E$3:$E$5001,Pesagens!$B$3:$B$5001,$B22,Pesagens!$A$3:$A$5001,$H22),""))</f>
        <v>554</v>
      </c>
      <c r="J22" s="94">
        <f>IF(F22="","",Parâmetros!$C$4-F22)</f>
        <v>43</v>
      </c>
      <c r="K22" s="97">
        <f t="shared" si="0"/>
        <v>0</v>
      </c>
      <c r="L22" s="98" t="str">
        <f t="shared" si="1"/>
        <v/>
      </c>
      <c r="M22" s="99">
        <f>IF(I22="","",I22*Parâmetros!$C$8/15)</f>
        <v>19.574666666666666</v>
      </c>
      <c r="N22" s="99">
        <f>IF(K22="","",K22*Parâmetros!$C$8/15)</f>
        <v>0</v>
      </c>
      <c r="O22" s="100">
        <f>IF(M22="","",M22*Parâmetros!$C$5)</f>
        <v>6068.1466666666665</v>
      </c>
      <c r="P22" s="94" t="str">
        <f>IF(L22="","",IF(L22&gt;=Parâmetros!$C$10,"Sim","Não"))</f>
        <v/>
      </c>
    </row>
    <row r="23" spans="1:16" ht="14.25" customHeight="1" x14ac:dyDescent="0.3">
      <c r="A23" s="87">
        <v>21</v>
      </c>
      <c r="B23" s="88" t="s">
        <v>241</v>
      </c>
      <c r="C23" s="88" t="s">
        <v>206</v>
      </c>
      <c r="D23" s="88" t="s">
        <v>613</v>
      </c>
      <c r="E23" s="87" t="s">
        <v>207</v>
      </c>
      <c r="F23" s="89">
        <v>46203</v>
      </c>
      <c r="G23" s="90">
        <v>535</v>
      </c>
      <c r="H23" s="89">
        <f>IF(COUNTIFS(Pesagens!$B$3:$B$5001,$B23)=0,"",_xlfn.MAXIFS(Pesagens!$A$3:$A$5001,Pesagens!$B$3:$B$5001,$B23,Pesagens!$E$3:$E$5001,"&lt;&gt;"))</f>
        <v>46203</v>
      </c>
      <c r="I23" s="90">
        <f>IF($H23="","",IFERROR(AVERAGEIFS(Pesagens!$E$3:$E$5001,Pesagens!$B$3:$B$5001,$B23,Pesagens!$A$3:$A$5001,$H23),""))</f>
        <v>535</v>
      </c>
      <c r="J23" s="87">
        <f>IF(F23="","",Parâmetros!$C$4-F23)</f>
        <v>43</v>
      </c>
      <c r="K23" s="90">
        <f t="shared" si="0"/>
        <v>0</v>
      </c>
      <c r="L23" s="91" t="str">
        <f t="shared" si="1"/>
        <v/>
      </c>
      <c r="M23" s="92">
        <f>IF(I23="","",I23*Parâmetros!$C$8/15)</f>
        <v>18.903333333333332</v>
      </c>
      <c r="N23" s="92">
        <f>IF(K23="","",K23*Parâmetros!$C$8/15)</f>
        <v>0</v>
      </c>
      <c r="O23" s="93">
        <f>IF(M23="","",M23*Parâmetros!$C$5)</f>
        <v>5860.0333333333328</v>
      </c>
      <c r="P23" s="87" t="str">
        <f>IF(L23="","",IF(L23&gt;=Parâmetros!$C$10,"Sim","Não"))</f>
        <v/>
      </c>
    </row>
    <row r="24" spans="1:16" ht="14.25" customHeight="1" x14ac:dyDescent="0.3">
      <c r="A24" s="94">
        <v>22</v>
      </c>
      <c r="B24" s="95" t="s">
        <v>244</v>
      </c>
      <c r="C24" s="95" t="s">
        <v>206</v>
      </c>
      <c r="D24" s="95" t="s">
        <v>613</v>
      </c>
      <c r="E24" s="94" t="s">
        <v>207</v>
      </c>
      <c r="F24" s="96">
        <v>46203</v>
      </c>
      <c r="G24" s="97">
        <v>575</v>
      </c>
      <c r="H24" s="96">
        <f>IF(COUNTIFS(Pesagens!$B$3:$B$5001,$B24)=0,"",_xlfn.MAXIFS(Pesagens!$A$3:$A$5001,Pesagens!$B$3:$B$5001,$B24,Pesagens!$E$3:$E$5001,"&lt;&gt;"))</f>
        <v>46203</v>
      </c>
      <c r="I24" s="97">
        <f>IF($H24="","",IFERROR(AVERAGEIFS(Pesagens!$E$3:$E$5001,Pesagens!$B$3:$B$5001,$B24,Pesagens!$A$3:$A$5001,$H24),""))</f>
        <v>575</v>
      </c>
      <c r="J24" s="94">
        <f>IF(F24="","",Parâmetros!$C$4-F24)</f>
        <v>43</v>
      </c>
      <c r="K24" s="97">
        <f t="shared" si="0"/>
        <v>0</v>
      </c>
      <c r="L24" s="98" t="str">
        <f t="shared" si="1"/>
        <v/>
      </c>
      <c r="M24" s="99">
        <f>IF(I24="","",I24*Parâmetros!$C$8/15)</f>
        <v>20.316666666666666</v>
      </c>
      <c r="N24" s="99">
        <f>IF(K24="","",K24*Parâmetros!$C$8/15)</f>
        <v>0</v>
      </c>
      <c r="O24" s="100">
        <f>IF(M24="","",M24*Parâmetros!$C$5)</f>
        <v>6298.166666666667</v>
      </c>
      <c r="P24" s="94" t="str">
        <f>IF(L24="","",IF(L24&gt;=Parâmetros!$C$10,"Sim","Não"))</f>
        <v/>
      </c>
    </row>
    <row r="25" spans="1:16" ht="14.25" customHeight="1" x14ac:dyDescent="0.3">
      <c r="A25" s="87">
        <v>23</v>
      </c>
      <c r="B25" s="88" t="s">
        <v>245</v>
      </c>
      <c r="C25" s="88" t="s">
        <v>206</v>
      </c>
      <c r="D25" s="88" t="s">
        <v>613</v>
      </c>
      <c r="E25" s="87" t="s">
        <v>207</v>
      </c>
      <c r="F25" s="89">
        <v>46203</v>
      </c>
      <c r="G25" s="90">
        <v>555</v>
      </c>
      <c r="H25" s="89">
        <f>IF(COUNTIFS(Pesagens!$B$3:$B$5001,$B25)=0,"",_xlfn.MAXIFS(Pesagens!$A$3:$A$5001,Pesagens!$B$3:$B$5001,$B25,Pesagens!$E$3:$E$5001,"&lt;&gt;"))</f>
        <v>46203</v>
      </c>
      <c r="I25" s="90">
        <f>IF($H25="","",IFERROR(AVERAGEIFS(Pesagens!$E$3:$E$5001,Pesagens!$B$3:$B$5001,$B25,Pesagens!$A$3:$A$5001,$H25),""))</f>
        <v>555</v>
      </c>
      <c r="J25" s="87">
        <f>IF(F25="","",Parâmetros!$C$4-F25)</f>
        <v>43</v>
      </c>
      <c r="K25" s="90">
        <f t="shared" si="0"/>
        <v>0</v>
      </c>
      <c r="L25" s="91" t="str">
        <f t="shared" si="1"/>
        <v/>
      </c>
      <c r="M25" s="92">
        <f>IF(I25="","",I25*Parâmetros!$C$8/15)</f>
        <v>19.610000000000003</v>
      </c>
      <c r="N25" s="92">
        <f>IF(K25="","",K25*Parâmetros!$C$8/15)</f>
        <v>0</v>
      </c>
      <c r="O25" s="93">
        <f>IF(M25="","",M25*Parâmetros!$C$5)</f>
        <v>6079.1000000000013</v>
      </c>
      <c r="P25" s="87" t="str">
        <f>IF(L25="","",IF(L25&gt;=Parâmetros!$C$10,"Sim","Não"))</f>
        <v/>
      </c>
    </row>
    <row r="26" spans="1:16" ht="14.25" customHeight="1" x14ac:dyDescent="0.3">
      <c r="A26" s="94">
        <v>24</v>
      </c>
      <c r="B26" s="95" t="s">
        <v>247</v>
      </c>
      <c r="C26" s="95" t="s">
        <v>206</v>
      </c>
      <c r="D26" s="95" t="s">
        <v>613</v>
      </c>
      <c r="E26" s="94" t="s">
        <v>207</v>
      </c>
      <c r="F26" s="96">
        <v>46203</v>
      </c>
      <c r="G26" s="97">
        <v>523</v>
      </c>
      <c r="H26" s="96">
        <f>IF(COUNTIFS(Pesagens!$B$3:$B$5001,$B26)=0,"",_xlfn.MAXIFS(Pesagens!$A$3:$A$5001,Pesagens!$B$3:$B$5001,$B26,Pesagens!$E$3:$E$5001,"&lt;&gt;"))</f>
        <v>46203</v>
      </c>
      <c r="I26" s="97">
        <f>IF($H26="","",IFERROR(AVERAGEIFS(Pesagens!$E$3:$E$5001,Pesagens!$B$3:$B$5001,$B26,Pesagens!$A$3:$A$5001,$H26),""))</f>
        <v>523</v>
      </c>
      <c r="J26" s="94">
        <f>IF(F26="","",Parâmetros!$C$4-F26)</f>
        <v>43</v>
      </c>
      <c r="K26" s="97">
        <f t="shared" si="0"/>
        <v>0</v>
      </c>
      <c r="L26" s="98" t="str">
        <f t="shared" si="1"/>
        <v/>
      </c>
      <c r="M26" s="99">
        <f>IF(I26="","",I26*Parâmetros!$C$8/15)</f>
        <v>18.479333333333333</v>
      </c>
      <c r="N26" s="99">
        <f>IF(K26="","",K26*Parâmetros!$C$8/15)</f>
        <v>0</v>
      </c>
      <c r="O26" s="100">
        <f>IF(M26="","",M26*Parâmetros!$C$5)</f>
        <v>5728.5933333333332</v>
      </c>
      <c r="P26" s="94" t="str">
        <f>IF(L26="","",IF(L26&gt;=Parâmetros!$C$10,"Sim","Não"))</f>
        <v/>
      </c>
    </row>
    <row r="27" spans="1:16" ht="14.25" customHeight="1" x14ac:dyDescent="0.3">
      <c r="A27" s="87">
        <v>25</v>
      </c>
      <c r="B27" s="88" t="s">
        <v>248</v>
      </c>
      <c r="C27" s="88" t="s">
        <v>206</v>
      </c>
      <c r="D27" s="88" t="s">
        <v>613</v>
      </c>
      <c r="E27" s="87" t="s">
        <v>207</v>
      </c>
      <c r="F27" s="89">
        <v>46203</v>
      </c>
      <c r="G27" s="90">
        <v>556</v>
      </c>
      <c r="H27" s="89">
        <f>IF(COUNTIFS(Pesagens!$B$3:$B$5001,$B27)=0,"",_xlfn.MAXIFS(Pesagens!$A$3:$A$5001,Pesagens!$B$3:$B$5001,$B27,Pesagens!$E$3:$E$5001,"&lt;&gt;"))</f>
        <v>46203</v>
      </c>
      <c r="I27" s="90">
        <f>IF($H27="","",IFERROR(AVERAGEIFS(Pesagens!$E$3:$E$5001,Pesagens!$B$3:$B$5001,$B27,Pesagens!$A$3:$A$5001,$H27),""))</f>
        <v>556</v>
      </c>
      <c r="J27" s="87">
        <f>IF(F27="","",Parâmetros!$C$4-F27)</f>
        <v>43</v>
      </c>
      <c r="K27" s="90">
        <f t="shared" si="0"/>
        <v>0</v>
      </c>
      <c r="L27" s="91" t="str">
        <f t="shared" si="1"/>
        <v/>
      </c>
      <c r="M27" s="92">
        <f>IF(I27="","",I27*Parâmetros!$C$8/15)</f>
        <v>19.645333333333333</v>
      </c>
      <c r="N27" s="92">
        <f>IF(K27="","",K27*Parâmetros!$C$8/15)</f>
        <v>0</v>
      </c>
      <c r="O27" s="93">
        <f>IF(M27="","",M27*Parâmetros!$C$5)</f>
        <v>6090.0533333333333</v>
      </c>
      <c r="P27" s="87" t="str">
        <f>IF(L27="","",IF(L27&gt;=Parâmetros!$C$10,"Sim","Não"))</f>
        <v/>
      </c>
    </row>
    <row r="28" spans="1:16" ht="14.25" customHeight="1" x14ac:dyDescent="0.3">
      <c r="A28" s="94">
        <v>26</v>
      </c>
      <c r="B28" s="95" t="s">
        <v>250</v>
      </c>
      <c r="C28" s="95" t="s">
        <v>206</v>
      </c>
      <c r="D28" s="95" t="s">
        <v>613</v>
      </c>
      <c r="E28" s="94" t="s">
        <v>207</v>
      </c>
      <c r="F28" s="96">
        <v>46203</v>
      </c>
      <c r="G28" s="97">
        <v>532</v>
      </c>
      <c r="H28" s="96">
        <f>IF(COUNTIFS(Pesagens!$B$3:$B$5001,$B28)=0,"",_xlfn.MAXIFS(Pesagens!$A$3:$A$5001,Pesagens!$B$3:$B$5001,$B28,Pesagens!$E$3:$E$5001,"&lt;&gt;"))</f>
        <v>46203</v>
      </c>
      <c r="I28" s="97">
        <f>IF($H28="","",IFERROR(AVERAGEIFS(Pesagens!$E$3:$E$5001,Pesagens!$B$3:$B$5001,$B28,Pesagens!$A$3:$A$5001,$H28),""))</f>
        <v>532</v>
      </c>
      <c r="J28" s="94">
        <f>IF(F28="","",Parâmetros!$C$4-F28)</f>
        <v>43</v>
      </c>
      <c r="K28" s="97">
        <f t="shared" si="0"/>
        <v>0</v>
      </c>
      <c r="L28" s="98" t="str">
        <f t="shared" si="1"/>
        <v/>
      </c>
      <c r="M28" s="99">
        <f>IF(I28="","",I28*Parâmetros!$C$8/15)</f>
        <v>18.797333333333334</v>
      </c>
      <c r="N28" s="99">
        <f>IF(K28="","",K28*Parâmetros!$C$8/15)</f>
        <v>0</v>
      </c>
      <c r="O28" s="100">
        <f>IF(M28="","",M28*Parâmetros!$C$5)</f>
        <v>5827.1733333333341</v>
      </c>
      <c r="P28" s="94" t="str">
        <f>IF(L28="","",IF(L28&gt;=Parâmetros!$C$10,"Sim","Não"))</f>
        <v/>
      </c>
    </row>
    <row r="29" spans="1:16" ht="14.25" customHeight="1" x14ac:dyDescent="0.3">
      <c r="A29" s="87">
        <v>27</v>
      </c>
      <c r="B29" s="88" t="s">
        <v>253</v>
      </c>
      <c r="C29" s="88" t="s">
        <v>206</v>
      </c>
      <c r="D29" s="88" t="s">
        <v>613</v>
      </c>
      <c r="E29" s="87" t="s">
        <v>207</v>
      </c>
      <c r="F29" s="89">
        <v>46203</v>
      </c>
      <c r="G29" s="90">
        <v>571</v>
      </c>
      <c r="H29" s="89">
        <f>IF(COUNTIFS(Pesagens!$B$3:$B$5001,$B29)=0,"",_xlfn.MAXIFS(Pesagens!$A$3:$A$5001,Pesagens!$B$3:$B$5001,$B29,Pesagens!$E$3:$E$5001,"&lt;&gt;"))</f>
        <v>46203</v>
      </c>
      <c r="I29" s="90">
        <f>IF($H29="","",IFERROR(AVERAGEIFS(Pesagens!$E$3:$E$5001,Pesagens!$B$3:$B$5001,$B29,Pesagens!$A$3:$A$5001,$H29),""))</f>
        <v>571</v>
      </c>
      <c r="J29" s="87">
        <f>IF(F29="","",Parâmetros!$C$4-F29)</f>
        <v>43</v>
      </c>
      <c r="K29" s="90">
        <f t="shared" si="0"/>
        <v>0</v>
      </c>
      <c r="L29" s="91" t="str">
        <f t="shared" si="1"/>
        <v/>
      </c>
      <c r="M29" s="92">
        <f>IF(I29="","",I29*Parâmetros!$C$8/15)</f>
        <v>20.175333333333334</v>
      </c>
      <c r="N29" s="92">
        <f>IF(K29="","",K29*Parâmetros!$C$8/15)</f>
        <v>0</v>
      </c>
      <c r="O29" s="93">
        <f>IF(M29="","",M29*Parâmetros!$C$5)</f>
        <v>6254.3533333333335</v>
      </c>
      <c r="P29" s="87" t="str">
        <f>IF(L29="","",IF(L29&gt;=Parâmetros!$C$10,"Sim","Não"))</f>
        <v/>
      </c>
    </row>
    <row r="30" spans="1:16" ht="14.25" customHeight="1" x14ac:dyDescent="0.3">
      <c r="A30" s="94">
        <v>28</v>
      </c>
      <c r="B30" s="95" t="s">
        <v>254</v>
      </c>
      <c r="C30" s="95" t="s">
        <v>206</v>
      </c>
      <c r="D30" s="95" t="s">
        <v>613</v>
      </c>
      <c r="E30" s="94" t="s">
        <v>207</v>
      </c>
      <c r="F30" s="96">
        <v>46203</v>
      </c>
      <c r="G30" s="97">
        <v>526</v>
      </c>
      <c r="H30" s="96">
        <f>IF(COUNTIFS(Pesagens!$B$3:$B$5001,$B30)=0,"",_xlfn.MAXIFS(Pesagens!$A$3:$A$5001,Pesagens!$B$3:$B$5001,$B30,Pesagens!$E$3:$E$5001,"&lt;&gt;"))</f>
        <v>46203</v>
      </c>
      <c r="I30" s="97">
        <f>IF($H30="","",IFERROR(AVERAGEIFS(Pesagens!$E$3:$E$5001,Pesagens!$B$3:$B$5001,$B30,Pesagens!$A$3:$A$5001,$H30),""))</f>
        <v>526</v>
      </c>
      <c r="J30" s="94">
        <f>IF(F30="","",Parâmetros!$C$4-F30)</f>
        <v>43</v>
      </c>
      <c r="K30" s="97">
        <f t="shared" si="0"/>
        <v>0</v>
      </c>
      <c r="L30" s="98" t="str">
        <f t="shared" si="1"/>
        <v/>
      </c>
      <c r="M30" s="99">
        <f>IF(I30="","",I30*Parâmetros!$C$8/15)</f>
        <v>18.585333333333335</v>
      </c>
      <c r="N30" s="99">
        <f>IF(K30="","",K30*Parâmetros!$C$8/15)</f>
        <v>0</v>
      </c>
      <c r="O30" s="100">
        <f>IF(M30="","",M30*Parâmetros!$C$5)</f>
        <v>5761.4533333333338</v>
      </c>
      <c r="P30" s="94" t="str">
        <f>IF(L30="","",IF(L30&gt;=Parâmetros!$C$10,"Sim","Não"))</f>
        <v/>
      </c>
    </row>
    <row r="31" spans="1:16" ht="14.25" customHeight="1" x14ac:dyDescent="0.3">
      <c r="A31" s="87">
        <v>29</v>
      </c>
      <c r="B31" s="88" t="s">
        <v>260</v>
      </c>
      <c r="C31" s="88" t="s">
        <v>206</v>
      </c>
      <c r="D31" s="88" t="s">
        <v>613</v>
      </c>
      <c r="E31" s="87" t="s">
        <v>207</v>
      </c>
      <c r="F31" s="89">
        <v>46203</v>
      </c>
      <c r="G31" s="90">
        <v>549</v>
      </c>
      <c r="H31" s="89">
        <f>IF(COUNTIFS(Pesagens!$B$3:$B$5001,$B31)=0,"",_xlfn.MAXIFS(Pesagens!$A$3:$A$5001,Pesagens!$B$3:$B$5001,$B31,Pesagens!$E$3:$E$5001,"&lt;&gt;"))</f>
        <v>46203</v>
      </c>
      <c r="I31" s="90">
        <f>IF($H31="","",IFERROR(AVERAGEIFS(Pesagens!$E$3:$E$5001,Pesagens!$B$3:$B$5001,$B31,Pesagens!$A$3:$A$5001,$H31),""))</f>
        <v>549</v>
      </c>
      <c r="J31" s="87">
        <f>IF(F31="","",Parâmetros!$C$4-F31)</f>
        <v>43</v>
      </c>
      <c r="K31" s="90">
        <f t="shared" si="0"/>
        <v>0</v>
      </c>
      <c r="L31" s="91" t="str">
        <f t="shared" si="1"/>
        <v/>
      </c>
      <c r="M31" s="92">
        <f>IF(I31="","",I31*Parâmetros!$C$8/15)</f>
        <v>19.398000000000003</v>
      </c>
      <c r="N31" s="92">
        <f>IF(K31="","",K31*Parâmetros!$C$8/15)</f>
        <v>0</v>
      </c>
      <c r="O31" s="93">
        <f>IF(M31="","",M31*Parâmetros!$C$5)</f>
        <v>6013.380000000001</v>
      </c>
      <c r="P31" s="87" t="str">
        <f>IF(L31="","",IF(L31&gt;=Parâmetros!$C$10,"Sim","Não"))</f>
        <v/>
      </c>
    </row>
    <row r="32" spans="1:16" ht="14.25" customHeight="1" x14ac:dyDescent="0.3">
      <c r="A32" s="94">
        <v>30</v>
      </c>
      <c r="B32" s="95" t="s">
        <v>261</v>
      </c>
      <c r="C32" s="95" t="s">
        <v>206</v>
      </c>
      <c r="D32" s="95" t="s">
        <v>613</v>
      </c>
      <c r="E32" s="94" t="s">
        <v>207</v>
      </c>
      <c r="F32" s="96">
        <v>46203</v>
      </c>
      <c r="G32" s="97">
        <v>533</v>
      </c>
      <c r="H32" s="96">
        <f>IF(COUNTIFS(Pesagens!$B$3:$B$5001,$B32)=0,"",_xlfn.MAXIFS(Pesagens!$A$3:$A$5001,Pesagens!$B$3:$B$5001,$B32,Pesagens!$E$3:$E$5001,"&lt;&gt;"))</f>
        <v>46203</v>
      </c>
      <c r="I32" s="97">
        <f>IF($H32="","",IFERROR(AVERAGEIFS(Pesagens!$E$3:$E$5001,Pesagens!$B$3:$B$5001,$B32,Pesagens!$A$3:$A$5001,$H32),""))</f>
        <v>533</v>
      </c>
      <c r="J32" s="94">
        <f>IF(F32="","",Parâmetros!$C$4-F32)</f>
        <v>43</v>
      </c>
      <c r="K32" s="97">
        <f t="shared" si="0"/>
        <v>0</v>
      </c>
      <c r="L32" s="98" t="str">
        <f t="shared" si="1"/>
        <v/>
      </c>
      <c r="M32" s="99">
        <f>IF(I32="","",I32*Parâmetros!$C$8/15)</f>
        <v>18.832666666666668</v>
      </c>
      <c r="N32" s="99">
        <f>IF(K32="","",K32*Parâmetros!$C$8/15)</f>
        <v>0</v>
      </c>
      <c r="O32" s="100">
        <f>IF(M32="","",M32*Parâmetros!$C$5)</f>
        <v>5838.126666666667</v>
      </c>
      <c r="P32" s="94" t="str">
        <f>IF(L32="","",IF(L32&gt;=Parâmetros!$C$10,"Sim","Não"))</f>
        <v/>
      </c>
    </row>
    <row r="33" spans="1:16" ht="14.25" customHeight="1" x14ac:dyDescent="0.3">
      <c r="A33" s="87">
        <v>31</v>
      </c>
      <c r="B33" s="88" t="s">
        <v>262</v>
      </c>
      <c r="C33" s="88" t="s">
        <v>206</v>
      </c>
      <c r="D33" s="88" t="s">
        <v>613</v>
      </c>
      <c r="E33" s="87" t="s">
        <v>207</v>
      </c>
      <c r="F33" s="89">
        <v>46203</v>
      </c>
      <c r="G33" s="90">
        <v>545</v>
      </c>
      <c r="H33" s="89">
        <f>IF(COUNTIFS(Pesagens!$B$3:$B$5001,$B33)=0,"",_xlfn.MAXIFS(Pesagens!$A$3:$A$5001,Pesagens!$B$3:$B$5001,$B33,Pesagens!$E$3:$E$5001,"&lt;&gt;"))</f>
        <v>46203</v>
      </c>
      <c r="I33" s="90">
        <f>IF($H33="","",IFERROR(AVERAGEIFS(Pesagens!$E$3:$E$5001,Pesagens!$B$3:$B$5001,$B33,Pesagens!$A$3:$A$5001,$H33),""))</f>
        <v>545</v>
      </c>
      <c r="J33" s="87">
        <f>IF(F33="","",Parâmetros!$C$4-F33)</f>
        <v>43</v>
      </c>
      <c r="K33" s="90">
        <f t="shared" si="0"/>
        <v>0</v>
      </c>
      <c r="L33" s="91" t="str">
        <f t="shared" si="1"/>
        <v/>
      </c>
      <c r="M33" s="92">
        <f>IF(I33="","",I33*Parâmetros!$C$8/15)</f>
        <v>19.256666666666668</v>
      </c>
      <c r="N33" s="92">
        <f>IF(K33="","",K33*Parâmetros!$C$8/15)</f>
        <v>0</v>
      </c>
      <c r="O33" s="93">
        <f>IF(M33="","",M33*Parâmetros!$C$5)</f>
        <v>5969.5666666666666</v>
      </c>
      <c r="P33" s="87" t="str">
        <f>IF(L33="","",IF(L33&gt;=Parâmetros!$C$10,"Sim","Não"))</f>
        <v/>
      </c>
    </row>
    <row r="34" spans="1:16" ht="14.25" customHeight="1" x14ac:dyDescent="0.3">
      <c r="A34" s="94">
        <v>32</v>
      </c>
      <c r="B34" s="95" t="s">
        <v>263</v>
      </c>
      <c r="C34" s="95" t="s">
        <v>206</v>
      </c>
      <c r="D34" s="95" t="s">
        <v>613</v>
      </c>
      <c r="E34" s="94" t="s">
        <v>207</v>
      </c>
      <c r="F34" s="96">
        <v>46203</v>
      </c>
      <c r="G34" s="97">
        <v>511</v>
      </c>
      <c r="H34" s="96">
        <f>IF(COUNTIFS(Pesagens!$B$3:$B$5001,$B34)=0,"",_xlfn.MAXIFS(Pesagens!$A$3:$A$5001,Pesagens!$B$3:$B$5001,$B34,Pesagens!$E$3:$E$5001,"&lt;&gt;"))</f>
        <v>46203</v>
      </c>
      <c r="I34" s="97">
        <f>IF($H34="","",IFERROR(AVERAGEIFS(Pesagens!$E$3:$E$5001,Pesagens!$B$3:$B$5001,$B34,Pesagens!$A$3:$A$5001,$H34),""))</f>
        <v>511</v>
      </c>
      <c r="J34" s="94">
        <f>IF(F34="","",Parâmetros!$C$4-F34)</f>
        <v>43</v>
      </c>
      <c r="K34" s="97">
        <f t="shared" si="0"/>
        <v>0</v>
      </c>
      <c r="L34" s="98" t="str">
        <f t="shared" si="1"/>
        <v/>
      </c>
      <c r="M34" s="99">
        <f>IF(I34="","",I34*Parâmetros!$C$8/15)</f>
        <v>18.055333333333337</v>
      </c>
      <c r="N34" s="99">
        <f>IF(K34="","",K34*Parâmetros!$C$8/15)</f>
        <v>0</v>
      </c>
      <c r="O34" s="100">
        <f>IF(M34="","",M34*Parâmetros!$C$5)</f>
        <v>5597.1533333333346</v>
      </c>
      <c r="P34" s="94" t="str">
        <f>IF(L34="","",IF(L34&gt;=Parâmetros!$C$10,"Sim","Não"))</f>
        <v/>
      </c>
    </row>
    <row r="35" spans="1:16" ht="14.25" customHeight="1" x14ac:dyDescent="0.3">
      <c r="A35" s="87">
        <v>33</v>
      </c>
      <c r="B35" s="88" t="s">
        <v>270</v>
      </c>
      <c r="C35" s="88" t="s">
        <v>206</v>
      </c>
      <c r="D35" s="88" t="s">
        <v>613</v>
      </c>
      <c r="E35" s="87" t="s">
        <v>207</v>
      </c>
      <c r="F35" s="89">
        <v>46203</v>
      </c>
      <c r="G35" s="90">
        <v>542</v>
      </c>
      <c r="H35" s="89">
        <f>IF(COUNTIFS(Pesagens!$B$3:$B$5001,$B35)=0,"",_xlfn.MAXIFS(Pesagens!$A$3:$A$5001,Pesagens!$B$3:$B$5001,$B35,Pesagens!$E$3:$E$5001,"&lt;&gt;"))</f>
        <v>46203</v>
      </c>
      <c r="I35" s="90">
        <f>IF($H35="","",IFERROR(AVERAGEIFS(Pesagens!$E$3:$E$5001,Pesagens!$B$3:$B$5001,$B35,Pesagens!$A$3:$A$5001,$H35),""))</f>
        <v>542</v>
      </c>
      <c r="J35" s="87">
        <f>IF(F35="","",Parâmetros!$C$4-F35)</f>
        <v>43</v>
      </c>
      <c r="K35" s="90">
        <f t="shared" si="0"/>
        <v>0</v>
      </c>
      <c r="L35" s="91" t="str">
        <f t="shared" si="1"/>
        <v/>
      </c>
      <c r="M35" s="92">
        <f>IF(I35="","",I35*Parâmetros!$C$8/15)</f>
        <v>19.150666666666666</v>
      </c>
      <c r="N35" s="92">
        <f>IF(K35="","",K35*Parâmetros!$C$8/15)</f>
        <v>0</v>
      </c>
      <c r="O35" s="93">
        <f>IF(M35="","",M35*Parâmetros!$C$5)</f>
        <v>5936.7066666666669</v>
      </c>
      <c r="P35" s="87" t="str">
        <f>IF(L35="","",IF(L35&gt;=Parâmetros!$C$10,"Sim","Não"))</f>
        <v/>
      </c>
    </row>
    <row r="36" spans="1:16" ht="14.25" customHeight="1" x14ac:dyDescent="0.3">
      <c r="A36" s="94">
        <v>34</v>
      </c>
      <c r="B36" s="95" t="s">
        <v>282</v>
      </c>
      <c r="C36" s="95" t="s">
        <v>206</v>
      </c>
      <c r="D36" s="95" t="s">
        <v>613</v>
      </c>
      <c r="E36" s="94" t="s">
        <v>207</v>
      </c>
      <c r="F36" s="96">
        <v>46203</v>
      </c>
      <c r="G36" s="97">
        <v>530</v>
      </c>
      <c r="H36" s="96">
        <f>IF(COUNTIFS(Pesagens!$B$3:$B$5001,$B36)=0,"",_xlfn.MAXIFS(Pesagens!$A$3:$A$5001,Pesagens!$B$3:$B$5001,$B36,Pesagens!$E$3:$E$5001,"&lt;&gt;"))</f>
        <v>46203</v>
      </c>
      <c r="I36" s="97">
        <f>IF($H36="","",IFERROR(AVERAGEIFS(Pesagens!$E$3:$E$5001,Pesagens!$B$3:$B$5001,$B36,Pesagens!$A$3:$A$5001,$H36),""))</f>
        <v>530</v>
      </c>
      <c r="J36" s="94">
        <f>IF(F36="","",Parâmetros!$C$4-F36)</f>
        <v>43</v>
      </c>
      <c r="K36" s="97">
        <f t="shared" si="0"/>
        <v>0</v>
      </c>
      <c r="L36" s="98" t="str">
        <f t="shared" si="1"/>
        <v/>
      </c>
      <c r="M36" s="99">
        <f>IF(I36="","",I36*Parâmetros!$C$8/15)</f>
        <v>18.72666666666667</v>
      </c>
      <c r="N36" s="99">
        <f>IF(K36="","",K36*Parâmetros!$C$8/15)</f>
        <v>0</v>
      </c>
      <c r="O36" s="100">
        <f>IF(M36="","",M36*Parâmetros!$C$5)</f>
        <v>5805.2666666666673</v>
      </c>
      <c r="P36" s="94" t="str">
        <f>IF(L36="","",IF(L36&gt;=Parâmetros!$C$10,"Sim","Não"))</f>
        <v/>
      </c>
    </row>
    <row r="37" spans="1:16" ht="14.25" customHeight="1" x14ac:dyDescent="0.3">
      <c r="A37" s="87">
        <v>35</v>
      </c>
      <c r="B37" s="88" t="s">
        <v>286</v>
      </c>
      <c r="C37" s="88" t="s">
        <v>206</v>
      </c>
      <c r="D37" s="88" t="s">
        <v>613</v>
      </c>
      <c r="E37" s="87" t="s">
        <v>207</v>
      </c>
      <c r="F37" s="89">
        <v>46203</v>
      </c>
      <c r="G37" s="90">
        <v>563</v>
      </c>
      <c r="H37" s="89">
        <f>IF(COUNTIFS(Pesagens!$B$3:$B$5001,$B37)=0,"",_xlfn.MAXIFS(Pesagens!$A$3:$A$5001,Pesagens!$B$3:$B$5001,$B37,Pesagens!$E$3:$E$5001,"&lt;&gt;"))</f>
        <v>46203</v>
      </c>
      <c r="I37" s="90">
        <f>IF($H37="","",IFERROR(AVERAGEIFS(Pesagens!$E$3:$E$5001,Pesagens!$B$3:$B$5001,$B37,Pesagens!$A$3:$A$5001,$H37),""))</f>
        <v>563</v>
      </c>
      <c r="J37" s="87">
        <f>IF(F37="","",Parâmetros!$C$4-F37)</f>
        <v>43</v>
      </c>
      <c r="K37" s="90">
        <f t="shared" si="0"/>
        <v>0</v>
      </c>
      <c r="L37" s="91" t="str">
        <f t="shared" si="1"/>
        <v/>
      </c>
      <c r="M37" s="92">
        <f>IF(I37="","",I37*Parâmetros!$C$8/15)</f>
        <v>19.89266666666667</v>
      </c>
      <c r="N37" s="92">
        <f>IF(K37="","",K37*Parâmetros!$C$8/15)</f>
        <v>0</v>
      </c>
      <c r="O37" s="93">
        <f>IF(M37="","",M37*Parâmetros!$C$5)</f>
        <v>6166.7266666666683</v>
      </c>
      <c r="P37" s="87" t="str">
        <f>IF(L37="","",IF(L37&gt;=Parâmetros!$C$10,"Sim","Não"))</f>
        <v/>
      </c>
    </row>
    <row r="38" spans="1:16" ht="14.25" customHeight="1" x14ac:dyDescent="0.3">
      <c r="A38" s="94">
        <v>36</v>
      </c>
      <c r="B38" s="95" t="s">
        <v>289</v>
      </c>
      <c r="C38" s="95" t="s">
        <v>206</v>
      </c>
      <c r="D38" s="95" t="s">
        <v>613</v>
      </c>
      <c r="E38" s="94" t="s">
        <v>207</v>
      </c>
      <c r="F38" s="96">
        <v>46203</v>
      </c>
      <c r="G38" s="97">
        <v>682</v>
      </c>
      <c r="H38" s="96">
        <f>IF(COUNTIFS(Pesagens!$B$3:$B$5001,$B38)=0,"",_xlfn.MAXIFS(Pesagens!$A$3:$A$5001,Pesagens!$B$3:$B$5001,$B38,Pesagens!$E$3:$E$5001,"&lt;&gt;"))</f>
        <v>46203</v>
      </c>
      <c r="I38" s="97">
        <f>IF($H38="","",IFERROR(AVERAGEIFS(Pesagens!$E$3:$E$5001,Pesagens!$B$3:$B$5001,$B38,Pesagens!$A$3:$A$5001,$H38),""))</f>
        <v>682</v>
      </c>
      <c r="J38" s="94">
        <f>IF(F38="","",Parâmetros!$C$4-F38)</f>
        <v>43</v>
      </c>
      <c r="K38" s="97">
        <f t="shared" si="0"/>
        <v>0</v>
      </c>
      <c r="L38" s="98" t="str">
        <f t="shared" si="1"/>
        <v/>
      </c>
      <c r="M38" s="99">
        <f>IF(I38="","",I38*Parâmetros!$C$8/15)</f>
        <v>24.097333333333335</v>
      </c>
      <c r="N38" s="99">
        <f>IF(K38="","",K38*Parâmetros!$C$8/15)</f>
        <v>0</v>
      </c>
      <c r="O38" s="100">
        <f>IF(M38="","",M38*Parâmetros!$C$5)</f>
        <v>7470.1733333333341</v>
      </c>
      <c r="P38" s="94" t="str">
        <f>IF(L38="","",IF(L38&gt;=Parâmetros!$C$10,"Sim","Não"))</f>
        <v/>
      </c>
    </row>
    <row r="39" spans="1:16" ht="14.25" customHeight="1" x14ac:dyDescent="0.3">
      <c r="A39" s="87">
        <v>37</v>
      </c>
      <c r="B39" s="88" t="s">
        <v>290</v>
      </c>
      <c r="C39" s="88" t="s">
        <v>206</v>
      </c>
      <c r="D39" s="88" t="s">
        <v>613</v>
      </c>
      <c r="E39" s="87" t="s">
        <v>207</v>
      </c>
      <c r="F39" s="89">
        <v>46203</v>
      </c>
      <c r="G39" s="90">
        <v>597</v>
      </c>
      <c r="H39" s="89">
        <f>IF(COUNTIFS(Pesagens!$B$3:$B$5001,$B39)=0,"",_xlfn.MAXIFS(Pesagens!$A$3:$A$5001,Pesagens!$B$3:$B$5001,$B39,Pesagens!$E$3:$E$5001,"&lt;&gt;"))</f>
        <v>46203</v>
      </c>
      <c r="I39" s="90">
        <f>IF($H39="","",IFERROR(AVERAGEIFS(Pesagens!$E$3:$E$5001,Pesagens!$B$3:$B$5001,$B39,Pesagens!$A$3:$A$5001,$H39),""))</f>
        <v>597</v>
      </c>
      <c r="J39" s="87">
        <f>IF(F39="","",Parâmetros!$C$4-F39)</f>
        <v>43</v>
      </c>
      <c r="K39" s="90">
        <f t="shared" si="0"/>
        <v>0</v>
      </c>
      <c r="L39" s="91" t="str">
        <f t="shared" si="1"/>
        <v/>
      </c>
      <c r="M39" s="92">
        <f>IF(I39="","",I39*Parâmetros!$C$8/15)</f>
        <v>21.094000000000001</v>
      </c>
      <c r="N39" s="92">
        <f>IF(K39="","",K39*Parâmetros!$C$8/15)</f>
        <v>0</v>
      </c>
      <c r="O39" s="93">
        <f>IF(M39="","",M39*Parâmetros!$C$5)</f>
        <v>6539.14</v>
      </c>
      <c r="P39" s="87" t="str">
        <f>IF(L39="","",IF(L39&gt;=Parâmetros!$C$10,"Sim","Não"))</f>
        <v/>
      </c>
    </row>
    <row r="40" spans="1:16" ht="14.25" customHeight="1" x14ac:dyDescent="0.3">
      <c r="A40" s="94">
        <v>38</v>
      </c>
      <c r="B40" s="95" t="s">
        <v>292</v>
      </c>
      <c r="C40" s="95" t="s">
        <v>206</v>
      </c>
      <c r="D40" s="95" t="s">
        <v>613</v>
      </c>
      <c r="E40" s="94" t="s">
        <v>207</v>
      </c>
      <c r="F40" s="96">
        <v>46203</v>
      </c>
      <c r="G40" s="97">
        <v>540</v>
      </c>
      <c r="H40" s="96">
        <f>IF(COUNTIFS(Pesagens!$B$3:$B$5001,$B40)=0,"",_xlfn.MAXIFS(Pesagens!$A$3:$A$5001,Pesagens!$B$3:$B$5001,$B40,Pesagens!$E$3:$E$5001,"&lt;&gt;"))</f>
        <v>46203</v>
      </c>
      <c r="I40" s="97">
        <f>IF($H40="","",IFERROR(AVERAGEIFS(Pesagens!$E$3:$E$5001,Pesagens!$B$3:$B$5001,$B40,Pesagens!$A$3:$A$5001,$H40),""))</f>
        <v>540</v>
      </c>
      <c r="J40" s="94">
        <f>IF(F40="","",Parâmetros!$C$4-F40)</f>
        <v>43</v>
      </c>
      <c r="K40" s="97">
        <f t="shared" si="0"/>
        <v>0</v>
      </c>
      <c r="L40" s="98" t="str">
        <f t="shared" si="1"/>
        <v/>
      </c>
      <c r="M40" s="99">
        <f>IF(I40="","",I40*Parâmetros!$C$8/15)</f>
        <v>19.079999999999998</v>
      </c>
      <c r="N40" s="99">
        <f>IF(K40="","",K40*Parâmetros!$C$8/15)</f>
        <v>0</v>
      </c>
      <c r="O40" s="100">
        <f>IF(M40="","",M40*Parâmetros!$C$5)</f>
        <v>5914.7999999999993</v>
      </c>
      <c r="P40" s="94" t="str">
        <f>IF(L40="","",IF(L40&gt;=Parâmetros!$C$10,"Sim","Não"))</f>
        <v/>
      </c>
    </row>
    <row r="41" spans="1:16" ht="14.25" customHeight="1" x14ac:dyDescent="0.3">
      <c r="A41" s="87">
        <v>39</v>
      </c>
      <c r="B41" s="88" t="s">
        <v>221</v>
      </c>
      <c r="C41" s="88" t="s">
        <v>206</v>
      </c>
      <c r="D41" s="88" t="s">
        <v>614</v>
      </c>
      <c r="E41" s="87" t="s">
        <v>213</v>
      </c>
      <c r="F41" s="89">
        <v>46203</v>
      </c>
      <c r="G41" s="90">
        <v>428</v>
      </c>
      <c r="H41" s="89">
        <f>IF(COUNTIFS(Pesagens!$B$3:$B$5001,$B41)=0,"",_xlfn.MAXIFS(Pesagens!$A$3:$A$5001,Pesagens!$B$3:$B$5001,$B41,Pesagens!$E$3:$E$5001,"&lt;&gt;"))</f>
        <v>46232</v>
      </c>
      <c r="I41" s="90">
        <f>IF($H41="","",IFERROR(AVERAGEIFS(Pesagens!$E$3:$E$5001,Pesagens!$B$3:$B$5001,$B41,Pesagens!$A$3:$A$5001,$H41),""))</f>
        <v>500</v>
      </c>
      <c r="J41" s="87">
        <f>IF(F41="","",Parâmetros!$C$4-F41)</f>
        <v>43</v>
      </c>
      <c r="K41" s="90">
        <f t="shared" si="0"/>
        <v>72</v>
      </c>
      <c r="L41" s="91">
        <f t="shared" si="1"/>
        <v>2.4827586206896552</v>
      </c>
      <c r="M41" s="92">
        <f>IF(I41="","",I41*Parâmetros!$C$8/15)</f>
        <v>17.666666666666668</v>
      </c>
      <c r="N41" s="92">
        <f>IF(K41="","",K41*Parâmetros!$C$8/15)</f>
        <v>2.544</v>
      </c>
      <c r="O41" s="93">
        <f>IF(M41="","",M41*Parâmetros!$C$5)</f>
        <v>5476.666666666667</v>
      </c>
      <c r="P41" s="87" t="str">
        <f>IF(L41="","",IF(L41&gt;=Parâmetros!$C$10,"Sim","Não"))</f>
        <v>Sim</v>
      </c>
    </row>
    <row r="42" spans="1:16" ht="14.25" customHeight="1" x14ac:dyDescent="0.3">
      <c r="A42" s="94">
        <v>40</v>
      </c>
      <c r="B42" s="95" t="s">
        <v>212</v>
      </c>
      <c r="C42" s="95" t="s">
        <v>206</v>
      </c>
      <c r="D42" s="95" t="s">
        <v>614</v>
      </c>
      <c r="E42" s="94" t="s">
        <v>213</v>
      </c>
      <c r="F42" s="96">
        <v>46203</v>
      </c>
      <c r="G42" s="97">
        <v>434</v>
      </c>
      <c r="H42" s="96">
        <f>IF(COUNTIFS(Pesagens!$B$3:$B$5001,$B42)=0,"",_xlfn.MAXIFS(Pesagens!$A$3:$A$5001,Pesagens!$B$3:$B$5001,$B42,Pesagens!$E$3:$E$5001,"&lt;&gt;"))</f>
        <v>46232</v>
      </c>
      <c r="I42" s="97">
        <f>IF($H42="","",IFERROR(AVERAGEIFS(Pesagens!$E$3:$E$5001,Pesagens!$B$3:$B$5001,$B42,Pesagens!$A$3:$A$5001,$H42),""))</f>
        <v>503</v>
      </c>
      <c r="J42" s="94">
        <f>IF(F42="","",Parâmetros!$C$4-F42)</f>
        <v>43</v>
      </c>
      <c r="K42" s="97">
        <f t="shared" si="0"/>
        <v>69</v>
      </c>
      <c r="L42" s="98">
        <f t="shared" si="1"/>
        <v>2.3793103448275863</v>
      </c>
      <c r="M42" s="99">
        <f>IF(I42="","",I42*Parâmetros!$C$8/15)</f>
        <v>17.772666666666669</v>
      </c>
      <c r="N42" s="99">
        <f>IF(K42="","",K42*Parâmetros!$C$8/15)</f>
        <v>2.4380000000000002</v>
      </c>
      <c r="O42" s="100">
        <f>IF(M42="","",M42*Parâmetros!$C$5)</f>
        <v>5509.5266666666676</v>
      </c>
      <c r="P42" s="94" t="str">
        <f>IF(L42="","",IF(L42&gt;=Parâmetros!$C$10,"Sim","Não"))</f>
        <v>Sim</v>
      </c>
    </row>
    <row r="43" spans="1:16" ht="14.25" customHeight="1" x14ac:dyDescent="0.3">
      <c r="A43" s="87">
        <v>41</v>
      </c>
      <c r="B43" s="88" t="s">
        <v>222</v>
      </c>
      <c r="C43" s="88" t="s">
        <v>206</v>
      </c>
      <c r="D43" s="88" t="s">
        <v>614</v>
      </c>
      <c r="E43" s="87" t="s">
        <v>213</v>
      </c>
      <c r="F43" s="89">
        <v>46203</v>
      </c>
      <c r="G43" s="90">
        <v>469</v>
      </c>
      <c r="H43" s="89">
        <f>IF(COUNTIFS(Pesagens!$B$3:$B$5001,$B43)=0,"",_xlfn.MAXIFS(Pesagens!$A$3:$A$5001,Pesagens!$B$3:$B$5001,$B43,Pesagens!$E$3:$E$5001,"&lt;&gt;"))</f>
        <v>46232</v>
      </c>
      <c r="I43" s="90">
        <f>IF($H43="","",IFERROR(AVERAGEIFS(Pesagens!$E$3:$E$5001,Pesagens!$B$3:$B$5001,$B43,Pesagens!$A$3:$A$5001,$H43),""))</f>
        <v>550</v>
      </c>
      <c r="J43" s="87">
        <f>IF(F43="","",Parâmetros!$C$4-F43)</f>
        <v>43</v>
      </c>
      <c r="K43" s="90">
        <f t="shared" si="0"/>
        <v>81</v>
      </c>
      <c r="L43" s="91">
        <f t="shared" si="1"/>
        <v>2.7931034482758621</v>
      </c>
      <c r="M43" s="92">
        <f>IF(I43="","",I43*Parâmetros!$C$8/15)</f>
        <v>19.433333333333334</v>
      </c>
      <c r="N43" s="92">
        <f>IF(K43="","",K43*Parâmetros!$C$8/15)</f>
        <v>2.8620000000000001</v>
      </c>
      <c r="O43" s="93">
        <f>IF(M43="","",M43*Parâmetros!$C$5)</f>
        <v>6024.333333333333</v>
      </c>
      <c r="P43" s="87" t="str">
        <f>IF(L43="","",IF(L43&gt;=Parâmetros!$C$10,"Sim","Não"))</f>
        <v>Sim</v>
      </c>
    </row>
    <row r="44" spans="1:16" ht="14.25" customHeight="1" x14ac:dyDescent="0.3">
      <c r="A44" s="94">
        <v>42</v>
      </c>
      <c r="B44" s="95" t="s">
        <v>224</v>
      </c>
      <c r="C44" s="95" t="s">
        <v>206</v>
      </c>
      <c r="D44" s="95" t="s">
        <v>614</v>
      </c>
      <c r="E44" s="94" t="s">
        <v>213</v>
      </c>
      <c r="F44" s="96">
        <v>46203</v>
      </c>
      <c r="G44" s="97">
        <v>472</v>
      </c>
      <c r="H44" s="96">
        <f>IF(COUNTIFS(Pesagens!$B$3:$B$5001,$B44)=0,"",_xlfn.MAXIFS(Pesagens!$A$3:$A$5001,Pesagens!$B$3:$B$5001,$B44,Pesagens!$E$3:$E$5001,"&lt;&gt;"))</f>
        <v>46232</v>
      </c>
      <c r="I44" s="97">
        <f>IF($H44="","",IFERROR(AVERAGEIFS(Pesagens!$E$3:$E$5001,Pesagens!$B$3:$B$5001,$B44,Pesagens!$A$3:$A$5001,$H44),""))</f>
        <v>524</v>
      </c>
      <c r="J44" s="94">
        <f>IF(F44="","",Parâmetros!$C$4-F44)</f>
        <v>43</v>
      </c>
      <c r="K44" s="97">
        <f t="shared" si="0"/>
        <v>52</v>
      </c>
      <c r="L44" s="98">
        <f t="shared" si="1"/>
        <v>1.7931034482758621</v>
      </c>
      <c r="M44" s="99">
        <f>IF(I44="","",I44*Parâmetros!$C$8/15)</f>
        <v>18.514666666666667</v>
      </c>
      <c r="N44" s="99">
        <f>IF(K44="","",K44*Parâmetros!$C$8/15)</f>
        <v>1.8373333333333335</v>
      </c>
      <c r="O44" s="100">
        <f>IF(M44="","",M44*Parâmetros!$C$5)</f>
        <v>5739.5466666666671</v>
      </c>
      <c r="P44" s="94" t="str">
        <f>IF(L44="","",IF(L44&gt;=Parâmetros!$C$10,"Sim","Não"))</f>
        <v>Sim</v>
      </c>
    </row>
    <row r="45" spans="1:16" ht="14.25" customHeight="1" x14ac:dyDescent="0.3">
      <c r="A45" s="87">
        <v>43</v>
      </c>
      <c r="B45" s="88" t="s">
        <v>225</v>
      </c>
      <c r="C45" s="88" t="s">
        <v>206</v>
      </c>
      <c r="D45" s="88" t="s">
        <v>614</v>
      </c>
      <c r="E45" s="87" t="s">
        <v>213</v>
      </c>
      <c r="F45" s="89">
        <v>46203</v>
      </c>
      <c r="G45" s="90">
        <v>469</v>
      </c>
      <c r="H45" s="89">
        <f>IF(COUNTIFS(Pesagens!$B$3:$B$5001,$B45)=0,"",_xlfn.MAXIFS(Pesagens!$A$3:$A$5001,Pesagens!$B$3:$B$5001,$B45,Pesagens!$E$3:$E$5001,"&lt;&gt;"))</f>
        <v>46232</v>
      </c>
      <c r="I45" s="90">
        <f>IF($H45="","",IFERROR(AVERAGEIFS(Pesagens!$E$3:$E$5001,Pesagens!$B$3:$B$5001,$B45,Pesagens!$A$3:$A$5001,$H45),""))</f>
        <v>555</v>
      </c>
      <c r="J45" s="87">
        <f>IF(F45="","",Parâmetros!$C$4-F45)</f>
        <v>43</v>
      </c>
      <c r="K45" s="90">
        <f t="shared" si="0"/>
        <v>86</v>
      </c>
      <c r="L45" s="91">
        <f t="shared" si="1"/>
        <v>2.9655172413793105</v>
      </c>
      <c r="M45" s="92">
        <f>IF(I45="","",I45*Parâmetros!$C$8/15)</f>
        <v>19.610000000000003</v>
      </c>
      <c r="N45" s="92">
        <f>IF(K45="","",K45*Parâmetros!$C$8/15)</f>
        <v>3.0386666666666668</v>
      </c>
      <c r="O45" s="93">
        <f>IF(M45="","",M45*Parâmetros!$C$5)</f>
        <v>6079.1000000000013</v>
      </c>
      <c r="P45" s="87" t="str">
        <f>IF(L45="","",IF(L45&gt;=Parâmetros!$C$10,"Sim","Não"))</f>
        <v>Sim</v>
      </c>
    </row>
    <row r="46" spans="1:16" ht="14.25" customHeight="1" x14ac:dyDescent="0.3">
      <c r="A46" s="94">
        <v>44</v>
      </c>
      <c r="B46" s="95" t="s">
        <v>229</v>
      </c>
      <c r="C46" s="95" t="s">
        <v>206</v>
      </c>
      <c r="D46" s="95" t="s">
        <v>614</v>
      </c>
      <c r="E46" s="94" t="s">
        <v>213</v>
      </c>
      <c r="F46" s="96">
        <v>46203</v>
      </c>
      <c r="G46" s="97">
        <v>413</v>
      </c>
      <c r="H46" s="96">
        <f>IF(COUNTIFS(Pesagens!$B$3:$B$5001,$B46)=0,"",_xlfn.MAXIFS(Pesagens!$A$3:$A$5001,Pesagens!$B$3:$B$5001,$B46,Pesagens!$E$3:$E$5001,"&lt;&gt;"))</f>
        <v>46232</v>
      </c>
      <c r="I46" s="97">
        <f>IF($H46="","",IFERROR(AVERAGEIFS(Pesagens!$E$3:$E$5001,Pesagens!$B$3:$B$5001,$B46,Pesagens!$A$3:$A$5001,$H46),""))</f>
        <v>490</v>
      </c>
      <c r="J46" s="94">
        <f>IF(F46="","",Parâmetros!$C$4-F46)</f>
        <v>43</v>
      </c>
      <c r="K46" s="97">
        <f t="shared" si="0"/>
        <v>77</v>
      </c>
      <c r="L46" s="98">
        <f t="shared" si="1"/>
        <v>2.6551724137931036</v>
      </c>
      <c r="M46" s="99">
        <f>IF(I46="","",I46*Parâmetros!$C$8/15)</f>
        <v>17.313333333333333</v>
      </c>
      <c r="N46" s="99">
        <f>IF(K46="","",K46*Parâmetros!$C$8/15)</f>
        <v>2.7206666666666668</v>
      </c>
      <c r="O46" s="100">
        <f>IF(M46="","",M46*Parâmetros!$C$5)</f>
        <v>5367.1333333333332</v>
      </c>
      <c r="P46" s="94" t="str">
        <f>IF(L46="","",IF(L46&gt;=Parâmetros!$C$10,"Sim","Não"))</f>
        <v>Sim</v>
      </c>
    </row>
    <row r="47" spans="1:16" ht="14.25" customHeight="1" x14ac:dyDescent="0.3">
      <c r="A47" s="87">
        <v>45</v>
      </c>
      <c r="B47" s="88" t="s">
        <v>232</v>
      </c>
      <c r="C47" s="88" t="s">
        <v>206</v>
      </c>
      <c r="D47" s="88" t="s">
        <v>614</v>
      </c>
      <c r="E47" s="87" t="s">
        <v>213</v>
      </c>
      <c r="F47" s="89">
        <v>46203</v>
      </c>
      <c r="G47" s="90">
        <v>474</v>
      </c>
      <c r="H47" s="89">
        <f>IF(COUNTIFS(Pesagens!$B$3:$B$5001,$B47)=0,"",_xlfn.MAXIFS(Pesagens!$A$3:$A$5001,Pesagens!$B$3:$B$5001,$B47,Pesagens!$E$3:$E$5001,"&lt;&gt;"))</f>
        <v>46232</v>
      </c>
      <c r="I47" s="90">
        <f>IF($H47="","",IFERROR(AVERAGEIFS(Pesagens!$E$3:$E$5001,Pesagens!$B$3:$B$5001,$B47,Pesagens!$A$3:$A$5001,$H47),""))</f>
        <v>566</v>
      </c>
      <c r="J47" s="87">
        <f>IF(F47="","",Parâmetros!$C$4-F47)</f>
        <v>43</v>
      </c>
      <c r="K47" s="90">
        <f t="shared" si="0"/>
        <v>92</v>
      </c>
      <c r="L47" s="91">
        <f t="shared" si="1"/>
        <v>3.1724137931034484</v>
      </c>
      <c r="M47" s="92">
        <f>IF(I47="","",I47*Parâmetros!$C$8/15)</f>
        <v>19.998666666666669</v>
      </c>
      <c r="N47" s="92">
        <f>IF(K47="","",K47*Parâmetros!$C$8/15)</f>
        <v>3.250666666666667</v>
      </c>
      <c r="O47" s="93">
        <f>IF(M47="","",M47*Parâmetros!$C$5)</f>
        <v>6199.586666666667</v>
      </c>
      <c r="P47" s="87" t="str">
        <f>IF(L47="","",IF(L47&gt;=Parâmetros!$C$10,"Sim","Não"))</f>
        <v>Sim</v>
      </c>
    </row>
    <row r="48" spans="1:16" ht="14.25" customHeight="1" x14ac:dyDescent="0.3">
      <c r="A48" s="94">
        <v>46</v>
      </c>
      <c r="B48" s="95" t="s">
        <v>235</v>
      </c>
      <c r="C48" s="95" t="s">
        <v>206</v>
      </c>
      <c r="D48" s="95" t="s">
        <v>614</v>
      </c>
      <c r="E48" s="94" t="s">
        <v>213</v>
      </c>
      <c r="F48" s="96">
        <v>46203</v>
      </c>
      <c r="G48" s="97">
        <v>468</v>
      </c>
      <c r="H48" s="96">
        <f>IF(COUNTIFS(Pesagens!$B$3:$B$5001,$B48)=0,"",_xlfn.MAXIFS(Pesagens!$A$3:$A$5001,Pesagens!$B$3:$B$5001,$B48,Pesagens!$E$3:$E$5001,"&lt;&gt;"))</f>
        <v>46232</v>
      </c>
      <c r="I48" s="97">
        <f>IF($H48="","",IFERROR(AVERAGEIFS(Pesagens!$E$3:$E$5001,Pesagens!$B$3:$B$5001,$B48,Pesagens!$A$3:$A$5001,$H48),""))</f>
        <v>535</v>
      </c>
      <c r="J48" s="94">
        <f>IF(F48="","",Parâmetros!$C$4-F48)</f>
        <v>43</v>
      </c>
      <c r="K48" s="97">
        <f t="shared" si="0"/>
        <v>67</v>
      </c>
      <c r="L48" s="98">
        <f t="shared" si="1"/>
        <v>2.3103448275862069</v>
      </c>
      <c r="M48" s="99">
        <f>IF(I48="","",I48*Parâmetros!$C$8/15)</f>
        <v>18.903333333333332</v>
      </c>
      <c r="N48" s="99">
        <f>IF(K48="","",K48*Parâmetros!$C$8/15)</f>
        <v>2.3673333333333337</v>
      </c>
      <c r="O48" s="100">
        <f>IF(M48="","",M48*Parâmetros!$C$5)</f>
        <v>5860.0333333333328</v>
      </c>
      <c r="P48" s="94" t="str">
        <f>IF(L48="","",IF(L48&gt;=Parâmetros!$C$10,"Sim","Não"))</f>
        <v>Sim</v>
      </c>
    </row>
    <row r="49" spans="1:16" ht="14.25" customHeight="1" x14ac:dyDescent="0.3">
      <c r="A49" s="87">
        <v>47</v>
      </c>
      <c r="B49" s="88" t="s">
        <v>239</v>
      </c>
      <c r="C49" s="88" t="s">
        <v>206</v>
      </c>
      <c r="D49" s="88" t="s">
        <v>614</v>
      </c>
      <c r="E49" s="87" t="s">
        <v>213</v>
      </c>
      <c r="F49" s="89">
        <v>46203</v>
      </c>
      <c r="G49" s="90">
        <v>415</v>
      </c>
      <c r="H49" s="89">
        <f>IF(COUNTIFS(Pesagens!$B$3:$B$5001,$B49)=0,"",_xlfn.MAXIFS(Pesagens!$A$3:$A$5001,Pesagens!$B$3:$B$5001,$B49,Pesagens!$E$3:$E$5001,"&lt;&gt;"))</f>
        <v>46232</v>
      </c>
      <c r="I49" s="90">
        <f>IF($H49="","",IFERROR(AVERAGEIFS(Pesagens!$E$3:$E$5001,Pesagens!$B$3:$B$5001,$B49,Pesagens!$A$3:$A$5001,$H49),""))</f>
        <v>490</v>
      </c>
      <c r="J49" s="87">
        <f>IF(F49="","",Parâmetros!$C$4-F49)</f>
        <v>43</v>
      </c>
      <c r="K49" s="90">
        <f t="shared" si="0"/>
        <v>75</v>
      </c>
      <c r="L49" s="91">
        <f t="shared" si="1"/>
        <v>2.5862068965517242</v>
      </c>
      <c r="M49" s="92">
        <f>IF(I49="","",I49*Parâmetros!$C$8/15)</f>
        <v>17.313333333333333</v>
      </c>
      <c r="N49" s="92">
        <f>IF(K49="","",K49*Parâmetros!$C$8/15)</f>
        <v>2.65</v>
      </c>
      <c r="O49" s="93">
        <f>IF(M49="","",M49*Parâmetros!$C$5)</f>
        <v>5367.1333333333332</v>
      </c>
      <c r="P49" s="87" t="str">
        <f>IF(L49="","",IF(L49&gt;=Parâmetros!$C$10,"Sim","Não"))</f>
        <v>Sim</v>
      </c>
    </row>
    <row r="50" spans="1:16" ht="14.25" customHeight="1" x14ac:dyDescent="0.3">
      <c r="A50" s="94">
        <v>48</v>
      </c>
      <c r="B50" s="95" t="s">
        <v>242</v>
      </c>
      <c r="C50" s="95" t="s">
        <v>206</v>
      </c>
      <c r="D50" s="95" t="s">
        <v>614</v>
      </c>
      <c r="E50" s="94" t="s">
        <v>213</v>
      </c>
      <c r="F50" s="96">
        <v>46203</v>
      </c>
      <c r="G50" s="97">
        <v>460</v>
      </c>
      <c r="H50" s="96">
        <f>IF(COUNTIFS(Pesagens!$B$3:$B$5001,$B50)=0,"",_xlfn.MAXIFS(Pesagens!$A$3:$A$5001,Pesagens!$B$3:$B$5001,$B50,Pesagens!$E$3:$E$5001,"&lt;&gt;"))</f>
        <v>46232</v>
      </c>
      <c r="I50" s="97">
        <f>IF($H50="","",IFERROR(AVERAGEIFS(Pesagens!$E$3:$E$5001,Pesagens!$B$3:$B$5001,$B50,Pesagens!$A$3:$A$5001,$H50),""))</f>
        <v>526</v>
      </c>
      <c r="J50" s="94">
        <f>IF(F50="","",Parâmetros!$C$4-F50)</f>
        <v>43</v>
      </c>
      <c r="K50" s="97">
        <f t="shared" si="0"/>
        <v>66</v>
      </c>
      <c r="L50" s="98">
        <f t="shared" si="1"/>
        <v>2.2758620689655173</v>
      </c>
      <c r="M50" s="99">
        <f>IF(I50="","",I50*Parâmetros!$C$8/15)</f>
        <v>18.585333333333335</v>
      </c>
      <c r="N50" s="99">
        <f>IF(K50="","",K50*Parâmetros!$C$8/15)</f>
        <v>2.3320000000000003</v>
      </c>
      <c r="O50" s="100">
        <f>IF(M50="","",M50*Parâmetros!$C$5)</f>
        <v>5761.4533333333338</v>
      </c>
      <c r="P50" s="94" t="str">
        <f>IF(L50="","",IF(L50&gt;=Parâmetros!$C$10,"Sim","Não"))</f>
        <v>Sim</v>
      </c>
    </row>
    <row r="51" spans="1:16" ht="14.25" customHeight="1" x14ac:dyDescent="0.3">
      <c r="A51" s="87">
        <v>49</v>
      </c>
      <c r="B51" s="88" t="s">
        <v>243</v>
      </c>
      <c r="C51" s="88" t="s">
        <v>206</v>
      </c>
      <c r="D51" s="88" t="s">
        <v>614</v>
      </c>
      <c r="E51" s="87" t="s">
        <v>213</v>
      </c>
      <c r="F51" s="89">
        <v>46203</v>
      </c>
      <c r="G51" s="90">
        <v>475</v>
      </c>
      <c r="H51" s="89">
        <f>IF(COUNTIFS(Pesagens!$B$3:$B$5001,$B51)=0,"",_xlfn.MAXIFS(Pesagens!$A$3:$A$5001,Pesagens!$B$3:$B$5001,$B51,Pesagens!$E$3:$E$5001,"&lt;&gt;"))</f>
        <v>46232</v>
      </c>
      <c r="I51" s="90">
        <f>IF($H51="","",IFERROR(AVERAGEIFS(Pesagens!$E$3:$E$5001,Pesagens!$B$3:$B$5001,$B51,Pesagens!$A$3:$A$5001,$H51),""))</f>
        <v>562</v>
      </c>
      <c r="J51" s="87">
        <f>IF(F51="","",Parâmetros!$C$4-F51)</f>
        <v>43</v>
      </c>
      <c r="K51" s="90">
        <f t="shared" si="0"/>
        <v>87</v>
      </c>
      <c r="L51" s="91">
        <f t="shared" si="1"/>
        <v>3</v>
      </c>
      <c r="M51" s="92">
        <f>IF(I51="","",I51*Parâmetros!$C$8/15)</f>
        <v>19.857333333333333</v>
      </c>
      <c r="N51" s="92">
        <f>IF(K51="","",K51*Parâmetros!$C$8/15)</f>
        <v>3.0739999999999998</v>
      </c>
      <c r="O51" s="93">
        <f>IF(M51="","",M51*Parâmetros!$C$5)</f>
        <v>6155.7733333333335</v>
      </c>
      <c r="P51" s="87" t="str">
        <f>IF(L51="","",IF(L51&gt;=Parâmetros!$C$10,"Sim","Não"))</f>
        <v>Sim</v>
      </c>
    </row>
    <row r="52" spans="1:16" ht="14.25" customHeight="1" x14ac:dyDescent="0.3">
      <c r="A52" s="94">
        <v>50</v>
      </c>
      <c r="B52" s="95" t="s">
        <v>246</v>
      </c>
      <c r="C52" s="95" t="s">
        <v>206</v>
      </c>
      <c r="D52" s="95" t="s">
        <v>614</v>
      </c>
      <c r="E52" s="94" t="s">
        <v>213</v>
      </c>
      <c r="F52" s="96">
        <v>46203</v>
      </c>
      <c r="G52" s="97">
        <v>385</v>
      </c>
      <c r="H52" s="96">
        <f>IF(COUNTIFS(Pesagens!$B$3:$B$5001,$B52)=0,"",_xlfn.MAXIFS(Pesagens!$A$3:$A$5001,Pesagens!$B$3:$B$5001,$B52,Pesagens!$E$3:$E$5001,"&lt;&gt;"))</f>
        <v>46232</v>
      </c>
      <c r="I52" s="97">
        <f>IF($H52="","",IFERROR(AVERAGEIFS(Pesagens!$E$3:$E$5001,Pesagens!$B$3:$B$5001,$B52,Pesagens!$A$3:$A$5001,$H52),""))</f>
        <v>464</v>
      </c>
      <c r="J52" s="94">
        <f>IF(F52="","",Parâmetros!$C$4-F52)</f>
        <v>43</v>
      </c>
      <c r="K52" s="97">
        <f t="shared" si="0"/>
        <v>79</v>
      </c>
      <c r="L52" s="98">
        <f t="shared" si="1"/>
        <v>2.7241379310344827</v>
      </c>
      <c r="M52" s="99">
        <f>IF(I52="","",I52*Parâmetros!$C$8/15)</f>
        <v>16.394666666666669</v>
      </c>
      <c r="N52" s="99">
        <f>IF(K52="","",K52*Parâmetros!$C$8/15)</f>
        <v>2.7913333333333337</v>
      </c>
      <c r="O52" s="100">
        <f>IF(M52="","",M52*Parâmetros!$C$5)</f>
        <v>5082.3466666666673</v>
      </c>
      <c r="P52" s="94" t="str">
        <f>IF(L52="","",IF(L52&gt;=Parâmetros!$C$10,"Sim","Não"))</f>
        <v>Sim</v>
      </c>
    </row>
    <row r="53" spans="1:16" ht="14.25" customHeight="1" x14ac:dyDescent="0.3">
      <c r="A53" s="87">
        <v>51</v>
      </c>
      <c r="B53" s="88" t="s">
        <v>249</v>
      </c>
      <c r="C53" s="88" t="s">
        <v>206</v>
      </c>
      <c r="D53" s="88" t="s">
        <v>614</v>
      </c>
      <c r="E53" s="87" t="s">
        <v>213</v>
      </c>
      <c r="F53" s="89">
        <v>46203</v>
      </c>
      <c r="G53" s="90">
        <v>450</v>
      </c>
      <c r="H53" s="89">
        <f>IF(COUNTIFS(Pesagens!$B$3:$B$5001,$B53)=0,"",_xlfn.MAXIFS(Pesagens!$A$3:$A$5001,Pesagens!$B$3:$B$5001,$B53,Pesagens!$E$3:$E$5001,"&lt;&gt;"))</f>
        <v>46232</v>
      </c>
      <c r="I53" s="90">
        <f>IF($H53="","",IFERROR(AVERAGEIFS(Pesagens!$E$3:$E$5001,Pesagens!$B$3:$B$5001,$B53,Pesagens!$A$3:$A$5001,$H53),""))</f>
        <v>531</v>
      </c>
      <c r="J53" s="87">
        <f>IF(F53="","",Parâmetros!$C$4-F53)</f>
        <v>43</v>
      </c>
      <c r="K53" s="90">
        <f t="shared" si="0"/>
        <v>81</v>
      </c>
      <c r="L53" s="91">
        <f t="shared" si="1"/>
        <v>2.7931034482758621</v>
      </c>
      <c r="M53" s="92">
        <f>IF(I53="","",I53*Parâmetros!$C$8/15)</f>
        <v>18.762</v>
      </c>
      <c r="N53" s="92">
        <f>IF(K53="","",K53*Parâmetros!$C$8/15)</f>
        <v>2.8620000000000001</v>
      </c>
      <c r="O53" s="93">
        <f>IF(M53="","",M53*Parâmetros!$C$5)</f>
        <v>5816.22</v>
      </c>
      <c r="P53" s="87" t="str">
        <f>IF(L53="","",IF(L53&gt;=Parâmetros!$C$10,"Sim","Não"))</f>
        <v>Sim</v>
      </c>
    </row>
    <row r="54" spans="1:16" ht="14.25" customHeight="1" x14ac:dyDescent="0.3">
      <c r="A54" s="94">
        <v>52</v>
      </c>
      <c r="B54" s="95" t="s">
        <v>251</v>
      </c>
      <c r="C54" s="95" t="s">
        <v>206</v>
      </c>
      <c r="D54" s="95" t="s">
        <v>614</v>
      </c>
      <c r="E54" s="94" t="s">
        <v>213</v>
      </c>
      <c r="F54" s="96">
        <v>46203</v>
      </c>
      <c r="G54" s="97">
        <v>485</v>
      </c>
      <c r="H54" s="96">
        <f>IF(COUNTIFS(Pesagens!$B$3:$B$5001,$B54)=0,"",_xlfn.MAXIFS(Pesagens!$A$3:$A$5001,Pesagens!$B$3:$B$5001,$B54,Pesagens!$E$3:$E$5001,"&lt;&gt;"))</f>
        <v>46232</v>
      </c>
      <c r="I54" s="97">
        <f>IF($H54="","",IFERROR(AVERAGEIFS(Pesagens!$E$3:$E$5001,Pesagens!$B$3:$B$5001,$B54,Pesagens!$A$3:$A$5001,$H54),""))</f>
        <v>567</v>
      </c>
      <c r="J54" s="94">
        <f>IF(F54="","",Parâmetros!$C$4-F54)</f>
        <v>43</v>
      </c>
      <c r="K54" s="97">
        <f t="shared" si="0"/>
        <v>82</v>
      </c>
      <c r="L54" s="98">
        <f t="shared" si="1"/>
        <v>2.8275862068965516</v>
      </c>
      <c r="M54" s="99">
        <f>IF(I54="","",I54*Parâmetros!$C$8/15)</f>
        <v>20.033999999999999</v>
      </c>
      <c r="N54" s="99">
        <f>IF(K54="","",K54*Parâmetros!$C$8/15)</f>
        <v>2.8973333333333335</v>
      </c>
      <c r="O54" s="100">
        <f>IF(M54="","",M54*Parâmetros!$C$5)</f>
        <v>6210.54</v>
      </c>
      <c r="P54" s="94" t="str">
        <f>IF(L54="","",IF(L54&gt;=Parâmetros!$C$10,"Sim","Não"))</f>
        <v>Sim</v>
      </c>
    </row>
    <row r="55" spans="1:16" ht="14.25" customHeight="1" x14ac:dyDescent="0.3">
      <c r="A55" s="87">
        <v>53</v>
      </c>
      <c r="B55" s="88" t="s">
        <v>252</v>
      </c>
      <c r="C55" s="88" t="s">
        <v>206</v>
      </c>
      <c r="D55" s="88" t="s">
        <v>614</v>
      </c>
      <c r="E55" s="87" t="s">
        <v>213</v>
      </c>
      <c r="F55" s="89">
        <v>46203</v>
      </c>
      <c r="G55" s="90">
        <v>463</v>
      </c>
      <c r="H55" s="89">
        <f>IF(COUNTIFS(Pesagens!$B$3:$B$5001,$B55)=0,"",_xlfn.MAXIFS(Pesagens!$A$3:$A$5001,Pesagens!$B$3:$B$5001,$B55,Pesagens!$E$3:$E$5001,"&lt;&gt;"))</f>
        <v>46232</v>
      </c>
      <c r="I55" s="90">
        <f>IF($H55="","",IFERROR(AVERAGEIFS(Pesagens!$E$3:$E$5001,Pesagens!$B$3:$B$5001,$B55,Pesagens!$A$3:$A$5001,$H55),""))</f>
        <v>545</v>
      </c>
      <c r="J55" s="87">
        <f>IF(F55="","",Parâmetros!$C$4-F55)</f>
        <v>43</v>
      </c>
      <c r="K55" s="90">
        <f t="shared" si="0"/>
        <v>82</v>
      </c>
      <c r="L55" s="91">
        <f t="shared" si="1"/>
        <v>2.8275862068965516</v>
      </c>
      <c r="M55" s="92">
        <f>IF(I55="","",I55*Parâmetros!$C$8/15)</f>
        <v>19.256666666666668</v>
      </c>
      <c r="N55" s="92">
        <f>IF(K55="","",K55*Parâmetros!$C$8/15)</f>
        <v>2.8973333333333335</v>
      </c>
      <c r="O55" s="93">
        <f>IF(M55="","",M55*Parâmetros!$C$5)</f>
        <v>5969.5666666666666</v>
      </c>
      <c r="P55" s="87" t="str">
        <f>IF(L55="","",IF(L55&gt;=Parâmetros!$C$10,"Sim","Não"))</f>
        <v>Sim</v>
      </c>
    </row>
    <row r="56" spans="1:16" ht="14.25" customHeight="1" x14ac:dyDescent="0.3">
      <c r="A56" s="94">
        <v>54</v>
      </c>
      <c r="B56" s="95" t="s">
        <v>255</v>
      </c>
      <c r="C56" s="95" t="s">
        <v>206</v>
      </c>
      <c r="D56" s="95" t="s">
        <v>614</v>
      </c>
      <c r="E56" s="94" t="s">
        <v>213</v>
      </c>
      <c r="F56" s="96">
        <v>46203</v>
      </c>
      <c r="G56" s="97">
        <v>504</v>
      </c>
      <c r="H56" s="96">
        <f>IF(COUNTIFS(Pesagens!$B$3:$B$5001,$B56)=0,"",_xlfn.MAXIFS(Pesagens!$A$3:$A$5001,Pesagens!$B$3:$B$5001,$B56,Pesagens!$E$3:$E$5001,"&lt;&gt;"))</f>
        <v>46232</v>
      </c>
      <c r="I56" s="97">
        <f>IF($H56="","",IFERROR(AVERAGEIFS(Pesagens!$E$3:$E$5001,Pesagens!$B$3:$B$5001,$B56,Pesagens!$A$3:$A$5001,$H56),""))</f>
        <v>562</v>
      </c>
      <c r="J56" s="94">
        <f>IF(F56="","",Parâmetros!$C$4-F56)</f>
        <v>43</v>
      </c>
      <c r="K56" s="97">
        <f t="shared" si="0"/>
        <v>58</v>
      </c>
      <c r="L56" s="98">
        <f t="shared" si="1"/>
        <v>2</v>
      </c>
      <c r="M56" s="99">
        <f>IF(I56="","",I56*Parâmetros!$C$8/15)</f>
        <v>19.857333333333333</v>
      </c>
      <c r="N56" s="99">
        <f>IF(K56="","",K56*Parâmetros!$C$8/15)</f>
        <v>2.0493333333333337</v>
      </c>
      <c r="O56" s="100">
        <f>IF(M56="","",M56*Parâmetros!$C$5)</f>
        <v>6155.7733333333335</v>
      </c>
      <c r="P56" s="94" t="str">
        <f>IF(L56="","",IF(L56&gt;=Parâmetros!$C$10,"Sim","Não"))</f>
        <v>Sim</v>
      </c>
    </row>
    <row r="57" spans="1:16" ht="14.25" customHeight="1" x14ac:dyDescent="0.3">
      <c r="A57" s="87">
        <v>55</v>
      </c>
      <c r="B57" s="88" t="s">
        <v>256</v>
      </c>
      <c r="C57" s="88" t="s">
        <v>206</v>
      </c>
      <c r="D57" s="88" t="s">
        <v>614</v>
      </c>
      <c r="E57" s="87" t="s">
        <v>213</v>
      </c>
      <c r="F57" s="89">
        <v>46203</v>
      </c>
      <c r="G57" s="90">
        <v>487</v>
      </c>
      <c r="H57" s="89">
        <f>IF(COUNTIFS(Pesagens!$B$3:$B$5001,$B57)=0,"",_xlfn.MAXIFS(Pesagens!$A$3:$A$5001,Pesagens!$B$3:$B$5001,$B57,Pesagens!$E$3:$E$5001,"&lt;&gt;"))</f>
        <v>46232</v>
      </c>
      <c r="I57" s="90">
        <f>IF($H57="","",IFERROR(AVERAGEIFS(Pesagens!$E$3:$E$5001,Pesagens!$B$3:$B$5001,$B57,Pesagens!$A$3:$A$5001,$H57),""))</f>
        <v>550</v>
      </c>
      <c r="J57" s="87">
        <f>IF(F57="","",Parâmetros!$C$4-F57)</f>
        <v>43</v>
      </c>
      <c r="K57" s="90">
        <f t="shared" si="0"/>
        <v>63</v>
      </c>
      <c r="L57" s="91">
        <f t="shared" si="1"/>
        <v>2.1724137931034484</v>
      </c>
      <c r="M57" s="92">
        <f>IF(I57="","",I57*Parâmetros!$C$8/15)</f>
        <v>19.433333333333334</v>
      </c>
      <c r="N57" s="92">
        <f>IF(K57="","",K57*Parâmetros!$C$8/15)</f>
        <v>2.226</v>
      </c>
      <c r="O57" s="93">
        <f>IF(M57="","",M57*Parâmetros!$C$5)</f>
        <v>6024.333333333333</v>
      </c>
      <c r="P57" s="87" t="str">
        <f>IF(L57="","",IF(L57&gt;=Parâmetros!$C$10,"Sim","Não"))</f>
        <v>Sim</v>
      </c>
    </row>
    <row r="58" spans="1:16" ht="14.25" customHeight="1" x14ac:dyDescent="0.3">
      <c r="A58" s="94">
        <v>56</v>
      </c>
      <c r="B58" s="95" t="s">
        <v>257</v>
      </c>
      <c r="C58" s="95" t="s">
        <v>206</v>
      </c>
      <c r="D58" s="95" t="s">
        <v>614</v>
      </c>
      <c r="E58" s="94" t="s">
        <v>213</v>
      </c>
      <c r="F58" s="96">
        <v>46203</v>
      </c>
      <c r="G58" s="97">
        <v>470</v>
      </c>
      <c r="H58" s="96">
        <f>IF(COUNTIFS(Pesagens!$B$3:$B$5001,$B58)=0,"",_xlfn.MAXIFS(Pesagens!$A$3:$A$5001,Pesagens!$B$3:$B$5001,$B58,Pesagens!$E$3:$E$5001,"&lt;&gt;"))</f>
        <v>46232</v>
      </c>
      <c r="I58" s="97">
        <f>IF($H58="","",IFERROR(AVERAGEIFS(Pesagens!$E$3:$E$5001,Pesagens!$B$3:$B$5001,$B58,Pesagens!$A$3:$A$5001,$H58),""))</f>
        <v>536</v>
      </c>
      <c r="J58" s="94">
        <f>IF(F58="","",Parâmetros!$C$4-F58)</f>
        <v>43</v>
      </c>
      <c r="K58" s="97">
        <f t="shared" si="0"/>
        <v>66</v>
      </c>
      <c r="L58" s="98">
        <f t="shared" si="1"/>
        <v>2.2758620689655173</v>
      </c>
      <c r="M58" s="99">
        <f>IF(I58="","",I58*Parâmetros!$C$8/15)</f>
        <v>18.93866666666667</v>
      </c>
      <c r="N58" s="99">
        <f>IF(K58="","",K58*Parâmetros!$C$8/15)</f>
        <v>2.3320000000000003</v>
      </c>
      <c r="O58" s="100">
        <f>IF(M58="","",M58*Parâmetros!$C$5)</f>
        <v>5870.9866666666676</v>
      </c>
      <c r="P58" s="94" t="str">
        <f>IF(L58="","",IF(L58&gt;=Parâmetros!$C$10,"Sim","Não"))</f>
        <v>Sim</v>
      </c>
    </row>
    <row r="59" spans="1:16" ht="14.25" customHeight="1" x14ac:dyDescent="0.3">
      <c r="A59" s="87">
        <v>57</v>
      </c>
      <c r="B59" s="88" t="s">
        <v>258</v>
      </c>
      <c r="C59" s="88" t="s">
        <v>206</v>
      </c>
      <c r="D59" s="88" t="s">
        <v>614</v>
      </c>
      <c r="E59" s="87" t="s">
        <v>213</v>
      </c>
      <c r="F59" s="89">
        <v>46203</v>
      </c>
      <c r="G59" s="90">
        <v>488</v>
      </c>
      <c r="H59" s="89">
        <f>IF(COUNTIFS(Pesagens!$B$3:$B$5001,$B59)=0,"",_xlfn.MAXIFS(Pesagens!$A$3:$A$5001,Pesagens!$B$3:$B$5001,$B59,Pesagens!$E$3:$E$5001,"&lt;&gt;"))</f>
        <v>46232</v>
      </c>
      <c r="I59" s="90">
        <f>IF($H59="","",IFERROR(AVERAGEIFS(Pesagens!$E$3:$E$5001,Pesagens!$B$3:$B$5001,$B59,Pesagens!$A$3:$A$5001,$H59),""))</f>
        <v>546</v>
      </c>
      <c r="J59" s="87">
        <f>IF(F59="","",Parâmetros!$C$4-F59)</f>
        <v>43</v>
      </c>
      <c r="K59" s="90">
        <f t="shared" si="0"/>
        <v>58</v>
      </c>
      <c r="L59" s="91">
        <f t="shared" si="1"/>
        <v>2</v>
      </c>
      <c r="M59" s="92">
        <f>IF(I59="","",I59*Parâmetros!$C$8/15)</f>
        <v>19.291999999999998</v>
      </c>
      <c r="N59" s="92">
        <f>IF(K59="","",K59*Parâmetros!$C$8/15)</f>
        <v>2.0493333333333337</v>
      </c>
      <c r="O59" s="93">
        <f>IF(M59="","",M59*Parâmetros!$C$5)</f>
        <v>5980.5199999999995</v>
      </c>
      <c r="P59" s="87" t="str">
        <f>IF(L59="","",IF(L59&gt;=Parâmetros!$C$10,"Sim","Não"))</f>
        <v>Sim</v>
      </c>
    </row>
    <row r="60" spans="1:16" ht="14.25" customHeight="1" x14ac:dyDescent="0.3">
      <c r="A60" s="94">
        <v>58</v>
      </c>
      <c r="B60" s="95" t="s">
        <v>259</v>
      </c>
      <c r="C60" s="95" t="s">
        <v>206</v>
      </c>
      <c r="D60" s="95" t="s">
        <v>614</v>
      </c>
      <c r="E60" s="94" t="s">
        <v>213</v>
      </c>
      <c r="F60" s="96">
        <v>46203</v>
      </c>
      <c r="G60" s="97">
        <v>478</v>
      </c>
      <c r="H60" s="96">
        <f>IF(COUNTIFS(Pesagens!$B$3:$B$5001,$B60)=0,"",_xlfn.MAXIFS(Pesagens!$A$3:$A$5001,Pesagens!$B$3:$B$5001,$B60,Pesagens!$E$3:$E$5001,"&lt;&gt;"))</f>
        <v>46232</v>
      </c>
      <c r="I60" s="97">
        <f>IF($H60="","",IFERROR(AVERAGEIFS(Pesagens!$E$3:$E$5001,Pesagens!$B$3:$B$5001,$B60,Pesagens!$A$3:$A$5001,$H60),""))</f>
        <v>527</v>
      </c>
      <c r="J60" s="94">
        <f>IF(F60="","",Parâmetros!$C$4-F60)</f>
        <v>43</v>
      </c>
      <c r="K60" s="97">
        <f t="shared" si="0"/>
        <v>49</v>
      </c>
      <c r="L60" s="98">
        <f t="shared" si="1"/>
        <v>1.6896551724137931</v>
      </c>
      <c r="M60" s="99">
        <f>IF(I60="","",I60*Parâmetros!$C$8/15)</f>
        <v>18.620666666666668</v>
      </c>
      <c r="N60" s="99">
        <f>IF(K60="","",K60*Parâmetros!$C$8/15)</f>
        <v>1.7313333333333334</v>
      </c>
      <c r="O60" s="100">
        <f>IF(M60="","",M60*Parâmetros!$C$5)</f>
        <v>5772.4066666666677</v>
      </c>
      <c r="P60" s="94" t="str">
        <f>IF(L60="","",IF(L60&gt;=Parâmetros!$C$10,"Sim","Não"))</f>
        <v>Sim</v>
      </c>
    </row>
    <row r="61" spans="1:16" ht="14.25" customHeight="1" x14ac:dyDescent="0.3">
      <c r="A61" s="87">
        <v>59</v>
      </c>
      <c r="B61" s="88" t="s">
        <v>264</v>
      </c>
      <c r="C61" s="88" t="s">
        <v>206</v>
      </c>
      <c r="D61" s="88" t="s">
        <v>614</v>
      </c>
      <c r="E61" s="87" t="s">
        <v>213</v>
      </c>
      <c r="F61" s="89">
        <v>46203</v>
      </c>
      <c r="G61" s="90">
        <v>468</v>
      </c>
      <c r="H61" s="89">
        <f>IF(COUNTIFS(Pesagens!$B$3:$B$5001,$B61)=0,"",_xlfn.MAXIFS(Pesagens!$A$3:$A$5001,Pesagens!$B$3:$B$5001,$B61,Pesagens!$E$3:$E$5001,"&lt;&gt;"))</f>
        <v>46232</v>
      </c>
      <c r="I61" s="90">
        <f>IF($H61="","",IFERROR(AVERAGEIFS(Pesagens!$E$3:$E$5001,Pesagens!$B$3:$B$5001,$B61,Pesagens!$A$3:$A$5001,$H61),""))</f>
        <v>527</v>
      </c>
      <c r="J61" s="87">
        <f>IF(F61="","",Parâmetros!$C$4-F61)</f>
        <v>43</v>
      </c>
      <c r="K61" s="90">
        <f t="shared" si="0"/>
        <v>59</v>
      </c>
      <c r="L61" s="91">
        <f t="shared" si="1"/>
        <v>2.0344827586206895</v>
      </c>
      <c r="M61" s="92">
        <f>IF(I61="","",I61*Parâmetros!$C$8/15)</f>
        <v>18.620666666666668</v>
      </c>
      <c r="N61" s="92">
        <f>IF(K61="","",K61*Parâmetros!$C$8/15)</f>
        <v>2.0846666666666667</v>
      </c>
      <c r="O61" s="93">
        <f>IF(M61="","",M61*Parâmetros!$C$5)</f>
        <v>5772.4066666666677</v>
      </c>
      <c r="P61" s="87" t="str">
        <f>IF(L61="","",IF(L61&gt;=Parâmetros!$C$10,"Sim","Não"))</f>
        <v>Sim</v>
      </c>
    </row>
    <row r="62" spans="1:16" ht="14.25" customHeight="1" x14ac:dyDescent="0.3">
      <c r="A62" s="94">
        <v>60</v>
      </c>
      <c r="B62" s="95" t="s">
        <v>265</v>
      </c>
      <c r="C62" s="95" t="s">
        <v>206</v>
      </c>
      <c r="D62" s="95" t="s">
        <v>614</v>
      </c>
      <c r="E62" s="94" t="s">
        <v>213</v>
      </c>
      <c r="F62" s="96">
        <v>46203</v>
      </c>
      <c r="G62" s="97">
        <v>432</v>
      </c>
      <c r="H62" s="96">
        <f>IF(COUNTIFS(Pesagens!$B$3:$B$5001,$B62)=0,"",_xlfn.MAXIFS(Pesagens!$A$3:$A$5001,Pesagens!$B$3:$B$5001,$B62,Pesagens!$E$3:$E$5001,"&lt;&gt;"))</f>
        <v>46232</v>
      </c>
      <c r="I62" s="97">
        <f>IF($H62="","",IFERROR(AVERAGEIFS(Pesagens!$E$3:$E$5001,Pesagens!$B$3:$B$5001,$B62,Pesagens!$A$3:$A$5001,$H62),""))</f>
        <v>478</v>
      </c>
      <c r="J62" s="94">
        <f>IF(F62="","",Parâmetros!$C$4-F62)</f>
        <v>43</v>
      </c>
      <c r="K62" s="97">
        <f t="shared" si="0"/>
        <v>46</v>
      </c>
      <c r="L62" s="98">
        <f t="shared" si="1"/>
        <v>1.5862068965517242</v>
      </c>
      <c r="M62" s="99">
        <f>IF(I62="","",I62*Parâmetros!$C$8/15)</f>
        <v>16.889333333333333</v>
      </c>
      <c r="N62" s="99">
        <f>IF(K62="","",K62*Parâmetros!$C$8/15)</f>
        <v>1.6253333333333335</v>
      </c>
      <c r="O62" s="100">
        <f>IF(M62="","",M62*Parâmetros!$C$5)</f>
        <v>5235.6933333333336</v>
      </c>
      <c r="P62" s="94" t="str">
        <f>IF(L62="","",IF(L62&gt;=Parâmetros!$C$10,"Sim","Não"))</f>
        <v>Sim</v>
      </c>
    </row>
    <row r="63" spans="1:16" ht="14.25" customHeight="1" x14ac:dyDescent="0.3">
      <c r="A63" s="87">
        <v>61</v>
      </c>
      <c r="B63" s="88" t="s">
        <v>266</v>
      </c>
      <c r="C63" s="88" t="s">
        <v>206</v>
      </c>
      <c r="D63" s="88" t="s">
        <v>614</v>
      </c>
      <c r="E63" s="87" t="s">
        <v>213</v>
      </c>
      <c r="F63" s="89">
        <v>46203</v>
      </c>
      <c r="G63" s="90">
        <v>474</v>
      </c>
      <c r="H63" s="89">
        <f>IF(COUNTIFS(Pesagens!$B$3:$B$5001,$B63)=0,"",_xlfn.MAXIFS(Pesagens!$A$3:$A$5001,Pesagens!$B$3:$B$5001,$B63,Pesagens!$E$3:$E$5001,"&lt;&gt;"))</f>
        <v>46232</v>
      </c>
      <c r="I63" s="90">
        <f>IF($H63="","",IFERROR(AVERAGEIFS(Pesagens!$E$3:$E$5001,Pesagens!$B$3:$B$5001,$B63,Pesagens!$A$3:$A$5001,$H63),""))</f>
        <v>553</v>
      </c>
      <c r="J63" s="87">
        <f>IF(F63="","",Parâmetros!$C$4-F63)</f>
        <v>43</v>
      </c>
      <c r="K63" s="90">
        <f t="shared" si="0"/>
        <v>79</v>
      </c>
      <c r="L63" s="91">
        <f t="shared" si="1"/>
        <v>2.7241379310344827</v>
      </c>
      <c r="M63" s="92">
        <f>IF(I63="","",I63*Parâmetros!$C$8/15)</f>
        <v>19.539333333333335</v>
      </c>
      <c r="N63" s="92">
        <f>IF(K63="","",K63*Parâmetros!$C$8/15)</f>
        <v>2.7913333333333337</v>
      </c>
      <c r="O63" s="93">
        <f>IF(M63="","",M63*Parâmetros!$C$5)</f>
        <v>6057.1933333333336</v>
      </c>
      <c r="P63" s="87" t="str">
        <f>IF(L63="","",IF(L63&gt;=Parâmetros!$C$10,"Sim","Não"))</f>
        <v>Sim</v>
      </c>
    </row>
    <row r="64" spans="1:16" ht="14.25" customHeight="1" x14ac:dyDescent="0.3">
      <c r="A64" s="94">
        <v>62</v>
      </c>
      <c r="B64" s="95" t="s">
        <v>267</v>
      </c>
      <c r="C64" s="95" t="s">
        <v>206</v>
      </c>
      <c r="D64" s="95" t="s">
        <v>614</v>
      </c>
      <c r="E64" s="94" t="s">
        <v>213</v>
      </c>
      <c r="F64" s="96">
        <v>46203</v>
      </c>
      <c r="G64" s="97">
        <v>476</v>
      </c>
      <c r="H64" s="96">
        <f>IF(COUNTIFS(Pesagens!$B$3:$B$5001,$B64)=0,"",_xlfn.MAXIFS(Pesagens!$A$3:$A$5001,Pesagens!$B$3:$B$5001,$B64,Pesagens!$E$3:$E$5001,"&lt;&gt;"))</f>
        <v>46232</v>
      </c>
      <c r="I64" s="97">
        <f>IF($H64="","",IFERROR(AVERAGEIFS(Pesagens!$E$3:$E$5001,Pesagens!$B$3:$B$5001,$B64,Pesagens!$A$3:$A$5001,$H64),""))</f>
        <v>534</v>
      </c>
      <c r="J64" s="94">
        <f>IF(F64="","",Parâmetros!$C$4-F64)</f>
        <v>43</v>
      </c>
      <c r="K64" s="97">
        <f t="shared" si="0"/>
        <v>58</v>
      </c>
      <c r="L64" s="98">
        <f t="shared" si="1"/>
        <v>2</v>
      </c>
      <c r="M64" s="99">
        <f>IF(I64="","",I64*Parâmetros!$C$8/15)</f>
        <v>18.868000000000002</v>
      </c>
      <c r="N64" s="99">
        <f>IF(K64="","",K64*Parâmetros!$C$8/15)</f>
        <v>2.0493333333333337</v>
      </c>
      <c r="O64" s="100">
        <f>IF(M64="","",M64*Parâmetros!$C$5)</f>
        <v>5849.0800000000008</v>
      </c>
      <c r="P64" s="94" t="str">
        <f>IF(L64="","",IF(L64&gt;=Parâmetros!$C$10,"Sim","Não"))</f>
        <v>Sim</v>
      </c>
    </row>
    <row r="65" spans="1:16" ht="14.25" customHeight="1" x14ac:dyDescent="0.3">
      <c r="A65" s="87">
        <v>63</v>
      </c>
      <c r="B65" s="88" t="s">
        <v>268</v>
      </c>
      <c r="C65" s="88" t="s">
        <v>206</v>
      </c>
      <c r="D65" s="88" t="s">
        <v>614</v>
      </c>
      <c r="E65" s="87" t="s">
        <v>213</v>
      </c>
      <c r="F65" s="89">
        <v>46203</v>
      </c>
      <c r="G65" s="90">
        <v>450</v>
      </c>
      <c r="H65" s="89">
        <f>IF(COUNTIFS(Pesagens!$B$3:$B$5001,$B65)=0,"",_xlfn.MAXIFS(Pesagens!$A$3:$A$5001,Pesagens!$B$3:$B$5001,$B65,Pesagens!$E$3:$E$5001,"&lt;&gt;"))</f>
        <v>46232</v>
      </c>
      <c r="I65" s="90">
        <f>IF($H65="","",IFERROR(AVERAGEIFS(Pesagens!$E$3:$E$5001,Pesagens!$B$3:$B$5001,$B65,Pesagens!$A$3:$A$5001,$H65),""))</f>
        <v>528</v>
      </c>
      <c r="J65" s="87">
        <f>IF(F65="","",Parâmetros!$C$4-F65)</f>
        <v>43</v>
      </c>
      <c r="K65" s="90">
        <f t="shared" si="0"/>
        <v>78</v>
      </c>
      <c r="L65" s="91">
        <f t="shared" si="1"/>
        <v>2.6896551724137931</v>
      </c>
      <c r="M65" s="92">
        <f>IF(I65="","",I65*Parâmetros!$C$8/15)</f>
        <v>18.656000000000002</v>
      </c>
      <c r="N65" s="92">
        <f>IF(K65="","",K65*Parâmetros!$C$8/15)</f>
        <v>2.7560000000000002</v>
      </c>
      <c r="O65" s="93">
        <f>IF(M65="","",M65*Parâmetros!$C$5)</f>
        <v>5783.3600000000006</v>
      </c>
      <c r="P65" s="87" t="str">
        <f>IF(L65="","",IF(L65&gt;=Parâmetros!$C$10,"Sim","Não"))</f>
        <v>Sim</v>
      </c>
    </row>
    <row r="66" spans="1:16" ht="14.25" customHeight="1" x14ac:dyDescent="0.3">
      <c r="A66" s="94">
        <v>64</v>
      </c>
      <c r="B66" s="95" t="s">
        <v>269</v>
      </c>
      <c r="C66" s="95" t="s">
        <v>206</v>
      </c>
      <c r="D66" s="95" t="s">
        <v>614</v>
      </c>
      <c r="E66" s="94" t="s">
        <v>213</v>
      </c>
      <c r="F66" s="96">
        <v>46203</v>
      </c>
      <c r="G66" s="97">
        <v>407</v>
      </c>
      <c r="H66" s="96">
        <f>IF(COUNTIFS(Pesagens!$B$3:$B$5001,$B66)=0,"",_xlfn.MAXIFS(Pesagens!$A$3:$A$5001,Pesagens!$B$3:$B$5001,$B66,Pesagens!$E$3:$E$5001,"&lt;&gt;"))</f>
        <v>46232</v>
      </c>
      <c r="I66" s="97">
        <f>IF($H66="","",IFERROR(AVERAGEIFS(Pesagens!$E$3:$E$5001,Pesagens!$B$3:$B$5001,$B66,Pesagens!$A$3:$A$5001,$H66),""))</f>
        <v>475</v>
      </c>
      <c r="J66" s="94">
        <f>IF(F66="","",Parâmetros!$C$4-F66)</f>
        <v>43</v>
      </c>
      <c r="K66" s="97">
        <f t="shared" si="0"/>
        <v>68</v>
      </c>
      <c r="L66" s="98">
        <f t="shared" si="1"/>
        <v>2.3448275862068964</v>
      </c>
      <c r="M66" s="99">
        <f>IF(I66="","",I66*Parâmetros!$C$8/15)</f>
        <v>16.783333333333335</v>
      </c>
      <c r="N66" s="99">
        <f>IF(K66="","",K66*Parâmetros!$C$8/15)</f>
        <v>2.4026666666666667</v>
      </c>
      <c r="O66" s="100">
        <f>IF(M66="","",M66*Parâmetros!$C$5)</f>
        <v>5202.8333333333339</v>
      </c>
      <c r="P66" s="94" t="str">
        <f>IF(L66="","",IF(L66&gt;=Parâmetros!$C$10,"Sim","Não"))</f>
        <v>Sim</v>
      </c>
    </row>
    <row r="67" spans="1:16" ht="14.25" customHeight="1" x14ac:dyDescent="0.3">
      <c r="A67" s="87">
        <v>65</v>
      </c>
      <c r="B67" s="88" t="s">
        <v>271</v>
      </c>
      <c r="C67" s="88" t="s">
        <v>206</v>
      </c>
      <c r="D67" s="88" t="s">
        <v>614</v>
      </c>
      <c r="E67" s="87" t="s">
        <v>213</v>
      </c>
      <c r="F67" s="89">
        <v>46203</v>
      </c>
      <c r="G67" s="90">
        <v>461</v>
      </c>
      <c r="H67" s="89">
        <f>IF(COUNTIFS(Pesagens!$B$3:$B$5001,$B67)=0,"",_xlfn.MAXIFS(Pesagens!$A$3:$A$5001,Pesagens!$B$3:$B$5001,$B67,Pesagens!$E$3:$E$5001,"&lt;&gt;"))</f>
        <v>46232</v>
      </c>
      <c r="I67" s="90">
        <f>IF($H67="","",IFERROR(AVERAGEIFS(Pesagens!$E$3:$E$5001,Pesagens!$B$3:$B$5001,$B67,Pesagens!$A$3:$A$5001,$H67),""))</f>
        <v>560</v>
      </c>
      <c r="J67" s="87">
        <f>IF(F67="","",Parâmetros!$C$4-F67)</f>
        <v>43</v>
      </c>
      <c r="K67" s="90">
        <f t="shared" ref="K67:K130" si="2">IF(OR(I67="",G67=""),"",I67-G67)</f>
        <v>99</v>
      </c>
      <c r="L67" s="91">
        <f t="shared" ref="L67:L130" si="3">IF(OR(I67="",G67="",H67&lt;=F67),"",(I67-G67)/(H67-F67))</f>
        <v>3.4137931034482758</v>
      </c>
      <c r="M67" s="92">
        <f>IF(I67="","",I67*Parâmetros!$C$8/15)</f>
        <v>19.786666666666669</v>
      </c>
      <c r="N67" s="92">
        <f>IF(K67="","",K67*Parâmetros!$C$8/15)</f>
        <v>3.4980000000000002</v>
      </c>
      <c r="O67" s="93">
        <f>IF(M67="","",M67*Parâmetros!$C$5)</f>
        <v>6133.8666666666677</v>
      </c>
      <c r="P67" s="87" t="str">
        <f>IF(L67="","",IF(L67&gt;=Parâmetros!$C$10,"Sim","Não"))</f>
        <v>Sim</v>
      </c>
    </row>
    <row r="68" spans="1:16" ht="14.25" customHeight="1" x14ac:dyDescent="0.3">
      <c r="A68" s="94">
        <v>66</v>
      </c>
      <c r="B68" s="95" t="s">
        <v>272</v>
      </c>
      <c r="C68" s="95" t="s">
        <v>206</v>
      </c>
      <c r="D68" s="95" t="s">
        <v>614</v>
      </c>
      <c r="E68" s="94" t="s">
        <v>213</v>
      </c>
      <c r="F68" s="96">
        <v>46203</v>
      </c>
      <c r="G68" s="97">
        <v>439</v>
      </c>
      <c r="H68" s="96">
        <f>IF(COUNTIFS(Pesagens!$B$3:$B$5001,$B68)=0,"",_xlfn.MAXIFS(Pesagens!$A$3:$A$5001,Pesagens!$B$3:$B$5001,$B68,Pesagens!$E$3:$E$5001,"&lt;&gt;"))</f>
        <v>46232</v>
      </c>
      <c r="I68" s="97">
        <f>IF($H68="","",IFERROR(AVERAGEIFS(Pesagens!$E$3:$E$5001,Pesagens!$B$3:$B$5001,$B68,Pesagens!$A$3:$A$5001,$H68),""))</f>
        <v>500</v>
      </c>
      <c r="J68" s="94">
        <f>IF(F68="","",Parâmetros!$C$4-F68)</f>
        <v>43</v>
      </c>
      <c r="K68" s="97">
        <f t="shared" si="2"/>
        <v>61</v>
      </c>
      <c r="L68" s="98">
        <f t="shared" si="3"/>
        <v>2.103448275862069</v>
      </c>
      <c r="M68" s="99">
        <f>IF(I68="","",I68*Parâmetros!$C$8/15)</f>
        <v>17.666666666666668</v>
      </c>
      <c r="N68" s="99">
        <f>IF(K68="","",K68*Parâmetros!$C$8/15)</f>
        <v>2.1553333333333331</v>
      </c>
      <c r="O68" s="100">
        <f>IF(M68="","",M68*Parâmetros!$C$5)</f>
        <v>5476.666666666667</v>
      </c>
      <c r="P68" s="94" t="str">
        <f>IF(L68="","",IF(L68&gt;=Parâmetros!$C$10,"Sim","Não"))</f>
        <v>Sim</v>
      </c>
    </row>
    <row r="69" spans="1:16" ht="14.25" customHeight="1" x14ac:dyDescent="0.3">
      <c r="A69" s="87">
        <v>67</v>
      </c>
      <c r="B69" s="88" t="s">
        <v>273</v>
      </c>
      <c r="C69" s="88" t="s">
        <v>206</v>
      </c>
      <c r="D69" s="88" t="s">
        <v>614</v>
      </c>
      <c r="E69" s="87" t="s">
        <v>213</v>
      </c>
      <c r="F69" s="89">
        <v>46203</v>
      </c>
      <c r="G69" s="90">
        <v>497</v>
      </c>
      <c r="H69" s="89">
        <f>IF(COUNTIFS(Pesagens!$B$3:$B$5001,$B69)=0,"",_xlfn.MAXIFS(Pesagens!$A$3:$A$5001,Pesagens!$B$3:$B$5001,$B69,Pesagens!$E$3:$E$5001,"&lt;&gt;"))</f>
        <v>46232</v>
      </c>
      <c r="I69" s="90">
        <f>IF($H69="","",IFERROR(AVERAGEIFS(Pesagens!$E$3:$E$5001,Pesagens!$B$3:$B$5001,$B69,Pesagens!$A$3:$A$5001,$H69),""))</f>
        <v>566</v>
      </c>
      <c r="J69" s="87">
        <f>IF(F69="","",Parâmetros!$C$4-F69)</f>
        <v>43</v>
      </c>
      <c r="K69" s="90">
        <f t="shared" si="2"/>
        <v>69</v>
      </c>
      <c r="L69" s="91">
        <f t="shared" si="3"/>
        <v>2.3793103448275863</v>
      </c>
      <c r="M69" s="92">
        <f>IF(I69="","",I69*Parâmetros!$C$8/15)</f>
        <v>19.998666666666669</v>
      </c>
      <c r="N69" s="92">
        <f>IF(K69="","",K69*Parâmetros!$C$8/15)</f>
        <v>2.4380000000000002</v>
      </c>
      <c r="O69" s="93">
        <f>IF(M69="","",M69*Parâmetros!$C$5)</f>
        <v>6199.586666666667</v>
      </c>
      <c r="P69" s="87" t="str">
        <f>IF(L69="","",IF(L69&gt;=Parâmetros!$C$10,"Sim","Não"))</f>
        <v>Sim</v>
      </c>
    </row>
    <row r="70" spans="1:16" ht="14.25" customHeight="1" x14ac:dyDescent="0.3">
      <c r="A70" s="94">
        <v>68</v>
      </c>
      <c r="B70" s="95" t="s">
        <v>274</v>
      </c>
      <c r="C70" s="95" t="s">
        <v>206</v>
      </c>
      <c r="D70" s="95" t="s">
        <v>614</v>
      </c>
      <c r="E70" s="94" t="s">
        <v>213</v>
      </c>
      <c r="F70" s="96">
        <v>46203</v>
      </c>
      <c r="G70" s="97">
        <v>388</v>
      </c>
      <c r="H70" s="96">
        <f>IF(COUNTIFS(Pesagens!$B$3:$B$5001,$B70)=0,"",_xlfn.MAXIFS(Pesagens!$A$3:$A$5001,Pesagens!$B$3:$B$5001,$B70,Pesagens!$E$3:$E$5001,"&lt;&gt;"))</f>
        <v>46232</v>
      </c>
      <c r="I70" s="97">
        <f>IF($H70="","",IFERROR(AVERAGEIFS(Pesagens!$E$3:$E$5001,Pesagens!$B$3:$B$5001,$B70,Pesagens!$A$3:$A$5001,$H70),""))</f>
        <v>438</v>
      </c>
      <c r="J70" s="94">
        <f>IF(F70="","",Parâmetros!$C$4-F70)</f>
        <v>43</v>
      </c>
      <c r="K70" s="97">
        <f t="shared" si="2"/>
        <v>50</v>
      </c>
      <c r="L70" s="98">
        <f t="shared" si="3"/>
        <v>1.7241379310344827</v>
      </c>
      <c r="M70" s="99">
        <f>IF(I70="","",I70*Parâmetros!$C$8/15)</f>
        <v>15.476000000000001</v>
      </c>
      <c r="N70" s="99">
        <f>IF(K70="","",K70*Parâmetros!$C$8/15)</f>
        <v>1.7666666666666666</v>
      </c>
      <c r="O70" s="100">
        <f>IF(M70="","",M70*Parâmetros!$C$5)</f>
        <v>4797.5600000000004</v>
      </c>
      <c r="P70" s="94" t="str">
        <f>IF(L70="","",IF(L70&gt;=Parâmetros!$C$10,"Sim","Não"))</f>
        <v>Sim</v>
      </c>
    </row>
    <row r="71" spans="1:16" ht="14.25" customHeight="1" x14ac:dyDescent="0.3">
      <c r="A71" s="87">
        <v>69</v>
      </c>
      <c r="B71" s="88" t="s">
        <v>275</v>
      </c>
      <c r="C71" s="88" t="s">
        <v>206</v>
      </c>
      <c r="D71" s="88" t="s">
        <v>614</v>
      </c>
      <c r="E71" s="87" t="s">
        <v>213</v>
      </c>
      <c r="F71" s="89">
        <v>46203</v>
      </c>
      <c r="G71" s="90">
        <v>451</v>
      </c>
      <c r="H71" s="89">
        <f>IF(COUNTIFS(Pesagens!$B$3:$B$5001,$B71)=0,"",_xlfn.MAXIFS(Pesagens!$A$3:$A$5001,Pesagens!$B$3:$B$5001,$B71,Pesagens!$E$3:$E$5001,"&lt;&gt;"))</f>
        <v>46232</v>
      </c>
      <c r="I71" s="90">
        <f>IF($H71="","",IFERROR(AVERAGEIFS(Pesagens!$E$3:$E$5001,Pesagens!$B$3:$B$5001,$B71,Pesagens!$A$3:$A$5001,$H71),""))</f>
        <v>528</v>
      </c>
      <c r="J71" s="87">
        <f>IF(F71="","",Parâmetros!$C$4-F71)</f>
        <v>43</v>
      </c>
      <c r="K71" s="90">
        <f t="shared" si="2"/>
        <v>77</v>
      </c>
      <c r="L71" s="91">
        <f t="shared" si="3"/>
        <v>2.6551724137931036</v>
      </c>
      <c r="M71" s="92">
        <f>IF(I71="","",I71*Parâmetros!$C$8/15)</f>
        <v>18.656000000000002</v>
      </c>
      <c r="N71" s="92">
        <f>IF(K71="","",K71*Parâmetros!$C$8/15)</f>
        <v>2.7206666666666668</v>
      </c>
      <c r="O71" s="93">
        <f>IF(M71="","",M71*Parâmetros!$C$5)</f>
        <v>5783.3600000000006</v>
      </c>
      <c r="P71" s="87" t="str">
        <f>IF(L71="","",IF(L71&gt;=Parâmetros!$C$10,"Sim","Não"))</f>
        <v>Sim</v>
      </c>
    </row>
    <row r="72" spans="1:16" ht="14.25" customHeight="1" x14ac:dyDescent="0.3">
      <c r="A72" s="94">
        <v>70</v>
      </c>
      <c r="B72" s="95" t="s">
        <v>276</v>
      </c>
      <c r="C72" s="95" t="s">
        <v>206</v>
      </c>
      <c r="D72" s="95" t="s">
        <v>614</v>
      </c>
      <c r="E72" s="94" t="s">
        <v>213</v>
      </c>
      <c r="F72" s="96">
        <v>46203</v>
      </c>
      <c r="G72" s="97">
        <v>456</v>
      </c>
      <c r="H72" s="96">
        <f>IF(COUNTIFS(Pesagens!$B$3:$B$5001,$B72)=0,"",_xlfn.MAXIFS(Pesagens!$A$3:$A$5001,Pesagens!$B$3:$B$5001,$B72,Pesagens!$E$3:$E$5001,"&lt;&gt;"))</f>
        <v>46232</v>
      </c>
      <c r="I72" s="97">
        <f>IF($H72="","",IFERROR(AVERAGEIFS(Pesagens!$E$3:$E$5001,Pesagens!$B$3:$B$5001,$B72,Pesagens!$A$3:$A$5001,$H72),""))</f>
        <v>516</v>
      </c>
      <c r="J72" s="94">
        <f>IF(F72="","",Parâmetros!$C$4-F72)</f>
        <v>43</v>
      </c>
      <c r="K72" s="97">
        <f t="shared" si="2"/>
        <v>60</v>
      </c>
      <c r="L72" s="98">
        <f t="shared" si="3"/>
        <v>2.0689655172413794</v>
      </c>
      <c r="M72" s="99">
        <f>IF(I72="","",I72*Parâmetros!$C$8/15)</f>
        <v>18.232000000000003</v>
      </c>
      <c r="N72" s="99">
        <f>IF(K72="","",K72*Parâmetros!$C$8/15)</f>
        <v>2.12</v>
      </c>
      <c r="O72" s="100">
        <f>IF(M72="","",M72*Parâmetros!$C$5)</f>
        <v>5651.920000000001</v>
      </c>
      <c r="P72" s="94" t="str">
        <f>IF(L72="","",IF(L72&gt;=Parâmetros!$C$10,"Sim","Não"))</f>
        <v>Sim</v>
      </c>
    </row>
    <row r="73" spans="1:16" ht="14.25" customHeight="1" x14ac:dyDescent="0.3">
      <c r="A73" s="87">
        <v>71</v>
      </c>
      <c r="B73" s="88" t="s">
        <v>277</v>
      </c>
      <c r="C73" s="88" t="s">
        <v>206</v>
      </c>
      <c r="D73" s="88" t="s">
        <v>614</v>
      </c>
      <c r="E73" s="87" t="s">
        <v>213</v>
      </c>
      <c r="F73" s="89">
        <v>46203</v>
      </c>
      <c r="G73" s="90">
        <v>461</v>
      </c>
      <c r="H73" s="89">
        <f>IF(COUNTIFS(Pesagens!$B$3:$B$5001,$B73)=0,"",_xlfn.MAXIFS(Pesagens!$A$3:$A$5001,Pesagens!$B$3:$B$5001,$B73,Pesagens!$E$3:$E$5001,"&lt;&gt;"))</f>
        <v>46232</v>
      </c>
      <c r="I73" s="90">
        <f>IF($H73="","",IFERROR(AVERAGEIFS(Pesagens!$E$3:$E$5001,Pesagens!$B$3:$B$5001,$B73,Pesagens!$A$3:$A$5001,$H73),""))</f>
        <v>525</v>
      </c>
      <c r="J73" s="87">
        <f>IF(F73="","",Parâmetros!$C$4-F73)</f>
        <v>43</v>
      </c>
      <c r="K73" s="90">
        <f t="shared" si="2"/>
        <v>64</v>
      </c>
      <c r="L73" s="91">
        <f t="shared" si="3"/>
        <v>2.2068965517241379</v>
      </c>
      <c r="M73" s="92">
        <f>IF(I73="","",I73*Parâmetros!$C$8/15)</f>
        <v>18.55</v>
      </c>
      <c r="N73" s="92">
        <f>IF(K73="","",K73*Parâmetros!$C$8/15)</f>
        <v>2.2613333333333334</v>
      </c>
      <c r="O73" s="93">
        <f>IF(M73="","",M73*Parâmetros!$C$5)</f>
        <v>5750.5</v>
      </c>
      <c r="P73" s="87" t="str">
        <f>IF(L73="","",IF(L73&gt;=Parâmetros!$C$10,"Sim","Não"))</f>
        <v>Sim</v>
      </c>
    </row>
    <row r="74" spans="1:16" ht="14.25" customHeight="1" x14ac:dyDescent="0.3">
      <c r="A74" s="94">
        <v>72</v>
      </c>
      <c r="B74" s="95" t="s">
        <v>278</v>
      </c>
      <c r="C74" s="95" t="s">
        <v>206</v>
      </c>
      <c r="D74" s="95" t="s">
        <v>614</v>
      </c>
      <c r="E74" s="94" t="s">
        <v>213</v>
      </c>
      <c r="F74" s="96">
        <v>46203</v>
      </c>
      <c r="G74" s="97">
        <v>478</v>
      </c>
      <c r="H74" s="96">
        <f>IF(COUNTIFS(Pesagens!$B$3:$B$5001,$B74)=0,"",_xlfn.MAXIFS(Pesagens!$A$3:$A$5001,Pesagens!$B$3:$B$5001,$B74,Pesagens!$E$3:$E$5001,"&lt;&gt;"))</f>
        <v>46232</v>
      </c>
      <c r="I74" s="97">
        <f>IF($H74="","",IFERROR(AVERAGEIFS(Pesagens!$E$3:$E$5001,Pesagens!$B$3:$B$5001,$B74,Pesagens!$A$3:$A$5001,$H74),""))</f>
        <v>550</v>
      </c>
      <c r="J74" s="94">
        <f>IF(F74="","",Parâmetros!$C$4-F74)</f>
        <v>43</v>
      </c>
      <c r="K74" s="97">
        <f t="shared" si="2"/>
        <v>72</v>
      </c>
      <c r="L74" s="98">
        <f t="shared" si="3"/>
        <v>2.4827586206896552</v>
      </c>
      <c r="M74" s="99">
        <f>IF(I74="","",I74*Parâmetros!$C$8/15)</f>
        <v>19.433333333333334</v>
      </c>
      <c r="N74" s="99">
        <f>IF(K74="","",K74*Parâmetros!$C$8/15)</f>
        <v>2.544</v>
      </c>
      <c r="O74" s="100">
        <f>IF(M74="","",M74*Parâmetros!$C$5)</f>
        <v>6024.333333333333</v>
      </c>
      <c r="P74" s="94" t="str">
        <f>IF(L74="","",IF(L74&gt;=Parâmetros!$C$10,"Sim","Não"))</f>
        <v>Sim</v>
      </c>
    </row>
    <row r="75" spans="1:16" ht="14.25" customHeight="1" x14ac:dyDescent="0.3">
      <c r="A75" s="87">
        <v>73</v>
      </c>
      <c r="B75" s="88" t="s">
        <v>279</v>
      </c>
      <c r="C75" s="88" t="s">
        <v>206</v>
      </c>
      <c r="D75" s="88" t="s">
        <v>614</v>
      </c>
      <c r="E75" s="87" t="s">
        <v>213</v>
      </c>
      <c r="F75" s="89">
        <v>46203</v>
      </c>
      <c r="G75" s="90">
        <v>457</v>
      </c>
      <c r="H75" s="89">
        <f>IF(COUNTIFS(Pesagens!$B$3:$B$5001,$B75)=0,"",_xlfn.MAXIFS(Pesagens!$A$3:$A$5001,Pesagens!$B$3:$B$5001,$B75,Pesagens!$E$3:$E$5001,"&lt;&gt;"))</f>
        <v>46232</v>
      </c>
      <c r="I75" s="90">
        <f>IF($H75="","",IFERROR(AVERAGEIFS(Pesagens!$E$3:$E$5001,Pesagens!$B$3:$B$5001,$B75,Pesagens!$A$3:$A$5001,$H75),""))</f>
        <v>529</v>
      </c>
      <c r="J75" s="87">
        <f>IF(F75="","",Parâmetros!$C$4-F75)</f>
        <v>43</v>
      </c>
      <c r="K75" s="90">
        <f t="shared" si="2"/>
        <v>72</v>
      </c>
      <c r="L75" s="91">
        <f t="shared" si="3"/>
        <v>2.4827586206896552</v>
      </c>
      <c r="M75" s="92">
        <f>IF(I75="","",I75*Parâmetros!$C$8/15)</f>
        <v>18.691333333333333</v>
      </c>
      <c r="N75" s="92">
        <f>IF(K75="","",K75*Parâmetros!$C$8/15)</f>
        <v>2.544</v>
      </c>
      <c r="O75" s="93">
        <f>IF(M75="","",M75*Parâmetros!$C$5)</f>
        <v>5794.3133333333335</v>
      </c>
      <c r="P75" s="87" t="str">
        <f>IF(L75="","",IF(L75&gt;=Parâmetros!$C$10,"Sim","Não"))</f>
        <v>Sim</v>
      </c>
    </row>
    <row r="76" spans="1:16" ht="14.25" customHeight="1" x14ac:dyDescent="0.3">
      <c r="A76" s="94">
        <v>74</v>
      </c>
      <c r="B76" s="95" t="s">
        <v>280</v>
      </c>
      <c r="C76" s="95" t="s">
        <v>206</v>
      </c>
      <c r="D76" s="95" t="s">
        <v>614</v>
      </c>
      <c r="E76" s="94" t="s">
        <v>213</v>
      </c>
      <c r="F76" s="96">
        <v>46203</v>
      </c>
      <c r="G76" s="97">
        <v>472</v>
      </c>
      <c r="H76" s="96">
        <f>IF(COUNTIFS(Pesagens!$B$3:$B$5001,$B76)=0,"",_xlfn.MAXIFS(Pesagens!$A$3:$A$5001,Pesagens!$B$3:$B$5001,$B76,Pesagens!$E$3:$E$5001,"&lt;&gt;"))</f>
        <v>46232</v>
      </c>
      <c r="I76" s="97">
        <f>IF($H76="","",IFERROR(AVERAGEIFS(Pesagens!$E$3:$E$5001,Pesagens!$B$3:$B$5001,$B76,Pesagens!$A$3:$A$5001,$H76),""))</f>
        <v>538</v>
      </c>
      <c r="J76" s="94">
        <f>IF(F76="","",Parâmetros!$C$4-F76)</f>
        <v>43</v>
      </c>
      <c r="K76" s="97">
        <f t="shared" si="2"/>
        <v>66</v>
      </c>
      <c r="L76" s="98">
        <f t="shared" si="3"/>
        <v>2.2758620689655173</v>
      </c>
      <c r="M76" s="99">
        <f>IF(I76="","",I76*Parâmetros!$C$8/15)</f>
        <v>19.009333333333334</v>
      </c>
      <c r="N76" s="99">
        <f>IF(K76="","",K76*Parâmetros!$C$8/15)</f>
        <v>2.3320000000000003</v>
      </c>
      <c r="O76" s="100">
        <f>IF(M76="","",M76*Parâmetros!$C$5)</f>
        <v>5892.8933333333334</v>
      </c>
      <c r="P76" s="94" t="str">
        <f>IF(L76="","",IF(L76&gt;=Parâmetros!$C$10,"Sim","Não"))</f>
        <v>Sim</v>
      </c>
    </row>
    <row r="77" spans="1:16" ht="14.25" customHeight="1" x14ac:dyDescent="0.3">
      <c r="A77" s="87">
        <v>75</v>
      </c>
      <c r="B77" s="88" t="s">
        <v>281</v>
      </c>
      <c r="C77" s="88" t="s">
        <v>206</v>
      </c>
      <c r="D77" s="88" t="s">
        <v>614</v>
      </c>
      <c r="E77" s="87" t="s">
        <v>213</v>
      </c>
      <c r="F77" s="89">
        <v>46203</v>
      </c>
      <c r="G77" s="90">
        <v>405</v>
      </c>
      <c r="H77" s="89">
        <f>IF(COUNTIFS(Pesagens!$B$3:$B$5001,$B77)=0,"",_xlfn.MAXIFS(Pesagens!$A$3:$A$5001,Pesagens!$B$3:$B$5001,$B77,Pesagens!$E$3:$E$5001,"&lt;&gt;"))</f>
        <v>46232</v>
      </c>
      <c r="I77" s="90">
        <f>IF($H77="","",IFERROR(AVERAGEIFS(Pesagens!$E$3:$E$5001,Pesagens!$B$3:$B$5001,$B77,Pesagens!$A$3:$A$5001,$H77),""))</f>
        <v>483</v>
      </c>
      <c r="J77" s="87">
        <f>IF(F77="","",Parâmetros!$C$4-F77)</f>
        <v>43</v>
      </c>
      <c r="K77" s="90">
        <f t="shared" si="2"/>
        <v>78</v>
      </c>
      <c r="L77" s="91">
        <f t="shared" si="3"/>
        <v>2.6896551724137931</v>
      </c>
      <c r="M77" s="92">
        <f>IF(I77="","",I77*Parâmetros!$C$8/15)</f>
        <v>17.065999999999999</v>
      </c>
      <c r="N77" s="92">
        <f>IF(K77="","",K77*Parâmetros!$C$8/15)</f>
        <v>2.7560000000000002</v>
      </c>
      <c r="O77" s="93">
        <f>IF(M77="","",M77*Parâmetros!$C$5)</f>
        <v>5290.46</v>
      </c>
      <c r="P77" s="87" t="str">
        <f>IF(L77="","",IF(L77&gt;=Parâmetros!$C$10,"Sim","Não"))</f>
        <v>Sim</v>
      </c>
    </row>
    <row r="78" spans="1:16" ht="14.25" customHeight="1" x14ac:dyDescent="0.3">
      <c r="A78" s="94">
        <v>76</v>
      </c>
      <c r="B78" s="95" t="s">
        <v>283</v>
      </c>
      <c r="C78" s="95" t="s">
        <v>206</v>
      </c>
      <c r="D78" s="95" t="s">
        <v>614</v>
      </c>
      <c r="E78" s="94" t="s">
        <v>213</v>
      </c>
      <c r="F78" s="96">
        <v>46203</v>
      </c>
      <c r="G78" s="97">
        <v>457</v>
      </c>
      <c r="H78" s="96">
        <f>IF(COUNTIFS(Pesagens!$B$3:$B$5001,$B78)=0,"",_xlfn.MAXIFS(Pesagens!$A$3:$A$5001,Pesagens!$B$3:$B$5001,$B78,Pesagens!$E$3:$E$5001,"&lt;&gt;"))</f>
        <v>46232</v>
      </c>
      <c r="I78" s="97">
        <f>IF($H78="","",IFERROR(AVERAGEIFS(Pesagens!$E$3:$E$5001,Pesagens!$B$3:$B$5001,$B78,Pesagens!$A$3:$A$5001,$H78),""))</f>
        <v>540</v>
      </c>
      <c r="J78" s="94">
        <f>IF(F78="","",Parâmetros!$C$4-F78)</f>
        <v>43</v>
      </c>
      <c r="K78" s="97">
        <f t="shared" si="2"/>
        <v>83</v>
      </c>
      <c r="L78" s="98">
        <f t="shared" si="3"/>
        <v>2.8620689655172415</v>
      </c>
      <c r="M78" s="99">
        <f>IF(I78="","",I78*Parâmetros!$C$8/15)</f>
        <v>19.079999999999998</v>
      </c>
      <c r="N78" s="99">
        <f>IF(K78="","",K78*Parâmetros!$C$8/15)</f>
        <v>2.932666666666667</v>
      </c>
      <c r="O78" s="100">
        <f>IF(M78="","",M78*Parâmetros!$C$5)</f>
        <v>5914.7999999999993</v>
      </c>
      <c r="P78" s="94" t="str">
        <f>IF(L78="","",IF(L78&gt;=Parâmetros!$C$10,"Sim","Não"))</f>
        <v>Sim</v>
      </c>
    </row>
    <row r="79" spans="1:16" ht="14.25" customHeight="1" x14ac:dyDescent="0.3">
      <c r="A79" s="87">
        <v>77</v>
      </c>
      <c r="B79" s="88" t="s">
        <v>284</v>
      </c>
      <c r="C79" s="88" t="s">
        <v>206</v>
      </c>
      <c r="D79" s="88" t="s">
        <v>614</v>
      </c>
      <c r="E79" s="87" t="s">
        <v>213</v>
      </c>
      <c r="F79" s="89">
        <v>46203</v>
      </c>
      <c r="G79" s="90">
        <v>483</v>
      </c>
      <c r="H79" s="89">
        <f>IF(COUNTIFS(Pesagens!$B$3:$B$5001,$B79)=0,"",_xlfn.MAXIFS(Pesagens!$A$3:$A$5001,Pesagens!$B$3:$B$5001,$B79,Pesagens!$E$3:$E$5001,"&lt;&gt;"))</f>
        <v>46232</v>
      </c>
      <c r="I79" s="90">
        <f>IF($H79="","",IFERROR(AVERAGEIFS(Pesagens!$E$3:$E$5001,Pesagens!$B$3:$B$5001,$B79,Pesagens!$A$3:$A$5001,$H79),""))</f>
        <v>573</v>
      </c>
      <c r="J79" s="87">
        <f>IF(F79="","",Parâmetros!$C$4-F79)</f>
        <v>43</v>
      </c>
      <c r="K79" s="90">
        <f t="shared" si="2"/>
        <v>90</v>
      </c>
      <c r="L79" s="91">
        <f t="shared" si="3"/>
        <v>3.103448275862069</v>
      </c>
      <c r="M79" s="92">
        <f>IF(I79="","",I79*Parâmetros!$C$8/15)</f>
        <v>20.245999999999999</v>
      </c>
      <c r="N79" s="92">
        <f>IF(K79="","",K79*Parâmetros!$C$8/15)</f>
        <v>3.18</v>
      </c>
      <c r="O79" s="93">
        <f>IF(M79="","",M79*Parâmetros!$C$5)</f>
        <v>6276.2599999999993</v>
      </c>
      <c r="P79" s="87" t="str">
        <f>IF(L79="","",IF(L79&gt;=Parâmetros!$C$10,"Sim","Não"))</f>
        <v>Sim</v>
      </c>
    </row>
    <row r="80" spans="1:16" ht="14.25" customHeight="1" x14ac:dyDescent="0.3">
      <c r="A80" s="94">
        <v>78</v>
      </c>
      <c r="B80" s="95" t="s">
        <v>285</v>
      </c>
      <c r="C80" s="95" t="s">
        <v>206</v>
      </c>
      <c r="D80" s="95" t="s">
        <v>614</v>
      </c>
      <c r="E80" s="94" t="s">
        <v>213</v>
      </c>
      <c r="F80" s="96">
        <v>46203</v>
      </c>
      <c r="G80" s="97">
        <v>369</v>
      </c>
      <c r="H80" s="96">
        <f>IF(COUNTIFS(Pesagens!$B$3:$B$5001,$B80)=0,"",_xlfn.MAXIFS(Pesagens!$A$3:$A$5001,Pesagens!$B$3:$B$5001,$B80,Pesagens!$E$3:$E$5001,"&lt;&gt;"))</f>
        <v>46232</v>
      </c>
      <c r="I80" s="97">
        <f>IF($H80="","",IFERROR(AVERAGEIFS(Pesagens!$E$3:$E$5001,Pesagens!$B$3:$B$5001,$B80,Pesagens!$A$3:$A$5001,$H80),""))</f>
        <v>420</v>
      </c>
      <c r="J80" s="94">
        <f>IF(F80="","",Parâmetros!$C$4-F80)</f>
        <v>43</v>
      </c>
      <c r="K80" s="97">
        <f t="shared" si="2"/>
        <v>51</v>
      </c>
      <c r="L80" s="98">
        <f t="shared" si="3"/>
        <v>1.7586206896551724</v>
      </c>
      <c r="M80" s="99">
        <f>IF(I80="","",I80*Parâmetros!$C$8/15)</f>
        <v>14.840000000000002</v>
      </c>
      <c r="N80" s="99">
        <f>IF(K80="","",K80*Parâmetros!$C$8/15)</f>
        <v>1.802</v>
      </c>
      <c r="O80" s="100">
        <f>IF(M80="","",M80*Parâmetros!$C$5)</f>
        <v>4600.4000000000005</v>
      </c>
      <c r="P80" s="94" t="str">
        <f>IF(L80="","",IF(L80&gt;=Parâmetros!$C$10,"Sim","Não"))</f>
        <v>Sim</v>
      </c>
    </row>
    <row r="81" spans="1:16" ht="14.25" customHeight="1" x14ac:dyDescent="0.3">
      <c r="A81" s="87">
        <v>79</v>
      </c>
      <c r="B81" s="88" t="s">
        <v>287</v>
      </c>
      <c r="C81" s="88" t="s">
        <v>206</v>
      </c>
      <c r="D81" s="88" t="s">
        <v>614</v>
      </c>
      <c r="E81" s="87" t="s">
        <v>213</v>
      </c>
      <c r="F81" s="89">
        <v>46203</v>
      </c>
      <c r="G81" s="90">
        <v>495</v>
      </c>
      <c r="H81" s="89">
        <f>IF(COUNTIFS(Pesagens!$B$3:$B$5001,$B81)=0,"",_xlfn.MAXIFS(Pesagens!$A$3:$A$5001,Pesagens!$B$3:$B$5001,$B81,Pesagens!$E$3:$E$5001,"&lt;&gt;"))</f>
        <v>46232</v>
      </c>
      <c r="I81" s="90">
        <f>IF($H81="","",IFERROR(AVERAGEIFS(Pesagens!$E$3:$E$5001,Pesagens!$B$3:$B$5001,$B81,Pesagens!$A$3:$A$5001,$H81),""))</f>
        <v>593</v>
      </c>
      <c r="J81" s="87">
        <f>IF(F81="","",Parâmetros!$C$4-F81)</f>
        <v>43</v>
      </c>
      <c r="K81" s="90">
        <f t="shared" si="2"/>
        <v>98</v>
      </c>
      <c r="L81" s="91">
        <f t="shared" si="3"/>
        <v>3.3793103448275863</v>
      </c>
      <c r="M81" s="92">
        <f>IF(I81="","",I81*Parâmetros!$C$8/15)</f>
        <v>20.952666666666669</v>
      </c>
      <c r="N81" s="92">
        <f>IF(K81="","",K81*Parâmetros!$C$8/15)</f>
        <v>3.4626666666666668</v>
      </c>
      <c r="O81" s="93">
        <f>IF(M81="","",M81*Parâmetros!$C$5)</f>
        <v>6495.3266666666677</v>
      </c>
      <c r="P81" s="87" t="str">
        <f>IF(L81="","",IF(L81&gt;=Parâmetros!$C$10,"Sim","Não"))</f>
        <v>Sim</v>
      </c>
    </row>
    <row r="82" spans="1:16" ht="14.25" customHeight="1" x14ac:dyDescent="0.3">
      <c r="A82" s="94">
        <v>80</v>
      </c>
      <c r="B82" s="95" t="s">
        <v>288</v>
      </c>
      <c r="C82" s="95" t="s">
        <v>206</v>
      </c>
      <c r="D82" s="95" t="s">
        <v>614</v>
      </c>
      <c r="E82" s="94" t="s">
        <v>213</v>
      </c>
      <c r="F82" s="96">
        <v>46203</v>
      </c>
      <c r="G82" s="97">
        <v>465</v>
      </c>
      <c r="H82" s="96">
        <f>IF(COUNTIFS(Pesagens!$B$3:$B$5001,$B82)=0,"",_xlfn.MAXIFS(Pesagens!$A$3:$A$5001,Pesagens!$B$3:$B$5001,$B82,Pesagens!$E$3:$E$5001,"&lt;&gt;"))</f>
        <v>46232</v>
      </c>
      <c r="I82" s="97">
        <f>IF($H82="","",IFERROR(AVERAGEIFS(Pesagens!$E$3:$E$5001,Pesagens!$B$3:$B$5001,$B82,Pesagens!$A$3:$A$5001,$H82),""))</f>
        <v>550</v>
      </c>
      <c r="J82" s="94">
        <f>IF(F82="","",Parâmetros!$C$4-F82)</f>
        <v>43</v>
      </c>
      <c r="K82" s="97">
        <f t="shared" si="2"/>
        <v>85</v>
      </c>
      <c r="L82" s="98">
        <f t="shared" si="3"/>
        <v>2.9310344827586206</v>
      </c>
      <c r="M82" s="99">
        <f>IF(I82="","",I82*Parâmetros!$C$8/15)</f>
        <v>19.433333333333334</v>
      </c>
      <c r="N82" s="99">
        <f>IF(K82="","",K82*Parâmetros!$C$8/15)</f>
        <v>3.0033333333333334</v>
      </c>
      <c r="O82" s="100">
        <f>IF(M82="","",M82*Parâmetros!$C$5)</f>
        <v>6024.333333333333</v>
      </c>
      <c r="P82" s="94" t="str">
        <f>IF(L82="","",IF(L82&gt;=Parâmetros!$C$10,"Sim","Não"))</f>
        <v>Sim</v>
      </c>
    </row>
    <row r="83" spans="1:16" ht="14.25" customHeight="1" x14ac:dyDescent="0.3">
      <c r="A83" s="87">
        <v>81</v>
      </c>
      <c r="B83" s="88" t="s">
        <v>218</v>
      </c>
      <c r="C83" s="88" t="s">
        <v>206</v>
      </c>
      <c r="D83" s="88" t="s">
        <v>614</v>
      </c>
      <c r="E83" s="87" t="s">
        <v>213</v>
      </c>
      <c r="F83" s="89">
        <v>46203</v>
      </c>
      <c r="G83" s="90">
        <v>358</v>
      </c>
      <c r="H83" s="89">
        <f>IF(COUNTIFS(Pesagens!$B$3:$B$5001,$B83)=0,"",_xlfn.MAXIFS(Pesagens!$A$3:$A$5001,Pesagens!$B$3:$B$5001,$B83,Pesagens!$E$3:$E$5001,"&lt;&gt;"))</f>
        <v>46232</v>
      </c>
      <c r="I83" s="90">
        <f>IF($H83="","",IFERROR(AVERAGEIFS(Pesagens!$E$3:$E$5001,Pesagens!$B$3:$B$5001,$B83,Pesagens!$A$3:$A$5001,$H83),""))</f>
        <v>392</v>
      </c>
      <c r="J83" s="87">
        <f>IF(F83="","",Parâmetros!$C$4-F83)</f>
        <v>43</v>
      </c>
      <c r="K83" s="90">
        <f t="shared" si="2"/>
        <v>34</v>
      </c>
      <c r="L83" s="91">
        <f t="shared" si="3"/>
        <v>1.1724137931034482</v>
      </c>
      <c r="M83" s="92">
        <f>IF(I83="","",I83*Parâmetros!$C$8/15)</f>
        <v>13.850666666666667</v>
      </c>
      <c r="N83" s="92">
        <f>IF(K83="","",K83*Parâmetros!$C$8/15)</f>
        <v>1.2013333333333334</v>
      </c>
      <c r="O83" s="93">
        <f>IF(M83="","",M83*Parâmetros!$C$5)</f>
        <v>4293.7066666666669</v>
      </c>
      <c r="P83" s="87" t="str">
        <f>IF(L83="","",IF(L83&gt;=Parâmetros!$C$10,"Sim","Não"))</f>
        <v>Não</v>
      </c>
    </row>
    <row r="84" spans="1:16" ht="14.25" customHeight="1" x14ac:dyDescent="0.3">
      <c r="A84" s="94">
        <v>82</v>
      </c>
      <c r="B84" s="95" t="s">
        <v>291</v>
      </c>
      <c r="C84" s="95" t="s">
        <v>206</v>
      </c>
      <c r="D84" s="95" t="s">
        <v>614</v>
      </c>
      <c r="E84" s="94" t="s">
        <v>213</v>
      </c>
      <c r="F84" s="96">
        <v>46203</v>
      </c>
      <c r="G84" s="97">
        <v>402</v>
      </c>
      <c r="H84" s="96">
        <f>IF(COUNTIFS(Pesagens!$B$3:$B$5001,$B84)=0,"",_xlfn.MAXIFS(Pesagens!$A$3:$A$5001,Pesagens!$B$3:$B$5001,$B84,Pesagens!$E$3:$E$5001,"&lt;&gt;"))</f>
        <v>46232</v>
      </c>
      <c r="I84" s="97">
        <f>IF($H84="","",IFERROR(AVERAGEIFS(Pesagens!$E$3:$E$5001,Pesagens!$B$3:$B$5001,$B84,Pesagens!$A$3:$A$5001,$H84),""))</f>
        <v>464</v>
      </c>
      <c r="J84" s="94">
        <f>IF(F84="","",Parâmetros!$C$4-F84)</f>
        <v>43</v>
      </c>
      <c r="K84" s="97">
        <f t="shared" si="2"/>
        <v>62</v>
      </c>
      <c r="L84" s="98">
        <f t="shared" si="3"/>
        <v>2.1379310344827585</v>
      </c>
      <c r="M84" s="99">
        <f>IF(I84="","",I84*Parâmetros!$C$8/15)</f>
        <v>16.394666666666669</v>
      </c>
      <c r="N84" s="99">
        <f>IF(K84="","",K84*Parâmetros!$C$8/15)</f>
        <v>2.1906666666666665</v>
      </c>
      <c r="O84" s="100">
        <f>IF(M84="","",M84*Parâmetros!$C$5)</f>
        <v>5082.3466666666673</v>
      </c>
      <c r="P84" s="94" t="str">
        <f>IF(L84="","",IF(L84&gt;=Parâmetros!$C$10,"Sim","Não"))</f>
        <v>Sim</v>
      </c>
    </row>
    <row r="85" spans="1:16" ht="14.25" customHeight="1" x14ac:dyDescent="0.3">
      <c r="A85" s="87">
        <v>83</v>
      </c>
      <c r="B85" s="88" t="s">
        <v>293</v>
      </c>
      <c r="C85" s="88" t="s">
        <v>206</v>
      </c>
      <c r="D85" s="88" t="s">
        <v>614</v>
      </c>
      <c r="E85" s="87" t="s">
        <v>213</v>
      </c>
      <c r="F85" s="89">
        <v>46203</v>
      </c>
      <c r="G85" s="90">
        <v>407</v>
      </c>
      <c r="H85" s="89">
        <f>IF(COUNTIFS(Pesagens!$B$3:$B$5001,$B85)=0,"",_xlfn.MAXIFS(Pesagens!$A$3:$A$5001,Pesagens!$B$3:$B$5001,$B85,Pesagens!$E$3:$E$5001,"&lt;&gt;"))</f>
        <v>46232</v>
      </c>
      <c r="I85" s="90">
        <f>IF($H85="","",IFERROR(AVERAGEIFS(Pesagens!$E$3:$E$5001,Pesagens!$B$3:$B$5001,$B85,Pesagens!$A$3:$A$5001,$H85),""))</f>
        <v>474</v>
      </c>
      <c r="J85" s="87">
        <f>IF(F85="","",Parâmetros!$C$4-F85)</f>
        <v>43</v>
      </c>
      <c r="K85" s="90">
        <f t="shared" si="2"/>
        <v>67</v>
      </c>
      <c r="L85" s="91">
        <f t="shared" si="3"/>
        <v>2.3103448275862069</v>
      </c>
      <c r="M85" s="92">
        <f>IF(I85="","",I85*Parâmetros!$C$8/15)</f>
        <v>16.748000000000001</v>
      </c>
      <c r="N85" s="92">
        <f>IF(K85="","",K85*Parâmetros!$C$8/15)</f>
        <v>2.3673333333333337</v>
      </c>
      <c r="O85" s="93">
        <f>IF(M85="","",M85*Parâmetros!$C$5)</f>
        <v>5191.88</v>
      </c>
      <c r="P85" s="87" t="str">
        <f>IF(L85="","",IF(L85&gt;=Parâmetros!$C$10,"Sim","Não"))</f>
        <v>Sim</v>
      </c>
    </row>
    <row r="86" spans="1:16" ht="14.25" customHeight="1" x14ac:dyDescent="0.3">
      <c r="A86" s="94">
        <v>84</v>
      </c>
      <c r="B86" s="95" t="s">
        <v>294</v>
      </c>
      <c r="C86" s="95" t="s">
        <v>206</v>
      </c>
      <c r="D86" s="95" t="s">
        <v>614</v>
      </c>
      <c r="E86" s="94" t="s">
        <v>213</v>
      </c>
      <c r="F86" s="96">
        <v>46203</v>
      </c>
      <c r="G86" s="97">
        <v>415</v>
      </c>
      <c r="H86" s="96">
        <f>IF(COUNTIFS(Pesagens!$B$3:$B$5001,$B86)=0,"",_xlfn.MAXIFS(Pesagens!$A$3:$A$5001,Pesagens!$B$3:$B$5001,$B86,Pesagens!$E$3:$E$5001,"&lt;&gt;"))</f>
        <v>46232</v>
      </c>
      <c r="I86" s="97">
        <f>IF($H86="","",IFERROR(AVERAGEIFS(Pesagens!$E$3:$E$5001,Pesagens!$B$3:$B$5001,$B86,Pesagens!$A$3:$A$5001,$H86),""))</f>
        <v>501</v>
      </c>
      <c r="J86" s="94">
        <f>IF(F86="","",Parâmetros!$C$4-F86)</f>
        <v>43</v>
      </c>
      <c r="K86" s="97">
        <f t="shared" si="2"/>
        <v>86</v>
      </c>
      <c r="L86" s="98">
        <f t="shared" si="3"/>
        <v>2.9655172413793105</v>
      </c>
      <c r="M86" s="99">
        <f>IF(I86="","",I86*Parâmetros!$C$8/15)</f>
        <v>17.702000000000002</v>
      </c>
      <c r="N86" s="99">
        <f>IF(K86="","",K86*Parâmetros!$C$8/15)</f>
        <v>3.0386666666666668</v>
      </c>
      <c r="O86" s="100">
        <f>IF(M86="","",M86*Parâmetros!$C$5)</f>
        <v>5487.6200000000008</v>
      </c>
      <c r="P86" s="94" t="str">
        <f>IF(L86="","",IF(L86&gt;=Parâmetros!$C$10,"Sim","Não"))</f>
        <v>Sim</v>
      </c>
    </row>
    <row r="87" spans="1:16" ht="14.25" customHeight="1" x14ac:dyDescent="0.3">
      <c r="A87" s="87">
        <v>85</v>
      </c>
      <c r="B87" s="88" t="s">
        <v>24</v>
      </c>
      <c r="C87" s="88" t="s">
        <v>8</v>
      </c>
      <c r="D87" s="88" t="s">
        <v>615</v>
      </c>
      <c r="E87" s="87" t="s">
        <v>9</v>
      </c>
      <c r="F87" s="89">
        <v>46203</v>
      </c>
      <c r="G87" s="90">
        <v>490</v>
      </c>
      <c r="H87" s="89">
        <f>IF(COUNTIFS(Pesagens!$B$3:$B$5001,$B87)=0,"",_xlfn.MAXIFS(Pesagens!$A$3:$A$5001,Pesagens!$B$3:$B$5001,$B87,Pesagens!$E$3:$E$5001,"&lt;&gt;"))</f>
        <v>46246</v>
      </c>
      <c r="I87" s="90">
        <f>IF($H87="","",IFERROR(AVERAGEIFS(Pesagens!$E$3:$E$5001,Pesagens!$B$3:$B$5001,$B87,Pesagens!$A$3:$A$5001,$H87),""))</f>
        <v>586</v>
      </c>
      <c r="J87" s="87">
        <f>IF(F87="","",Parâmetros!$C$4-F87)</f>
        <v>43</v>
      </c>
      <c r="K87" s="90">
        <f t="shared" si="2"/>
        <v>96</v>
      </c>
      <c r="L87" s="91">
        <f t="shared" si="3"/>
        <v>2.2325581395348837</v>
      </c>
      <c r="M87" s="92">
        <f>IF(I87="","",I87*Parâmetros!$C$8/15)</f>
        <v>20.705333333333336</v>
      </c>
      <c r="N87" s="92">
        <f>IF(K87="","",K87*Parâmetros!$C$8/15)</f>
        <v>3.3920000000000003</v>
      </c>
      <c r="O87" s="93">
        <f>IF(M87="","",M87*Parâmetros!$C$5)</f>
        <v>6418.6533333333336</v>
      </c>
      <c r="P87" s="87" t="str">
        <f>IF(L87="","",IF(L87&gt;=Parâmetros!$C$10,"Sim","Não"))</f>
        <v>Sim</v>
      </c>
    </row>
    <row r="88" spans="1:16" ht="14.25" customHeight="1" x14ac:dyDescent="0.3">
      <c r="A88" s="94">
        <v>86</v>
      </c>
      <c r="B88" s="95" t="s">
        <v>23</v>
      </c>
      <c r="C88" s="95" t="s">
        <v>8</v>
      </c>
      <c r="D88" s="95" t="s">
        <v>616</v>
      </c>
      <c r="E88" s="94" t="s">
        <v>9</v>
      </c>
      <c r="F88" s="96">
        <v>46203</v>
      </c>
      <c r="G88" s="97">
        <v>488</v>
      </c>
      <c r="H88" s="96">
        <f>IF(COUNTIFS(Pesagens!$B$3:$B$5001,$B88)=0,"",_xlfn.MAXIFS(Pesagens!$A$3:$A$5001,Pesagens!$B$3:$B$5001,$B88,Pesagens!$E$3:$E$5001,"&lt;&gt;"))</f>
        <v>46246</v>
      </c>
      <c r="I88" s="97">
        <f>IF($H88="","",IFERROR(AVERAGEIFS(Pesagens!$E$3:$E$5001,Pesagens!$B$3:$B$5001,$B88,Pesagens!$A$3:$A$5001,$H88),""))</f>
        <v>617</v>
      </c>
      <c r="J88" s="94">
        <f>IF(F88="","",Parâmetros!$C$4-F88)</f>
        <v>43</v>
      </c>
      <c r="K88" s="97">
        <f t="shared" si="2"/>
        <v>129</v>
      </c>
      <c r="L88" s="98">
        <f t="shared" si="3"/>
        <v>3</v>
      </c>
      <c r="M88" s="99">
        <f>IF(I88="","",I88*Parâmetros!$C$8/15)</f>
        <v>21.800666666666665</v>
      </c>
      <c r="N88" s="99">
        <f>IF(K88="","",K88*Parâmetros!$C$8/15)</f>
        <v>4.5580000000000007</v>
      </c>
      <c r="O88" s="100">
        <f>IF(M88="","",M88*Parâmetros!$C$5)</f>
        <v>6758.206666666666</v>
      </c>
      <c r="P88" s="94" t="str">
        <f>IF(L88="","",IF(L88&gt;=Parâmetros!$C$10,"Sim","Não"))</f>
        <v>Sim</v>
      </c>
    </row>
    <row r="89" spans="1:16" ht="14.25" customHeight="1" x14ac:dyDescent="0.3">
      <c r="A89" s="87">
        <v>87</v>
      </c>
      <c r="B89" s="88" t="s">
        <v>16</v>
      </c>
      <c r="C89" s="88" t="s">
        <v>8</v>
      </c>
      <c r="D89" s="88" t="s">
        <v>616</v>
      </c>
      <c r="E89" s="87" t="s">
        <v>9</v>
      </c>
      <c r="F89" s="89">
        <v>46203</v>
      </c>
      <c r="G89" s="90">
        <v>485</v>
      </c>
      <c r="H89" s="89">
        <f>IF(COUNTIFS(Pesagens!$B$3:$B$5001,$B89)=0,"",_xlfn.MAXIFS(Pesagens!$A$3:$A$5001,Pesagens!$B$3:$B$5001,$B89,Pesagens!$E$3:$E$5001,"&lt;&gt;"))</f>
        <v>46246</v>
      </c>
      <c r="I89" s="90">
        <f>IF($H89="","",IFERROR(AVERAGEIFS(Pesagens!$E$3:$E$5001,Pesagens!$B$3:$B$5001,$B89,Pesagens!$A$3:$A$5001,$H89),""))</f>
        <v>588</v>
      </c>
      <c r="J89" s="87">
        <f>IF(F89="","",Parâmetros!$C$4-F89)</f>
        <v>43</v>
      </c>
      <c r="K89" s="90">
        <f t="shared" si="2"/>
        <v>103</v>
      </c>
      <c r="L89" s="91">
        <f t="shared" si="3"/>
        <v>2.3953488372093021</v>
      </c>
      <c r="M89" s="92">
        <f>IF(I89="","",I89*Parâmetros!$C$8/15)</f>
        <v>20.776000000000003</v>
      </c>
      <c r="N89" s="92">
        <f>IF(K89="","",K89*Parâmetros!$C$8/15)</f>
        <v>3.6393333333333335</v>
      </c>
      <c r="O89" s="93">
        <f>IF(M89="","",M89*Parâmetros!$C$5)</f>
        <v>6440.5600000000013</v>
      </c>
      <c r="P89" s="87" t="str">
        <f>IF(L89="","",IF(L89&gt;=Parâmetros!$C$10,"Sim","Não"))</f>
        <v>Sim</v>
      </c>
    </row>
    <row r="90" spans="1:16" ht="14.25" customHeight="1" x14ac:dyDescent="0.3">
      <c r="A90" s="94">
        <v>88</v>
      </c>
      <c r="B90" s="95" t="s">
        <v>21</v>
      </c>
      <c r="C90" s="95" t="s">
        <v>8</v>
      </c>
      <c r="D90" s="95" t="s">
        <v>616</v>
      </c>
      <c r="E90" s="94" t="s">
        <v>9</v>
      </c>
      <c r="F90" s="96">
        <v>46203</v>
      </c>
      <c r="G90" s="97">
        <v>485</v>
      </c>
      <c r="H90" s="96">
        <f>IF(COUNTIFS(Pesagens!$B$3:$B$5001,$B90)=0,"",_xlfn.MAXIFS(Pesagens!$A$3:$A$5001,Pesagens!$B$3:$B$5001,$B90,Pesagens!$E$3:$E$5001,"&lt;&gt;"))</f>
        <v>46246</v>
      </c>
      <c r="I90" s="97">
        <f>IF($H90="","",IFERROR(AVERAGEIFS(Pesagens!$E$3:$E$5001,Pesagens!$B$3:$B$5001,$B90,Pesagens!$A$3:$A$5001,$H90),""))</f>
        <v>560</v>
      </c>
      <c r="J90" s="94">
        <f>IF(F90="","",Parâmetros!$C$4-F90)</f>
        <v>43</v>
      </c>
      <c r="K90" s="97">
        <f t="shared" si="2"/>
        <v>75</v>
      </c>
      <c r="L90" s="98">
        <f t="shared" si="3"/>
        <v>1.7441860465116279</v>
      </c>
      <c r="M90" s="99">
        <f>IF(I90="","",I90*Parâmetros!$C$8/15)</f>
        <v>19.786666666666669</v>
      </c>
      <c r="N90" s="99">
        <f>IF(K90="","",K90*Parâmetros!$C$8/15)</f>
        <v>2.65</v>
      </c>
      <c r="O90" s="100">
        <f>IF(M90="","",M90*Parâmetros!$C$5)</f>
        <v>6133.8666666666677</v>
      </c>
      <c r="P90" s="94" t="str">
        <f>IF(L90="","",IF(L90&gt;=Parâmetros!$C$10,"Sim","Não"))</f>
        <v>Sim</v>
      </c>
    </row>
    <row r="91" spans="1:16" ht="14.25" customHeight="1" x14ac:dyDescent="0.3">
      <c r="A91" s="87">
        <v>89</v>
      </c>
      <c r="B91" s="88" t="s">
        <v>36</v>
      </c>
      <c r="C91" s="88" t="s">
        <v>8</v>
      </c>
      <c r="D91" s="88" t="s">
        <v>615</v>
      </c>
      <c r="E91" s="87" t="s">
        <v>9</v>
      </c>
      <c r="F91" s="89">
        <v>46203</v>
      </c>
      <c r="G91" s="90">
        <v>485</v>
      </c>
      <c r="H91" s="89">
        <f>IF(COUNTIFS(Pesagens!$B$3:$B$5001,$B91)=0,"",_xlfn.MAXIFS(Pesagens!$A$3:$A$5001,Pesagens!$B$3:$B$5001,$B91,Pesagens!$E$3:$E$5001,"&lt;&gt;"))</f>
        <v>46246</v>
      </c>
      <c r="I91" s="90">
        <f>IF($H91="","",IFERROR(AVERAGEIFS(Pesagens!$E$3:$E$5001,Pesagens!$B$3:$B$5001,$B91,Pesagens!$A$3:$A$5001,$H91),""))</f>
        <v>610</v>
      </c>
      <c r="J91" s="87">
        <f>IF(F91="","",Parâmetros!$C$4-F91)</f>
        <v>43</v>
      </c>
      <c r="K91" s="90">
        <f t="shared" si="2"/>
        <v>125</v>
      </c>
      <c r="L91" s="91">
        <f t="shared" si="3"/>
        <v>2.9069767441860463</v>
      </c>
      <c r="M91" s="92">
        <f>IF(I91="","",I91*Parâmetros!$C$8/15)</f>
        <v>21.553333333333335</v>
      </c>
      <c r="N91" s="92">
        <f>IF(K91="","",K91*Parâmetros!$C$8/15)</f>
        <v>4.416666666666667</v>
      </c>
      <c r="O91" s="93">
        <f>IF(M91="","",M91*Parâmetros!$C$5)</f>
        <v>6681.5333333333338</v>
      </c>
      <c r="P91" s="87" t="str">
        <f>IF(L91="","",IF(L91&gt;=Parâmetros!$C$10,"Sim","Não"))</f>
        <v>Sim</v>
      </c>
    </row>
    <row r="92" spans="1:16" ht="14.25" customHeight="1" x14ac:dyDescent="0.3">
      <c r="A92" s="94">
        <v>90</v>
      </c>
      <c r="B92" s="95" t="s">
        <v>19</v>
      </c>
      <c r="C92" s="95" t="s">
        <v>8</v>
      </c>
      <c r="D92" s="95" t="s">
        <v>615</v>
      </c>
      <c r="E92" s="94" t="s">
        <v>9</v>
      </c>
      <c r="F92" s="96">
        <v>46203</v>
      </c>
      <c r="G92" s="97">
        <v>482</v>
      </c>
      <c r="H92" s="96">
        <f>IF(COUNTIFS(Pesagens!$B$3:$B$5001,$B92)=0,"",_xlfn.MAXIFS(Pesagens!$A$3:$A$5001,Pesagens!$B$3:$B$5001,$B92,Pesagens!$E$3:$E$5001,"&lt;&gt;"))</f>
        <v>46246</v>
      </c>
      <c r="I92" s="97">
        <f>IF($H92="","",IFERROR(AVERAGEIFS(Pesagens!$E$3:$E$5001,Pesagens!$B$3:$B$5001,$B92,Pesagens!$A$3:$A$5001,$H92),""))</f>
        <v>583</v>
      </c>
      <c r="J92" s="94">
        <f>IF(F92="","",Parâmetros!$C$4-F92)</f>
        <v>43</v>
      </c>
      <c r="K92" s="97">
        <f t="shared" si="2"/>
        <v>101</v>
      </c>
      <c r="L92" s="98">
        <f t="shared" si="3"/>
        <v>2.3488372093023258</v>
      </c>
      <c r="M92" s="99">
        <f>IF(I92="","",I92*Parâmetros!$C$8/15)</f>
        <v>20.599333333333334</v>
      </c>
      <c r="N92" s="99">
        <f>IF(K92="","",K92*Parâmetros!$C$8/15)</f>
        <v>3.5686666666666667</v>
      </c>
      <c r="O92" s="100">
        <f>IF(M92="","",M92*Parâmetros!$C$5)</f>
        <v>6385.7933333333331</v>
      </c>
      <c r="P92" s="94" t="str">
        <f>IF(L92="","",IF(L92&gt;=Parâmetros!$C$10,"Sim","Não"))</f>
        <v>Sim</v>
      </c>
    </row>
    <row r="93" spans="1:16" ht="14.25" customHeight="1" x14ac:dyDescent="0.3">
      <c r="A93" s="87">
        <v>91</v>
      </c>
      <c r="B93" s="88" t="s">
        <v>34</v>
      </c>
      <c r="C93" s="88" t="s">
        <v>8</v>
      </c>
      <c r="D93" s="88" t="s">
        <v>616</v>
      </c>
      <c r="E93" s="87" t="s">
        <v>9</v>
      </c>
      <c r="F93" s="89">
        <v>46203</v>
      </c>
      <c r="G93" s="90">
        <v>480</v>
      </c>
      <c r="H93" s="89">
        <f>IF(COUNTIFS(Pesagens!$B$3:$B$5001,$B93)=0,"",_xlfn.MAXIFS(Pesagens!$A$3:$A$5001,Pesagens!$B$3:$B$5001,$B93,Pesagens!$E$3:$E$5001,"&lt;&gt;"))</f>
        <v>46246</v>
      </c>
      <c r="I93" s="90">
        <f>IF($H93="","",IFERROR(AVERAGEIFS(Pesagens!$E$3:$E$5001,Pesagens!$B$3:$B$5001,$B93,Pesagens!$A$3:$A$5001,$H93),""))</f>
        <v>592</v>
      </c>
      <c r="J93" s="87">
        <f>IF(F93="","",Parâmetros!$C$4-F93)</f>
        <v>43</v>
      </c>
      <c r="K93" s="90">
        <f t="shared" si="2"/>
        <v>112</v>
      </c>
      <c r="L93" s="91">
        <f t="shared" si="3"/>
        <v>2.6046511627906979</v>
      </c>
      <c r="M93" s="92">
        <f>IF(I93="","",I93*Parâmetros!$C$8/15)</f>
        <v>20.917333333333332</v>
      </c>
      <c r="N93" s="92">
        <f>IF(K93="","",K93*Parâmetros!$C$8/15)</f>
        <v>3.9573333333333331</v>
      </c>
      <c r="O93" s="93">
        <f>IF(M93="","",M93*Parâmetros!$C$5)</f>
        <v>6484.373333333333</v>
      </c>
      <c r="P93" s="87" t="str">
        <f>IF(L93="","",IF(L93&gt;=Parâmetros!$C$10,"Sim","Não"))</f>
        <v>Sim</v>
      </c>
    </row>
    <row r="94" spans="1:16" ht="14.25" customHeight="1" x14ac:dyDescent="0.3">
      <c r="A94" s="94">
        <v>92</v>
      </c>
      <c r="B94" s="95" t="s">
        <v>12</v>
      </c>
      <c r="C94" s="95" t="s">
        <v>8</v>
      </c>
      <c r="D94" s="95" t="s">
        <v>615</v>
      </c>
      <c r="E94" s="94" t="s">
        <v>9</v>
      </c>
      <c r="F94" s="96">
        <v>46203</v>
      </c>
      <c r="G94" s="97">
        <v>480</v>
      </c>
      <c r="H94" s="96">
        <f>IF(COUNTIFS(Pesagens!$B$3:$B$5001,$B94)=0,"",_xlfn.MAXIFS(Pesagens!$A$3:$A$5001,Pesagens!$B$3:$B$5001,$B94,Pesagens!$E$3:$E$5001,"&lt;&gt;"))</f>
        <v>46246</v>
      </c>
      <c r="I94" s="97">
        <f>IF($H94="","",IFERROR(AVERAGEIFS(Pesagens!$E$3:$E$5001,Pesagens!$B$3:$B$5001,$B94,Pesagens!$A$3:$A$5001,$H94),""))</f>
        <v>570</v>
      </c>
      <c r="J94" s="94">
        <f>IF(F94="","",Parâmetros!$C$4-F94)</f>
        <v>43</v>
      </c>
      <c r="K94" s="97">
        <f t="shared" si="2"/>
        <v>90</v>
      </c>
      <c r="L94" s="98">
        <f t="shared" si="3"/>
        <v>2.0930232558139537</v>
      </c>
      <c r="M94" s="99">
        <f>IF(I94="","",I94*Parâmetros!$C$8/15)</f>
        <v>20.14</v>
      </c>
      <c r="N94" s="99">
        <f>IF(K94="","",K94*Parâmetros!$C$8/15)</f>
        <v>3.18</v>
      </c>
      <c r="O94" s="100">
        <f>IF(M94="","",M94*Parâmetros!$C$5)</f>
        <v>6243.4000000000005</v>
      </c>
      <c r="P94" s="94" t="str">
        <f>IF(L94="","",IF(L94&gt;=Parâmetros!$C$10,"Sim","Não"))</f>
        <v>Sim</v>
      </c>
    </row>
    <row r="95" spans="1:16" ht="14.25" customHeight="1" x14ac:dyDescent="0.3">
      <c r="A95" s="87">
        <v>93</v>
      </c>
      <c r="B95" s="88" t="s">
        <v>37</v>
      </c>
      <c r="C95" s="88" t="s">
        <v>8</v>
      </c>
      <c r="D95" s="88" t="s">
        <v>615</v>
      </c>
      <c r="E95" s="87" t="s">
        <v>9</v>
      </c>
      <c r="F95" s="89">
        <v>46203</v>
      </c>
      <c r="G95" s="90">
        <v>480</v>
      </c>
      <c r="H95" s="89">
        <f>IF(COUNTIFS(Pesagens!$B$3:$B$5001,$B95)=0,"",_xlfn.MAXIFS(Pesagens!$A$3:$A$5001,Pesagens!$B$3:$B$5001,$B95,Pesagens!$E$3:$E$5001,"&lt;&gt;"))</f>
        <v>46246</v>
      </c>
      <c r="I95" s="90">
        <f>IF($H95="","",IFERROR(AVERAGEIFS(Pesagens!$E$3:$E$5001,Pesagens!$B$3:$B$5001,$B95,Pesagens!$A$3:$A$5001,$H95),""))</f>
        <v>548</v>
      </c>
      <c r="J95" s="87">
        <f>IF(F95="","",Parâmetros!$C$4-F95)</f>
        <v>43</v>
      </c>
      <c r="K95" s="90">
        <f t="shared" si="2"/>
        <v>68</v>
      </c>
      <c r="L95" s="91">
        <f t="shared" si="3"/>
        <v>1.5813953488372092</v>
      </c>
      <c r="M95" s="92">
        <f>IF(I95="","",I95*Parâmetros!$C$8/15)</f>
        <v>19.362666666666666</v>
      </c>
      <c r="N95" s="92">
        <f>IF(K95="","",K95*Parâmetros!$C$8/15)</f>
        <v>2.4026666666666667</v>
      </c>
      <c r="O95" s="93">
        <f>IF(M95="","",M95*Parâmetros!$C$5)</f>
        <v>6002.4266666666663</v>
      </c>
      <c r="P95" s="87" t="str">
        <f>IF(L95="","",IF(L95&gt;=Parâmetros!$C$10,"Sim","Não"))</f>
        <v>Sim</v>
      </c>
    </row>
    <row r="96" spans="1:16" ht="14.25" customHeight="1" x14ac:dyDescent="0.3">
      <c r="A96" s="94">
        <v>94</v>
      </c>
      <c r="B96" s="95" t="s">
        <v>15</v>
      </c>
      <c r="C96" s="95" t="s">
        <v>8</v>
      </c>
      <c r="D96" s="95" t="s">
        <v>615</v>
      </c>
      <c r="E96" s="94" t="s">
        <v>9</v>
      </c>
      <c r="F96" s="96">
        <v>46203</v>
      </c>
      <c r="G96" s="97">
        <v>478</v>
      </c>
      <c r="H96" s="96">
        <f>IF(COUNTIFS(Pesagens!$B$3:$B$5001,$B96)=0,"",_xlfn.MAXIFS(Pesagens!$A$3:$A$5001,Pesagens!$B$3:$B$5001,$B96,Pesagens!$E$3:$E$5001,"&lt;&gt;"))</f>
        <v>46246</v>
      </c>
      <c r="I96" s="97">
        <f>IF($H96="","",IFERROR(AVERAGEIFS(Pesagens!$E$3:$E$5001,Pesagens!$B$3:$B$5001,$B96,Pesagens!$A$3:$A$5001,$H96),""))</f>
        <v>569</v>
      </c>
      <c r="J96" s="94">
        <f>IF(F96="","",Parâmetros!$C$4-F96)</f>
        <v>43</v>
      </c>
      <c r="K96" s="97">
        <f t="shared" si="2"/>
        <v>91</v>
      </c>
      <c r="L96" s="98">
        <f t="shared" si="3"/>
        <v>2.1162790697674421</v>
      </c>
      <c r="M96" s="99">
        <f>IF(I96="","",I96*Parâmetros!$C$8/15)</f>
        <v>20.104666666666667</v>
      </c>
      <c r="N96" s="99">
        <f>IF(K96="","",K96*Parâmetros!$C$8/15)</f>
        <v>3.2153333333333336</v>
      </c>
      <c r="O96" s="100">
        <f>IF(M96="","",M96*Parâmetros!$C$5)</f>
        <v>6232.4466666666667</v>
      </c>
      <c r="P96" s="94" t="str">
        <f>IF(L96="","",IF(L96&gt;=Parâmetros!$C$10,"Sim","Não"))</f>
        <v>Sim</v>
      </c>
    </row>
    <row r="97" spans="1:16" ht="14.25" customHeight="1" x14ac:dyDescent="0.3">
      <c r="A97" s="87">
        <v>95</v>
      </c>
      <c r="B97" s="88" t="s">
        <v>35</v>
      </c>
      <c r="C97" s="88" t="s">
        <v>8</v>
      </c>
      <c r="D97" s="88" t="s">
        <v>615</v>
      </c>
      <c r="E97" s="87" t="s">
        <v>9</v>
      </c>
      <c r="F97" s="89">
        <v>46203</v>
      </c>
      <c r="G97" s="90">
        <v>473</v>
      </c>
      <c r="H97" s="89">
        <f>IF(COUNTIFS(Pesagens!$B$3:$B$5001,$B97)=0,"",_xlfn.MAXIFS(Pesagens!$A$3:$A$5001,Pesagens!$B$3:$B$5001,$B97,Pesagens!$E$3:$E$5001,"&lt;&gt;"))</f>
        <v>46246</v>
      </c>
      <c r="I97" s="90">
        <f>IF($H97="","",IFERROR(AVERAGEIFS(Pesagens!$E$3:$E$5001,Pesagens!$B$3:$B$5001,$B97,Pesagens!$A$3:$A$5001,$H97),""))</f>
        <v>554</v>
      </c>
      <c r="J97" s="87">
        <f>IF(F97="","",Parâmetros!$C$4-F97)</f>
        <v>43</v>
      </c>
      <c r="K97" s="90">
        <f t="shared" si="2"/>
        <v>81</v>
      </c>
      <c r="L97" s="91">
        <f t="shared" si="3"/>
        <v>1.8837209302325582</v>
      </c>
      <c r="M97" s="92">
        <f>IF(I97="","",I97*Parâmetros!$C$8/15)</f>
        <v>19.574666666666666</v>
      </c>
      <c r="N97" s="92">
        <f>IF(K97="","",K97*Parâmetros!$C$8/15)</f>
        <v>2.8620000000000001</v>
      </c>
      <c r="O97" s="93">
        <f>IF(M97="","",M97*Parâmetros!$C$5)</f>
        <v>6068.1466666666665</v>
      </c>
      <c r="P97" s="87" t="str">
        <f>IF(L97="","",IF(L97&gt;=Parâmetros!$C$10,"Sim","Não"))</f>
        <v>Sim</v>
      </c>
    </row>
    <row r="98" spans="1:16" ht="14.25" customHeight="1" x14ac:dyDescent="0.3">
      <c r="A98" s="94">
        <v>96</v>
      </c>
      <c r="B98" s="95" t="s">
        <v>29</v>
      </c>
      <c r="C98" s="95" t="s">
        <v>8</v>
      </c>
      <c r="D98" s="95" t="s">
        <v>615</v>
      </c>
      <c r="E98" s="94" t="s">
        <v>9</v>
      </c>
      <c r="F98" s="96">
        <v>46203</v>
      </c>
      <c r="G98" s="97">
        <v>471</v>
      </c>
      <c r="H98" s="96">
        <f>IF(COUNTIFS(Pesagens!$B$3:$B$5001,$B98)=0,"",_xlfn.MAXIFS(Pesagens!$A$3:$A$5001,Pesagens!$B$3:$B$5001,$B98,Pesagens!$E$3:$E$5001,"&lt;&gt;"))</f>
        <v>46246</v>
      </c>
      <c r="I98" s="97">
        <f>IF($H98="","",IFERROR(AVERAGEIFS(Pesagens!$E$3:$E$5001,Pesagens!$B$3:$B$5001,$B98,Pesagens!$A$3:$A$5001,$H98),""))</f>
        <v>577</v>
      </c>
      <c r="J98" s="94">
        <f>IF(F98="","",Parâmetros!$C$4-F98)</f>
        <v>43</v>
      </c>
      <c r="K98" s="97">
        <f t="shared" si="2"/>
        <v>106</v>
      </c>
      <c r="L98" s="98">
        <f t="shared" si="3"/>
        <v>2.4651162790697674</v>
      </c>
      <c r="M98" s="99">
        <f>IF(I98="","",I98*Parâmetros!$C$8/15)</f>
        <v>20.387333333333334</v>
      </c>
      <c r="N98" s="99">
        <f>IF(K98="","",K98*Parâmetros!$C$8/15)</f>
        <v>3.7453333333333334</v>
      </c>
      <c r="O98" s="100">
        <f>IF(M98="","",M98*Parâmetros!$C$5)</f>
        <v>6320.0733333333337</v>
      </c>
      <c r="P98" s="94" t="str">
        <f>IF(L98="","",IF(L98&gt;=Parâmetros!$C$10,"Sim","Não"))</f>
        <v>Sim</v>
      </c>
    </row>
    <row r="99" spans="1:16" ht="14.25" customHeight="1" x14ac:dyDescent="0.3">
      <c r="A99" s="87">
        <v>97</v>
      </c>
      <c r="B99" s="88" t="s">
        <v>33</v>
      </c>
      <c r="C99" s="88" t="s">
        <v>8</v>
      </c>
      <c r="D99" s="88" t="s">
        <v>615</v>
      </c>
      <c r="E99" s="87" t="s">
        <v>9</v>
      </c>
      <c r="F99" s="89">
        <v>46203</v>
      </c>
      <c r="G99" s="90">
        <v>470</v>
      </c>
      <c r="H99" s="89">
        <f>IF(COUNTIFS(Pesagens!$B$3:$B$5001,$B99)=0,"",_xlfn.MAXIFS(Pesagens!$A$3:$A$5001,Pesagens!$B$3:$B$5001,$B99,Pesagens!$E$3:$E$5001,"&lt;&gt;"))</f>
        <v>46246</v>
      </c>
      <c r="I99" s="90">
        <f>IF($H99="","",IFERROR(AVERAGEIFS(Pesagens!$E$3:$E$5001,Pesagens!$B$3:$B$5001,$B99,Pesagens!$A$3:$A$5001,$H99),""))</f>
        <v>554</v>
      </c>
      <c r="J99" s="87">
        <f>IF(F99="","",Parâmetros!$C$4-F99)</f>
        <v>43</v>
      </c>
      <c r="K99" s="90">
        <f t="shared" si="2"/>
        <v>84</v>
      </c>
      <c r="L99" s="91">
        <f t="shared" si="3"/>
        <v>1.9534883720930232</v>
      </c>
      <c r="M99" s="92">
        <f>IF(I99="","",I99*Parâmetros!$C$8/15)</f>
        <v>19.574666666666666</v>
      </c>
      <c r="N99" s="92">
        <f>IF(K99="","",K99*Parâmetros!$C$8/15)</f>
        <v>2.9680000000000004</v>
      </c>
      <c r="O99" s="93">
        <f>IF(M99="","",M99*Parâmetros!$C$5)</f>
        <v>6068.1466666666665</v>
      </c>
      <c r="P99" s="87" t="str">
        <f>IF(L99="","",IF(L99&gt;=Parâmetros!$C$10,"Sim","Não"))</f>
        <v>Sim</v>
      </c>
    </row>
    <row r="100" spans="1:16" ht="14.25" customHeight="1" x14ac:dyDescent="0.3">
      <c r="A100" s="94">
        <v>98</v>
      </c>
      <c r="B100" s="95" t="s">
        <v>25</v>
      </c>
      <c r="C100" s="95" t="s">
        <v>8</v>
      </c>
      <c r="D100" s="95" t="s">
        <v>615</v>
      </c>
      <c r="E100" s="94" t="s">
        <v>9</v>
      </c>
      <c r="F100" s="96">
        <v>46203</v>
      </c>
      <c r="G100" s="97">
        <v>463</v>
      </c>
      <c r="H100" s="96">
        <f>IF(COUNTIFS(Pesagens!$B$3:$B$5001,$B100)=0,"",_xlfn.MAXIFS(Pesagens!$A$3:$A$5001,Pesagens!$B$3:$B$5001,$B100,Pesagens!$E$3:$E$5001,"&lt;&gt;"))</f>
        <v>46246</v>
      </c>
      <c r="I100" s="97">
        <f>IF($H100="","",IFERROR(AVERAGEIFS(Pesagens!$E$3:$E$5001,Pesagens!$B$3:$B$5001,$B100,Pesagens!$A$3:$A$5001,$H100),""))</f>
        <v>574</v>
      </c>
      <c r="J100" s="94">
        <f>IF(F100="","",Parâmetros!$C$4-F100)</f>
        <v>43</v>
      </c>
      <c r="K100" s="97">
        <f t="shared" si="2"/>
        <v>111</v>
      </c>
      <c r="L100" s="98">
        <f t="shared" si="3"/>
        <v>2.5813953488372094</v>
      </c>
      <c r="M100" s="99">
        <f>IF(I100="","",I100*Parâmetros!$C$8/15)</f>
        <v>20.281333333333336</v>
      </c>
      <c r="N100" s="99">
        <f>IF(K100="","",K100*Parâmetros!$C$8/15)</f>
        <v>3.9220000000000002</v>
      </c>
      <c r="O100" s="100">
        <f>IF(M100="","",M100*Parâmetros!$C$5)</f>
        <v>6287.213333333334</v>
      </c>
      <c r="P100" s="94" t="str">
        <f>IF(L100="","",IF(L100&gt;=Parâmetros!$C$10,"Sim","Não"))</f>
        <v>Sim</v>
      </c>
    </row>
    <row r="101" spans="1:16" ht="14.25" customHeight="1" x14ac:dyDescent="0.3">
      <c r="A101" s="87">
        <v>99</v>
      </c>
      <c r="B101" s="88" t="s">
        <v>17</v>
      </c>
      <c r="C101" s="88" t="s">
        <v>8</v>
      </c>
      <c r="D101" s="88" t="s">
        <v>615</v>
      </c>
      <c r="E101" s="87" t="s">
        <v>9</v>
      </c>
      <c r="F101" s="89">
        <v>46203</v>
      </c>
      <c r="G101" s="90">
        <v>461</v>
      </c>
      <c r="H101" s="89">
        <f>IF(COUNTIFS(Pesagens!$B$3:$B$5001,$B101)=0,"",_xlfn.MAXIFS(Pesagens!$A$3:$A$5001,Pesagens!$B$3:$B$5001,$B101,Pesagens!$E$3:$E$5001,"&lt;&gt;"))</f>
        <v>46246</v>
      </c>
      <c r="I101" s="90">
        <f>IF($H101="","",IFERROR(AVERAGEIFS(Pesagens!$E$3:$E$5001,Pesagens!$B$3:$B$5001,$B101,Pesagens!$A$3:$A$5001,$H101),""))</f>
        <v>562</v>
      </c>
      <c r="J101" s="87">
        <f>IF(F101="","",Parâmetros!$C$4-F101)</f>
        <v>43</v>
      </c>
      <c r="K101" s="90">
        <f t="shared" si="2"/>
        <v>101</v>
      </c>
      <c r="L101" s="91">
        <f t="shared" si="3"/>
        <v>2.3488372093023258</v>
      </c>
      <c r="M101" s="92">
        <f>IF(I101="","",I101*Parâmetros!$C$8/15)</f>
        <v>19.857333333333333</v>
      </c>
      <c r="N101" s="92">
        <f>IF(K101="","",K101*Parâmetros!$C$8/15)</f>
        <v>3.5686666666666667</v>
      </c>
      <c r="O101" s="93">
        <f>IF(M101="","",M101*Parâmetros!$C$5)</f>
        <v>6155.7733333333335</v>
      </c>
      <c r="P101" s="87" t="str">
        <f>IF(L101="","",IF(L101&gt;=Parâmetros!$C$10,"Sim","Não"))</f>
        <v>Sim</v>
      </c>
    </row>
    <row r="102" spans="1:16" ht="14.25" customHeight="1" x14ac:dyDescent="0.3">
      <c r="A102" s="94">
        <v>100</v>
      </c>
      <c r="B102" s="95" t="s">
        <v>18</v>
      </c>
      <c r="C102" s="95" t="s">
        <v>8</v>
      </c>
      <c r="D102" s="95" t="s">
        <v>615</v>
      </c>
      <c r="E102" s="94" t="s">
        <v>9</v>
      </c>
      <c r="F102" s="96">
        <v>46203</v>
      </c>
      <c r="G102" s="97">
        <v>460</v>
      </c>
      <c r="H102" s="96">
        <f>IF(COUNTIFS(Pesagens!$B$3:$B$5001,$B102)=0,"",_xlfn.MAXIFS(Pesagens!$A$3:$A$5001,Pesagens!$B$3:$B$5001,$B102,Pesagens!$E$3:$E$5001,"&lt;&gt;"))</f>
        <v>46246</v>
      </c>
      <c r="I102" s="97">
        <f>IF($H102="","",IFERROR(AVERAGEIFS(Pesagens!$E$3:$E$5001,Pesagens!$B$3:$B$5001,$B102,Pesagens!$A$3:$A$5001,$H102),""))</f>
        <v>549</v>
      </c>
      <c r="J102" s="94">
        <f>IF(F102="","",Parâmetros!$C$4-F102)</f>
        <v>43</v>
      </c>
      <c r="K102" s="97">
        <f t="shared" si="2"/>
        <v>89</v>
      </c>
      <c r="L102" s="98">
        <f t="shared" si="3"/>
        <v>2.0697674418604652</v>
      </c>
      <c r="M102" s="99">
        <f>IF(I102="","",I102*Parâmetros!$C$8/15)</f>
        <v>19.398000000000003</v>
      </c>
      <c r="N102" s="99">
        <f>IF(K102="","",K102*Parâmetros!$C$8/15)</f>
        <v>3.1446666666666667</v>
      </c>
      <c r="O102" s="100">
        <f>IF(M102="","",M102*Parâmetros!$C$5)</f>
        <v>6013.380000000001</v>
      </c>
      <c r="P102" s="94" t="str">
        <f>IF(L102="","",IF(L102&gt;=Parâmetros!$C$10,"Sim","Não"))</f>
        <v>Sim</v>
      </c>
    </row>
    <row r="103" spans="1:16" ht="14.25" customHeight="1" x14ac:dyDescent="0.3">
      <c r="A103" s="87">
        <v>101</v>
      </c>
      <c r="B103" s="88" t="s">
        <v>20</v>
      </c>
      <c r="C103" s="88" t="s">
        <v>8</v>
      </c>
      <c r="D103" s="88" t="s">
        <v>615</v>
      </c>
      <c r="E103" s="87" t="s">
        <v>9</v>
      </c>
      <c r="F103" s="89">
        <v>46203</v>
      </c>
      <c r="G103" s="90">
        <v>460</v>
      </c>
      <c r="H103" s="89">
        <f>IF(COUNTIFS(Pesagens!$B$3:$B$5001,$B103)=0,"",_xlfn.MAXIFS(Pesagens!$A$3:$A$5001,Pesagens!$B$3:$B$5001,$B103,Pesagens!$E$3:$E$5001,"&lt;&gt;"))</f>
        <v>46246</v>
      </c>
      <c r="I103" s="90">
        <f>IF($H103="","",IFERROR(AVERAGEIFS(Pesagens!$E$3:$E$5001,Pesagens!$B$3:$B$5001,$B103,Pesagens!$A$3:$A$5001,$H103),""))</f>
        <v>565</v>
      </c>
      <c r="J103" s="87">
        <f>IF(F103="","",Parâmetros!$C$4-F103)</f>
        <v>43</v>
      </c>
      <c r="K103" s="90">
        <f t="shared" si="2"/>
        <v>105</v>
      </c>
      <c r="L103" s="91">
        <f t="shared" si="3"/>
        <v>2.441860465116279</v>
      </c>
      <c r="M103" s="92">
        <f>IF(I103="","",I103*Parâmetros!$C$8/15)</f>
        <v>19.963333333333331</v>
      </c>
      <c r="N103" s="92">
        <f>IF(K103="","",K103*Parâmetros!$C$8/15)</f>
        <v>3.7100000000000004</v>
      </c>
      <c r="O103" s="93">
        <f>IF(M103="","",M103*Parâmetros!$C$5)</f>
        <v>6188.6333333333323</v>
      </c>
      <c r="P103" s="87" t="str">
        <f>IF(L103="","",IF(L103&gt;=Parâmetros!$C$10,"Sim","Não"))</f>
        <v>Sim</v>
      </c>
    </row>
    <row r="104" spans="1:16" ht="14.25" customHeight="1" x14ac:dyDescent="0.3">
      <c r="A104" s="94">
        <v>102</v>
      </c>
      <c r="B104" s="95" t="s">
        <v>30</v>
      </c>
      <c r="C104" s="95" t="s">
        <v>8</v>
      </c>
      <c r="D104" s="95" t="s">
        <v>615</v>
      </c>
      <c r="E104" s="94" t="s">
        <v>9</v>
      </c>
      <c r="F104" s="96">
        <v>46203</v>
      </c>
      <c r="G104" s="97">
        <v>455</v>
      </c>
      <c r="H104" s="96">
        <f>IF(COUNTIFS(Pesagens!$B$3:$B$5001,$B104)=0,"",_xlfn.MAXIFS(Pesagens!$A$3:$A$5001,Pesagens!$B$3:$B$5001,$B104,Pesagens!$E$3:$E$5001,"&lt;&gt;"))</f>
        <v>46246</v>
      </c>
      <c r="I104" s="97">
        <f>IF($H104="","",IFERROR(AVERAGEIFS(Pesagens!$E$3:$E$5001,Pesagens!$B$3:$B$5001,$B104,Pesagens!$A$3:$A$5001,$H104),""))</f>
        <v>559</v>
      </c>
      <c r="J104" s="94">
        <f>IF(F104="","",Parâmetros!$C$4-F104)</f>
        <v>43</v>
      </c>
      <c r="K104" s="97">
        <f t="shared" si="2"/>
        <v>104</v>
      </c>
      <c r="L104" s="98">
        <f t="shared" si="3"/>
        <v>2.4186046511627906</v>
      </c>
      <c r="M104" s="99">
        <f>IF(I104="","",I104*Parâmetros!$C$8/15)</f>
        <v>19.751333333333335</v>
      </c>
      <c r="N104" s="99">
        <f>IF(K104="","",K104*Parâmetros!$C$8/15)</f>
        <v>3.674666666666667</v>
      </c>
      <c r="O104" s="100">
        <f>IF(M104="","",M104*Parâmetros!$C$5)</f>
        <v>6122.9133333333339</v>
      </c>
      <c r="P104" s="94" t="str">
        <f>IF(L104="","",IF(L104&gt;=Parâmetros!$C$10,"Sim","Não"))</f>
        <v>Sim</v>
      </c>
    </row>
    <row r="105" spans="1:16" ht="14.25" customHeight="1" x14ac:dyDescent="0.3">
      <c r="A105" s="87">
        <v>103</v>
      </c>
      <c r="B105" s="88" t="s">
        <v>26</v>
      </c>
      <c r="C105" s="88" t="s">
        <v>8</v>
      </c>
      <c r="D105" s="88" t="s">
        <v>615</v>
      </c>
      <c r="E105" s="87" t="s">
        <v>9</v>
      </c>
      <c r="F105" s="89">
        <v>46203</v>
      </c>
      <c r="G105" s="90">
        <v>452</v>
      </c>
      <c r="H105" s="89">
        <f>IF(COUNTIFS(Pesagens!$B$3:$B$5001,$B105)=0,"",_xlfn.MAXIFS(Pesagens!$A$3:$A$5001,Pesagens!$B$3:$B$5001,$B105,Pesagens!$E$3:$E$5001,"&lt;&gt;"))</f>
        <v>46246</v>
      </c>
      <c r="I105" s="90">
        <f>IF($H105="","",IFERROR(AVERAGEIFS(Pesagens!$E$3:$E$5001,Pesagens!$B$3:$B$5001,$B105,Pesagens!$A$3:$A$5001,$H105),""))</f>
        <v>561</v>
      </c>
      <c r="J105" s="87">
        <f>IF(F105="","",Parâmetros!$C$4-F105)</f>
        <v>43</v>
      </c>
      <c r="K105" s="90">
        <f t="shared" si="2"/>
        <v>109</v>
      </c>
      <c r="L105" s="91">
        <f t="shared" si="3"/>
        <v>2.5348837209302326</v>
      </c>
      <c r="M105" s="92">
        <f>IF(I105="","",I105*Parâmetros!$C$8/15)</f>
        <v>19.822000000000003</v>
      </c>
      <c r="N105" s="92">
        <f>IF(K105="","",K105*Parâmetros!$C$8/15)</f>
        <v>3.8513333333333337</v>
      </c>
      <c r="O105" s="93">
        <f>IF(M105="","",M105*Parâmetros!$C$5)</f>
        <v>6144.8200000000006</v>
      </c>
      <c r="P105" s="87" t="str">
        <f>IF(L105="","",IF(L105&gt;=Parâmetros!$C$10,"Sim","Não"))</f>
        <v>Sim</v>
      </c>
    </row>
    <row r="106" spans="1:16" ht="14.25" customHeight="1" x14ac:dyDescent="0.3">
      <c r="A106" s="94">
        <v>104</v>
      </c>
      <c r="B106" s="95" t="s">
        <v>7</v>
      </c>
      <c r="C106" s="95" t="s">
        <v>8</v>
      </c>
      <c r="D106" s="95" t="s">
        <v>615</v>
      </c>
      <c r="E106" s="94" t="s">
        <v>9</v>
      </c>
      <c r="F106" s="96">
        <v>46203</v>
      </c>
      <c r="G106" s="97">
        <v>444</v>
      </c>
      <c r="H106" s="96">
        <f>IF(COUNTIFS(Pesagens!$B$3:$B$5001,$B106)=0,"",_xlfn.MAXIFS(Pesagens!$A$3:$A$5001,Pesagens!$B$3:$B$5001,$B106,Pesagens!$E$3:$E$5001,"&lt;&gt;"))</f>
        <v>46246</v>
      </c>
      <c r="I106" s="97">
        <f>IF($H106="","",IFERROR(AVERAGEIFS(Pesagens!$E$3:$E$5001,Pesagens!$B$3:$B$5001,$B106,Pesagens!$A$3:$A$5001,$H106),""))</f>
        <v>538</v>
      </c>
      <c r="J106" s="94">
        <f>IF(F106="","",Parâmetros!$C$4-F106)</f>
        <v>43</v>
      </c>
      <c r="K106" s="97">
        <f t="shared" si="2"/>
        <v>94</v>
      </c>
      <c r="L106" s="98">
        <f t="shared" si="3"/>
        <v>2.1860465116279069</v>
      </c>
      <c r="M106" s="99">
        <f>IF(I106="","",I106*Parâmetros!$C$8/15)</f>
        <v>19.009333333333334</v>
      </c>
      <c r="N106" s="99">
        <f>IF(K106="","",K106*Parâmetros!$C$8/15)</f>
        <v>3.3213333333333335</v>
      </c>
      <c r="O106" s="100">
        <f>IF(M106="","",M106*Parâmetros!$C$5)</f>
        <v>5892.8933333333334</v>
      </c>
      <c r="P106" s="94" t="str">
        <f>IF(L106="","",IF(L106&gt;=Parâmetros!$C$10,"Sim","Não"))</f>
        <v>Sim</v>
      </c>
    </row>
    <row r="107" spans="1:16" ht="14.25" customHeight="1" x14ac:dyDescent="0.3">
      <c r="A107" s="87">
        <v>105</v>
      </c>
      <c r="B107" s="88" t="s">
        <v>28</v>
      </c>
      <c r="C107" s="88" t="s">
        <v>8</v>
      </c>
      <c r="D107" s="88" t="s">
        <v>615</v>
      </c>
      <c r="E107" s="87" t="s">
        <v>9</v>
      </c>
      <c r="F107" s="89">
        <v>46203</v>
      </c>
      <c r="G107" s="90">
        <v>443</v>
      </c>
      <c r="H107" s="89">
        <f>IF(COUNTIFS(Pesagens!$B$3:$B$5001,$B107)=0,"",_xlfn.MAXIFS(Pesagens!$A$3:$A$5001,Pesagens!$B$3:$B$5001,$B107,Pesagens!$E$3:$E$5001,"&lt;&gt;"))</f>
        <v>46246</v>
      </c>
      <c r="I107" s="90">
        <f>IF($H107="","",IFERROR(AVERAGEIFS(Pesagens!$E$3:$E$5001,Pesagens!$B$3:$B$5001,$B107,Pesagens!$A$3:$A$5001,$H107),""))</f>
        <v>547</v>
      </c>
      <c r="J107" s="87">
        <f>IF(F107="","",Parâmetros!$C$4-F107)</f>
        <v>43</v>
      </c>
      <c r="K107" s="90">
        <f t="shared" si="2"/>
        <v>104</v>
      </c>
      <c r="L107" s="91">
        <f t="shared" si="3"/>
        <v>2.4186046511627906</v>
      </c>
      <c r="M107" s="92">
        <f>IF(I107="","",I107*Parâmetros!$C$8/15)</f>
        <v>19.327333333333335</v>
      </c>
      <c r="N107" s="92">
        <f>IF(K107="","",K107*Parâmetros!$C$8/15)</f>
        <v>3.674666666666667</v>
      </c>
      <c r="O107" s="93">
        <f>IF(M107="","",M107*Parâmetros!$C$5)</f>
        <v>5991.4733333333343</v>
      </c>
      <c r="P107" s="87" t="str">
        <f>IF(L107="","",IF(L107&gt;=Parâmetros!$C$10,"Sim","Não"))</f>
        <v>Sim</v>
      </c>
    </row>
    <row r="108" spans="1:16" ht="14.25" customHeight="1" x14ac:dyDescent="0.3">
      <c r="A108" s="94">
        <v>106</v>
      </c>
      <c r="B108" s="88">
        <v>2307</v>
      </c>
      <c r="C108" s="88" t="s">
        <v>8</v>
      </c>
      <c r="D108" s="88" t="s">
        <v>615</v>
      </c>
      <c r="E108" s="87" t="s">
        <v>9</v>
      </c>
      <c r="F108" s="89">
        <v>46233</v>
      </c>
      <c r="G108" s="90">
        <v>577</v>
      </c>
      <c r="H108" s="89">
        <f>IF(COUNTIFS(Pesagens!$B$3:$B$5001,$B108)=0,"",_xlfn.MAXIFS(Pesagens!$A$3:$A$5001,Pesagens!$B$3:$B$5001,$B108,Pesagens!$E$3:$E$5001,"&lt;&gt;"))</f>
        <v>46246</v>
      </c>
      <c r="I108" s="90">
        <f>IF($H108="","",IFERROR(AVERAGEIFS(Pesagens!$E$3:$E$5001,Pesagens!$B$3:$B$5001,$B108,Pesagens!$A$3:$A$5001,$H108),""))</f>
        <v>610</v>
      </c>
      <c r="J108" s="87">
        <f>IF(F108="","",Parâmetros!$C$4-F108)</f>
        <v>13</v>
      </c>
      <c r="K108" s="90">
        <f t="shared" si="2"/>
        <v>33</v>
      </c>
      <c r="L108" s="91">
        <f t="shared" si="3"/>
        <v>2.5384615384615383</v>
      </c>
      <c r="M108" s="92">
        <f>IF(I108="","",I108*Parâmetros!$C$8/15)</f>
        <v>21.553333333333335</v>
      </c>
      <c r="N108" s="92">
        <f>IF(K108="","",K108*Parâmetros!$C$8/15)</f>
        <v>1.1660000000000001</v>
      </c>
      <c r="O108" s="93">
        <f>IF(M108="","",M108*Parâmetros!$C$5)</f>
        <v>6681.5333333333338</v>
      </c>
      <c r="P108" s="87" t="str">
        <f>IF(L108="","",IF(L108&gt;=Parâmetros!$C$10,"Sim","Não"))</f>
        <v>Sim</v>
      </c>
    </row>
    <row r="109" spans="1:16" ht="14.25" customHeight="1" x14ac:dyDescent="0.3">
      <c r="A109" s="87">
        <v>107</v>
      </c>
      <c r="B109" s="95" t="s">
        <v>11</v>
      </c>
      <c r="C109" s="95" t="s">
        <v>8</v>
      </c>
      <c r="D109" s="95" t="s">
        <v>615</v>
      </c>
      <c r="E109" s="94" t="s">
        <v>9</v>
      </c>
      <c r="F109" s="96">
        <v>46203</v>
      </c>
      <c r="G109" s="97">
        <v>437</v>
      </c>
      <c r="H109" s="89">
        <f>IF(COUNTIFS(Pesagens!$B$3:$B$5001,$B109)=0,"",_xlfn.MAXIFS(Pesagens!$A$3:$A$5001,Pesagens!$B$3:$B$5001,$B109,Pesagens!$E$3:$E$5001,"&lt;&gt;"))</f>
        <v>46246</v>
      </c>
      <c r="I109" s="97">
        <f>IF($H109="","",IFERROR(AVERAGEIFS(Pesagens!$E$3:$E$5001,Pesagens!$B$3:$B$5001,$B109,Pesagens!$A$3:$A$5001,$H109),""))</f>
        <v>520</v>
      </c>
      <c r="J109" s="94">
        <f>IF(F109="","",Parâmetros!$C$4-F109)</f>
        <v>43</v>
      </c>
      <c r="K109" s="97">
        <f t="shared" si="2"/>
        <v>83</v>
      </c>
      <c r="L109" s="98">
        <f t="shared" si="3"/>
        <v>1.930232558139535</v>
      </c>
      <c r="M109" s="99">
        <f>IF(I109="","",I109*Parâmetros!$C$8/15)</f>
        <v>18.373333333333335</v>
      </c>
      <c r="N109" s="99">
        <f>IF(K109="","",K109*Parâmetros!$C$8/15)</f>
        <v>2.932666666666667</v>
      </c>
      <c r="O109" s="100">
        <f>IF(M109="","",M109*Parâmetros!$C$5)</f>
        <v>5695.7333333333336</v>
      </c>
      <c r="P109" s="94" t="str">
        <f>IF(L109="","",IF(L109&gt;=Parâmetros!$C$10,"Sim","Não"))</f>
        <v>Sim</v>
      </c>
    </row>
    <row r="110" spans="1:16" ht="14.25" customHeight="1" x14ac:dyDescent="0.3">
      <c r="A110" s="94">
        <v>108</v>
      </c>
      <c r="B110" s="88" t="s">
        <v>14</v>
      </c>
      <c r="C110" s="88" t="s">
        <v>8</v>
      </c>
      <c r="D110" s="88" t="s">
        <v>615</v>
      </c>
      <c r="E110" s="87" t="s">
        <v>9</v>
      </c>
      <c r="F110" s="89">
        <v>46203</v>
      </c>
      <c r="G110" s="90">
        <v>437</v>
      </c>
      <c r="H110" s="89">
        <f>IF(COUNTIFS(Pesagens!$B$3:$B$5001,$B110)=0,"",_xlfn.MAXIFS(Pesagens!$A$3:$A$5001,Pesagens!$B$3:$B$5001,$B110,Pesagens!$E$3:$E$5001,"&lt;&gt;"))</f>
        <v>46246</v>
      </c>
      <c r="I110" s="90">
        <f>IF($H110="","",IFERROR(AVERAGEIFS(Pesagens!$E$3:$E$5001,Pesagens!$B$3:$B$5001,$B110,Pesagens!$A$3:$A$5001,$H110),""))</f>
        <v>522</v>
      </c>
      <c r="J110" s="87">
        <f>IF(F110="","",Parâmetros!$C$4-F110)</f>
        <v>43</v>
      </c>
      <c r="K110" s="90">
        <f t="shared" si="2"/>
        <v>85</v>
      </c>
      <c r="L110" s="91">
        <f t="shared" si="3"/>
        <v>1.9767441860465116</v>
      </c>
      <c r="M110" s="92">
        <f>IF(I110="","",I110*Parâmetros!$C$8/15)</f>
        <v>18.444000000000003</v>
      </c>
      <c r="N110" s="92">
        <f>IF(K110="","",K110*Parâmetros!$C$8/15)</f>
        <v>3.0033333333333334</v>
      </c>
      <c r="O110" s="93">
        <f>IF(M110="","",M110*Parâmetros!$C$5)</f>
        <v>5717.6400000000012</v>
      </c>
      <c r="P110" s="87" t="str">
        <f>IF(L110="","",IF(L110&gt;=Parâmetros!$C$10,"Sim","Não"))</f>
        <v>Sim</v>
      </c>
    </row>
    <row r="111" spans="1:16" ht="14.25" customHeight="1" x14ac:dyDescent="0.3">
      <c r="A111" s="87">
        <v>109</v>
      </c>
      <c r="B111" s="95" t="s">
        <v>27</v>
      </c>
      <c r="C111" s="95" t="s">
        <v>8</v>
      </c>
      <c r="D111" s="95" t="s">
        <v>615</v>
      </c>
      <c r="E111" s="94" t="s">
        <v>9</v>
      </c>
      <c r="F111" s="96">
        <v>46203</v>
      </c>
      <c r="G111" s="97">
        <v>437</v>
      </c>
      <c r="H111" s="89">
        <f>IF(COUNTIFS(Pesagens!$B$3:$B$5001,$B111)=0,"",_xlfn.MAXIFS(Pesagens!$A$3:$A$5001,Pesagens!$B$3:$B$5001,$B111,Pesagens!$E$3:$E$5001,"&lt;&gt;"))</f>
        <v>46246</v>
      </c>
      <c r="I111" s="97">
        <f>IF($H111="","",IFERROR(AVERAGEIFS(Pesagens!$E$3:$E$5001,Pesagens!$B$3:$B$5001,$B111,Pesagens!$A$3:$A$5001,$H111),""))</f>
        <v>516</v>
      </c>
      <c r="J111" s="94">
        <f>IF(F111="","",Parâmetros!$C$4-F111)</f>
        <v>43</v>
      </c>
      <c r="K111" s="97">
        <f t="shared" si="2"/>
        <v>79</v>
      </c>
      <c r="L111" s="98">
        <f t="shared" si="3"/>
        <v>1.8372093023255813</v>
      </c>
      <c r="M111" s="99">
        <f>IF(I111="","",I111*Parâmetros!$C$8/15)</f>
        <v>18.232000000000003</v>
      </c>
      <c r="N111" s="99">
        <f>IF(K111="","",K111*Parâmetros!$C$8/15)</f>
        <v>2.7913333333333337</v>
      </c>
      <c r="O111" s="100">
        <f>IF(M111="","",M111*Parâmetros!$C$5)</f>
        <v>5651.920000000001</v>
      </c>
      <c r="P111" s="94" t="str">
        <f>IF(L111="","",IF(L111&gt;=Parâmetros!$C$10,"Sim","Não"))</f>
        <v>Sim</v>
      </c>
    </row>
    <row r="112" spans="1:16" ht="14.25" customHeight="1" x14ac:dyDescent="0.3">
      <c r="A112" s="94">
        <v>110</v>
      </c>
      <c r="B112" s="88" t="s">
        <v>13</v>
      </c>
      <c r="C112" s="88" t="s">
        <v>8</v>
      </c>
      <c r="D112" s="88" t="s">
        <v>615</v>
      </c>
      <c r="E112" s="87" t="s">
        <v>9</v>
      </c>
      <c r="F112" s="89">
        <v>46203</v>
      </c>
      <c r="G112" s="90">
        <v>431</v>
      </c>
      <c r="H112" s="89">
        <f>IF(COUNTIFS(Pesagens!$B$3:$B$5001,$B112)=0,"",_xlfn.MAXIFS(Pesagens!$A$3:$A$5001,Pesagens!$B$3:$B$5001,$B112,Pesagens!$E$3:$E$5001,"&lt;&gt;"))</f>
        <v>46246</v>
      </c>
      <c r="I112" s="90">
        <f>IF($H112="","",IFERROR(AVERAGEIFS(Pesagens!$E$3:$E$5001,Pesagens!$B$3:$B$5001,$B112,Pesagens!$A$3:$A$5001,$H112),""))</f>
        <v>525</v>
      </c>
      <c r="J112" s="87">
        <f>IF(F112="","",Parâmetros!$C$4-F112)</f>
        <v>43</v>
      </c>
      <c r="K112" s="90">
        <f t="shared" si="2"/>
        <v>94</v>
      </c>
      <c r="L112" s="91">
        <f t="shared" si="3"/>
        <v>2.1860465116279069</v>
      </c>
      <c r="M112" s="92">
        <f>IF(I112="","",I112*Parâmetros!$C$8/15)</f>
        <v>18.55</v>
      </c>
      <c r="N112" s="92">
        <f>IF(K112="","",K112*Parâmetros!$C$8/15)</f>
        <v>3.3213333333333335</v>
      </c>
      <c r="O112" s="93">
        <f>IF(M112="","",M112*Parâmetros!$C$5)</f>
        <v>5750.5</v>
      </c>
      <c r="P112" s="87" t="str">
        <f>IF(L112="","",IF(L112&gt;=Parâmetros!$C$10,"Sim","Não"))</f>
        <v>Sim</v>
      </c>
    </row>
    <row r="113" spans="1:16" ht="14.25" customHeight="1" x14ac:dyDescent="0.3">
      <c r="A113" s="87">
        <v>111</v>
      </c>
      <c r="B113" s="95" t="s">
        <v>31</v>
      </c>
      <c r="C113" s="95" t="s">
        <v>8</v>
      </c>
      <c r="D113" s="95" t="s">
        <v>615</v>
      </c>
      <c r="E113" s="94" t="s">
        <v>9</v>
      </c>
      <c r="F113" s="96">
        <v>46203</v>
      </c>
      <c r="G113" s="97">
        <v>427</v>
      </c>
      <c r="H113" s="89">
        <f>IF(COUNTIFS(Pesagens!$B$3:$B$5001,$B113)=0,"",_xlfn.MAXIFS(Pesagens!$A$3:$A$5001,Pesagens!$B$3:$B$5001,$B113,Pesagens!$E$3:$E$5001,"&lt;&gt;"))</f>
        <v>46246</v>
      </c>
      <c r="I113" s="97">
        <f>IF($H113="","",IFERROR(AVERAGEIFS(Pesagens!$E$3:$E$5001,Pesagens!$B$3:$B$5001,$B113,Pesagens!$A$3:$A$5001,$H113),""))</f>
        <v>530</v>
      </c>
      <c r="J113" s="94">
        <f>IF(F113="","",Parâmetros!$C$4-F113)</f>
        <v>43</v>
      </c>
      <c r="K113" s="97">
        <f t="shared" si="2"/>
        <v>103</v>
      </c>
      <c r="L113" s="98">
        <f t="shared" si="3"/>
        <v>2.3953488372093021</v>
      </c>
      <c r="M113" s="99">
        <f>IF(I113="","",I113*Parâmetros!$C$8/15)</f>
        <v>18.72666666666667</v>
      </c>
      <c r="N113" s="99">
        <f>IF(K113="","",K113*Parâmetros!$C$8/15)</f>
        <v>3.6393333333333335</v>
      </c>
      <c r="O113" s="100">
        <f>IF(M113="","",M113*Parâmetros!$C$5)</f>
        <v>5805.2666666666673</v>
      </c>
      <c r="P113" s="94" t="str">
        <f>IF(L113="","",IF(L113&gt;=Parâmetros!$C$10,"Sim","Não"))</f>
        <v>Sim</v>
      </c>
    </row>
    <row r="114" spans="1:16" ht="14.25" customHeight="1" x14ac:dyDescent="0.3">
      <c r="A114" s="94">
        <v>112</v>
      </c>
      <c r="B114" s="88" t="s">
        <v>22</v>
      </c>
      <c r="C114" s="88" t="s">
        <v>8</v>
      </c>
      <c r="D114" s="88" t="s">
        <v>615</v>
      </c>
      <c r="E114" s="87" t="s">
        <v>9</v>
      </c>
      <c r="F114" s="89">
        <v>46203</v>
      </c>
      <c r="G114" s="90">
        <v>422</v>
      </c>
      <c r="H114" s="89">
        <f>IF(COUNTIFS(Pesagens!$B$3:$B$5001,$B114)=0,"",_xlfn.MAXIFS(Pesagens!$A$3:$A$5001,Pesagens!$B$3:$B$5001,$B114,Pesagens!$E$3:$E$5001,"&lt;&gt;"))</f>
        <v>46246</v>
      </c>
      <c r="I114" s="90">
        <f>IF($H114="","",IFERROR(AVERAGEIFS(Pesagens!$E$3:$E$5001,Pesagens!$B$3:$B$5001,$B114,Pesagens!$A$3:$A$5001,$H114),""))</f>
        <v>526</v>
      </c>
      <c r="J114" s="87">
        <f>IF(F114="","",Parâmetros!$C$4-F114)</f>
        <v>43</v>
      </c>
      <c r="K114" s="90">
        <f t="shared" si="2"/>
        <v>104</v>
      </c>
      <c r="L114" s="91">
        <f t="shared" si="3"/>
        <v>2.4186046511627906</v>
      </c>
      <c r="M114" s="92">
        <f>IF(I114="","",I114*Parâmetros!$C$8/15)</f>
        <v>18.585333333333335</v>
      </c>
      <c r="N114" s="92">
        <f>IF(K114="","",K114*Parâmetros!$C$8/15)</f>
        <v>3.674666666666667</v>
      </c>
      <c r="O114" s="93">
        <f>IF(M114="","",M114*Parâmetros!$C$5)</f>
        <v>5761.4533333333338</v>
      </c>
      <c r="P114" s="87" t="str">
        <f>IF(L114="","",IF(L114&gt;=Parâmetros!$C$10,"Sim","Não"))</f>
        <v>Sim</v>
      </c>
    </row>
    <row r="115" spans="1:16" ht="14.25" customHeight="1" x14ac:dyDescent="0.3">
      <c r="A115" s="87">
        <v>113</v>
      </c>
      <c r="B115" s="95" t="s">
        <v>32</v>
      </c>
      <c r="C115" s="95" t="s">
        <v>8</v>
      </c>
      <c r="D115" s="95" t="s">
        <v>615</v>
      </c>
      <c r="E115" s="94" t="s">
        <v>9</v>
      </c>
      <c r="F115" s="96">
        <v>46203</v>
      </c>
      <c r="G115" s="97">
        <v>409</v>
      </c>
      <c r="H115" s="89">
        <f>IF(COUNTIFS(Pesagens!$B$3:$B$5001,$B115)=0,"",_xlfn.MAXIFS(Pesagens!$A$3:$A$5001,Pesagens!$B$3:$B$5001,$B115,Pesagens!$E$3:$E$5001,"&lt;&gt;"))</f>
        <v>46246</v>
      </c>
      <c r="I115" s="97">
        <f>IF($H115="","",IFERROR(AVERAGEIFS(Pesagens!$E$3:$E$5001,Pesagens!$B$3:$B$5001,$B115,Pesagens!$A$3:$A$5001,$H115),""))</f>
        <v>491</v>
      </c>
      <c r="J115" s="94">
        <f>IF(F115="","",Parâmetros!$C$4-F115)</f>
        <v>43</v>
      </c>
      <c r="K115" s="97">
        <f t="shared" si="2"/>
        <v>82</v>
      </c>
      <c r="L115" s="98">
        <f t="shared" si="3"/>
        <v>1.9069767441860466</v>
      </c>
      <c r="M115" s="99">
        <f>IF(I115="","",I115*Parâmetros!$C$8/15)</f>
        <v>17.348666666666666</v>
      </c>
      <c r="N115" s="99">
        <f>IF(K115="","",K115*Parâmetros!$C$8/15)</f>
        <v>2.8973333333333335</v>
      </c>
      <c r="O115" s="100">
        <f>IF(M115="","",M115*Parâmetros!$C$5)</f>
        <v>5378.086666666667</v>
      </c>
      <c r="P115" s="94" t="str">
        <f>IF(L115="","",IF(L115&gt;=Parâmetros!$C$10,"Sim","Não"))</f>
        <v>Sim</v>
      </c>
    </row>
    <row r="116" spans="1:16" ht="14.25" customHeight="1" x14ac:dyDescent="0.3">
      <c r="A116" s="94">
        <v>114</v>
      </c>
      <c r="B116" s="88" t="s">
        <v>38</v>
      </c>
      <c r="C116" s="88" t="s">
        <v>39</v>
      </c>
      <c r="D116" s="88" t="s">
        <v>617</v>
      </c>
      <c r="E116" s="87" t="s">
        <v>40</v>
      </c>
      <c r="F116" s="89">
        <v>46204</v>
      </c>
      <c r="G116" s="90">
        <v>305</v>
      </c>
      <c r="H116" s="89">
        <f>IF(COUNTIFS(Pesagens!$B$3:$B$5001,$B116)=0,"",_xlfn.MAXIFS(Pesagens!$A$3:$A$5001,Pesagens!$B$3:$B$5001,$B116,Pesagens!$E$3:$E$5001,"&lt;&gt;"))</f>
        <v>46204</v>
      </c>
      <c r="I116" s="90">
        <f>IF($H116="","",IFERROR(AVERAGEIFS(Pesagens!$E$3:$E$5001,Pesagens!$B$3:$B$5001,$B116,Pesagens!$A$3:$A$5001,$H116),""))</f>
        <v>305</v>
      </c>
      <c r="J116" s="87">
        <f>IF(F116="","",Parâmetros!$C$4-F116)</f>
        <v>42</v>
      </c>
      <c r="K116" s="90">
        <f t="shared" si="2"/>
        <v>0</v>
      </c>
      <c r="L116" s="91" t="str">
        <f t="shared" si="3"/>
        <v/>
      </c>
      <c r="M116" s="92">
        <f>IF(I116="","",I116*Parâmetros!$C$8/15)</f>
        <v>10.776666666666667</v>
      </c>
      <c r="N116" s="92">
        <f>IF(K116="","",K116*Parâmetros!$C$8/15)</f>
        <v>0</v>
      </c>
      <c r="O116" s="93">
        <f>IF(M116="","",M116*Parâmetros!$C$5)</f>
        <v>3340.7666666666669</v>
      </c>
      <c r="P116" s="87" t="str">
        <f>IF(L116="","",IF(L116&gt;=Parâmetros!$C$10,"Sim","Não"))</f>
        <v/>
      </c>
    </row>
    <row r="117" spans="1:16" ht="14.25" customHeight="1" x14ac:dyDescent="0.3">
      <c r="A117" s="87">
        <v>115</v>
      </c>
      <c r="B117" s="95" t="s">
        <v>42</v>
      </c>
      <c r="C117" s="95" t="s">
        <v>39</v>
      </c>
      <c r="D117" s="95" t="s">
        <v>617</v>
      </c>
      <c r="E117" s="94" t="s">
        <v>40</v>
      </c>
      <c r="F117" s="96">
        <v>46204</v>
      </c>
      <c r="G117" s="97">
        <v>297</v>
      </c>
      <c r="H117" s="89">
        <f>IF(COUNTIFS(Pesagens!$B$3:$B$5001,$B117)=0,"",_xlfn.MAXIFS(Pesagens!$A$3:$A$5001,Pesagens!$B$3:$B$5001,$B117,Pesagens!$E$3:$E$5001,"&lt;&gt;"))</f>
        <v>46204</v>
      </c>
      <c r="I117" s="97">
        <f>IF($H117="","",IFERROR(AVERAGEIFS(Pesagens!$E$3:$E$5001,Pesagens!$B$3:$B$5001,$B117,Pesagens!$A$3:$A$5001,$H117),""))</f>
        <v>297</v>
      </c>
      <c r="J117" s="94">
        <f>IF(F117="","",Parâmetros!$C$4-F117)</f>
        <v>42</v>
      </c>
      <c r="K117" s="97">
        <f t="shared" si="2"/>
        <v>0</v>
      </c>
      <c r="L117" s="98" t="str">
        <f t="shared" si="3"/>
        <v/>
      </c>
      <c r="M117" s="99">
        <f>IF(I117="","",I117*Parâmetros!$C$8/15)</f>
        <v>10.494</v>
      </c>
      <c r="N117" s="99">
        <f>IF(K117="","",K117*Parâmetros!$C$8/15)</f>
        <v>0</v>
      </c>
      <c r="O117" s="100">
        <f>IF(M117="","",M117*Parâmetros!$C$5)</f>
        <v>3253.14</v>
      </c>
      <c r="P117" s="94" t="str">
        <f>IF(L117="","",IF(L117&gt;=Parâmetros!$C$10,"Sim","Não"))</f>
        <v/>
      </c>
    </row>
    <row r="118" spans="1:16" ht="14.25" customHeight="1" x14ac:dyDescent="0.3">
      <c r="A118" s="94">
        <v>116</v>
      </c>
      <c r="B118" s="88" t="s">
        <v>43</v>
      </c>
      <c r="C118" s="88" t="s">
        <v>39</v>
      </c>
      <c r="D118" s="88" t="s">
        <v>617</v>
      </c>
      <c r="E118" s="87" t="s">
        <v>40</v>
      </c>
      <c r="F118" s="89">
        <v>46199</v>
      </c>
      <c r="G118" s="90">
        <v>243</v>
      </c>
      <c r="H118" s="89">
        <f>IF(COUNTIFS(Pesagens!$B$3:$B$5001,$B118)=0,"",_xlfn.MAXIFS(Pesagens!$A$3:$A$5001,Pesagens!$B$3:$B$5001,$B118,Pesagens!$E$3:$E$5001,"&lt;&gt;"))</f>
        <v>46199</v>
      </c>
      <c r="I118" s="90">
        <f>IF($H118="","",IFERROR(AVERAGEIFS(Pesagens!$E$3:$E$5001,Pesagens!$B$3:$B$5001,$B118,Pesagens!$A$3:$A$5001,$H118),""))</f>
        <v>243</v>
      </c>
      <c r="J118" s="87">
        <f>IF(F118="","",Parâmetros!$C$4-F118)</f>
        <v>47</v>
      </c>
      <c r="K118" s="90">
        <f t="shared" si="2"/>
        <v>0</v>
      </c>
      <c r="L118" s="91" t="str">
        <f t="shared" si="3"/>
        <v/>
      </c>
      <c r="M118" s="92">
        <f>IF(I118="","",I118*Parâmetros!$C$8/15)</f>
        <v>8.5860000000000021</v>
      </c>
      <c r="N118" s="92">
        <f>IF(K118="","",K118*Parâmetros!$C$8/15)</f>
        <v>0</v>
      </c>
      <c r="O118" s="93">
        <f>IF(M118="","",M118*Parâmetros!$C$5)</f>
        <v>2661.6600000000008</v>
      </c>
      <c r="P118" s="87" t="str">
        <f>IF(L118="","",IF(L118&gt;=Parâmetros!$C$10,"Sim","Não"))</f>
        <v/>
      </c>
    </row>
    <row r="119" spans="1:16" ht="14.25" customHeight="1" x14ac:dyDescent="0.3">
      <c r="A119" s="87">
        <v>117</v>
      </c>
      <c r="B119" s="95" t="s">
        <v>44</v>
      </c>
      <c r="C119" s="95" t="s">
        <v>39</v>
      </c>
      <c r="D119" s="95" t="s">
        <v>617</v>
      </c>
      <c r="E119" s="94" t="s">
        <v>40</v>
      </c>
      <c r="F119" s="96">
        <v>46204</v>
      </c>
      <c r="G119" s="97">
        <v>254</v>
      </c>
      <c r="H119" s="89">
        <f>IF(COUNTIFS(Pesagens!$B$3:$B$5001,$B119)=0,"",_xlfn.MAXIFS(Pesagens!$A$3:$A$5001,Pesagens!$B$3:$B$5001,$B119,Pesagens!$E$3:$E$5001,"&lt;&gt;"))</f>
        <v>46204</v>
      </c>
      <c r="I119" s="97">
        <f>IF($H119="","",IFERROR(AVERAGEIFS(Pesagens!$E$3:$E$5001,Pesagens!$B$3:$B$5001,$B119,Pesagens!$A$3:$A$5001,$H119),""))</f>
        <v>254</v>
      </c>
      <c r="J119" s="94">
        <f>IF(F119="","",Parâmetros!$C$4-F119)</f>
        <v>42</v>
      </c>
      <c r="K119" s="97">
        <f t="shared" si="2"/>
        <v>0</v>
      </c>
      <c r="L119" s="98" t="str">
        <f t="shared" si="3"/>
        <v/>
      </c>
      <c r="M119" s="99">
        <f>IF(I119="","",I119*Parâmetros!$C$8/15)</f>
        <v>8.9746666666666677</v>
      </c>
      <c r="N119" s="99">
        <f>IF(K119="","",K119*Parâmetros!$C$8/15)</f>
        <v>0</v>
      </c>
      <c r="O119" s="100">
        <f>IF(M119="","",M119*Parâmetros!$C$5)</f>
        <v>2782.146666666667</v>
      </c>
      <c r="P119" s="94" t="str">
        <f>IF(L119="","",IF(L119&gt;=Parâmetros!$C$10,"Sim","Não"))</f>
        <v/>
      </c>
    </row>
    <row r="120" spans="1:16" ht="14.25" customHeight="1" x14ac:dyDescent="0.3">
      <c r="A120" s="94">
        <v>118</v>
      </c>
      <c r="B120" s="88" t="s">
        <v>45</v>
      </c>
      <c r="C120" s="88" t="s">
        <v>39</v>
      </c>
      <c r="D120" s="88" t="s">
        <v>617</v>
      </c>
      <c r="E120" s="87" t="s">
        <v>40</v>
      </c>
      <c r="F120" s="89">
        <v>46204</v>
      </c>
      <c r="G120" s="90">
        <v>236</v>
      </c>
      <c r="H120" s="89">
        <f>IF(COUNTIFS(Pesagens!$B$3:$B$5001,$B120)=0,"",_xlfn.MAXIFS(Pesagens!$A$3:$A$5001,Pesagens!$B$3:$B$5001,$B120,Pesagens!$E$3:$E$5001,"&lt;&gt;"))</f>
        <v>46204</v>
      </c>
      <c r="I120" s="90">
        <f>IF($H120="","",IFERROR(AVERAGEIFS(Pesagens!$E$3:$E$5001,Pesagens!$B$3:$B$5001,$B120,Pesagens!$A$3:$A$5001,$H120),""))</f>
        <v>236</v>
      </c>
      <c r="J120" s="87">
        <f>IF(F120="","",Parâmetros!$C$4-F120)</f>
        <v>42</v>
      </c>
      <c r="K120" s="90">
        <f t="shared" si="2"/>
        <v>0</v>
      </c>
      <c r="L120" s="91" t="str">
        <f t="shared" si="3"/>
        <v/>
      </c>
      <c r="M120" s="92">
        <f>IF(I120="","",I120*Parâmetros!$C$8/15)</f>
        <v>8.3386666666666667</v>
      </c>
      <c r="N120" s="92">
        <f>IF(K120="","",K120*Parâmetros!$C$8/15)</f>
        <v>0</v>
      </c>
      <c r="O120" s="93">
        <f>IF(M120="","",M120*Parâmetros!$C$5)</f>
        <v>2584.9866666666667</v>
      </c>
      <c r="P120" s="87" t="str">
        <f>IF(L120="","",IF(L120&gt;=Parâmetros!$C$10,"Sim","Não"))</f>
        <v/>
      </c>
    </row>
    <row r="121" spans="1:16" ht="14.25" customHeight="1" x14ac:dyDescent="0.3">
      <c r="A121" s="87">
        <v>119</v>
      </c>
      <c r="B121" s="95" t="s">
        <v>46</v>
      </c>
      <c r="C121" s="95" t="s">
        <v>39</v>
      </c>
      <c r="D121" s="95" t="s">
        <v>617</v>
      </c>
      <c r="E121" s="94" t="s">
        <v>40</v>
      </c>
      <c r="F121" s="96">
        <v>46204</v>
      </c>
      <c r="G121" s="97">
        <v>192</v>
      </c>
      <c r="H121" s="89">
        <f>IF(COUNTIFS(Pesagens!$B$3:$B$5001,$B121)=0,"",_xlfn.MAXIFS(Pesagens!$A$3:$A$5001,Pesagens!$B$3:$B$5001,$B121,Pesagens!$E$3:$E$5001,"&lt;&gt;"))</f>
        <v>46204</v>
      </c>
      <c r="I121" s="97">
        <f>IF($H121="","",IFERROR(AVERAGEIFS(Pesagens!$E$3:$E$5001,Pesagens!$B$3:$B$5001,$B121,Pesagens!$A$3:$A$5001,$H121),""))</f>
        <v>192</v>
      </c>
      <c r="J121" s="94">
        <f>IF(F121="","",Parâmetros!$C$4-F121)</f>
        <v>42</v>
      </c>
      <c r="K121" s="97">
        <f t="shared" si="2"/>
        <v>0</v>
      </c>
      <c r="L121" s="98" t="str">
        <f t="shared" si="3"/>
        <v/>
      </c>
      <c r="M121" s="99">
        <f>IF(I121="","",I121*Parâmetros!$C$8/15)</f>
        <v>6.7840000000000007</v>
      </c>
      <c r="N121" s="99">
        <f>IF(K121="","",K121*Parâmetros!$C$8/15)</f>
        <v>0</v>
      </c>
      <c r="O121" s="100">
        <f>IF(M121="","",M121*Parâmetros!$C$5)</f>
        <v>2103.0400000000004</v>
      </c>
      <c r="P121" s="94" t="str">
        <f>IF(L121="","",IF(L121&gt;=Parâmetros!$C$10,"Sim","Não"))</f>
        <v/>
      </c>
    </row>
    <row r="122" spans="1:16" ht="14.25" customHeight="1" x14ac:dyDescent="0.3">
      <c r="A122" s="94">
        <v>120</v>
      </c>
      <c r="B122" s="88" t="s">
        <v>47</v>
      </c>
      <c r="C122" s="88" t="s">
        <v>39</v>
      </c>
      <c r="D122" s="88" t="s">
        <v>617</v>
      </c>
      <c r="E122" s="87" t="s">
        <v>40</v>
      </c>
      <c r="F122" s="89">
        <v>46204</v>
      </c>
      <c r="G122" s="90">
        <v>241</v>
      </c>
      <c r="H122" s="89">
        <f>IF(COUNTIFS(Pesagens!$B$3:$B$5001,$B122)=0,"",_xlfn.MAXIFS(Pesagens!$A$3:$A$5001,Pesagens!$B$3:$B$5001,$B122,Pesagens!$E$3:$E$5001,"&lt;&gt;"))</f>
        <v>46204</v>
      </c>
      <c r="I122" s="90">
        <f>IF($H122="","",IFERROR(AVERAGEIFS(Pesagens!$E$3:$E$5001,Pesagens!$B$3:$B$5001,$B122,Pesagens!$A$3:$A$5001,$H122),""))</f>
        <v>241</v>
      </c>
      <c r="J122" s="87">
        <f>IF(F122="","",Parâmetros!$C$4-F122)</f>
        <v>42</v>
      </c>
      <c r="K122" s="90">
        <f t="shared" si="2"/>
        <v>0</v>
      </c>
      <c r="L122" s="91" t="str">
        <f t="shared" si="3"/>
        <v/>
      </c>
      <c r="M122" s="92">
        <f>IF(I122="","",I122*Parâmetros!$C$8/15)</f>
        <v>8.5153333333333343</v>
      </c>
      <c r="N122" s="92">
        <f>IF(K122="","",K122*Parâmetros!$C$8/15)</f>
        <v>0</v>
      </c>
      <c r="O122" s="93">
        <f>IF(M122="","",M122*Parâmetros!$C$5)</f>
        <v>2639.7533333333336</v>
      </c>
      <c r="P122" s="87" t="str">
        <f>IF(L122="","",IF(L122&gt;=Parâmetros!$C$10,"Sim","Não"))</f>
        <v/>
      </c>
    </row>
    <row r="123" spans="1:16" ht="14.25" customHeight="1" x14ac:dyDescent="0.3">
      <c r="A123" s="87">
        <v>121</v>
      </c>
      <c r="B123" s="95" t="s">
        <v>48</v>
      </c>
      <c r="C123" s="95" t="s">
        <v>39</v>
      </c>
      <c r="D123" s="95" t="s">
        <v>617</v>
      </c>
      <c r="E123" s="94" t="s">
        <v>40</v>
      </c>
      <c r="F123" s="96">
        <v>46204</v>
      </c>
      <c r="G123" s="97">
        <v>271</v>
      </c>
      <c r="H123" s="89">
        <f>IF(COUNTIFS(Pesagens!$B$3:$B$5001,$B123)=0,"",_xlfn.MAXIFS(Pesagens!$A$3:$A$5001,Pesagens!$B$3:$B$5001,$B123,Pesagens!$E$3:$E$5001,"&lt;&gt;"))</f>
        <v>46204</v>
      </c>
      <c r="I123" s="97">
        <f>IF($H123="","",IFERROR(AVERAGEIFS(Pesagens!$E$3:$E$5001,Pesagens!$B$3:$B$5001,$B123,Pesagens!$A$3:$A$5001,$H123),""))</f>
        <v>271</v>
      </c>
      <c r="J123" s="94">
        <f>IF(F123="","",Parâmetros!$C$4-F123)</f>
        <v>42</v>
      </c>
      <c r="K123" s="97">
        <f t="shared" si="2"/>
        <v>0</v>
      </c>
      <c r="L123" s="98" t="str">
        <f t="shared" si="3"/>
        <v/>
      </c>
      <c r="M123" s="99">
        <f>IF(I123="","",I123*Parâmetros!$C$8/15)</f>
        <v>9.575333333333333</v>
      </c>
      <c r="N123" s="99">
        <f>IF(K123="","",K123*Parâmetros!$C$8/15)</f>
        <v>0</v>
      </c>
      <c r="O123" s="100">
        <f>IF(M123="","",M123*Parâmetros!$C$5)</f>
        <v>2968.3533333333335</v>
      </c>
      <c r="P123" s="94" t="str">
        <f>IF(L123="","",IF(L123&gt;=Parâmetros!$C$10,"Sim","Não"))</f>
        <v/>
      </c>
    </row>
    <row r="124" spans="1:16" ht="14.25" customHeight="1" x14ac:dyDescent="0.3">
      <c r="A124" s="94">
        <v>122</v>
      </c>
      <c r="B124" s="88" t="s">
        <v>49</v>
      </c>
      <c r="C124" s="88" t="s">
        <v>39</v>
      </c>
      <c r="D124" s="88" t="s">
        <v>617</v>
      </c>
      <c r="E124" s="87" t="s">
        <v>40</v>
      </c>
      <c r="F124" s="89">
        <v>46204</v>
      </c>
      <c r="G124" s="90">
        <v>233</v>
      </c>
      <c r="H124" s="89">
        <f>IF(COUNTIFS(Pesagens!$B$3:$B$5001,$B124)=0,"",_xlfn.MAXIFS(Pesagens!$A$3:$A$5001,Pesagens!$B$3:$B$5001,$B124,Pesagens!$E$3:$E$5001,"&lt;&gt;"))</f>
        <v>46204</v>
      </c>
      <c r="I124" s="90">
        <f>IF($H124="","",IFERROR(AVERAGEIFS(Pesagens!$E$3:$E$5001,Pesagens!$B$3:$B$5001,$B124,Pesagens!$A$3:$A$5001,$H124),""))</f>
        <v>233</v>
      </c>
      <c r="J124" s="87">
        <f>IF(F124="","",Parâmetros!$C$4-F124)</f>
        <v>42</v>
      </c>
      <c r="K124" s="90">
        <f t="shared" si="2"/>
        <v>0</v>
      </c>
      <c r="L124" s="91" t="str">
        <f t="shared" si="3"/>
        <v/>
      </c>
      <c r="M124" s="92">
        <f>IF(I124="","",I124*Parâmetros!$C$8/15)</f>
        <v>8.2326666666666668</v>
      </c>
      <c r="N124" s="92">
        <f>IF(K124="","",K124*Parâmetros!$C$8/15)</f>
        <v>0</v>
      </c>
      <c r="O124" s="93">
        <f>IF(M124="","",M124*Parâmetros!$C$5)</f>
        <v>2552.1266666666666</v>
      </c>
      <c r="P124" s="87" t="str">
        <f>IF(L124="","",IF(L124&gt;=Parâmetros!$C$10,"Sim","Não"))</f>
        <v/>
      </c>
    </row>
    <row r="125" spans="1:16" ht="14.25" customHeight="1" x14ac:dyDescent="0.3">
      <c r="A125" s="87">
        <v>123</v>
      </c>
      <c r="B125" s="95" t="s">
        <v>50</v>
      </c>
      <c r="C125" s="95" t="s">
        <v>39</v>
      </c>
      <c r="D125" s="95" t="s">
        <v>617</v>
      </c>
      <c r="E125" s="94" t="s">
        <v>40</v>
      </c>
      <c r="F125" s="96">
        <v>46204</v>
      </c>
      <c r="G125" s="97">
        <v>247</v>
      </c>
      <c r="H125" s="89">
        <f>IF(COUNTIFS(Pesagens!$B$3:$B$5001,$B125)=0,"",_xlfn.MAXIFS(Pesagens!$A$3:$A$5001,Pesagens!$B$3:$B$5001,$B125,Pesagens!$E$3:$E$5001,"&lt;&gt;"))</f>
        <v>46204</v>
      </c>
      <c r="I125" s="97">
        <f>IF($H125="","",IFERROR(AVERAGEIFS(Pesagens!$E$3:$E$5001,Pesagens!$B$3:$B$5001,$B125,Pesagens!$A$3:$A$5001,$H125),""))</f>
        <v>247</v>
      </c>
      <c r="J125" s="94">
        <f>IF(F125="","",Parâmetros!$C$4-F125)</f>
        <v>42</v>
      </c>
      <c r="K125" s="97">
        <f t="shared" si="2"/>
        <v>0</v>
      </c>
      <c r="L125" s="98" t="str">
        <f t="shared" si="3"/>
        <v/>
      </c>
      <c r="M125" s="99">
        <f>IF(I125="","",I125*Parâmetros!$C$8/15)</f>
        <v>8.7273333333333323</v>
      </c>
      <c r="N125" s="99">
        <f>IF(K125="","",K125*Parâmetros!$C$8/15)</f>
        <v>0</v>
      </c>
      <c r="O125" s="100">
        <f>IF(M125="","",M125*Parâmetros!$C$5)</f>
        <v>2705.4733333333329</v>
      </c>
      <c r="P125" s="94" t="str">
        <f>IF(L125="","",IF(L125&gt;=Parâmetros!$C$10,"Sim","Não"))</f>
        <v/>
      </c>
    </row>
    <row r="126" spans="1:16" ht="14.25" customHeight="1" x14ac:dyDescent="0.3">
      <c r="A126" s="94">
        <v>124</v>
      </c>
      <c r="B126" s="88" t="s">
        <v>51</v>
      </c>
      <c r="C126" s="88" t="s">
        <v>39</v>
      </c>
      <c r="D126" s="88" t="s">
        <v>617</v>
      </c>
      <c r="E126" s="87" t="s">
        <v>40</v>
      </c>
      <c r="F126" s="89">
        <v>46204</v>
      </c>
      <c r="G126" s="90">
        <v>250</v>
      </c>
      <c r="H126" s="89">
        <f>IF(COUNTIFS(Pesagens!$B$3:$B$5001,$B126)=0,"",_xlfn.MAXIFS(Pesagens!$A$3:$A$5001,Pesagens!$B$3:$B$5001,$B126,Pesagens!$E$3:$E$5001,"&lt;&gt;"))</f>
        <v>46204</v>
      </c>
      <c r="I126" s="90">
        <f>IF($H126="","",IFERROR(AVERAGEIFS(Pesagens!$E$3:$E$5001,Pesagens!$B$3:$B$5001,$B126,Pesagens!$A$3:$A$5001,$H126),""))</f>
        <v>250</v>
      </c>
      <c r="J126" s="87">
        <f>IF(F126="","",Parâmetros!$C$4-F126)</f>
        <v>42</v>
      </c>
      <c r="K126" s="90">
        <f t="shared" si="2"/>
        <v>0</v>
      </c>
      <c r="L126" s="91" t="str">
        <f t="shared" si="3"/>
        <v/>
      </c>
      <c r="M126" s="92">
        <f>IF(I126="","",I126*Parâmetros!$C$8/15)</f>
        <v>8.8333333333333339</v>
      </c>
      <c r="N126" s="92">
        <f>IF(K126="","",K126*Parâmetros!$C$8/15)</f>
        <v>0</v>
      </c>
      <c r="O126" s="93">
        <f>IF(M126="","",M126*Parâmetros!$C$5)</f>
        <v>2738.3333333333335</v>
      </c>
      <c r="P126" s="87" t="str">
        <f>IF(L126="","",IF(L126&gt;=Parâmetros!$C$10,"Sim","Não"))</f>
        <v/>
      </c>
    </row>
    <row r="127" spans="1:16" ht="14.25" customHeight="1" x14ac:dyDescent="0.3">
      <c r="A127" s="87">
        <v>125</v>
      </c>
      <c r="B127" s="95" t="s">
        <v>52</v>
      </c>
      <c r="C127" s="95" t="s">
        <v>39</v>
      </c>
      <c r="D127" s="95" t="s">
        <v>617</v>
      </c>
      <c r="E127" s="94" t="s">
        <v>40</v>
      </c>
      <c r="F127" s="96">
        <v>46204</v>
      </c>
      <c r="G127" s="97">
        <v>191</v>
      </c>
      <c r="H127" s="89">
        <f>IF(COUNTIFS(Pesagens!$B$3:$B$5001,$B127)=0,"",_xlfn.MAXIFS(Pesagens!$A$3:$A$5001,Pesagens!$B$3:$B$5001,$B127,Pesagens!$E$3:$E$5001,"&lt;&gt;"))</f>
        <v>46204</v>
      </c>
      <c r="I127" s="97">
        <f>IF($H127="","",IFERROR(AVERAGEIFS(Pesagens!$E$3:$E$5001,Pesagens!$B$3:$B$5001,$B127,Pesagens!$A$3:$A$5001,$H127),""))</f>
        <v>191</v>
      </c>
      <c r="J127" s="94">
        <f>IF(F127="","",Parâmetros!$C$4-F127)</f>
        <v>42</v>
      </c>
      <c r="K127" s="97">
        <f t="shared" si="2"/>
        <v>0</v>
      </c>
      <c r="L127" s="98" t="str">
        <f t="shared" si="3"/>
        <v/>
      </c>
      <c r="M127" s="99">
        <f>IF(I127="","",I127*Parâmetros!$C$8/15)</f>
        <v>6.7486666666666668</v>
      </c>
      <c r="N127" s="99">
        <f>IF(K127="","",K127*Parâmetros!$C$8/15)</f>
        <v>0</v>
      </c>
      <c r="O127" s="100">
        <f>IF(M127="","",M127*Parâmetros!$C$5)</f>
        <v>2092.0866666666666</v>
      </c>
      <c r="P127" s="94" t="str">
        <f>IF(L127="","",IF(L127&gt;=Parâmetros!$C$10,"Sim","Não"))</f>
        <v/>
      </c>
    </row>
    <row r="128" spans="1:16" ht="14.25" customHeight="1" x14ac:dyDescent="0.3">
      <c r="A128" s="94">
        <v>126</v>
      </c>
      <c r="B128" s="88" t="s">
        <v>53</v>
      </c>
      <c r="C128" s="88" t="s">
        <v>39</v>
      </c>
      <c r="D128" s="88" t="s">
        <v>617</v>
      </c>
      <c r="E128" s="87" t="s">
        <v>40</v>
      </c>
      <c r="F128" s="89">
        <v>46204</v>
      </c>
      <c r="G128" s="90">
        <v>229</v>
      </c>
      <c r="H128" s="89">
        <f>IF(COUNTIFS(Pesagens!$B$3:$B$5001,$B128)=0,"",_xlfn.MAXIFS(Pesagens!$A$3:$A$5001,Pesagens!$B$3:$B$5001,$B128,Pesagens!$E$3:$E$5001,"&lt;&gt;"))</f>
        <v>46204</v>
      </c>
      <c r="I128" s="90">
        <f>IF($H128="","",IFERROR(AVERAGEIFS(Pesagens!$E$3:$E$5001,Pesagens!$B$3:$B$5001,$B128,Pesagens!$A$3:$A$5001,$H128),""))</f>
        <v>229</v>
      </c>
      <c r="J128" s="87">
        <f>IF(F128="","",Parâmetros!$C$4-F128)</f>
        <v>42</v>
      </c>
      <c r="K128" s="90">
        <f t="shared" si="2"/>
        <v>0</v>
      </c>
      <c r="L128" s="91" t="str">
        <f t="shared" si="3"/>
        <v/>
      </c>
      <c r="M128" s="92">
        <f>IF(I128="","",I128*Parâmetros!$C$8/15)</f>
        <v>8.091333333333333</v>
      </c>
      <c r="N128" s="92">
        <f>IF(K128="","",K128*Parâmetros!$C$8/15)</f>
        <v>0</v>
      </c>
      <c r="O128" s="93">
        <f>IF(M128="","",M128*Parâmetros!$C$5)</f>
        <v>2508.313333333333</v>
      </c>
      <c r="P128" s="87" t="str">
        <f>IF(L128="","",IF(L128&gt;=Parâmetros!$C$10,"Sim","Não"))</f>
        <v/>
      </c>
    </row>
    <row r="129" spans="1:16" ht="14.25" customHeight="1" x14ac:dyDescent="0.3">
      <c r="A129" s="87">
        <v>127</v>
      </c>
      <c r="B129" s="95" t="s">
        <v>54</v>
      </c>
      <c r="C129" s="95" t="s">
        <v>39</v>
      </c>
      <c r="D129" s="95" t="s">
        <v>617</v>
      </c>
      <c r="E129" s="94" t="s">
        <v>40</v>
      </c>
      <c r="F129" s="96">
        <v>46204</v>
      </c>
      <c r="G129" s="97">
        <v>158</v>
      </c>
      <c r="H129" s="89">
        <f>IF(COUNTIFS(Pesagens!$B$3:$B$5001,$B129)=0,"",_xlfn.MAXIFS(Pesagens!$A$3:$A$5001,Pesagens!$B$3:$B$5001,$B129,Pesagens!$E$3:$E$5001,"&lt;&gt;"))</f>
        <v>46204</v>
      </c>
      <c r="I129" s="97">
        <f>IF($H129="","",IFERROR(AVERAGEIFS(Pesagens!$E$3:$E$5001,Pesagens!$B$3:$B$5001,$B129,Pesagens!$A$3:$A$5001,$H129),""))</f>
        <v>158</v>
      </c>
      <c r="J129" s="94">
        <f>IF(F129="","",Parâmetros!$C$4-F129)</f>
        <v>42</v>
      </c>
      <c r="K129" s="97">
        <f t="shared" si="2"/>
        <v>0</v>
      </c>
      <c r="L129" s="98" t="str">
        <f t="shared" si="3"/>
        <v/>
      </c>
      <c r="M129" s="99">
        <f>IF(I129="","",I129*Parâmetros!$C$8/15)</f>
        <v>5.5826666666666673</v>
      </c>
      <c r="N129" s="99">
        <f>IF(K129="","",K129*Parâmetros!$C$8/15)</f>
        <v>0</v>
      </c>
      <c r="O129" s="100">
        <f>IF(M129="","",M129*Parâmetros!$C$5)</f>
        <v>1730.6266666666668</v>
      </c>
      <c r="P129" s="94" t="str">
        <f>IF(L129="","",IF(L129&gt;=Parâmetros!$C$10,"Sim","Não"))</f>
        <v/>
      </c>
    </row>
    <row r="130" spans="1:16" ht="14.25" customHeight="1" x14ac:dyDescent="0.3">
      <c r="A130" s="94">
        <v>128</v>
      </c>
      <c r="B130" s="88" t="s">
        <v>55</v>
      </c>
      <c r="C130" s="88" t="s">
        <v>39</v>
      </c>
      <c r="D130" s="88" t="s">
        <v>617</v>
      </c>
      <c r="E130" s="87" t="s">
        <v>40</v>
      </c>
      <c r="F130" s="89">
        <v>46204</v>
      </c>
      <c r="G130" s="90">
        <v>255</v>
      </c>
      <c r="H130" s="89">
        <f>IF(COUNTIFS(Pesagens!$B$3:$B$5001,$B130)=0,"",_xlfn.MAXIFS(Pesagens!$A$3:$A$5001,Pesagens!$B$3:$B$5001,$B130,Pesagens!$E$3:$E$5001,"&lt;&gt;"))</f>
        <v>46204</v>
      </c>
      <c r="I130" s="90">
        <f>IF($H130="","",IFERROR(AVERAGEIFS(Pesagens!$E$3:$E$5001,Pesagens!$B$3:$B$5001,$B130,Pesagens!$A$3:$A$5001,$H130),""))</f>
        <v>255</v>
      </c>
      <c r="J130" s="87">
        <f>IF(F130="","",Parâmetros!$C$4-F130)</f>
        <v>42</v>
      </c>
      <c r="K130" s="90">
        <f t="shared" si="2"/>
        <v>0</v>
      </c>
      <c r="L130" s="91" t="str">
        <f t="shared" si="3"/>
        <v/>
      </c>
      <c r="M130" s="92">
        <f>IF(I130="","",I130*Parâmetros!$C$8/15)</f>
        <v>9.01</v>
      </c>
      <c r="N130" s="92">
        <f>IF(K130="","",K130*Parâmetros!$C$8/15)</f>
        <v>0</v>
      </c>
      <c r="O130" s="93">
        <f>IF(M130="","",M130*Parâmetros!$C$5)</f>
        <v>2793.1</v>
      </c>
      <c r="P130" s="87" t="str">
        <f>IF(L130="","",IF(L130&gt;=Parâmetros!$C$10,"Sim","Não"))</f>
        <v/>
      </c>
    </row>
    <row r="131" spans="1:16" ht="14.25" customHeight="1" x14ac:dyDescent="0.3">
      <c r="A131" s="87">
        <v>129</v>
      </c>
      <c r="B131" s="95" t="s">
        <v>56</v>
      </c>
      <c r="C131" s="95" t="s">
        <v>39</v>
      </c>
      <c r="D131" s="95" t="s">
        <v>617</v>
      </c>
      <c r="E131" s="94" t="s">
        <v>40</v>
      </c>
      <c r="F131" s="96">
        <v>46204</v>
      </c>
      <c r="G131" s="97">
        <v>235</v>
      </c>
      <c r="H131" s="89">
        <f>IF(COUNTIFS(Pesagens!$B$3:$B$5001,$B131)=0,"",_xlfn.MAXIFS(Pesagens!$A$3:$A$5001,Pesagens!$B$3:$B$5001,$B131,Pesagens!$E$3:$E$5001,"&lt;&gt;"))</f>
        <v>46204</v>
      </c>
      <c r="I131" s="97">
        <f>IF($H131="","",IFERROR(AVERAGEIFS(Pesagens!$E$3:$E$5001,Pesagens!$B$3:$B$5001,$B131,Pesagens!$A$3:$A$5001,$H131),""))</f>
        <v>235</v>
      </c>
      <c r="J131" s="94">
        <f>IF(F131="","",Parâmetros!$C$4-F131)</f>
        <v>42</v>
      </c>
      <c r="K131" s="97">
        <f t="shared" ref="K131:K194" si="4">IF(OR(I131="",G131=""),"",I131-G131)</f>
        <v>0</v>
      </c>
      <c r="L131" s="98" t="str">
        <f t="shared" ref="L131:L194" si="5">IF(OR(I131="",G131="",H131&lt;=F131),"",(I131-G131)/(H131-F131))</f>
        <v/>
      </c>
      <c r="M131" s="99">
        <f>IF(I131="","",I131*Parâmetros!$C$8/15)</f>
        <v>8.3033333333333346</v>
      </c>
      <c r="N131" s="99">
        <f>IF(K131="","",K131*Parâmetros!$C$8/15)</f>
        <v>0</v>
      </c>
      <c r="O131" s="100">
        <f>IF(M131="","",M131*Parâmetros!$C$5)</f>
        <v>2574.0333333333338</v>
      </c>
      <c r="P131" s="94" t="str">
        <f>IF(L131="","",IF(L131&gt;=Parâmetros!$C$10,"Sim","Não"))</f>
        <v/>
      </c>
    </row>
    <row r="132" spans="1:16" ht="14.25" customHeight="1" x14ac:dyDescent="0.3">
      <c r="A132" s="94">
        <v>130</v>
      </c>
      <c r="B132" s="88" t="s">
        <v>57</v>
      </c>
      <c r="C132" s="88" t="s">
        <v>39</v>
      </c>
      <c r="D132" s="88" t="s">
        <v>617</v>
      </c>
      <c r="E132" s="87" t="s">
        <v>40</v>
      </c>
      <c r="F132" s="89">
        <v>46204</v>
      </c>
      <c r="G132" s="90">
        <v>211</v>
      </c>
      <c r="H132" s="89">
        <f>IF(COUNTIFS(Pesagens!$B$3:$B$5001,$B132)=0,"",_xlfn.MAXIFS(Pesagens!$A$3:$A$5001,Pesagens!$B$3:$B$5001,$B132,Pesagens!$E$3:$E$5001,"&lt;&gt;"))</f>
        <v>46204</v>
      </c>
      <c r="I132" s="90">
        <f>IF($H132="","",IFERROR(AVERAGEIFS(Pesagens!$E$3:$E$5001,Pesagens!$B$3:$B$5001,$B132,Pesagens!$A$3:$A$5001,$H132),""))</f>
        <v>211</v>
      </c>
      <c r="J132" s="87">
        <f>IF(F132="","",Parâmetros!$C$4-F132)</f>
        <v>42</v>
      </c>
      <c r="K132" s="90">
        <f t="shared" si="4"/>
        <v>0</v>
      </c>
      <c r="L132" s="91" t="str">
        <f t="shared" si="5"/>
        <v/>
      </c>
      <c r="M132" s="92">
        <f>IF(I132="","",I132*Parâmetros!$C$8/15)</f>
        <v>7.4553333333333338</v>
      </c>
      <c r="N132" s="92">
        <f>IF(K132="","",K132*Parâmetros!$C$8/15)</f>
        <v>0</v>
      </c>
      <c r="O132" s="93">
        <f>IF(M132="","",M132*Parâmetros!$C$5)</f>
        <v>2311.1533333333336</v>
      </c>
      <c r="P132" s="87" t="str">
        <f>IF(L132="","",IF(L132&gt;=Parâmetros!$C$10,"Sim","Não"))</f>
        <v/>
      </c>
    </row>
    <row r="133" spans="1:16" ht="14.25" customHeight="1" x14ac:dyDescent="0.3">
      <c r="A133" s="87">
        <v>131</v>
      </c>
      <c r="B133" s="95" t="s">
        <v>58</v>
      </c>
      <c r="C133" s="95" t="s">
        <v>39</v>
      </c>
      <c r="D133" s="95" t="s">
        <v>617</v>
      </c>
      <c r="E133" s="94" t="s">
        <v>40</v>
      </c>
      <c r="F133" s="96">
        <v>46204</v>
      </c>
      <c r="G133" s="97">
        <v>259</v>
      </c>
      <c r="H133" s="89">
        <f>IF(COUNTIFS(Pesagens!$B$3:$B$5001,$B133)=0,"",_xlfn.MAXIFS(Pesagens!$A$3:$A$5001,Pesagens!$B$3:$B$5001,$B133,Pesagens!$E$3:$E$5001,"&lt;&gt;"))</f>
        <v>46204</v>
      </c>
      <c r="I133" s="97">
        <f>IF($H133="","",IFERROR(AVERAGEIFS(Pesagens!$E$3:$E$5001,Pesagens!$B$3:$B$5001,$B133,Pesagens!$A$3:$A$5001,$H133),""))</f>
        <v>259</v>
      </c>
      <c r="J133" s="94">
        <f>IF(F133="","",Parâmetros!$C$4-F133)</f>
        <v>42</v>
      </c>
      <c r="K133" s="97">
        <f t="shared" si="4"/>
        <v>0</v>
      </c>
      <c r="L133" s="98" t="str">
        <f t="shared" si="5"/>
        <v/>
      </c>
      <c r="M133" s="99">
        <f>IF(I133="","",I133*Parâmetros!$C$8/15)</f>
        <v>9.1513333333333335</v>
      </c>
      <c r="N133" s="99">
        <f>IF(K133="","",K133*Parâmetros!$C$8/15)</f>
        <v>0</v>
      </c>
      <c r="O133" s="100">
        <f>IF(M133="","",M133*Parâmetros!$C$5)</f>
        <v>2836.9133333333334</v>
      </c>
      <c r="P133" s="94" t="str">
        <f>IF(L133="","",IF(L133&gt;=Parâmetros!$C$10,"Sim","Não"))</f>
        <v/>
      </c>
    </row>
    <row r="134" spans="1:16" ht="14.25" customHeight="1" x14ac:dyDescent="0.3">
      <c r="A134" s="94">
        <v>132</v>
      </c>
      <c r="B134" s="88" t="s">
        <v>59</v>
      </c>
      <c r="C134" s="88" t="s">
        <v>39</v>
      </c>
      <c r="D134" s="88" t="s">
        <v>617</v>
      </c>
      <c r="E134" s="87" t="s">
        <v>40</v>
      </c>
      <c r="F134" s="89">
        <v>46204</v>
      </c>
      <c r="G134" s="90">
        <v>235</v>
      </c>
      <c r="H134" s="89">
        <f>IF(COUNTIFS(Pesagens!$B$3:$B$5001,$B134)=0,"",_xlfn.MAXIFS(Pesagens!$A$3:$A$5001,Pesagens!$B$3:$B$5001,$B134,Pesagens!$E$3:$E$5001,"&lt;&gt;"))</f>
        <v>46204</v>
      </c>
      <c r="I134" s="90">
        <f>IF($H134="","",IFERROR(AVERAGEIFS(Pesagens!$E$3:$E$5001,Pesagens!$B$3:$B$5001,$B134,Pesagens!$A$3:$A$5001,$H134),""))</f>
        <v>235</v>
      </c>
      <c r="J134" s="87">
        <f>IF(F134="","",Parâmetros!$C$4-F134)</f>
        <v>42</v>
      </c>
      <c r="K134" s="90">
        <f t="shared" si="4"/>
        <v>0</v>
      </c>
      <c r="L134" s="91" t="str">
        <f t="shared" si="5"/>
        <v/>
      </c>
      <c r="M134" s="92">
        <f>IF(I134="","",I134*Parâmetros!$C$8/15)</f>
        <v>8.3033333333333346</v>
      </c>
      <c r="N134" s="92">
        <f>IF(K134="","",K134*Parâmetros!$C$8/15)</f>
        <v>0</v>
      </c>
      <c r="O134" s="93">
        <f>IF(M134="","",M134*Parâmetros!$C$5)</f>
        <v>2574.0333333333338</v>
      </c>
      <c r="P134" s="87" t="str">
        <f>IF(L134="","",IF(L134&gt;=Parâmetros!$C$10,"Sim","Não"))</f>
        <v/>
      </c>
    </row>
    <row r="135" spans="1:16" ht="14.25" customHeight="1" x14ac:dyDescent="0.3">
      <c r="A135" s="87">
        <v>133</v>
      </c>
      <c r="B135" s="95" t="s">
        <v>60</v>
      </c>
      <c r="C135" s="95" t="s">
        <v>39</v>
      </c>
      <c r="D135" s="95" t="s">
        <v>617</v>
      </c>
      <c r="E135" s="94" t="s">
        <v>40</v>
      </c>
      <c r="F135" s="96">
        <v>46204</v>
      </c>
      <c r="G135" s="97">
        <v>336</v>
      </c>
      <c r="H135" s="89">
        <f>IF(COUNTIFS(Pesagens!$B$3:$B$5001,$B135)=0,"",_xlfn.MAXIFS(Pesagens!$A$3:$A$5001,Pesagens!$B$3:$B$5001,$B135,Pesagens!$E$3:$E$5001,"&lt;&gt;"))</f>
        <v>46204</v>
      </c>
      <c r="I135" s="97">
        <f>IF($H135="","",IFERROR(AVERAGEIFS(Pesagens!$E$3:$E$5001,Pesagens!$B$3:$B$5001,$B135,Pesagens!$A$3:$A$5001,$H135),""))</f>
        <v>336</v>
      </c>
      <c r="J135" s="94">
        <f>IF(F135="","",Parâmetros!$C$4-F135)</f>
        <v>42</v>
      </c>
      <c r="K135" s="97">
        <f t="shared" si="4"/>
        <v>0</v>
      </c>
      <c r="L135" s="98" t="str">
        <f t="shared" si="5"/>
        <v/>
      </c>
      <c r="M135" s="99">
        <f>IF(I135="","",I135*Parâmetros!$C$8/15)</f>
        <v>11.872000000000002</v>
      </c>
      <c r="N135" s="99">
        <f>IF(K135="","",K135*Parâmetros!$C$8/15)</f>
        <v>0</v>
      </c>
      <c r="O135" s="100">
        <f>IF(M135="","",M135*Parâmetros!$C$5)</f>
        <v>3680.3200000000006</v>
      </c>
      <c r="P135" s="94" t="str">
        <f>IF(L135="","",IF(L135&gt;=Parâmetros!$C$10,"Sim","Não"))</f>
        <v/>
      </c>
    </row>
    <row r="136" spans="1:16" ht="14.25" customHeight="1" x14ac:dyDescent="0.3">
      <c r="A136" s="94">
        <v>134</v>
      </c>
      <c r="B136" s="88" t="s">
        <v>61</v>
      </c>
      <c r="C136" s="88" t="s">
        <v>39</v>
      </c>
      <c r="D136" s="88" t="s">
        <v>617</v>
      </c>
      <c r="E136" s="87" t="s">
        <v>40</v>
      </c>
      <c r="F136" s="89">
        <v>46204</v>
      </c>
      <c r="G136" s="90">
        <v>280</v>
      </c>
      <c r="H136" s="89">
        <f>IF(COUNTIFS(Pesagens!$B$3:$B$5001,$B136)=0,"",_xlfn.MAXIFS(Pesagens!$A$3:$A$5001,Pesagens!$B$3:$B$5001,$B136,Pesagens!$E$3:$E$5001,"&lt;&gt;"))</f>
        <v>46204</v>
      </c>
      <c r="I136" s="90">
        <f>IF($H136="","",IFERROR(AVERAGEIFS(Pesagens!$E$3:$E$5001,Pesagens!$B$3:$B$5001,$B136,Pesagens!$A$3:$A$5001,$H136),""))</f>
        <v>280</v>
      </c>
      <c r="J136" s="87">
        <f>IF(F136="","",Parâmetros!$C$4-F136)</f>
        <v>42</v>
      </c>
      <c r="K136" s="90">
        <f t="shared" si="4"/>
        <v>0</v>
      </c>
      <c r="L136" s="91" t="str">
        <f t="shared" si="5"/>
        <v/>
      </c>
      <c r="M136" s="92">
        <f>IF(I136="","",I136*Parâmetros!$C$8/15)</f>
        <v>9.8933333333333344</v>
      </c>
      <c r="N136" s="92">
        <f>IF(K136="","",K136*Parâmetros!$C$8/15)</f>
        <v>0</v>
      </c>
      <c r="O136" s="93">
        <f>IF(M136="","",M136*Parâmetros!$C$5)</f>
        <v>3066.9333333333338</v>
      </c>
      <c r="P136" s="87" t="str">
        <f>IF(L136="","",IF(L136&gt;=Parâmetros!$C$10,"Sim","Não"))</f>
        <v/>
      </c>
    </row>
    <row r="137" spans="1:16" ht="14.25" customHeight="1" x14ac:dyDescent="0.3">
      <c r="A137" s="87">
        <v>135</v>
      </c>
      <c r="B137" s="95" t="s">
        <v>62</v>
      </c>
      <c r="C137" s="95" t="s">
        <v>39</v>
      </c>
      <c r="D137" s="95" t="s">
        <v>617</v>
      </c>
      <c r="E137" s="94" t="s">
        <v>40</v>
      </c>
      <c r="F137" s="96">
        <v>46204</v>
      </c>
      <c r="G137" s="97">
        <v>196</v>
      </c>
      <c r="H137" s="89">
        <f>IF(COUNTIFS(Pesagens!$B$3:$B$5001,$B137)=0,"",_xlfn.MAXIFS(Pesagens!$A$3:$A$5001,Pesagens!$B$3:$B$5001,$B137,Pesagens!$E$3:$E$5001,"&lt;&gt;"))</f>
        <v>46204</v>
      </c>
      <c r="I137" s="97">
        <f>IF($H137="","",IFERROR(AVERAGEIFS(Pesagens!$E$3:$E$5001,Pesagens!$B$3:$B$5001,$B137,Pesagens!$A$3:$A$5001,$H137),""))</f>
        <v>196</v>
      </c>
      <c r="J137" s="94">
        <f>IF(F137="","",Parâmetros!$C$4-F137)</f>
        <v>42</v>
      </c>
      <c r="K137" s="97">
        <f t="shared" si="4"/>
        <v>0</v>
      </c>
      <c r="L137" s="98" t="str">
        <f t="shared" si="5"/>
        <v/>
      </c>
      <c r="M137" s="99">
        <f>IF(I137="","",I137*Parâmetros!$C$8/15)</f>
        <v>6.9253333333333336</v>
      </c>
      <c r="N137" s="99">
        <f>IF(K137="","",K137*Parâmetros!$C$8/15)</f>
        <v>0</v>
      </c>
      <c r="O137" s="100">
        <f>IF(M137="","",M137*Parâmetros!$C$5)</f>
        <v>2146.8533333333335</v>
      </c>
      <c r="P137" s="94" t="str">
        <f>IF(L137="","",IF(L137&gt;=Parâmetros!$C$10,"Sim","Não"))</f>
        <v/>
      </c>
    </row>
    <row r="138" spans="1:16" ht="14.25" customHeight="1" x14ac:dyDescent="0.3">
      <c r="A138" s="94">
        <v>136</v>
      </c>
      <c r="B138" s="88" t="s">
        <v>63</v>
      </c>
      <c r="C138" s="88" t="s">
        <v>39</v>
      </c>
      <c r="D138" s="88" t="s">
        <v>617</v>
      </c>
      <c r="E138" s="87" t="s">
        <v>40</v>
      </c>
      <c r="F138" s="89">
        <v>46204</v>
      </c>
      <c r="G138" s="90">
        <v>295</v>
      </c>
      <c r="H138" s="89">
        <f>IF(COUNTIFS(Pesagens!$B$3:$B$5001,$B138)=0,"",_xlfn.MAXIFS(Pesagens!$A$3:$A$5001,Pesagens!$B$3:$B$5001,$B138,Pesagens!$E$3:$E$5001,"&lt;&gt;"))</f>
        <v>46204</v>
      </c>
      <c r="I138" s="90">
        <f>IF($H138="","",IFERROR(AVERAGEIFS(Pesagens!$E$3:$E$5001,Pesagens!$B$3:$B$5001,$B138,Pesagens!$A$3:$A$5001,$H138),""))</f>
        <v>295</v>
      </c>
      <c r="J138" s="87">
        <f>IF(F138="","",Parâmetros!$C$4-F138)</f>
        <v>42</v>
      </c>
      <c r="K138" s="90">
        <f t="shared" si="4"/>
        <v>0</v>
      </c>
      <c r="L138" s="91" t="str">
        <f t="shared" si="5"/>
        <v/>
      </c>
      <c r="M138" s="92">
        <f>IF(I138="","",I138*Parâmetros!$C$8/15)</f>
        <v>10.423333333333334</v>
      </c>
      <c r="N138" s="92">
        <f>IF(K138="","",K138*Parâmetros!$C$8/15)</f>
        <v>0</v>
      </c>
      <c r="O138" s="93">
        <f>IF(M138="","",M138*Parâmetros!$C$5)</f>
        <v>3231.2333333333336</v>
      </c>
      <c r="P138" s="87" t="str">
        <f>IF(L138="","",IF(L138&gt;=Parâmetros!$C$10,"Sim","Não"))</f>
        <v/>
      </c>
    </row>
    <row r="139" spans="1:16" ht="14.25" customHeight="1" x14ac:dyDescent="0.3">
      <c r="A139" s="87">
        <v>137</v>
      </c>
      <c r="B139" s="95" t="s">
        <v>64</v>
      </c>
      <c r="C139" s="95" t="s">
        <v>39</v>
      </c>
      <c r="D139" s="95" t="s">
        <v>617</v>
      </c>
      <c r="E139" s="94" t="s">
        <v>40</v>
      </c>
      <c r="F139" s="96">
        <v>46204</v>
      </c>
      <c r="G139" s="97">
        <v>250</v>
      </c>
      <c r="H139" s="89">
        <f>IF(COUNTIFS(Pesagens!$B$3:$B$5001,$B139)=0,"",_xlfn.MAXIFS(Pesagens!$A$3:$A$5001,Pesagens!$B$3:$B$5001,$B139,Pesagens!$E$3:$E$5001,"&lt;&gt;"))</f>
        <v>46204</v>
      </c>
      <c r="I139" s="97">
        <f>IF($H139="","",IFERROR(AVERAGEIFS(Pesagens!$E$3:$E$5001,Pesagens!$B$3:$B$5001,$B139,Pesagens!$A$3:$A$5001,$H139),""))</f>
        <v>250</v>
      </c>
      <c r="J139" s="94">
        <f>IF(F139="","",Parâmetros!$C$4-F139)</f>
        <v>42</v>
      </c>
      <c r="K139" s="97">
        <f t="shared" si="4"/>
        <v>0</v>
      </c>
      <c r="L139" s="98" t="str">
        <f t="shared" si="5"/>
        <v/>
      </c>
      <c r="M139" s="99">
        <f>IF(I139="","",I139*Parâmetros!$C$8/15)</f>
        <v>8.8333333333333339</v>
      </c>
      <c r="N139" s="99">
        <f>IF(K139="","",K139*Parâmetros!$C$8/15)</f>
        <v>0</v>
      </c>
      <c r="O139" s="100">
        <f>IF(M139="","",M139*Parâmetros!$C$5)</f>
        <v>2738.3333333333335</v>
      </c>
      <c r="P139" s="94" t="str">
        <f>IF(L139="","",IF(L139&gt;=Parâmetros!$C$10,"Sim","Não"))</f>
        <v/>
      </c>
    </row>
    <row r="140" spans="1:16" ht="14.25" customHeight="1" x14ac:dyDescent="0.3">
      <c r="A140" s="94">
        <v>138</v>
      </c>
      <c r="B140" s="88" t="s">
        <v>65</v>
      </c>
      <c r="C140" s="88" t="s">
        <v>39</v>
      </c>
      <c r="D140" s="88" t="s">
        <v>617</v>
      </c>
      <c r="E140" s="87" t="s">
        <v>40</v>
      </c>
      <c r="F140" s="89">
        <v>46204</v>
      </c>
      <c r="G140" s="90">
        <v>271</v>
      </c>
      <c r="H140" s="89">
        <f>IF(COUNTIFS(Pesagens!$B$3:$B$5001,$B140)=0,"",_xlfn.MAXIFS(Pesagens!$A$3:$A$5001,Pesagens!$B$3:$B$5001,$B140,Pesagens!$E$3:$E$5001,"&lt;&gt;"))</f>
        <v>46204</v>
      </c>
      <c r="I140" s="90">
        <f>IF($H140="","",IFERROR(AVERAGEIFS(Pesagens!$E$3:$E$5001,Pesagens!$B$3:$B$5001,$B140,Pesagens!$A$3:$A$5001,$H140),""))</f>
        <v>271</v>
      </c>
      <c r="J140" s="87">
        <f>IF(F140="","",Parâmetros!$C$4-F140)</f>
        <v>42</v>
      </c>
      <c r="K140" s="90">
        <f t="shared" si="4"/>
        <v>0</v>
      </c>
      <c r="L140" s="91" t="str">
        <f t="shared" si="5"/>
        <v/>
      </c>
      <c r="M140" s="92">
        <f>IF(I140="","",I140*Parâmetros!$C$8/15)</f>
        <v>9.575333333333333</v>
      </c>
      <c r="N140" s="92">
        <f>IF(K140="","",K140*Parâmetros!$C$8/15)</f>
        <v>0</v>
      </c>
      <c r="O140" s="93">
        <f>IF(M140="","",M140*Parâmetros!$C$5)</f>
        <v>2968.3533333333335</v>
      </c>
      <c r="P140" s="87" t="str">
        <f>IF(L140="","",IF(L140&gt;=Parâmetros!$C$10,"Sim","Não"))</f>
        <v/>
      </c>
    </row>
    <row r="141" spans="1:16" ht="14.25" customHeight="1" x14ac:dyDescent="0.3">
      <c r="A141" s="87">
        <v>139</v>
      </c>
      <c r="B141" s="95" t="s">
        <v>66</v>
      </c>
      <c r="C141" s="95" t="s">
        <v>39</v>
      </c>
      <c r="D141" s="95" t="s">
        <v>617</v>
      </c>
      <c r="E141" s="94" t="s">
        <v>40</v>
      </c>
      <c r="F141" s="96">
        <v>46204</v>
      </c>
      <c r="G141" s="97">
        <v>214</v>
      </c>
      <c r="H141" s="89">
        <f>IF(COUNTIFS(Pesagens!$B$3:$B$5001,$B141)=0,"",_xlfn.MAXIFS(Pesagens!$A$3:$A$5001,Pesagens!$B$3:$B$5001,$B141,Pesagens!$E$3:$E$5001,"&lt;&gt;"))</f>
        <v>46204</v>
      </c>
      <c r="I141" s="97">
        <f>IF($H141="","",IFERROR(AVERAGEIFS(Pesagens!$E$3:$E$5001,Pesagens!$B$3:$B$5001,$B141,Pesagens!$A$3:$A$5001,$H141),""))</f>
        <v>214</v>
      </c>
      <c r="J141" s="94">
        <f>IF(F141="","",Parâmetros!$C$4-F141)</f>
        <v>42</v>
      </c>
      <c r="K141" s="97">
        <f t="shared" si="4"/>
        <v>0</v>
      </c>
      <c r="L141" s="98" t="str">
        <f t="shared" si="5"/>
        <v/>
      </c>
      <c r="M141" s="99">
        <f>IF(I141="","",I141*Parâmetros!$C$8/15)</f>
        <v>7.5613333333333337</v>
      </c>
      <c r="N141" s="99">
        <f>IF(K141="","",K141*Parâmetros!$C$8/15)</f>
        <v>0</v>
      </c>
      <c r="O141" s="100">
        <f>IF(M141="","",M141*Parâmetros!$C$5)</f>
        <v>2344.0133333333333</v>
      </c>
      <c r="P141" s="94" t="str">
        <f>IF(L141="","",IF(L141&gt;=Parâmetros!$C$10,"Sim","Não"))</f>
        <v/>
      </c>
    </row>
    <row r="142" spans="1:16" ht="14.25" customHeight="1" x14ac:dyDescent="0.3">
      <c r="A142" s="94">
        <v>140</v>
      </c>
      <c r="B142" s="88" t="s">
        <v>67</v>
      </c>
      <c r="C142" s="88" t="s">
        <v>39</v>
      </c>
      <c r="D142" s="88" t="s">
        <v>617</v>
      </c>
      <c r="E142" s="87" t="s">
        <v>40</v>
      </c>
      <c r="F142" s="89">
        <v>46199</v>
      </c>
      <c r="G142" s="90">
        <v>288</v>
      </c>
      <c r="H142" s="89">
        <f>IF(COUNTIFS(Pesagens!$B$3:$B$5001,$B142)=0,"",_xlfn.MAXIFS(Pesagens!$A$3:$A$5001,Pesagens!$B$3:$B$5001,$B142,Pesagens!$E$3:$E$5001,"&lt;&gt;"))</f>
        <v>46199</v>
      </c>
      <c r="I142" s="90">
        <f>IF($H142="","",IFERROR(AVERAGEIFS(Pesagens!$E$3:$E$5001,Pesagens!$B$3:$B$5001,$B142,Pesagens!$A$3:$A$5001,$H142),""))</f>
        <v>288</v>
      </c>
      <c r="J142" s="87">
        <f>IF(F142="","",Parâmetros!$C$4-F142)</f>
        <v>47</v>
      </c>
      <c r="K142" s="90">
        <f t="shared" si="4"/>
        <v>0</v>
      </c>
      <c r="L142" s="91" t="str">
        <f t="shared" si="5"/>
        <v/>
      </c>
      <c r="M142" s="92">
        <f>IF(I142="","",I142*Parâmetros!$C$8/15)</f>
        <v>10.176</v>
      </c>
      <c r="N142" s="92">
        <f>IF(K142="","",K142*Parâmetros!$C$8/15)</f>
        <v>0</v>
      </c>
      <c r="O142" s="93">
        <f>IF(M142="","",M142*Parâmetros!$C$5)</f>
        <v>3154.56</v>
      </c>
      <c r="P142" s="87" t="str">
        <f>IF(L142="","",IF(L142&gt;=Parâmetros!$C$10,"Sim","Não"))</f>
        <v/>
      </c>
    </row>
    <row r="143" spans="1:16" ht="14.25" customHeight="1" x14ac:dyDescent="0.3">
      <c r="A143" s="87">
        <v>141</v>
      </c>
      <c r="B143" s="95" t="s">
        <v>68</v>
      </c>
      <c r="C143" s="95" t="s">
        <v>39</v>
      </c>
      <c r="D143" s="95" t="s">
        <v>617</v>
      </c>
      <c r="E143" s="94" t="s">
        <v>40</v>
      </c>
      <c r="F143" s="96">
        <v>46204</v>
      </c>
      <c r="G143" s="97">
        <v>247</v>
      </c>
      <c r="H143" s="89">
        <f>IF(COUNTIFS(Pesagens!$B$3:$B$5001,$B143)=0,"",_xlfn.MAXIFS(Pesagens!$A$3:$A$5001,Pesagens!$B$3:$B$5001,$B143,Pesagens!$E$3:$E$5001,"&lt;&gt;"))</f>
        <v>46204</v>
      </c>
      <c r="I143" s="97">
        <f>IF($H143="","",IFERROR(AVERAGEIFS(Pesagens!$E$3:$E$5001,Pesagens!$B$3:$B$5001,$B143,Pesagens!$A$3:$A$5001,$H143),""))</f>
        <v>247</v>
      </c>
      <c r="J143" s="94">
        <f>IF(F143="","",Parâmetros!$C$4-F143)</f>
        <v>42</v>
      </c>
      <c r="K143" s="97">
        <f t="shared" si="4"/>
        <v>0</v>
      </c>
      <c r="L143" s="98" t="str">
        <f t="shared" si="5"/>
        <v/>
      </c>
      <c r="M143" s="99">
        <f>IF(I143="","",I143*Parâmetros!$C$8/15)</f>
        <v>8.7273333333333323</v>
      </c>
      <c r="N143" s="99">
        <f>IF(K143="","",K143*Parâmetros!$C$8/15)</f>
        <v>0</v>
      </c>
      <c r="O143" s="100">
        <f>IF(M143="","",M143*Parâmetros!$C$5)</f>
        <v>2705.4733333333329</v>
      </c>
      <c r="P143" s="94" t="str">
        <f>IF(L143="","",IF(L143&gt;=Parâmetros!$C$10,"Sim","Não"))</f>
        <v/>
      </c>
    </row>
    <row r="144" spans="1:16" ht="14.25" customHeight="1" x14ac:dyDescent="0.3">
      <c r="A144" s="94">
        <v>142</v>
      </c>
      <c r="B144" s="88" t="s">
        <v>69</v>
      </c>
      <c r="C144" s="88" t="s">
        <v>39</v>
      </c>
      <c r="D144" s="88" t="s">
        <v>617</v>
      </c>
      <c r="E144" s="87" t="s">
        <v>40</v>
      </c>
      <c r="F144" s="89">
        <v>46204</v>
      </c>
      <c r="G144" s="90">
        <v>248</v>
      </c>
      <c r="H144" s="89">
        <f>IF(COUNTIFS(Pesagens!$B$3:$B$5001,$B144)=0,"",_xlfn.MAXIFS(Pesagens!$A$3:$A$5001,Pesagens!$B$3:$B$5001,$B144,Pesagens!$E$3:$E$5001,"&lt;&gt;"))</f>
        <v>46204</v>
      </c>
      <c r="I144" s="90">
        <f>IF($H144="","",IFERROR(AVERAGEIFS(Pesagens!$E$3:$E$5001,Pesagens!$B$3:$B$5001,$B144,Pesagens!$A$3:$A$5001,$H144),""))</f>
        <v>248</v>
      </c>
      <c r="J144" s="87">
        <f>IF(F144="","",Parâmetros!$C$4-F144)</f>
        <v>42</v>
      </c>
      <c r="K144" s="90">
        <f t="shared" si="4"/>
        <v>0</v>
      </c>
      <c r="L144" s="91" t="str">
        <f t="shared" si="5"/>
        <v/>
      </c>
      <c r="M144" s="92">
        <f>IF(I144="","",I144*Parâmetros!$C$8/15)</f>
        <v>8.7626666666666662</v>
      </c>
      <c r="N144" s="92">
        <f>IF(K144="","",K144*Parâmetros!$C$8/15)</f>
        <v>0</v>
      </c>
      <c r="O144" s="93">
        <f>IF(M144="","",M144*Parâmetros!$C$5)</f>
        <v>2716.4266666666667</v>
      </c>
      <c r="P144" s="87" t="str">
        <f>IF(L144="","",IF(L144&gt;=Parâmetros!$C$10,"Sim","Não"))</f>
        <v/>
      </c>
    </row>
    <row r="145" spans="1:16" ht="14.25" customHeight="1" x14ac:dyDescent="0.3">
      <c r="A145" s="87">
        <v>143</v>
      </c>
      <c r="B145" s="95" t="s">
        <v>70</v>
      </c>
      <c r="C145" s="95" t="s">
        <v>39</v>
      </c>
      <c r="D145" s="95" t="s">
        <v>617</v>
      </c>
      <c r="E145" s="94" t="s">
        <v>40</v>
      </c>
      <c r="F145" s="96">
        <v>46199</v>
      </c>
      <c r="G145" s="97">
        <v>313</v>
      </c>
      <c r="H145" s="89">
        <f>IF(COUNTIFS(Pesagens!$B$3:$B$5001,$B145)=0,"",_xlfn.MAXIFS(Pesagens!$A$3:$A$5001,Pesagens!$B$3:$B$5001,$B145,Pesagens!$E$3:$E$5001,"&lt;&gt;"))</f>
        <v>46199</v>
      </c>
      <c r="I145" s="97">
        <f>IF($H145="","",IFERROR(AVERAGEIFS(Pesagens!$E$3:$E$5001,Pesagens!$B$3:$B$5001,$B145,Pesagens!$A$3:$A$5001,$H145),""))</f>
        <v>313</v>
      </c>
      <c r="J145" s="94">
        <f>IF(F145="","",Parâmetros!$C$4-F145)</f>
        <v>47</v>
      </c>
      <c r="K145" s="97">
        <f t="shared" si="4"/>
        <v>0</v>
      </c>
      <c r="L145" s="98" t="str">
        <f t="shared" si="5"/>
        <v/>
      </c>
      <c r="M145" s="99">
        <f>IF(I145="","",I145*Parâmetros!$C$8/15)</f>
        <v>11.059333333333335</v>
      </c>
      <c r="N145" s="99">
        <f>IF(K145="","",K145*Parâmetros!$C$8/15)</f>
        <v>0</v>
      </c>
      <c r="O145" s="100">
        <f>IF(M145="","",M145*Parâmetros!$C$5)</f>
        <v>3428.3933333333339</v>
      </c>
      <c r="P145" s="94" t="str">
        <f>IF(L145="","",IF(L145&gt;=Parâmetros!$C$10,"Sim","Não"))</f>
        <v/>
      </c>
    </row>
    <row r="146" spans="1:16" ht="14.25" customHeight="1" x14ac:dyDescent="0.3">
      <c r="A146" s="94">
        <v>144</v>
      </c>
      <c r="B146" s="88" t="s">
        <v>71</v>
      </c>
      <c r="C146" s="88" t="s">
        <v>39</v>
      </c>
      <c r="D146" s="88" t="s">
        <v>617</v>
      </c>
      <c r="E146" s="87" t="s">
        <v>40</v>
      </c>
      <c r="F146" s="89">
        <v>46204</v>
      </c>
      <c r="G146" s="90">
        <v>201</v>
      </c>
      <c r="H146" s="89">
        <f>IF(COUNTIFS(Pesagens!$B$3:$B$5001,$B146)=0,"",_xlfn.MAXIFS(Pesagens!$A$3:$A$5001,Pesagens!$B$3:$B$5001,$B146,Pesagens!$E$3:$E$5001,"&lt;&gt;"))</f>
        <v>46204</v>
      </c>
      <c r="I146" s="90">
        <f>IF($H146="","",IFERROR(AVERAGEIFS(Pesagens!$E$3:$E$5001,Pesagens!$B$3:$B$5001,$B146,Pesagens!$A$3:$A$5001,$H146),""))</f>
        <v>201</v>
      </c>
      <c r="J146" s="87">
        <f>IF(F146="","",Parâmetros!$C$4-F146)</f>
        <v>42</v>
      </c>
      <c r="K146" s="90">
        <f t="shared" si="4"/>
        <v>0</v>
      </c>
      <c r="L146" s="91" t="str">
        <f t="shared" si="5"/>
        <v/>
      </c>
      <c r="M146" s="92">
        <f>IF(I146="","",I146*Parâmetros!$C$8/15)</f>
        <v>7.1020000000000003</v>
      </c>
      <c r="N146" s="92">
        <f>IF(K146="","",K146*Parâmetros!$C$8/15)</f>
        <v>0</v>
      </c>
      <c r="O146" s="93">
        <f>IF(M146="","",M146*Parâmetros!$C$5)</f>
        <v>2201.62</v>
      </c>
      <c r="P146" s="87" t="str">
        <f>IF(L146="","",IF(L146&gt;=Parâmetros!$C$10,"Sim","Não"))</f>
        <v/>
      </c>
    </row>
    <row r="147" spans="1:16" ht="14.25" customHeight="1" x14ac:dyDescent="0.3">
      <c r="A147" s="87">
        <v>145</v>
      </c>
      <c r="B147" s="95" t="s">
        <v>72</v>
      </c>
      <c r="C147" s="95" t="s">
        <v>39</v>
      </c>
      <c r="D147" s="95" t="s">
        <v>617</v>
      </c>
      <c r="E147" s="94" t="s">
        <v>40</v>
      </c>
      <c r="F147" s="96">
        <v>46204</v>
      </c>
      <c r="G147" s="97">
        <v>238</v>
      </c>
      <c r="H147" s="89">
        <f>IF(COUNTIFS(Pesagens!$B$3:$B$5001,$B147)=0,"",_xlfn.MAXIFS(Pesagens!$A$3:$A$5001,Pesagens!$B$3:$B$5001,$B147,Pesagens!$E$3:$E$5001,"&lt;&gt;"))</f>
        <v>46204</v>
      </c>
      <c r="I147" s="97">
        <f>IF($H147="","",IFERROR(AVERAGEIFS(Pesagens!$E$3:$E$5001,Pesagens!$B$3:$B$5001,$B147,Pesagens!$A$3:$A$5001,$H147),""))</f>
        <v>238</v>
      </c>
      <c r="J147" s="94">
        <f>IF(F147="","",Parâmetros!$C$4-F147)</f>
        <v>42</v>
      </c>
      <c r="K147" s="97">
        <f t="shared" si="4"/>
        <v>0</v>
      </c>
      <c r="L147" s="98" t="str">
        <f t="shared" si="5"/>
        <v/>
      </c>
      <c r="M147" s="99">
        <f>IF(I147="","",I147*Parâmetros!$C$8/15)</f>
        <v>8.4093333333333327</v>
      </c>
      <c r="N147" s="99">
        <f>IF(K147="","",K147*Parâmetros!$C$8/15)</f>
        <v>0</v>
      </c>
      <c r="O147" s="100">
        <f>IF(M147="","",M147*Parâmetros!$C$5)</f>
        <v>2606.893333333333</v>
      </c>
      <c r="P147" s="94" t="str">
        <f>IF(L147="","",IF(L147&gt;=Parâmetros!$C$10,"Sim","Não"))</f>
        <v/>
      </c>
    </row>
    <row r="148" spans="1:16" ht="14.25" customHeight="1" x14ac:dyDescent="0.3">
      <c r="A148" s="94">
        <v>146</v>
      </c>
      <c r="B148" s="88" t="s">
        <v>73</v>
      </c>
      <c r="C148" s="88" t="s">
        <v>39</v>
      </c>
      <c r="D148" s="88" t="s">
        <v>617</v>
      </c>
      <c r="E148" s="87" t="s">
        <v>40</v>
      </c>
      <c r="F148" s="89">
        <v>46204</v>
      </c>
      <c r="G148" s="90">
        <v>247</v>
      </c>
      <c r="H148" s="89">
        <f>IF(COUNTIFS(Pesagens!$B$3:$B$5001,$B148)=0,"",_xlfn.MAXIFS(Pesagens!$A$3:$A$5001,Pesagens!$B$3:$B$5001,$B148,Pesagens!$E$3:$E$5001,"&lt;&gt;"))</f>
        <v>46204</v>
      </c>
      <c r="I148" s="90">
        <f>IF($H148="","",IFERROR(AVERAGEIFS(Pesagens!$E$3:$E$5001,Pesagens!$B$3:$B$5001,$B148,Pesagens!$A$3:$A$5001,$H148),""))</f>
        <v>247</v>
      </c>
      <c r="J148" s="87">
        <f>IF(F148="","",Parâmetros!$C$4-F148)</f>
        <v>42</v>
      </c>
      <c r="K148" s="90">
        <f t="shared" si="4"/>
        <v>0</v>
      </c>
      <c r="L148" s="91" t="str">
        <f t="shared" si="5"/>
        <v/>
      </c>
      <c r="M148" s="92">
        <f>IF(I148="","",I148*Parâmetros!$C$8/15)</f>
        <v>8.7273333333333323</v>
      </c>
      <c r="N148" s="92">
        <f>IF(K148="","",K148*Parâmetros!$C$8/15)</f>
        <v>0</v>
      </c>
      <c r="O148" s="93">
        <f>IF(M148="","",M148*Parâmetros!$C$5)</f>
        <v>2705.4733333333329</v>
      </c>
      <c r="P148" s="87" t="str">
        <f>IF(L148="","",IF(L148&gt;=Parâmetros!$C$10,"Sim","Não"))</f>
        <v/>
      </c>
    </row>
    <row r="149" spans="1:16" ht="14.25" customHeight="1" x14ac:dyDescent="0.3">
      <c r="A149" s="87">
        <v>147</v>
      </c>
      <c r="B149" s="95" t="s">
        <v>74</v>
      </c>
      <c r="C149" s="95" t="s">
        <v>39</v>
      </c>
      <c r="D149" s="95" t="s">
        <v>617</v>
      </c>
      <c r="E149" s="94" t="s">
        <v>40</v>
      </c>
      <c r="F149" s="96">
        <v>46204</v>
      </c>
      <c r="G149" s="97">
        <v>249</v>
      </c>
      <c r="H149" s="89">
        <f>IF(COUNTIFS(Pesagens!$B$3:$B$5001,$B149)=0,"",_xlfn.MAXIFS(Pesagens!$A$3:$A$5001,Pesagens!$B$3:$B$5001,$B149,Pesagens!$E$3:$E$5001,"&lt;&gt;"))</f>
        <v>46204</v>
      </c>
      <c r="I149" s="97">
        <f>IF($H149="","",IFERROR(AVERAGEIFS(Pesagens!$E$3:$E$5001,Pesagens!$B$3:$B$5001,$B149,Pesagens!$A$3:$A$5001,$H149),""))</f>
        <v>249</v>
      </c>
      <c r="J149" s="94">
        <f>IF(F149="","",Parâmetros!$C$4-F149)</f>
        <v>42</v>
      </c>
      <c r="K149" s="97">
        <f t="shared" si="4"/>
        <v>0</v>
      </c>
      <c r="L149" s="98" t="str">
        <f t="shared" si="5"/>
        <v/>
      </c>
      <c r="M149" s="99">
        <f>IF(I149="","",I149*Parâmetros!$C$8/15)</f>
        <v>8.798</v>
      </c>
      <c r="N149" s="99">
        <f>IF(K149="","",K149*Parâmetros!$C$8/15)</f>
        <v>0</v>
      </c>
      <c r="O149" s="100">
        <f>IF(M149="","",M149*Parâmetros!$C$5)</f>
        <v>2727.38</v>
      </c>
      <c r="P149" s="94" t="str">
        <f>IF(L149="","",IF(L149&gt;=Parâmetros!$C$10,"Sim","Não"))</f>
        <v/>
      </c>
    </row>
    <row r="150" spans="1:16" ht="14.25" customHeight="1" x14ac:dyDescent="0.3">
      <c r="A150" s="94">
        <v>148</v>
      </c>
      <c r="B150" s="88" t="s">
        <v>75</v>
      </c>
      <c r="C150" s="88" t="s">
        <v>39</v>
      </c>
      <c r="D150" s="88" t="s">
        <v>617</v>
      </c>
      <c r="E150" s="87" t="s">
        <v>40</v>
      </c>
      <c r="F150" s="89">
        <v>46204</v>
      </c>
      <c r="G150" s="90">
        <v>220</v>
      </c>
      <c r="H150" s="89">
        <f>IF(COUNTIFS(Pesagens!$B$3:$B$5001,$B150)=0,"",_xlfn.MAXIFS(Pesagens!$A$3:$A$5001,Pesagens!$B$3:$B$5001,$B150,Pesagens!$E$3:$E$5001,"&lt;&gt;"))</f>
        <v>46204</v>
      </c>
      <c r="I150" s="90">
        <f>IF($H150="","",IFERROR(AVERAGEIFS(Pesagens!$E$3:$E$5001,Pesagens!$B$3:$B$5001,$B150,Pesagens!$A$3:$A$5001,$H150),""))</f>
        <v>220</v>
      </c>
      <c r="J150" s="87">
        <f>IF(F150="","",Parâmetros!$C$4-F150)</f>
        <v>42</v>
      </c>
      <c r="K150" s="90">
        <f t="shared" si="4"/>
        <v>0</v>
      </c>
      <c r="L150" s="91" t="str">
        <f t="shared" si="5"/>
        <v/>
      </c>
      <c r="M150" s="92">
        <f>IF(I150="","",I150*Parâmetros!$C$8/15)</f>
        <v>7.7733333333333343</v>
      </c>
      <c r="N150" s="92">
        <f>IF(K150="","",K150*Parâmetros!$C$8/15)</f>
        <v>0</v>
      </c>
      <c r="O150" s="93">
        <f>IF(M150="","",M150*Parâmetros!$C$5)</f>
        <v>2409.7333333333336</v>
      </c>
      <c r="P150" s="87" t="str">
        <f>IF(L150="","",IF(L150&gt;=Parâmetros!$C$10,"Sim","Não"))</f>
        <v/>
      </c>
    </row>
    <row r="151" spans="1:16" ht="14.25" customHeight="1" x14ac:dyDescent="0.3">
      <c r="A151" s="87">
        <v>149</v>
      </c>
      <c r="B151" s="95" t="s">
        <v>76</v>
      </c>
      <c r="C151" s="95" t="s">
        <v>39</v>
      </c>
      <c r="D151" s="95" t="s">
        <v>617</v>
      </c>
      <c r="E151" s="94" t="s">
        <v>40</v>
      </c>
      <c r="F151" s="96">
        <v>46204</v>
      </c>
      <c r="G151" s="97">
        <v>281</v>
      </c>
      <c r="H151" s="89">
        <f>IF(COUNTIFS(Pesagens!$B$3:$B$5001,$B151)=0,"",_xlfn.MAXIFS(Pesagens!$A$3:$A$5001,Pesagens!$B$3:$B$5001,$B151,Pesagens!$E$3:$E$5001,"&lt;&gt;"))</f>
        <v>46204</v>
      </c>
      <c r="I151" s="97">
        <f>IF($H151="","",IFERROR(AVERAGEIFS(Pesagens!$E$3:$E$5001,Pesagens!$B$3:$B$5001,$B151,Pesagens!$A$3:$A$5001,$H151),""))</f>
        <v>281</v>
      </c>
      <c r="J151" s="94">
        <f>IF(F151="","",Parâmetros!$C$4-F151)</f>
        <v>42</v>
      </c>
      <c r="K151" s="97">
        <f t="shared" si="4"/>
        <v>0</v>
      </c>
      <c r="L151" s="98" t="str">
        <f t="shared" si="5"/>
        <v/>
      </c>
      <c r="M151" s="99">
        <f>IF(I151="","",I151*Parâmetros!$C$8/15)</f>
        <v>9.9286666666666665</v>
      </c>
      <c r="N151" s="99">
        <f>IF(K151="","",K151*Parâmetros!$C$8/15)</f>
        <v>0</v>
      </c>
      <c r="O151" s="100">
        <f>IF(M151="","",M151*Parâmetros!$C$5)</f>
        <v>3077.8866666666668</v>
      </c>
      <c r="P151" s="94" t="str">
        <f>IF(L151="","",IF(L151&gt;=Parâmetros!$C$10,"Sim","Não"))</f>
        <v/>
      </c>
    </row>
    <row r="152" spans="1:16" ht="14.25" customHeight="1" x14ac:dyDescent="0.3">
      <c r="A152" s="94">
        <v>150</v>
      </c>
      <c r="B152" s="88" t="s">
        <v>77</v>
      </c>
      <c r="C152" s="88" t="s">
        <v>39</v>
      </c>
      <c r="D152" s="88" t="s">
        <v>617</v>
      </c>
      <c r="E152" s="87" t="s">
        <v>40</v>
      </c>
      <c r="F152" s="89">
        <v>46204</v>
      </c>
      <c r="G152" s="90">
        <v>208</v>
      </c>
      <c r="H152" s="89">
        <f>IF(COUNTIFS(Pesagens!$B$3:$B$5001,$B152)=0,"",_xlfn.MAXIFS(Pesagens!$A$3:$A$5001,Pesagens!$B$3:$B$5001,$B152,Pesagens!$E$3:$E$5001,"&lt;&gt;"))</f>
        <v>46204</v>
      </c>
      <c r="I152" s="90">
        <f>IF($H152="","",IFERROR(AVERAGEIFS(Pesagens!$E$3:$E$5001,Pesagens!$B$3:$B$5001,$B152,Pesagens!$A$3:$A$5001,$H152),""))</f>
        <v>208</v>
      </c>
      <c r="J152" s="87">
        <f>IF(F152="","",Parâmetros!$C$4-F152)</f>
        <v>42</v>
      </c>
      <c r="K152" s="90">
        <f t="shared" si="4"/>
        <v>0</v>
      </c>
      <c r="L152" s="91" t="str">
        <f t="shared" si="5"/>
        <v/>
      </c>
      <c r="M152" s="92">
        <f>IF(I152="","",I152*Parâmetros!$C$8/15)</f>
        <v>7.3493333333333339</v>
      </c>
      <c r="N152" s="92">
        <f>IF(K152="","",K152*Parâmetros!$C$8/15)</f>
        <v>0</v>
      </c>
      <c r="O152" s="93">
        <f>IF(M152="","",M152*Parâmetros!$C$5)</f>
        <v>2278.2933333333335</v>
      </c>
      <c r="P152" s="87" t="str">
        <f>IF(L152="","",IF(L152&gt;=Parâmetros!$C$10,"Sim","Não"))</f>
        <v/>
      </c>
    </row>
    <row r="153" spans="1:16" ht="14.25" customHeight="1" x14ac:dyDescent="0.3">
      <c r="A153" s="87">
        <v>151</v>
      </c>
      <c r="B153" s="95" t="s">
        <v>78</v>
      </c>
      <c r="C153" s="95" t="s">
        <v>39</v>
      </c>
      <c r="D153" s="95" t="s">
        <v>617</v>
      </c>
      <c r="E153" s="94" t="s">
        <v>40</v>
      </c>
      <c r="F153" s="96">
        <v>46204</v>
      </c>
      <c r="G153" s="97">
        <v>227</v>
      </c>
      <c r="H153" s="89">
        <f>IF(COUNTIFS(Pesagens!$B$3:$B$5001,$B153)=0,"",_xlfn.MAXIFS(Pesagens!$A$3:$A$5001,Pesagens!$B$3:$B$5001,$B153,Pesagens!$E$3:$E$5001,"&lt;&gt;"))</f>
        <v>46204</v>
      </c>
      <c r="I153" s="97">
        <f>IF($H153="","",IFERROR(AVERAGEIFS(Pesagens!$E$3:$E$5001,Pesagens!$B$3:$B$5001,$B153,Pesagens!$A$3:$A$5001,$H153),""))</f>
        <v>227</v>
      </c>
      <c r="J153" s="94">
        <f>IF(F153="","",Parâmetros!$C$4-F153)</f>
        <v>42</v>
      </c>
      <c r="K153" s="97">
        <f t="shared" si="4"/>
        <v>0</v>
      </c>
      <c r="L153" s="98" t="str">
        <f t="shared" si="5"/>
        <v/>
      </c>
      <c r="M153" s="99">
        <f>IF(I153="","",I153*Parâmetros!$C$8/15)</f>
        <v>8.0206666666666671</v>
      </c>
      <c r="N153" s="99">
        <f>IF(K153="","",K153*Parâmetros!$C$8/15)</f>
        <v>0</v>
      </c>
      <c r="O153" s="100">
        <f>IF(M153="","",M153*Parâmetros!$C$5)</f>
        <v>2486.4066666666668</v>
      </c>
      <c r="P153" s="94" t="str">
        <f>IF(L153="","",IF(L153&gt;=Parâmetros!$C$10,"Sim","Não"))</f>
        <v/>
      </c>
    </row>
    <row r="154" spans="1:16" ht="14.25" customHeight="1" x14ac:dyDescent="0.3">
      <c r="A154" s="94">
        <v>152</v>
      </c>
      <c r="B154" s="88" t="s">
        <v>79</v>
      </c>
      <c r="C154" s="88" t="s">
        <v>39</v>
      </c>
      <c r="D154" s="88" t="s">
        <v>617</v>
      </c>
      <c r="E154" s="87" t="s">
        <v>40</v>
      </c>
      <c r="F154" s="89">
        <v>46204</v>
      </c>
      <c r="G154" s="90">
        <v>262</v>
      </c>
      <c r="H154" s="89">
        <f>IF(COUNTIFS(Pesagens!$B$3:$B$5001,$B154)=0,"",_xlfn.MAXIFS(Pesagens!$A$3:$A$5001,Pesagens!$B$3:$B$5001,$B154,Pesagens!$E$3:$E$5001,"&lt;&gt;"))</f>
        <v>46204</v>
      </c>
      <c r="I154" s="90">
        <f>IF($H154="","",IFERROR(AVERAGEIFS(Pesagens!$E$3:$E$5001,Pesagens!$B$3:$B$5001,$B154,Pesagens!$A$3:$A$5001,$H154),""))</f>
        <v>262</v>
      </c>
      <c r="J154" s="87">
        <f>IF(F154="","",Parâmetros!$C$4-F154)</f>
        <v>42</v>
      </c>
      <c r="K154" s="90">
        <f t="shared" si="4"/>
        <v>0</v>
      </c>
      <c r="L154" s="91" t="str">
        <f t="shared" si="5"/>
        <v/>
      </c>
      <c r="M154" s="92">
        <f>IF(I154="","",I154*Parâmetros!$C$8/15)</f>
        <v>9.2573333333333334</v>
      </c>
      <c r="N154" s="92">
        <f>IF(K154="","",K154*Parâmetros!$C$8/15)</f>
        <v>0</v>
      </c>
      <c r="O154" s="93">
        <f>IF(M154="","",M154*Parâmetros!$C$5)</f>
        <v>2869.7733333333335</v>
      </c>
      <c r="P154" s="87" t="str">
        <f>IF(L154="","",IF(L154&gt;=Parâmetros!$C$10,"Sim","Não"))</f>
        <v/>
      </c>
    </row>
    <row r="155" spans="1:16" ht="14.25" customHeight="1" x14ac:dyDescent="0.3">
      <c r="A155" s="87">
        <v>153</v>
      </c>
      <c r="B155" s="95" t="s">
        <v>80</v>
      </c>
      <c r="C155" s="95" t="s">
        <v>39</v>
      </c>
      <c r="D155" s="95" t="s">
        <v>617</v>
      </c>
      <c r="E155" s="94" t="s">
        <v>40</v>
      </c>
      <c r="F155" s="96">
        <v>46204</v>
      </c>
      <c r="G155" s="97">
        <v>241</v>
      </c>
      <c r="H155" s="89">
        <f>IF(COUNTIFS(Pesagens!$B$3:$B$5001,$B155)=0,"",_xlfn.MAXIFS(Pesagens!$A$3:$A$5001,Pesagens!$B$3:$B$5001,$B155,Pesagens!$E$3:$E$5001,"&lt;&gt;"))</f>
        <v>46204</v>
      </c>
      <c r="I155" s="97">
        <f>IF($H155="","",IFERROR(AVERAGEIFS(Pesagens!$E$3:$E$5001,Pesagens!$B$3:$B$5001,$B155,Pesagens!$A$3:$A$5001,$H155),""))</f>
        <v>241</v>
      </c>
      <c r="J155" s="94">
        <f>IF(F155="","",Parâmetros!$C$4-F155)</f>
        <v>42</v>
      </c>
      <c r="K155" s="97">
        <f t="shared" si="4"/>
        <v>0</v>
      </c>
      <c r="L155" s="98" t="str">
        <f t="shared" si="5"/>
        <v/>
      </c>
      <c r="M155" s="99">
        <f>IF(I155="","",I155*Parâmetros!$C$8/15)</f>
        <v>8.5153333333333343</v>
      </c>
      <c r="N155" s="99">
        <f>IF(K155="","",K155*Parâmetros!$C$8/15)</f>
        <v>0</v>
      </c>
      <c r="O155" s="100">
        <f>IF(M155="","",M155*Parâmetros!$C$5)</f>
        <v>2639.7533333333336</v>
      </c>
      <c r="P155" s="94" t="str">
        <f>IF(L155="","",IF(L155&gt;=Parâmetros!$C$10,"Sim","Não"))</f>
        <v/>
      </c>
    </row>
    <row r="156" spans="1:16" ht="14.25" customHeight="1" x14ac:dyDescent="0.3">
      <c r="A156" s="94">
        <v>154</v>
      </c>
      <c r="B156" s="88" t="s">
        <v>81</v>
      </c>
      <c r="C156" s="88" t="s">
        <v>39</v>
      </c>
      <c r="D156" s="88" t="s">
        <v>617</v>
      </c>
      <c r="E156" s="87" t="s">
        <v>40</v>
      </c>
      <c r="F156" s="89">
        <v>46204</v>
      </c>
      <c r="G156" s="90">
        <v>224</v>
      </c>
      <c r="H156" s="89">
        <f>IF(COUNTIFS(Pesagens!$B$3:$B$5001,$B156)=0,"",_xlfn.MAXIFS(Pesagens!$A$3:$A$5001,Pesagens!$B$3:$B$5001,$B156,Pesagens!$E$3:$E$5001,"&lt;&gt;"))</f>
        <v>46204</v>
      </c>
      <c r="I156" s="90">
        <f>IF($H156="","",IFERROR(AVERAGEIFS(Pesagens!$E$3:$E$5001,Pesagens!$B$3:$B$5001,$B156,Pesagens!$A$3:$A$5001,$H156),""))</f>
        <v>224</v>
      </c>
      <c r="J156" s="87">
        <f>IF(F156="","",Parâmetros!$C$4-F156)</f>
        <v>42</v>
      </c>
      <c r="K156" s="90">
        <f t="shared" si="4"/>
        <v>0</v>
      </c>
      <c r="L156" s="91" t="str">
        <f t="shared" si="5"/>
        <v/>
      </c>
      <c r="M156" s="92">
        <f>IF(I156="","",I156*Parâmetros!$C$8/15)</f>
        <v>7.9146666666666663</v>
      </c>
      <c r="N156" s="92">
        <f>IF(K156="","",K156*Parâmetros!$C$8/15)</f>
        <v>0</v>
      </c>
      <c r="O156" s="93">
        <f>IF(M156="","",M156*Parâmetros!$C$5)</f>
        <v>2453.5466666666666</v>
      </c>
      <c r="P156" s="87" t="str">
        <f>IF(L156="","",IF(L156&gt;=Parâmetros!$C$10,"Sim","Não"))</f>
        <v/>
      </c>
    </row>
    <row r="157" spans="1:16" ht="14.25" customHeight="1" x14ac:dyDescent="0.3">
      <c r="A157" s="87">
        <v>155</v>
      </c>
      <c r="B157" s="95" t="s">
        <v>82</v>
      </c>
      <c r="C157" s="95" t="s">
        <v>39</v>
      </c>
      <c r="D157" s="95" t="s">
        <v>617</v>
      </c>
      <c r="E157" s="94" t="s">
        <v>40</v>
      </c>
      <c r="F157" s="96">
        <v>46204</v>
      </c>
      <c r="G157" s="97">
        <v>183</v>
      </c>
      <c r="H157" s="89">
        <f>IF(COUNTIFS(Pesagens!$B$3:$B$5001,$B157)=0,"",_xlfn.MAXIFS(Pesagens!$A$3:$A$5001,Pesagens!$B$3:$B$5001,$B157,Pesagens!$E$3:$E$5001,"&lt;&gt;"))</f>
        <v>46204</v>
      </c>
      <c r="I157" s="97">
        <f>IF($H157="","",IFERROR(AVERAGEIFS(Pesagens!$E$3:$E$5001,Pesagens!$B$3:$B$5001,$B157,Pesagens!$A$3:$A$5001,$H157),""))</f>
        <v>183</v>
      </c>
      <c r="J157" s="94">
        <f>IF(F157="","",Parâmetros!$C$4-F157)</f>
        <v>42</v>
      </c>
      <c r="K157" s="97">
        <f t="shared" si="4"/>
        <v>0</v>
      </c>
      <c r="L157" s="98" t="str">
        <f t="shared" si="5"/>
        <v/>
      </c>
      <c r="M157" s="99">
        <f>IF(I157="","",I157*Parâmetros!$C$8/15)</f>
        <v>6.4660000000000002</v>
      </c>
      <c r="N157" s="99">
        <f>IF(K157="","",K157*Parâmetros!$C$8/15)</f>
        <v>0</v>
      </c>
      <c r="O157" s="100">
        <f>IF(M157="","",M157*Parâmetros!$C$5)</f>
        <v>2004.46</v>
      </c>
      <c r="P157" s="94" t="str">
        <f>IF(L157="","",IF(L157&gt;=Parâmetros!$C$10,"Sim","Não"))</f>
        <v/>
      </c>
    </row>
    <row r="158" spans="1:16" ht="14.25" customHeight="1" x14ac:dyDescent="0.3">
      <c r="A158" s="94">
        <v>156</v>
      </c>
      <c r="B158" s="88" t="s">
        <v>83</v>
      </c>
      <c r="C158" s="88" t="s">
        <v>39</v>
      </c>
      <c r="D158" s="88" t="s">
        <v>617</v>
      </c>
      <c r="E158" s="87" t="s">
        <v>40</v>
      </c>
      <c r="F158" s="89">
        <v>46204</v>
      </c>
      <c r="G158" s="90">
        <v>247</v>
      </c>
      <c r="H158" s="89">
        <f>IF(COUNTIFS(Pesagens!$B$3:$B$5001,$B158)=0,"",_xlfn.MAXIFS(Pesagens!$A$3:$A$5001,Pesagens!$B$3:$B$5001,$B158,Pesagens!$E$3:$E$5001,"&lt;&gt;"))</f>
        <v>46204</v>
      </c>
      <c r="I158" s="90">
        <f>IF($H158="","",IFERROR(AVERAGEIFS(Pesagens!$E$3:$E$5001,Pesagens!$B$3:$B$5001,$B158,Pesagens!$A$3:$A$5001,$H158),""))</f>
        <v>247</v>
      </c>
      <c r="J158" s="87">
        <f>IF(F158="","",Parâmetros!$C$4-F158)</f>
        <v>42</v>
      </c>
      <c r="K158" s="90">
        <f t="shared" si="4"/>
        <v>0</v>
      </c>
      <c r="L158" s="91" t="str">
        <f t="shared" si="5"/>
        <v/>
      </c>
      <c r="M158" s="92">
        <f>IF(I158="","",I158*Parâmetros!$C$8/15)</f>
        <v>8.7273333333333323</v>
      </c>
      <c r="N158" s="92">
        <f>IF(K158="","",K158*Parâmetros!$C$8/15)</f>
        <v>0</v>
      </c>
      <c r="O158" s="93">
        <f>IF(M158="","",M158*Parâmetros!$C$5)</f>
        <v>2705.4733333333329</v>
      </c>
      <c r="P158" s="87" t="str">
        <f>IF(L158="","",IF(L158&gt;=Parâmetros!$C$10,"Sim","Não"))</f>
        <v/>
      </c>
    </row>
    <row r="159" spans="1:16" ht="14.25" customHeight="1" x14ac:dyDescent="0.3">
      <c r="A159" s="87">
        <v>157</v>
      </c>
      <c r="B159" s="95" t="s">
        <v>84</v>
      </c>
      <c r="C159" s="95" t="s">
        <v>39</v>
      </c>
      <c r="D159" s="95" t="s">
        <v>617</v>
      </c>
      <c r="E159" s="94" t="s">
        <v>40</v>
      </c>
      <c r="F159" s="96">
        <v>46204</v>
      </c>
      <c r="G159" s="97">
        <v>251</v>
      </c>
      <c r="H159" s="89">
        <f>IF(COUNTIFS(Pesagens!$B$3:$B$5001,$B159)=0,"",_xlfn.MAXIFS(Pesagens!$A$3:$A$5001,Pesagens!$B$3:$B$5001,$B159,Pesagens!$E$3:$E$5001,"&lt;&gt;"))</f>
        <v>46204</v>
      </c>
      <c r="I159" s="97">
        <f>IF($H159="","",IFERROR(AVERAGEIFS(Pesagens!$E$3:$E$5001,Pesagens!$B$3:$B$5001,$B159,Pesagens!$A$3:$A$5001,$H159),""))</f>
        <v>251</v>
      </c>
      <c r="J159" s="94">
        <f>IF(F159="","",Parâmetros!$C$4-F159)</f>
        <v>42</v>
      </c>
      <c r="K159" s="97">
        <f t="shared" si="4"/>
        <v>0</v>
      </c>
      <c r="L159" s="98" t="str">
        <f t="shared" si="5"/>
        <v/>
      </c>
      <c r="M159" s="99">
        <f>IF(I159="","",I159*Parâmetros!$C$8/15)</f>
        <v>8.868666666666666</v>
      </c>
      <c r="N159" s="99">
        <f>IF(K159="","",K159*Parâmetros!$C$8/15)</f>
        <v>0</v>
      </c>
      <c r="O159" s="100">
        <f>IF(M159="","",M159*Parâmetros!$C$5)</f>
        <v>2749.2866666666664</v>
      </c>
      <c r="P159" s="94" t="str">
        <f>IF(L159="","",IF(L159&gt;=Parâmetros!$C$10,"Sim","Não"))</f>
        <v/>
      </c>
    </row>
    <row r="160" spans="1:16" ht="14.25" customHeight="1" x14ac:dyDescent="0.3">
      <c r="A160" s="94">
        <v>158</v>
      </c>
      <c r="B160" s="88" t="s">
        <v>85</v>
      </c>
      <c r="C160" s="88" t="s">
        <v>39</v>
      </c>
      <c r="D160" s="88" t="s">
        <v>617</v>
      </c>
      <c r="E160" s="87" t="s">
        <v>40</v>
      </c>
      <c r="F160" s="89">
        <v>46204</v>
      </c>
      <c r="G160" s="90">
        <v>201</v>
      </c>
      <c r="H160" s="89">
        <f>IF(COUNTIFS(Pesagens!$B$3:$B$5001,$B160)=0,"",_xlfn.MAXIFS(Pesagens!$A$3:$A$5001,Pesagens!$B$3:$B$5001,$B160,Pesagens!$E$3:$E$5001,"&lt;&gt;"))</f>
        <v>46204</v>
      </c>
      <c r="I160" s="90">
        <f>IF($H160="","",IFERROR(AVERAGEIFS(Pesagens!$E$3:$E$5001,Pesagens!$B$3:$B$5001,$B160,Pesagens!$A$3:$A$5001,$H160),""))</f>
        <v>201</v>
      </c>
      <c r="J160" s="87">
        <f>IF(F160="","",Parâmetros!$C$4-F160)</f>
        <v>42</v>
      </c>
      <c r="K160" s="90">
        <f t="shared" si="4"/>
        <v>0</v>
      </c>
      <c r="L160" s="91" t="str">
        <f t="shared" si="5"/>
        <v/>
      </c>
      <c r="M160" s="92">
        <f>IF(I160="","",I160*Parâmetros!$C$8/15)</f>
        <v>7.1020000000000003</v>
      </c>
      <c r="N160" s="92">
        <f>IF(K160="","",K160*Parâmetros!$C$8/15)</f>
        <v>0</v>
      </c>
      <c r="O160" s="93">
        <f>IF(M160="","",M160*Parâmetros!$C$5)</f>
        <v>2201.62</v>
      </c>
      <c r="P160" s="87" t="str">
        <f>IF(L160="","",IF(L160&gt;=Parâmetros!$C$10,"Sim","Não"))</f>
        <v/>
      </c>
    </row>
    <row r="161" spans="1:16" ht="14.25" customHeight="1" x14ac:dyDescent="0.3">
      <c r="A161" s="87">
        <v>159</v>
      </c>
      <c r="B161" s="95" t="s">
        <v>86</v>
      </c>
      <c r="C161" s="95" t="s">
        <v>39</v>
      </c>
      <c r="D161" s="95" t="s">
        <v>617</v>
      </c>
      <c r="E161" s="94" t="s">
        <v>40</v>
      </c>
      <c r="F161" s="96">
        <v>46204</v>
      </c>
      <c r="G161" s="97">
        <v>185</v>
      </c>
      <c r="H161" s="89">
        <f>IF(COUNTIFS(Pesagens!$B$3:$B$5001,$B161)=0,"",_xlfn.MAXIFS(Pesagens!$A$3:$A$5001,Pesagens!$B$3:$B$5001,$B161,Pesagens!$E$3:$E$5001,"&lt;&gt;"))</f>
        <v>46204</v>
      </c>
      <c r="I161" s="97">
        <f>IF($H161="","",IFERROR(AVERAGEIFS(Pesagens!$E$3:$E$5001,Pesagens!$B$3:$B$5001,$B161,Pesagens!$A$3:$A$5001,$H161),""))</f>
        <v>185</v>
      </c>
      <c r="J161" s="94">
        <f>IF(F161="","",Parâmetros!$C$4-F161)</f>
        <v>42</v>
      </c>
      <c r="K161" s="97">
        <f t="shared" si="4"/>
        <v>0</v>
      </c>
      <c r="L161" s="98" t="str">
        <f t="shared" si="5"/>
        <v/>
      </c>
      <c r="M161" s="99">
        <f>IF(I161="","",I161*Parâmetros!$C$8/15)</f>
        <v>6.5366666666666671</v>
      </c>
      <c r="N161" s="99">
        <f>IF(K161="","",K161*Parâmetros!$C$8/15)</f>
        <v>0</v>
      </c>
      <c r="O161" s="100">
        <f>IF(M161="","",M161*Parâmetros!$C$5)</f>
        <v>2026.3666666666668</v>
      </c>
      <c r="P161" s="94" t="str">
        <f>IF(L161="","",IF(L161&gt;=Parâmetros!$C$10,"Sim","Não"))</f>
        <v/>
      </c>
    </row>
    <row r="162" spans="1:16" ht="14.25" customHeight="1" x14ac:dyDescent="0.3">
      <c r="A162" s="94">
        <v>160</v>
      </c>
      <c r="B162" s="88" t="s">
        <v>87</v>
      </c>
      <c r="C162" s="88" t="s">
        <v>39</v>
      </c>
      <c r="D162" s="88" t="s">
        <v>617</v>
      </c>
      <c r="E162" s="87" t="s">
        <v>40</v>
      </c>
      <c r="F162" s="89">
        <v>46204</v>
      </c>
      <c r="G162" s="90">
        <v>211</v>
      </c>
      <c r="H162" s="89">
        <f>IF(COUNTIFS(Pesagens!$B$3:$B$5001,$B162)=0,"",_xlfn.MAXIFS(Pesagens!$A$3:$A$5001,Pesagens!$B$3:$B$5001,$B162,Pesagens!$E$3:$E$5001,"&lt;&gt;"))</f>
        <v>46204</v>
      </c>
      <c r="I162" s="90">
        <f>IF($H162="","",IFERROR(AVERAGEIFS(Pesagens!$E$3:$E$5001,Pesagens!$B$3:$B$5001,$B162,Pesagens!$A$3:$A$5001,$H162),""))</f>
        <v>211</v>
      </c>
      <c r="J162" s="87">
        <f>IF(F162="","",Parâmetros!$C$4-F162)</f>
        <v>42</v>
      </c>
      <c r="K162" s="90">
        <f t="shared" si="4"/>
        <v>0</v>
      </c>
      <c r="L162" s="91" t="str">
        <f t="shared" si="5"/>
        <v/>
      </c>
      <c r="M162" s="92">
        <f>IF(I162="","",I162*Parâmetros!$C$8/15)</f>
        <v>7.4553333333333338</v>
      </c>
      <c r="N162" s="92">
        <f>IF(K162="","",K162*Parâmetros!$C$8/15)</f>
        <v>0</v>
      </c>
      <c r="O162" s="93">
        <f>IF(M162="","",M162*Parâmetros!$C$5)</f>
        <v>2311.1533333333336</v>
      </c>
      <c r="P162" s="87" t="str">
        <f>IF(L162="","",IF(L162&gt;=Parâmetros!$C$10,"Sim","Não"))</f>
        <v/>
      </c>
    </row>
    <row r="163" spans="1:16" ht="14.25" customHeight="1" x14ac:dyDescent="0.3">
      <c r="A163" s="87">
        <v>161</v>
      </c>
      <c r="B163" s="95" t="s">
        <v>88</v>
      </c>
      <c r="C163" s="95" t="s">
        <v>39</v>
      </c>
      <c r="D163" s="95" t="s">
        <v>617</v>
      </c>
      <c r="E163" s="94" t="s">
        <v>40</v>
      </c>
      <c r="F163" s="96">
        <v>46204</v>
      </c>
      <c r="G163" s="97">
        <v>258</v>
      </c>
      <c r="H163" s="89">
        <f>IF(COUNTIFS(Pesagens!$B$3:$B$5001,$B163)=0,"",_xlfn.MAXIFS(Pesagens!$A$3:$A$5001,Pesagens!$B$3:$B$5001,$B163,Pesagens!$E$3:$E$5001,"&lt;&gt;"))</f>
        <v>46204</v>
      </c>
      <c r="I163" s="97">
        <f>IF($H163="","",IFERROR(AVERAGEIFS(Pesagens!$E$3:$E$5001,Pesagens!$B$3:$B$5001,$B163,Pesagens!$A$3:$A$5001,$H163),""))</f>
        <v>258</v>
      </c>
      <c r="J163" s="94">
        <f>IF(F163="","",Parâmetros!$C$4-F163)</f>
        <v>42</v>
      </c>
      <c r="K163" s="97">
        <f t="shared" si="4"/>
        <v>0</v>
      </c>
      <c r="L163" s="98" t="str">
        <f t="shared" si="5"/>
        <v/>
      </c>
      <c r="M163" s="99">
        <f>IF(I163="","",I163*Parâmetros!$C$8/15)</f>
        <v>9.1160000000000014</v>
      </c>
      <c r="N163" s="99">
        <f>IF(K163="","",K163*Parâmetros!$C$8/15)</f>
        <v>0</v>
      </c>
      <c r="O163" s="100">
        <f>IF(M163="","",M163*Parâmetros!$C$5)</f>
        <v>2825.9600000000005</v>
      </c>
      <c r="P163" s="94" t="str">
        <f>IF(L163="","",IF(L163&gt;=Parâmetros!$C$10,"Sim","Não"))</f>
        <v/>
      </c>
    </row>
    <row r="164" spans="1:16" ht="14.25" customHeight="1" x14ac:dyDescent="0.3">
      <c r="A164" s="94">
        <v>162</v>
      </c>
      <c r="B164" s="88" t="s">
        <v>89</v>
      </c>
      <c r="C164" s="88" t="s">
        <v>39</v>
      </c>
      <c r="D164" s="88" t="s">
        <v>617</v>
      </c>
      <c r="E164" s="87" t="s">
        <v>40</v>
      </c>
      <c r="F164" s="89">
        <v>46204</v>
      </c>
      <c r="G164" s="90">
        <v>188</v>
      </c>
      <c r="H164" s="89">
        <f>IF(COUNTIFS(Pesagens!$B$3:$B$5001,$B164)=0,"",_xlfn.MAXIFS(Pesagens!$A$3:$A$5001,Pesagens!$B$3:$B$5001,$B164,Pesagens!$E$3:$E$5001,"&lt;&gt;"))</f>
        <v>46204</v>
      </c>
      <c r="I164" s="90">
        <f>IF($H164="","",IFERROR(AVERAGEIFS(Pesagens!$E$3:$E$5001,Pesagens!$B$3:$B$5001,$B164,Pesagens!$A$3:$A$5001,$H164),""))</f>
        <v>188</v>
      </c>
      <c r="J164" s="87">
        <f>IF(F164="","",Parâmetros!$C$4-F164)</f>
        <v>42</v>
      </c>
      <c r="K164" s="90">
        <f t="shared" si="4"/>
        <v>0</v>
      </c>
      <c r="L164" s="91" t="str">
        <f t="shared" si="5"/>
        <v/>
      </c>
      <c r="M164" s="92">
        <f>IF(I164="","",I164*Parâmetros!$C$8/15)</f>
        <v>6.6426666666666669</v>
      </c>
      <c r="N164" s="92">
        <f>IF(K164="","",K164*Parâmetros!$C$8/15)</f>
        <v>0</v>
      </c>
      <c r="O164" s="93">
        <f>IF(M164="","",M164*Parâmetros!$C$5)</f>
        <v>2059.2266666666669</v>
      </c>
      <c r="P164" s="87" t="str">
        <f>IF(L164="","",IF(L164&gt;=Parâmetros!$C$10,"Sim","Não"))</f>
        <v/>
      </c>
    </row>
    <row r="165" spans="1:16" ht="14.25" customHeight="1" x14ac:dyDescent="0.3">
      <c r="A165" s="87">
        <v>163</v>
      </c>
      <c r="B165" s="95" t="s">
        <v>90</v>
      </c>
      <c r="C165" s="95" t="s">
        <v>39</v>
      </c>
      <c r="D165" s="95" t="s">
        <v>617</v>
      </c>
      <c r="E165" s="94" t="s">
        <v>40</v>
      </c>
      <c r="F165" s="96">
        <v>46204</v>
      </c>
      <c r="G165" s="97">
        <v>283</v>
      </c>
      <c r="H165" s="89">
        <f>IF(COUNTIFS(Pesagens!$B$3:$B$5001,$B165)=0,"",_xlfn.MAXIFS(Pesagens!$A$3:$A$5001,Pesagens!$B$3:$B$5001,$B165,Pesagens!$E$3:$E$5001,"&lt;&gt;"))</f>
        <v>46204</v>
      </c>
      <c r="I165" s="97">
        <f>IF($H165="","",IFERROR(AVERAGEIFS(Pesagens!$E$3:$E$5001,Pesagens!$B$3:$B$5001,$B165,Pesagens!$A$3:$A$5001,$H165),""))</f>
        <v>283</v>
      </c>
      <c r="J165" s="94">
        <f>IF(F165="","",Parâmetros!$C$4-F165)</f>
        <v>42</v>
      </c>
      <c r="K165" s="97">
        <f t="shared" si="4"/>
        <v>0</v>
      </c>
      <c r="L165" s="98" t="str">
        <f t="shared" si="5"/>
        <v/>
      </c>
      <c r="M165" s="99">
        <f>IF(I165="","",I165*Parâmetros!$C$8/15)</f>
        <v>9.9993333333333343</v>
      </c>
      <c r="N165" s="99">
        <f>IF(K165="","",K165*Parâmetros!$C$8/15)</f>
        <v>0</v>
      </c>
      <c r="O165" s="100">
        <f>IF(M165="","",M165*Parâmetros!$C$5)</f>
        <v>3099.7933333333335</v>
      </c>
      <c r="P165" s="94" t="str">
        <f>IF(L165="","",IF(L165&gt;=Parâmetros!$C$10,"Sim","Não"))</f>
        <v/>
      </c>
    </row>
    <row r="166" spans="1:16" ht="14.25" customHeight="1" x14ac:dyDescent="0.3">
      <c r="A166" s="94">
        <v>164</v>
      </c>
      <c r="B166" s="88" t="s">
        <v>91</v>
      </c>
      <c r="C166" s="88" t="s">
        <v>39</v>
      </c>
      <c r="D166" s="88" t="s">
        <v>617</v>
      </c>
      <c r="E166" s="87" t="s">
        <v>40</v>
      </c>
      <c r="F166" s="89">
        <v>46204</v>
      </c>
      <c r="G166" s="90">
        <v>238</v>
      </c>
      <c r="H166" s="89">
        <f>IF(COUNTIFS(Pesagens!$B$3:$B$5001,$B166)=0,"",_xlfn.MAXIFS(Pesagens!$A$3:$A$5001,Pesagens!$B$3:$B$5001,$B166,Pesagens!$E$3:$E$5001,"&lt;&gt;"))</f>
        <v>46204</v>
      </c>
      <c r="I166" s="90">
        <f>IF($H166="","",IFERROR(AVERAGEIFS(Pesagens!$E$3:$E$5001,Pesagens!$B$3:$B$5001,$B166,Pesagens!$A$3:$A$5001,$H166),""))</f>
        <v>238</v>
      </c>
      <c r="J166" s="87">
        <f>IF(F166="","",Parâmetros!$C$4-F166)</f>
        <v>42</v>
      </c>
      <c r="K166" s="90">
        <f t="shared" si="4"/>
        <v>0</v>
      </c>
      <c r="L166" s="91" t="str">
        <f t="shared" si="5"/>
        <v/>
      </c>
      <c r="M166" s="92">
        <f>IF(I166="","",I166*Parâmetros!$C$8/15)</f>
        <v>8.4093333333333327</v>
      </c>
      <c r="N166" s="92">
        <f>IF(K166="","",K166*Parâmetros!$C$8/15)</f>
        <v>0</v>
      </c>
      <c r="O166" s="93">
        <f>IF(M166="","",M166*Parâmetros!$C$5)</f>
        <v>2606.893333333333</v>
      </c>
      <c r="P166" s="87" t="str">
        <f>IF(L166="","",IF(L166&gt;=Parâmetros!$C$10,"Sim","Não"))</f>
        <v/>
      </c>
    </row>
    <row r="167" spans="1:16" ht="14.25" customHeight="1" x14ac:dyDescent="0.3">
      <c r="A167" s="87">
        <v>165</v>
      </c>
      <c r="B167" s="95" t="s">
        <v>92</v>
      </c>
      <c r="C167" s="95" t="s">
        <v>39</v>
      </c>
      <c r="D167" s="95" t="s">
        <v>617</v>
      </c>
      <c r="E167" s="94" t="s">
        <v>40</v>
      </c>
      <c r="F167" s="96">
        <v>46204</v>
      </c>
      <c r="G167" s="97">
        <v>131</v>
      </c>
      <c r="H167" s="89">
        <f>IF(COUNTIFS(Pesagens!$B$3:$B$5001,$B167)=0,"",_xlfn.MAXIFS(Pesagens!$A$3:$A$5001,Pesagens!$B$3:$B$5001,$B167,Pesagens!$E$3:$E$5001,"&lt;&gt;"))</f>
        <v>46204</v>
      </c>
      <c r="I167" s="97">
        <f>IF($H167="","",IFERROR(AVERAGEIFS(Pesagens!$E$3:$E$5001,Pesagens!$B$3:$B$5001,$B167,Pesagens!$A$3:$A$5001,$H167),""))</f>
        <v>131</v>
      </c>
      <c r="J167" s="94">
        <f>IF(F167="","",Parâmetros!$C$4-F167)</f>
        <v>42</v>
      </c>
      <c r="K167" s="97">
        <f t="shared" si="4"/>
        <v>0</v>
      </c>
      <c r="L167" s="98" t="str">
        <f t="shared" si="5"/>
        <v/>
      </c>
      <c r="M167" s="99">
        <f>IF(I167="","",I167*Parâmetros!$C$8/15)</f>
        <v>4.6286666666666667</v>
      </c>
      <c r="N167" s="99">
        <f>IF(K167="","",K167*Parâmetros!$C$8/15)</f>
        <v>0</v>
      </c>
      <c r="O167" s="100">
        <f>IF(M167="","",M167*Parâmetros!$C$5)</f>
        <v>1434.8866666666668</v>
      </c>
      <c r="P167" s="94" t="str">
        <f>IF(L167="","",IF(L167&gt;=Parâmetros!$C$10,"Sim","Não"))</f>
        <v/>
      </c>
    </row>
    <row r="168" spans="1:16" ht="14.25" customHeight="1" x14ac:dyDescent="0.3">
      <c r="A168" s="94">
        <v>166</v>
      </c>
      <c r="B168" s="88" t="s">
        <v>93</v>
      </c>
      <c r="C168" s="88" t="s">
        <v>39</v>
      </c>
      <c r="D168" s="88" t="s">
        <v>617</v>
      </c>
      <c r="E168" s="87" t="s">
        <v>40</v>
      </c>
      <c r="F168" s="89">
        <v>46204</v>
      </c>
      <c r="G168" s="90">
        <v>251</v>
      </c>
      <c r="H168" s="89">
        <f>IF(COUNTIFS(Pesagens!$B$3:$B$5001,$B168)=0,"",_xlfn.MAXIFS(Pesagens!$A$3:$A$5001,Pesagens!$B$3:$B$5001,$B168,Pesagens!$E$3:$E$5001,"&lt;&gt;"))</f>
        <v>46204</v>
      </c>
      <c r="I168" s="90">
        <f>IF($H168="","",IFERROR(AVERAGEIFS(Pesagens!$E$3:$E$5001,Pesagens!$B$3:$B$5001,$B168,Pesagens!$A$3:$A$5001,$H168),""))</f>
        <v>251</v>
      </c>
      <c r="J168" s="87">
        <f>IF(F168="","",Parâmetros!$C$4-F168)</f>
        <v>42</v>
      </c>
      <c r="K168" s="90">
        <f t="shared" si="4"/>
        <v>0</v>
      </c>
      <c r="L168" s="91" t="str">
        <f t="shared" si="5"/>
        <v/>
      </c>
      <c r="M168" s="92">
        <f>IF(I168="","",I168*Parâmetros!$C$8/15)</f>
        <v>8.868666666666666</v>
      </c>
      <c r="N168" s="92">
        <f>IF(K168="","",K168*Parâmetros!$C$8/15)</f>
        <v>0</v>
      </c>
      <c r="O168" s="93">
        <f>IF(M168="","",M168*Parâmetros!$C$5)</f>
        <v>2749.2866666666664</v>
      </c>
      <c r="P168" s="87" t="str">
        <f>IF(L168="","",IF(L168&gt;=Parâmetros!$C$10,"Sim","Não"))</f>
        <v/>
      </c>
    </row>
    <row r="169" spans="1:16" ht="14.25" customHeight="1" x14ac:dyDescent="0.3">
      <c r="A169" s="87">
        <v>167</v>
      </c>
      <c r="B169" s="95" t="s">
        <v>94</v>
      </c>
      <c r="C169" s="95" t="s">
        <v>39</v>
      </c>
      <c r="D169" s="95" t="s">
        <v>617</v>
      </c>
      <c r="E169" s="94" t="s">
        <v>40</v>
      </c>
      <c r="F169" s="96">
        <v>46204</v>
      </c>
      <c r="G169" s="97">
        <v>218</v>
      </c>
      <c r="H169" s="89">
        <f>IF(COUNTIFS(Pesagens!$B$3:$B$5001,$B169)=0,"",_xlfn.MAXIFS(Pesagens!$A$3:$A$5001,Pesagens!$B$3:$B$5001,$B169,Pesagens!$E$3:$E$5001,"&lt;&gt;"))</f>
        <v>46204</v>
      </c>
      <c r="I169" s="97">
        <f>IF($H169="","",IFERROR(AVERAGEIFS(Pesagens!$E$3:$E$5001,Pesagens!$B$3:$B$5001,$B169,Pesagens!$A$3:$A$5001,$H169),""))</f>
        <v>218</v>
      </c>
      <c r="J169" s="94">
        <f>IF(F169="","",Parâmetros!$C$4-F169)</f>
        <v>42</v>
      </c>
      <c r="K169" s="97">
        <f t="shared" si="4"/>
        <v>0</v>
      </c>
      <c r="L169" s="98" t="str">
        <f t="shared" si="5"/>
        <v/>
      </c>
      <c r="M169" s="99">
        <f>IF(I169="","",I169*Parâmetros!$C$8/15)</f>
        <v>7.7026666666666674</v>
      </c>
      <c r="N169" s="99">
        <f>IF(K169="","",K169*Parâmetros!$C$8/15)</f>
        <v>0</v>
      </c>
      <c r="O169" s="100">
        <f>IF(M169="","",M169*Parâmetros!$C$5)</f>
        <v>2387.8266666666668</v>
      </c>
      <c r="P169" s="94" t="str">
        <f>IF(L169="","",IF(L169&gt;=Parâmetros!$C$10,"Sim","Não"))</f>
        <v/>
      </c>
    </row>
    <row r="170" spans="1:16" ht="14.25" customHeight="1" x14ac:dyDescent="0.3">
      <c r="A170" s="94">
        <v>168</v>
      </c>
      <c r="B170" s="88" t="s">
        <v>95</v>
      </c>
      <c r="C170" s="88" t="s">
        <v>39</v>
      </c>
      <c r="D170" s="88" t="s">
        <v>617</v>
      </c>
      <c r="E170" s="87" t="s">
        <v>40</v>
      </c>
      <c r="F170" s="89">
        <v>46204</v>
      </c>
      <c r="G170" s="90">
        <v>205</v>
      </c>
      <c r="H170" s="89">
        <f>IF(COUNTIFS(Pesagens!$B$3:$B$5001,$B170)=0,"",_xlfn.MAXIFS(Pesagens!$A$3:$A$5001,Pesagens!$B$3:$B$5001,$B170,Pesagens!$E$3:$E$5001,"&lt;&gt;"))</f>
        <v>46204</v>
      </c>
      <c r="I170" s="90">
        <f>IF($H170="","",IFERROR(AVERAGEIFS(Pesagens!$E$3:$E$5001,Pesagens!$B$3:$B$5001,$B170,Pesagens!$A$3:$A$5001,$H170),""))</f>
        <v>205</v>
      </c>
      <c r="J170" s="87">
        <f>IF(F170="","",Parâmetros!$C$4-F170)</f>
        <v>42</v>
      </c>
      <c r="K170" s="90">
        <f t="shared" si="4"/>
        <v>0</v>
      </c>
      <c r="L170" s="91" t="str">
        <f t="shared" si="5"/>
        <v/>
      </c>
      <c r="M170" s="92">
        <f>IF(I170="","",I170*Parâmetros!$C$8/15)</f>
        <v>7.2433333333333341</v>
      </c>
      <c r="N170" s="92">
        <f>IF(K170="","",K170*Parâmetros!$C$8/15)</f>
        <v>0</v>
      </c>
      <c r="O170" s="93">
        <f>IF(M170="","",M170*Parâmetros!$C$5)</f>
        <v>2245.4333333333334</v>
      </c>
      <c r="P170" s="87" t="str">
        <f>IF(L170="","",IF(L170&gt;=Parâmetros!$C$10,"Sim","Não"))</f>
        <v/>
      </c>
    </row>
    <row r="171" spans="1:16" ht="14.25" customHeight="1" x14ac:dyDescent="0.3">
      <c r="A171" s="87">
        <v>169</v>
      </c>
      <c r="B171" s="95" t="s">
        <v>96</v>
      </c>
      <c r="C171" s="95" t="s">
        <v>39</v>
      </c>
      <c r="D171" s="95" t="s">
        <v>617</v>
      </c>
      <c r="E171" s="94" t="s">
        <v>40</v>
      </c>
      <c r="F171" s="96">
        <v>46204</v>
      </c>
      <c r="G171" s="97">
        <v>267</v>
      </c>
      <c r="H171" s="89">
        <f>IF(COUNTIFS(Pesagens!$B$3:$B$5001,$B171)=0,"",_xlfn.MAXIFS(Pesagens!$A$3:$A$5001,Pesagens!$B$3:$B$5001,$B171,Pesagens!$E$3:$E$5001,"&lt;&gt;"))</f>
        <v>46204</v>
      </c>
      <c r="I171" s="97">
        <f>IF($H171="","",IFERROR(AVERAGEIFS(Pesagens!$E$3:$E$5001,Pesagens!$B$3:$B$5001,$B171,Pesagens!$A$3:$A$5001,$H171),""))</f>
        <v>267</v>
      </c>
      <c r="J171" s="94">
        <f>IF(F171="","",Parâmetros!$C$4-F171)</f>
        <v>42</v>
      </c>
      <c r="K171" s="97">
        <f t="shared" si="4"/>
        <v>0</v>
      </c>
      <c r="L171" s="98" t="str">
        <f t="shared" si="5"/>
        <v/>
      </c>
      <c r="M171" s="99">
        <f>IF(I171="","",I171*Parâmetros!$C$8/15)</f>
        <v>9.4340000000000011</v>
      </c>
      <c r="N171" s="99">
        <f>IF(K171="","",K171*Parâmetros!$C$8/15)</f>
        <v>0</v>
      </c>
      <c r="O171" s="100">
        <f>IF(M171="","",M171*Parâmetros!$C$5)</f>
        <v>2924.5400000000004</v>
      </c>
      <c r="P171" s="94" t="str">
        <f>IF(L171="","",IF(L171&gt;=Parâmetros!$C$10,"Sim","Não"))</f>
        <v/>
      </c>
    </row>
    <row r="172" spans="1:16" ht="14.25" customHeight="1" x14ac:dyDescent="0.3">
      <c r="A172" s="94">
        <v>170</v>
      </c>
      <c r="B172" s="88" t="s">
        <v>97</v>
      </c>
      <c r="C172" s="88" t="s">
        <v>39</v>
      </c>
      <c r="D172" s="88" t="s">
        <v>617</v>
      </c>
      <c r="E172" s="87" t="s">
        <v>40</v>
      </c>
      <c r="F172" s="89">
        <v>46204</v>
      </c>
      <c r="G172" s="90">
        <v>241</v>
      </c>
      <c r="H172" s="89">
        <f>IF(COUNTIFS(Pesagens!$B$3:$B$5001,$B172)=0,"",_xlfn.MAXIFS(Pesagens!$A$3:$A$5001,Pesagens!$B$3:$B$5001,$B172,Pesagens!$E$3:$E$5001,"&lt;&gt;"))</f>
        <v>46204</v>
      </c>
      <c r="I172" s="90">
        <f>IF($H172="","",IFERROR(AVERAGEIFS(Pesagens!$E$3:$E$5001,Pesagens!$B$3:$B$5001,$B172,Pesagens!$A$3:$A$5001,$H172),""))</f>
        <v>241</v>
      </c>
      <c r="J172" s="87">
        <f>IF(F172="","",Parâmetros!$C$4-F172)</f>
        <v>42</v>
      </c>
      <c r="K172" s="90">
        <f t="shared" si="4"/>
        <v>0</v>
      </c>
      <c r="L172" s="91" t="str">
        <f t="shared" si="5"/>
        <v/>
      </c>
      <c r="M172" s="92">
        <f>IF(I172="","",I172*Parâmetros!$C$8/15)</f>
        <v>8.5153333333333343</v>
      </c>
      <c r="N172" s="92">
        <f>IF(K172="","",K172*Parâmetros!$C$8/15)</f>
        <v>0</v>
      </c>
      <c r="O172" s="93">
        <f>IF(M172="","",M172*Parâmetros!$C$5)</f>
        <v>2639.7533333333336</v>
      </c>
      <c r="P172" s="87" t="str">
        <f>IF(L172="","",IF(L172&gt;=Parâmetros!$C$10,"Sim","Não"))</f>
        <v/>
      </c>
    </row>
    <row r="173" spans="1:16" ht="14.25" customHeight="1" x14ac:dyDescent="0.3">
      <c r="A173" s="87">
        <v>171</v>
      </c>
      <c r="B173" s="95" t="s">
        <v>98</v>
      </c>
      <c r="C173" s="95" t="s">
        <v>39</v>
      </c>
      <c r="D173" s="95" t="s">
        <v>617</v>
      </c>
      <c r="E173" s="94" t="s">
        <v>40</v>
      </c>
      <c r="F173" s="96">
        <v>46204</v>
      </c>
      <c r="G173" s="97">
        <v>180</v>
      </c>
      <c r="H173" s="89">
        <f>IF(COUNTIFS(Pesagens!$B$3:$B$5001,$B173)=0,"",_xlfn.MAXIFS(Pesagens!$A$3:$A$5001,Pesagens!$B$3:$B$5001,$B173,Pesagens!$E$3:$E$5001,"&lt;&gt;"))</f>
        <v>46204</v>
      </c>
      <c r="I173" s="97">
        <f>IF($H173="","",IFERROR(AVERAGEIFS(Pesagens!$E$3:$E$5001,Pesagens!$B$3:$B$5001,$B173,Pesagens!$A$3:$A$5001,$H173),""))</f>
        <v>180</v>
      </c>
      <c r="J173" s="94">
        <f>IF(F173="","",Parâmetros!$C$4-F173)</f>
        <v>42</v>
      </c>
      <c r="K173" s="97">
        <f t="shared" si="4"/>
        <v>0</v>
      </c>
      <c r="L173" s="98" t="str">
        <f t="shared" si="5"/>
        <v/>
      </c>
      <c r="M173" s="99">
        <f>IF(I173="","",I173*Parâmetros!$C$8/15)</f>
        <v>6.36</v>
      </c>
      <c r="N173" s="99">
        <f>IF(K173="","",K173*Parâmetros!$C$8/15)</f>
        <v>0</v>
      </c>
      <c r="O173" s="100">
        <f>IF(M173="","",M173*Parâmetros!$C$5)</f>
        <v>1971.6000000000001</v>
      </c>
      <c r="P173" s="94" t="str">
        <f>IF(L173="","",IF(L173&gt;=Parâmetros!$C$10,"Sim","Não"))</f>
        <v/>
      </c>
    </row>
    <row r="174" spans="1:16" ht="14.25" customHeight="1" x14ac:dyDescent="0.3">
      <c r="A174" s="94">
        <v>172</v>
      </c>
      <c r="B174" s="88" t="s">
        <v>99</v>
      </c>
      <c r="C174" s="88" t="s">
        <v>39</v>
      </c>
      <c r="D174" s="88" t="s">
        <v>617</v>
      </c>
      <c r="E174" s="87" t="s">
        <v>40</v>
      </c>
      <c r="F174" s="89">
        <v>46204</v>
      </c>
      <c r="G174" s="90">
        <v>246</v>
      </c>
      <c r="H174" s="89">
        <f>IF(COUNTIFS(Pesagens!$B$3:$B$5001,$B174)=0,"",_xlfn.MAXIFS(Pesagens!$A$3:$A$5001,Pesagens!$B$3:$B$5001,$B174,Pesagens!$E$3:$E$5001,"&lt;&gt;"))</f>
        <v>46204</v>
      </c>
      <c r="I174" s="90">
        <f>IF($H174="","",IFERROR(AVERAGEIFS(Pesagens!$E$3:$E$5001,Pesagens!$B$3:$B$5001,$B174,Pesagens!$A$3:$A$5001,$H174),""))</f>
        <v>246</v>
      </c>
      <c r="J174" s="87">
        <f>IF(F174="","",Parâmetros!$C$4-F174)</f>
        <v>42</v>
      </c>
      <c r="K174" s="90">
        <f t="shared" si="4"/>
        <v>0</v>
      </c>
      <c r="L174" s="91" t="str">
        <f t="shared" si="5"/>
        <v/>
      </c>
      <c r="M174" s="92">
        <f>IF(I174="","",I174*Parâmetros!$C$8/15)</f>
        <v>8.6920000000000002</v>
      </c>
      <c r="N174" s="92">
        <f>IF(K174="","",K174*Parâmetros!$C$8/15)</f>
        <v>0</v>
      </c>
      <c r="O174" s="93">
        <f>IF(M174="","",M174*Parâmetros!$C$5)</f>
        <v>2694.52</v>
      </c>
      <c r="P174" s="87" t="str">
        <f>IF(L174="","",IF(L174&gt;=Parâmetros!$C$10,"Sim","Não"))</f>
        <v/>
      </c>
    </row>
    <row r="175" spans="1:16" ht="14.25" customHeight="1" x14ac:dyDescent="0.3">
      <c r="A175" s="87">
        <v>173</v>
      </c>
      <c r="B175" s="95" t="s">
        <v>100</v>
      </c>
      <c r="C175" s="95" t="s">
        <v>39</v>
      </c>
      <c r="D175" s="95" t="s">
        <v>617</v>
      </c>
      <c r="E175" s="94" t="s">
        <v>40</v>
      </c>
      <c r="F175" s="96">
        <v>46199</v>
      </c>
      <c r="G175" s="97">
        <v>237</v>
      </c>
      <c r="H175" s="89">
        <f>IF(COUNTIFS(Pesagens!$B$3:$B$5001,$B175)=0,"",_xlfn.MAXIFS(Pesagens!$A$3:$A$5001,Pesagens!$B$3:$B$5001,$B175,Pesagens!$E$3:$E$5001,"&lt;&gt;"))</f>
        <v>46199</v>
      </c>
      <c r="I175" s="97">
        <f>IF($H175="","",IFERROR(AVERAGEIFS(Pesagens!$E$3:$E$5001,Pesagens!$B$3:$B$5001,$B175,Pesagens!$A$3:$A$5001,$H175),""))</f>
        <v>237</v>
      </c>
      <c r="J175" s="94">
        <f>IF(F175="","",Parâmetros!$C$4-F175)</f>
        <v>47</v>
      </c>
      <c r="K175" s="97">
        <f t="shared" si="4"/>
        <v>0</v>
      </c>
      <c r="L175" s="98" t="str">
        <f t="shared" si="5"/>
        <v/>
      </c>
      <c r="M175" s="99">
        <f>IF(I175="","",I175*Parâmetros!$C$8/15)</f>
        <v>8.3740000000000006</v>
      </c>
      <c r="N175" s="99">
        <f>IF(K175="","",K175*Parâmetros!$C$8/15)</f>
        <v>0</v>
      </c>
      <c r="O175" s="100">
        <f>IF(M175="","",M175*Parâmetros!$C$5)</f>
        <v>2595.94</v>
      </c>
      <c r="P175" s="94" t="str">
        <f>IF(L175="","",IF(L175&gt;=Parâmetros!$C$10,"Sim","Não"))</f>
        <v/>
      </c>
    </row>
    <row r="176" spans="1:16" ht="14.25" customHeight="1" x14ac:dyDescent="0.3">
      <c r="A176" s="94">
        <v>174</v>
      </c>
      <c r="B176" s="88" t="s">
        <v>101</v>
      </c>
      <c r="C176" s="88" t="s">
        <v>39</v>
      </c>
      <c r="D176" s="88" t="s">
        <v>617</v>
      </c>
      <c r="E176" s="87" t="s">
        <v>40</v>
      </c>
      <c r="F176" s="89">
        <v>46204</v>
      </c>
      <c r="G176" s="90">
        <v>262</v>
      </c>
      <c r="H176" s="89">
        <f>IF(COUNTIFS(Pesagens!$B$3:$B$5001,$B176)=0,"",_xlfn.MAXIFS(Pesagens!$A$3:$A$5001,Pesagens!$B$3:$B$5001,$B176,Pesagens!$E$3:$E$5001,"&lt;&gt;"))</f>
        <v>46204</v>
      </c>
      <c r="I176" s="90">
        <f>IF($H176="","",IFERROR(AVERAGEIFS(Pesagens!$E$3:$E$5001,Pesagens!$B$3:$B$5001,$B176,Pesagens!$A$3:$A$5001,$H176),""))</f>
        <v>262</v>
      </c>
      <c r="J176" s="87">
        <f>IF(F176="","",Parâmetros!$C$4-F176)</f>
        <v>42</v>
      </c>
      <c r="K176" s="90">
        <f t="shared" si="4"/>
        <v>0</v>
      </c>
      <c r="L176" s="91" t="str">
        <f t="shared" si="5"/>
        <v/>
      </c>
      <c r="M176" s="92">
        <f>IF(I176="","",I176*Parâmetros!$C$8/15)</f>
        <v>9.2573333333333334</v>
      </c>
      <c r="N176" s="92">
        <f>IF(K176="","",K176*Parâmetros!$C$8/15)</f>
        <v>0</v>
      </c>
      <c r="O176" s="93">
        <f>IF(M176="","",M176*Parâmetros!$C$5)</f>
        <v>2869.7733333333335</v>
      </c>
      <c r="P176" s="87" t="str">
        <f>IF(L176="","",IF(L176&gt;=Parâmetros!$C$10,"Sim","Não"))</f>
        <v/>
      </c>
    </row>
    <row r="177" spans="1:16" ht="14.25" customHeight="1" x14ac:dyDescent="0.3">
      <c r="A177" s="87">
        <v>175</v>
      </c>
      <c r="B177" s="95" t="s">
        <v>102</v>
      </c>
      <c r="C177" s="95" t="s">
        <v>39</v>
      </c>
      <c r="D177" s="95" t="s">
        <v>617</v>
      </c>
      <c r="E177" s="94" t="s">
        <v>40</v>
      </c>
      <c r="F177" s="96">
        <v>46204</v>
      </c>
      <c r="G177" s="97">
        <v>237</v>
      </c>
      <c r="H177" s="89">
        <f>IF(COUNTIFS(Pesagens!$B$3:$B$5001,$B177)=0,"",_xlfn.MAXIFS(Pesagens!$A$3:$A$5001,Pesagens!$B$3:$B$5001,$B177,Pesagens!$E$3:$E$5001,"&lt;&gt;"))</f>
        <v>46204</v>
      </c>
      <c r="I177" s="97">
        <f>IF($H177="","",IFERROR(AVERAGEIFS(Pesagens!$E$3:$E$5001,Pesagens!$B$3:$B$5001,$B177,Pesagens!$A$3:$A$5001,$H177),""))</f>
        <v>237</v>
      </c>
      <c r="J177" s="94">
        <f>IF(F177="","",Parâmetros!$C$4-F177)</f>
        <v>42</v>
      </c>
      <c r="K177" s="97">
        <f t="shared" si="4"/>
        <v>0</v>
      </c>
      <c r="L177" s="98" t="str">
        <f t="shared" si="5"/>
        <v/>
      </c>
      <c r="M177" s="99">
        <f>IF(I177="","",I177*Parâmetros!$C$8/15)</f>
        <v>8.3740000000000006</v>
      </c>
      <c r="N177" s="99">
        <f>IF(K177="","",K177*Parâmetros!$C$8/15)</f>
        <v>0</v>
      </c>
      <c r="O177" s="100">
        <f>IF(M177="","",M177*Parâmetros!$C$5)</f>
        <v>2595.94</v>
      </c>
      <c r="P177" s="94" t="str">
        <f>IF(L177="","",IF(L177&gt;=Parâmetros!$C$10,"Sim","Não"))</f>
        <v/>
      </c>
    </row>
    <row r="178" spans="1:16" ht="14.25" customHeight="1" x14ac:dyDescent="0.3">
      <c r="A178" s="94">
        <v>176</v>
      </c>
      <c r="B178" s="88" t="s">
        <v>103</v>
      </c>
      <c r="C178" s="88" t="s">
        <v>39</v>
      </c>
      <c r="D178" s="88" t="s">
        <v>617</v>
      </c>
      <c r="E178" s="87" t="s">
        <v>40</v>
      </c>
      <c r="F178" s="89">
        <v>46204</v>
      </c>
      <c r="G178" s="90">
        <v>225</v>
      </c>
      <c r="H178" s="89">
        <f>IF(COUNTIFS(Pesagens!$B$3:$B$5001,$B178)=0,"",_xlfn.MAXIFS(Pesagens!$A$3:$A$5001,Pesagens!$B$3:$B$5001,$B178,Pesagens!$E$3:$E$5001,"&lt;&gt;"))</f>
        <v>46204</v>
      </c>
      <c r="I178" s="90">
        <f>IF($H178="","",IFERROR(AVERAGEIFS(Pesagens!$E$3:$E$5001,Pesagens!$B$3:$B$5001,$B178,Pesagens!$A$3:$A$5001,$H178),""))</f>
        <v>225</v>
      </c>
      <c r="J178" s="87">
        <f>IF(F178="","",Parâmetros!$C$4-F178)</f>
        <v>42</v>
      </c>
      <c r="K178" s="90">
        <f t="shared" si="4"/>
        <v>0</v>
      </c>
      <c r="L178" s="91" t="str">
        <f t="shared" si="5"/>
        <v/>
      </c>
      <c r="M178" s="92">
        <f>IF(I178="","",I178*Parâmetros!$C$8/15)</f>
        <v>7.95</v>
      </c>
      <c r="N178" s="92">
        <f>IF(K178="","",K178*Parâmetros!$C$8/15)</f>
        <v>0</v>
      </c>
      <c r="O178" s="93">
        <f>IF(M178="","",M178*Parâmetros!$C$5)</f>
        <v>2464.5</v>
      </c>
      <c r="P178" s="87" t="str">
        <f>IF(L178="","",IF(L178&gt;=Parâmetros!$C$10,"Sim","Não"))</f>
        <v/>
      </c>
    </row>
    <row r="179" spans="1:16" ht="14.25" customHeight="1" x14ac:dyDescent="0.3">
      <c r="A179" s="87">
        <v>177</v>
      </c>
      <c r="B179" s="95" t="s">
        <v>104</v>
      </c>
      <c r="C179" s="95" t="s">
        <v>39</v>
      </c>
      <c r="D179" s="95" t="s">
        <v>617</v>
      </c>
      <c r="E179" s="94" t="s">
        <v>40</v>
      </c>
      <c r="F179" s="96">
        <v>46204</v>
      </c>
      <c r="G179" s="97">
        <v>201</v>
      </c>
      <c r="H179" s="89">
        <f>IF(COUNTIFS(Pesagens!$B$3:$B$5001,$B179)=0,"",_xlfn.MAXIFS(Pesagens!$A$3:$A$5001,Pesagens!$B$3:$B$5001,$B179,Pesagens!$E$3:$E$5001,"&lt;&gt;"))</f>
        <v>46204</v>
      </c>
      <c r="I179" s="97">
        <f>IF($H179="","",IFERROR(AVERAGEIFS(Pesagens!$E$3:$E$5001,Pesagens!$B$3:$B$5001,$B179,Pesagens!$A$3:$A$5001,$H179),""))</f>
        <v>201</v>
      </c>
      <c r="J179" s="94">
        <f>IF(F179="","",Parâmetros!$C$4-F179)</f>
        <v>42</v>
      </c>
      <c r="K179" s="97">
        <f t="shared" si="4"/>
        <v>0</v>
      </c>
      <c r="L179" s="98" t="str">
        <f t="shared" si="5"/>
        <v/>
      </c>
      <c r="M179" s="99">
        <f>IF(I179="","",I179*Parâmetros!$C$8/15)</f>
        <v>7.1020000000000003</v>
      </c>
      <c r="N179" s="99">
        <f>IF(K179="","",K179*Parâmetros!$C$8/15)</f>
        <v>0</v>
      </c>
      <c r="O179" s="100">
        <f>IF(M179="","",M179*Parâmetros!$C$5)</f>
        <v>2201.62</v>
      </c>
      <c r="P179" s="94" t="str">
        <f>IF(L179="","",IF(L179&gt;=Parâmetros!$C$10,"Sim","Não"))</f>
        <v/>
      </c>
    </row>
    <row r="180" spans="1:16" ht="14.25" customHeight="1" x14ac:dyDescent="0.3">
      <c r="A180" s="94">
        <v>178</v>
      </c>
      <c r="B180" s="88" t="s">
        <v>105</v>
      </c>
      <c r="C180" s="88" t="s">
        <v>39</v>
      </c>
      <c r="D180" s="88" t="s">
        <v>617</v>
      </c>
      <c r="E180" s="87" t="s">
        <v>40</v>
      </c>
      <c r="F180" s="89">
        <v>46204</v>
      </c>
      <c r="G180" s="90">
        <v>225</v>
      </c>
      <c r="H180" s="89">
        <f>IF(COUNTIFS(Pesagens!$B$3:$B$5001,$B180)=0,"",_xlfn.MAXIFS(Pesagens!$A$3:$A$5001,Pesagens!$B$3:$B$5001,$B180,Pesagens!$E$3:$E$5001,"&lt;&gt;"))</f>
        <v>46204</v>
      </c>
      <c r="I180" s="90">
        <f>IF($H180="","",IFERROR(AVERAGEIFS(Pesagens!$E$3:$E$5001,Pesagens!$B$3:$B$5001,$B180,Pesagens!$A$3:$A$5001,$H180),""))</f>
        <v>225</v>
      </c>
      <c r="J180" s="87">
        <f>IF(F180="","",Parâmetros!$C$4-F180)</f>
        <v>42</v>
      </c>
      <c r="K180" s="90">
        <f t="shared" si="4"/>
        <v>0</v>
      </c>
      <c r="L180" s="91" t="str">
        <f t="shared" si="5"/>
        <v/>
      </c>
      <c r="M180" s="92">
        <f>IF(I180="","",I180*Parâmetros!$C$8/15)</f>
        <v>7.95</v>
      </c>
      <c r="N180" s="92">
        <f>IF(K180="","",K180*Parâmetros!$C$8/15)</f>
        <v>0</v>
      </c>
      <c r="O180" s="93">
        <f>IF(M180="","",M180*Parâmetros!$C$5)</f>
        <v>2464.5</v>
      </c>
      <c r="P180" s="87" t="str">
        <f>IF(L180="","",IF(L180&gt;=Parâmetros!$C$10,"Sim","Não"))</f>
        <v/>
      </c>
    </row>
    <row r="181" spans="1:16" ht="14.25" customHeight="1" x14ac:dyDescent="0.3">
      <c r="A181" s="87">
        <v>179</v>
      </c>
      <c r="B181" s="95" t="s">
        <v>106</v>
      </c>
      <c r="C181" s="95" t="s">
        <v>39</v>
      </c>
      <c r="D181" s="95" t="s">
        <v>617</v>
      </c>
      <c r="E181" s="94" t="s">
        <v>40</v>
      </c>
      <c r="F181" s="96">
        <v>46204</v>
      </c>
      <c r="G181" s="97">
        <v>247</v>
      </c>
      <c r="H181" s="89">
        <f>IF(COUNTIFS(Pesagens!$B$3:$B$5001,$B181)=0,"",_xlfn.MAXIFS(Pesagens!$A$3:$A$5001,Pesagens!$B$3:$B$5001,$B181,Pesagens!$E$3:$E$5001,"&lt;&gt;"))</f>
        <v>46204</v>
      </c>
      <c r="I181" s="97">
        <f>IF($H181="","",IFERROR(AVERAGEIFS(Pesagens!$E$3:$E$5001,Pesagens!$B$3:$B$5001,$B181,Pesagens!$A$3:$A$5001,$H181),""))</f>
        <v>247</v>
      </c>
      <c r="J181" s="94">
        <f>IF(F181="","",Parâmetros!$C$4-F181)</f>
        <v>42</v>
      </c>
      <c r="K181" s="97">
        <f t="shared" si="4"/>
        <v>0</v>
      </c>
      <c r="L181" s="98" t="str">
        <f t="shared" si="5"/>
        <v/>
      </c>
      <c r="M181" s="99">
        <f>IF(I181="","",I181*Parâmetros!$C$8/15)</f>
        <v>8.7273333333333323</v>
      </c>
      <c r="N181" s="99">
        <f>IF(K181="","",K181*Parâmetros!$C$8/15)</f>
        <v>0</v>
      </c>
      <c r="O181" s="100">
        <f>IF(M181="","",M181*Parâmetros!$C$5)</f>
        <v>2705.4733333333329</v>
      </c>
      <c r="P181" s="94" t="str">
        <f>IF(L181="","",IF(L181&gt;=Parâmetros!$C$10,"Sim","Não"))</f>
        <v/>
      </c>
    </row>
    <row r="182" spans="1:16" ht="14.25" customHeight="1" x14ac:dyDescent="0.3">
      <c r="A182" s="94">
        <v>180</v>
      </c>
      <c r="B182" s="88" t="s">
        <v>107</v>
      </c>
      <c r="C182" s="88" t="s">
        <v>39</v>
      </c>
      <c r="D182" s="88" t="s">
        <v>617</v>
      </c>
      <c r="E182" s="87" t="s">
        <v>40</v>
      </c>
      <c r="F182" s="89">
        <v>46204</v>
      </c>
      <c r="G182" s="90">
        <v>252</v>
      </c>
      <c r="H182" s="89">
        <f>IF(COUNTIFS(Pesagens!$B$3:$B$5001,$B182)=0,"",_xlfn.MAXIFS(Pesagens!$A$3:$A$5001,Pesagens!$B$3:$B$5001,$B182,Pesagens!$E$3:$E$5001,"&lt;&gt;"))</f>
        <v>46204</v>
      </c>
      <c r="I182" s="90">
        <f>IF($H182="","",IFERROR(AVERAGEIFS(Pesagens!$E$3:$E$5001,Pesagens!$B$3:$B$5001,$B182,Pesagens!$A$3:$A$5001,$H182),""))</f>
        <v>252</v>
      </c>
      <c r="J182" s="87">
        <f>IF(F182="","",Parâmetros!$C$4-F182)</f>
        <v>42</v>
      </c>
      <c r="K182" s="90">
        <f t="shared" si="4"/>
        <v>0</v>
      </c>
      <c r="L182" s="91" t="str">
        <f t="shared" si="5"/>
        <v/>
      </c>
      <c r="M182" s="92">
        <f>IF(I182="","",I182*Parâmetros!$C$8/15)</f>
        <v>8.9039999999999999</v>
      </c>
      <c r="N182" s="92">
        <f>IF(K182="","",K182*Parâmetros!$C$8/15)</f>
        <v>0</v>
      </c>
      <c r="O182" s="93">
        <f>IF(M182="","",M182*Parâmetros!$C$5)</f>
        <v>2760.24</v>
      </c>
      <c r="P182" s="87" t="str">
        <f>IF(L182="","",IF(L182&gt;=Parâmetros!$C$10,"Sim","Não"))</f>
        <v/>
      </c>
    </row>
    <row r="183" spans="1:16" ht="14.25" customHeight="1" x14ac:dyDescent="0.3">
      <c r="A183" s="87">
        <v>181</v>
      </c>
      <c r="B183" s="95" t="s">
        <v>108</v>
      </c>
      <c r="C183" s="95" t="s">
        <v>39</v>
      </c>
      <c r="D183" s="95" t="s">
        <v>617</v>
      </c>
      <c r="E183" s="94" t="s">
        <v>40</v>
      </c>
      <c r="F183" s="96">
        <v>46204</v>
      </c>
      <c r="G183" s="97">
        <v>210</v>
      </c>
      <c r="H183" s="89">
        <f>IF(COUNTIFS(Pesagens!$B$3:$B$5001,$B183)=0,"",_xlfn.MAXIFS(Pesagens!$A$3:$A$5001,Pesagens!$B$3:$B$5001,$B183,Pesagens!$E$3:$E$5001,"&lt;&gt;"))</f>
        <v>46204</v>
      </c>
      <c r="I183" s="97">
        <f>IF($H183="","",IFERROR(AVERAGEIFS(Pesagens!$E$3:$E$5001,Pesagens!$B$3:$B$5001,$B183,Pesagens!$A$3:$A$5001,$H183),""))</f>
        <v>210</v>
      </c>
      <c r="J183" s="94">
        <f>IF(F183="","",Parâmetros!$C$4-F183)</f>
        <v>42</v>
      </c>
      <c r="K183" s="97">
        <f t="shared" si="4"/>
        <v>0</v>
      </c>
      <c r="L183" s="98" t="str">
        <f t="shared" si="5"/>
        <v/>
      </c>
      <c r="M183" s="99">
        <f>IF(I183="","",I183*Parâmetros!$C$8/15)</f>
        <v>7.4200000000000008</v>
      </c>
      <c r="N183" s="99">
        <f>IF(K183="","",K183*Parâmetros!$C$8/15)</f>
        <v>0</v>
      </c>
      <c r="O183" s="100">
        <f>IF(M183="","",M183*Parâmetros!$C$5)</f>
        <v>2300.2000000000003</v>
      </c>
      <c r="P183" s="94" t="str">
        <f>IF(L183="","",IF(L183&gt;=Parâmetros!$C$10,"Sim","Não"))</f>
        <v/>
      </c>
    </row>
    <row r="184" spans="1:16" ht="14.25" customHeight="1" x14ac:dyDescent="0.3">
      <c r="A184" s="94">
        <v>182</v>
      </c>
      <c r="B184" s="88" t="s">
        <v>109</v>
      </c>
      <c r="C184" s="88" t="s">
        <v>39</v>
      </c>
      <c r="D184" s="88" t="s">
        <v>617</v>
      </c>
      <c r="E184" s="87" t="s">
        <v>40</v>
      </c>
      <c r="F184" s="89">
        <v>46204</v>
      </c>
      <c r="G184" s="90">
        <v>187</v>
      </c>
      <c r="H184" s="89">
        <f>IF(COUNTIFS(Pesagens!$B$3:$B$5001,$B184)=0,"",_xlfn.MAXIFS(Pesagens!$A$3:$A$5001,Pesagens!$B$3:$B$5001,$B184,Pesagens!$E$3:$E$5001,"&lt;&gt;"))</f>
        <v>46204</v>
      </c>
      <c r="I184" s="90">
        <f>IF($H184="","",IFERROR(AVERAGEIFS(Pesagens!$E$3:$E$5001,Pesagens!$B$3:$B$5001,$B184,Pesagens!$A$3:$A$5001,$H184),""))</f>
        <v>187</v>
      </c>
      <c r="J184" s="87">
        <f>IF(F184="","",Parâmetros!$C$4-F184)</f>
        <v>42</v>
      </c>
      <c r="K184" s="90">
        <f t="shared" si="4"/>
        <v>0</v>
      </c>
      <c r="L184" s="91" t="str">
        <f t="shared" si="5"/>
        <v/>
      </c>
      <c r="M184" s="92">
        <f>IF(I184="","",I184*Parâmetros!$C$8/15)</f>
        <v>6.6073333333333331</v>
      </c>
      <c r="N184" s="92">
        <f>IF(K184="","",K184*Parâmetros!$C$8/15)</f>
        <v>0</v>
      </c>
      <c r="O184" s="93">
        <f>IF(M184="","",M184*Parâmetros!$C$5)</f>
        <v>2048.2733333333331</v>
      </c>
      <c r="P184" s="87" t="str">
        <f>IF(L184="","",IF(L184&gt;=Parâmetros!$C$10,"Sim","Não"))</f>
        <v/>
      </c>
    </row>
    <row r="185" spans="1:16" ht="14.25" customHeight="1" x14ac:dyDescent="0.3">
      <c r="A185" s="87">
        <v>183</v>
      </c>
      <c r="B185" s="95" t="s">
        <v>110</v>
      </c>
      <c r="C185" s="95" t="s">
        <v>39</v>
      </c>
      <c r="D185" s="95" t="s">
        <v>617</v>
      </c>
      <c r="E185" s="94" t="s">
        <v>40</v>
      </c>
      <c r="F185" s="96">
        <v>46204</v>
      </c>
      <c r="G185" s="97">
        <v>228</v>
      </c>
      <c r="H185" s="89">
        <f>IF(COUNTIFS(Pesagens!$B$3:$B$5001,$B185)=0,"",_xlfn.MAXIFS(Pesagens!$A$3:$A$5001,Pesagens!$B$3:$B$5001,$B185,Pesagens!$E$3:$E$5001,"&lt;&gt;"))</f>
        <v>46204</v>
      </c>
      <c r="I185" s="97">
        <f>IF($H185="","",IFERROR(AVERAGEIFS(Pesagens!$E$3:$E$5001,Pesagens!$B$3:$B$5001,$B185,Pesagens!$A$3:$A$5001,$H185),""))</f>
        <v>228</v>
      </c>
      <c r="J185" s="94">
        <f>IF(F185="","",Parâmetros!$C$4-F185)</f>
        <v>42</v>
      </c>
      <c r="K185" s="97">
        <f t="shared" si="4"/>
        <v>0</v>
      </c>
      <c r="L185" s="98" t="str">
        <f t="shared" si="5"/>
        <v/>
      </c>
      <c r="M185" s="99">
        <f>IF(I185="","",I185*Parâmetros!$C$8/15)</f>
        <v>8.0560000000000009</v>
      </c>
      <c r="N185" s="99">
        <f>IF(K185="","",K185*Parâmetros!$C$8/15)</f>
        <v>0</v>
      </c>
      <c r="O185" s="100">
        <f>IF(M185="","",M185*Parâmetros!$C$5)</f>
        <v>2497.36</v>
      </c>
      <c r="P185" s="94" t="str">
        <f>IF(L185="","",IF(L185&gt;=Parâmetros!$C$10,"Sim","Não"))</f>
        <v/>
      </c>
    </row>
    <row r="186" spans="1:16" ht="14.25" customHeight="1" x14ac:dyDescent="0.3">
      <c r="A186" s="94">
        <v>184</v>
      </c>
      <c r="B186" s="88" t="s">
        <v>111</v>
      </c>
      <c r="C186" s="88" t="s">
        <v>39</v>
      </c>
      <c r="D186" s="88" t="s">
        <v>617</v>
      </c>
      <c r="E186" s="87" t="s">
        <v>40</v>
      </c>
      <c r="F186" s="89">
        <v>46204</v>
      </c>
      <c r="G186" s="90">
        <v>240</v>
      </c>
      <c r="H186" s="89">
        <f>IF(COUNTIFS(Pesagens!$B$3:$B$5001,$B186)=0,"",_xlfn.MAXIFS(Pesagens!$A$3:$A$5001,Pesagens!$B$3:$B$5001,$B186,Pesagens!$E$3:$E$5001,"&lt;&gt;"))</f>
        <v>46204</v>
      </c>
      <c r="I186" s="90">
        <f>IF($H186="","",IFERROR(AVERAGEIFS(Pesagens!$E$3:$E$5001,Pesagens!$B$3:$B$5001,$B186,Pesagens!$A$3:$A$5001,$H186),""))</f>
        <v>240</v>
      </c>
      <c r="J186" s="87">
        <f>IF(F186="","",Parâmetros!$C$4-F186)</f>
        <v>42</v>
      </c>
      <c r="K186" s="90">
        <f t="shared" si="4"/>
        <v>0</v>
      </c>
      <c r="L186" s="91" t="str">
        <f t="shared" si="5"/>
        <v/>
      </c>
      <c r="M186" s="92">
        <f>IF(I186="","",I186*Parâmetros!$C$8/15)</f>
        <v>8.48</v>
      </c>
      <c r="N186" s="92">
        <f>IF(K186="","",K186*Parâmetros!$C$8/15)</f>
        <v>0</v>
      </c>
      <c r="O186" s="93">
        <f>IF(M186="","",M186*Parâmetros!$C$5)</f>
        <v>2628.8</v>
      </c>
      <c r="P186" s="87" t="str">
        <f>IF(L186="","",IF(L186&gt;=Parâmetros!$C$10,"Sim","Não"))</f>
        <v/>
      </c>
    </row>
    <row r="187" spans="1:16" ht="14.25" customHeight="1" x14ac:dyDescent="0.3">
      <c r="A187" s="87">
        <v>185</v>
      </c>
      <c r="B187" s="95" t="s">
        <v>112</v>
      </c>
      <c r="C187" s="95" t="s">
        <v>39</v>
      </c>
      <c r="D187" s="95" t="s">
        <v>617</v>
      </c>
      <c r="E187" s="94" t="s">
        <v>40</v>
      </c>
      <c r="F187" s="96">
        <v>46204</v>
      </c>
      <c r="G187" s="97">
        <v>201</v>
      </c>
      <c r="H187" s="89">
        <f>IF(COUNTIFS(Pesagens!$B$3:$B$5001,$B187)=0,"",_xlfn.MAXIFS(Pesagens!$A$3:$A$5001,Pesagens!$B$3:$B$5001,$B187,Pesagens!$E$3:$E$5001,"&lt;&gt;"))</f>
        <v>46204</v>
      </c>
      <c r="I187" s="97">
        <f>IF($H187="","",IFERROR(AVERAGEIFS(Pesagens!$E$3:$E$5001,Pesagens!$B$3:$B$5001,$B187,Pesagens!$A$3:$A$5001,$H187),""))</f>
        <v>201</v>
      </c>
      <c r="J187" s="94">
        <f>IF(F187="","",Parâmetros!$C$4-F187)</f>
        <v>42</v>
      </c>
      <c r="K187" s="97">
        <f t="shared" si="4"/>
        <v>0</v>
      </c>
      <c r="L187" s="98" t="str">
        <f t="shared" si="5"/>
        <v/>
      </c>
      <c r="M187" s="99">
        <f>IF(I187="","",I187*Parâmetros!$C$8/15)</f>
        <v>7.1020000000000003</v>
      </c>
      <c r="N187" s="99">
        <f>IF(K187="","",K187*Parâmetros!$C$8/15)</f>
        <v>0</v>
      </c>
      <c r="O187" s="100">
        <f>IF(M187="","",M187*Parâmetros!$C$5)</f>
        <v>2201.62</v>
      </c>
      <c r="P187" s="94" t="str">
        <f>IF(L187="","",IF(L187&gt;=Parâmetros!$C$10,"Sim","Não"))</f>
        <v/>
      </c>
    </row>
    <row r="188" spans="1:16" ht="14.25" customHeight="1" x14ac:dyDescent="0.3">
      <c r="A188" s="94">
        <v>186</v>
      </c>
      <c r="B188" s="88" t="s">
        <v>113</v>
      </c>
      <c r="C188" s="88" t="s">
        <v>39</v>
      </c>
      <c r="D188" s="88" t="s">
        <v>617</v>
      </c>
      <c r="E188" s="87" t="s">
        <v>40</v>
      </c>
      <c r="F188" s="89">
        <v>46204</v>
      </c>
      <c r="G188" s="90">
        <v>198</v>
      </c>
      <c r="H188" s="89">
        <f>IF(COUNTIFS(Pesagens!$B$3:$B$5001,$B188)=0,"",_xlfn.MAXIFS(Pesagens!$A$3:$A$5001,Pesagens!$B$3:$B$5001,$B188,Pesagens!$E$3:$E$5001,"&lt;&gt;"))</f>
        <v>46204</v>
      </c>
      <c r="I188" s="90">
        <f>IF($H188="","",IFERROR(AVERAGEIFS(Pesagens!$E$3:$E$5001,Pesagens!$B$3:$B$5001,$B188,Pesagens!$A$3:$A$5001,$H188),""))</f>
        <v>198</v>
      </c>
      <c r="J188" s="87">
        <f>IF(F188="","",Parâmetros!$C$4-F188)</f>
        <v>42</v>
      </c>
      <c r="K188" s="90">
        <f t="shared" si="4"/>
        <v>0</v>
      </c>
      <c r="L188" s="91" t="str">
        <f t="shared" si="5"/>
        <v/>
      </c>
      <c r="M188" s="92">
        <f>IF(I188="","",I188*Parâmetros!$C$8/15)</f>
        <v>6.9960000000000004</v>
      </c>
      <c r="N188" s="92">
        <f>IF(K188="","",K188*Parâmetros!$C$8/15)</f>
        <v>0</v>
      </c>
      <c r="O188" s="93">
        <f>IF(M188="","",M188*Parâmetros!$C$5)</f>
        <v>2168.7600000000002</v>
      </c>
      <c r="P188" s="87" t="str">
        <f>IF(L188="","",IF(L188&gt;=Parâmetros!$C$10,"Sim","Não"))</f>
        <v/>
      </c>
    </row>
    <row r="189" spans="1:16" ht="14.25" customHeight="1" x14ac:dyDescent="0.3">
      <c r="A189" s="87">
        <v>187</v>
      </c>
      <c r="B189" s="95" t="s">
        <v>114</v>
      </c>
      <c r="C189" s="95" t="s">
        <v>39</v>
      </c>
      <c r="D189" s="95" t="s">
        <v>617</v>
      </c>
      <c r="E189" s="94" t="s">
        <v>40</v>
      </c>
      <c r="F189" s="96">
        <v>46204</v>
      </c>
      <c r="G189" s="97">
        <v>280</v>
      </c>
      <c r="H189" s="89">
        <f>IF(COUNTIFS(Pesagens!$B$3:$B$5001,$B189)=0,"",_xlfn.MAXIFS(Pesagens!$A$3:$A$5001,Pesagens!$B$3:$B$5001,$B189,Pesagens!$E$3:$E$5001,"&lt;&gt;"))</f>
        <v>46204</v>
      </c>
      <c r="I189" s="97">
        <f>IF($H189="","",IFERROR(AVERAGEIFS(Pesagens!$E$3:$E$5001,Pesagens!$B$3:$B$5001,$B189,Pesagens!$A$3:$A$5001,$H189),""))</f>
        <v>280</v>
      </c>
      <c r="J189" s="94">
        <f>IF(F189="","",Parâmetros!$C$4-F189)</f>
        <v>42</v>
      </c>
      <c r="K189" s="97">
        <f t="shared" si="4"/>
        <v>0</v>
      </c>
      <c r="L189" s="98" t="str">
        <f t="shared" si="5"/>
        <v/>
      </c>
      <c r="M189" s="99">
        <f>IF(I189="","",I189*Parâmetros!$C$8/15)</f>
        <v>9.8933333333333344</v>
      </c>
      <c r="N189" s="99">
        <f>IF(K189="","",K189*Parâmetros!$C$8/15)</f>
        <v>0</v>
      </c>
      <c r="O189" s="100">
        <f>IF(M189="","",M189*Parâmetros!$C$5)</f>
        <v>3066.9333333333338</v>
      </c>
      <c r="P189" s="94" t="str">
        <f>IF(L189="","",IF(L189&gt;=Parâmetros!$C$10,"Sim","Não"))</f>
        <v/>
      </c>
    </row>
    <row r="190" spans="1:16" ht="14.25" customHeight="1" x14ac:dyDescent="0.3">
      <c r="A190" s="94">
        <v>188</v>
      </c>
      <c r="B190" s="88" t="s">
        <v>115</v>
      </c>
      <c r="C190" s="88" t="s">
        <v>39</v>
      </c>
      <c r="D190" s="88" t="s">
        <v>617</v>
      </c>
      <c r="E190" s="87" t="s">
        <v>40</v>
      </c>
      <c r="F190" s="89">
        <v>46204</v>
      </c>
      <c r="G190" s="90">
        <v>210</v>
      </c>
      <c r="H190" s="89">
        <f>IF(COUNTIFS(Pesagens!$B$3:$B$5001,$B190)=0,"",_xlfn.MAXIFS(Pesagens!$A$3:$A$5001,Pesagens!$B$3:$B$5001,$B190,Pesagens!$E$3:$E$5001,"&lt;&gt;"))</f>
        <v>46204</v>
      </c>
      <c r="I190" s="90">
        <f>IF($H190="","",IFERROR(AVERAGEIFS(Pesagens!$E$3:$E$5001,Pesagens!$B$3:$B$5001,$B190,Pesagens!$A$3:$A$5001,$H190),""))</f>
        <v>210</v>
      </c>
      <c r="J190" s="87">
        <f>IF(F190="","",Parâmetros!$C$4-F190)</f>
        <v>42</v>
      </c>
      <c r="K190" s="90">
        <f t="shared" si="4"/>
        <v>0</v>
      </c>
      <c r="L190" s="91" t="str">
        <f t="shared" si="5"/>
        <v/>
      </c>
      <c r="M190" s="92">
        <f>IF(I190="","",I190*Parâmetros!$C$8/15)</f>
        <v>7.4200000000000008</v>
      </c>
      <c r="N190" s="92">
        <f>IF(K190="","",K190*Parâmetros!$C$8/15)</f>
        <v>0</v>
      </c>
      <c r="O190" s="93">
        <f>IF(M190="","",M190*Parâmetros!$C$5)</f>
        <v>2300.2000000000003</v>
      </c>
      <c r="P190" s="87" t="str">
        <f>IF(L190="","",IF(L190&gt;=Parâmetros!$C$10,"Sim","Não"))</f>
        <v/>
      </c>
    </row>
    <row r="191" spans="1:16" ht="14.25" customHeight="1" x14ac:dyDescent="0.3">
      <c r="A191" s="87">
        <v>189</v>
      </c>
      <c r="B191" s="95" t="s">
        <v>116</v>
      </c>
      <c r="C191" s="95" t="s">
        <v>39</v>
      </c>
      <c r="D191" s="95" t="s">
        <v>617</v>
      </c>
      <c r="E191" s="94" t="s">
        <v>40</v>
      </c>
      <c r="F191" s="96">
        <v>46204</v>
      </c>
      <c r="G191" s="97">
        <v>194</v>
      </c>
      <c r="H191" s="89">
        <f>IF(COUNTIFS(Pesagens!$B$3:$B$5001,$B191)=0,"",_xlfn.MAXIFS(Pesagens!$A$3:$A$5001,Pesagens!$B$3:$B$5001,$B191,Pesagens!$E$3:$E$5001,"&lt;&gt;"))</f>
        <v>46204</v>
      </c>
      <c r="I191" s="97">
        <f>IF($H191="","",IFERROR(AVERAGEIFS(Pesagens!$E$3:$E$5001,Pesagens!$B$3:$B$5001,$B191,Pesagens!$A$3:$A$5001,$H191),""))</f>
        <v>194</v>
      </c>
      <c r="J191" s="94">
        <f>IF(F191="","",Parâmetros!$C$4-F191)</f>
        <v>42</v>
      </c>
      <c r="K191" s="97">
        <f t="shared" si="4"/>
        <v>0</v>
      </c>
      <c r="L191" s="98" t="str">
        <f t="shared" si="5"/>
        <v/>
      </c>
      <c r="M191" s="99">
        <f>IF(I191="","",I191*Parâmetros!$C$8/15)</f>
        <v>6.8546666666666676</v>
      </c>
      <c r="N191" s="99">
        <f>IF(K191="","",K191*Parâmetros!$C$8/15)</f>
        <v>0</v>
      </c>
      <c r="O191" s="100">
        <f>IF(M191="","",M191*Parâmetros!$C$5)</f>
        <v>2124.9466666666672</v>
      </c>
      <c r="P191" s="94" t="str">
        <f>IF(L191="","",IF(L191&gt;=Parâmetros!$C$10,"Sim","Não"))</f>
        <v/>
      </c>
    </row>
    <row r="192" spans="1:16" ht="14.25" customHeight="1" x14ac:dyDescent="0.3">
      <c r="A192" s="94">
        <v>190</v>
      </c>
      <c r="B192" s="88" t="s">
        <v>117</v>
      </c>
      <c r="C192" s="88" t="s">
        <v>39</v>
      </c>
      <c r="D192" s="88" t="s">
        <v>617</v>
      </c>
      <c r="E192" s="87" t="s">
        <v>40</v>
      </c>
      <c r="F192" s="89">
        <v>46204</v>
      </c>
      <c r="G192" s="90">
        <v>240</v>
      </c>
      <c r="H192" s="89">
        <f>IF(COUNTIFS(Pesagens!$B$3:$B$5001,$B192)=0,"",_xlfn.MAXIFS(Pesagens!$A$3:$A$5001,Pesagens!$B$3:$B$5001,$B192,Pesagens!$E$3:$E$5001,"&lt;&gt;"))</f>
        <v>46204</v>
      </c>
      <c r="I192" s="90">
        <f>IF($H192="","",IFERROR(AVERAGEIFS(Pesagens!$E$3:$E$5001,Pesagens!$B$3:$B$5001,$B192,Pesagens!$A$3:$A$5001,$H192),""))</f>
        <v>240</v>
      </c>
      <c r="J192" s="87">
        <f>IF(F192="","",Parâmetros!$C$4-F192)</f>
        <v>42</v>
      </c>
      <c r="K192" s="90">
        <f t="shared" si="4"/>
        <v>0</v>
      </c>
      <c r="L192" s="91" t="str">
        <f t="shared" si="5"/>
        <v/>
      </c>
      <c r="M192" s="92">
        <f>IF(I192="","",I192*Parâmetros!$C$8/15)</f>
        <v>8.48</v>
      </c>
      <c r="N192" s="92">
        <f>IF(K192="","",K192*Parâmetros!$C$8/15)</f>
        <v>0</v>
      </c>
      <c r="O192" s="93">
        <f>IF(M192="","",M192*Parâmetros!$C$5)</f>
        <v>2628.8</v>
      </c>
      <c r="P192" s="87" t="str">
        <f>IF(L192="","",IF(L192&gt;=Parâmetros!$C$10,"Sim","Não"))</f>
        <v/>
      </c>
    </row>
    <row r="193" spans="1:16" ht="14.25" customHeight="1" x14ac:dyDescent="0.3">
      <c r="A193" s="87">
        <v>191</v>
      </c>
      <c r="B193" s="95" t="s">
        <v>118</v>
      </c>
      <c r="C193" s="95" t="s">
        <v>39</v>
      </c>
      <c r="D193" s="95" t="s">
        <v>617</v>
      </c>
      <c r="E193" s="94" t="s">
        <v>40</v>
      </c>
      <c r="F193" s="96">
        <v>46204</v>
      </c>
      <c r="G193" s="97">
        <v>202</v>
      </c>
      <c r="H193" s="89">
        <f>IF(COUNTIFS(Pesagens!$B$3:$B$5001,$B193)=0,"",_xlfn.MAXIFS(Pesagens!$A$3:$A$5001,Pesagens!$B$3:$B$5001,$B193,Pesagens!$E$3:$E$5001,"&lt;&gt;"))</f>
        <v>46204</v>
      </c>
      <c r="I193" s="97">
        <f>IF($H193="","",IFERROR(AVERAGEIFS(Pesagens!$E$3:$E$5001,Pesagens!$B$3:$B$5001,$B193,Pesagens!$A$3:$A$5001,$H193),""))</f>
        <v>202</v>
      </c>
      <c r="J193" s="94">
        <f>IF(F193="","",Parâmetros!$C$4-F193)</f>
        <v>42</v>
      </c>
      <c r="K193" s="97">
        <f t="shared" si="4"/>
        <v>0</v>
      </c>
      <c r="L193" s="98" t="str">
        <f t="shared" si="5"/>
        <v/>
      </c>
      <c r="M193" s="99">
        <f>IF(I193="","",I193*Parâmetros!$C$8/15)</f>
        <v>7.1373333333333333</v>
      </c>
      <c r="N193" s="99">
        <f>IF(K193="","",K193*Parâmetros!$C$8/15)</f>
        <v>0</v>
      </c>
      <c r="O193" s="100">
        <f>IF(M193="","",M193*Parâmetros!$C$5)</f>
        <v>2212.5733333333333</v>
      </c>
      <c r="P193" s="94" t="str">
        <f>IF(L193="","",IF(L193&gt;=Parâmetros!$C$10,"Sim","Não"))</f>
        <v/>
      </c>
    </row>
    <row r="194" spans="1:16" ht="14.25" customHeight="1" x14ac:dyDescent="0.3">
      <c r="A194" s="94">
        <v>192</v>
      </c>
      <c r="B194" s="88" t="s">
        <v>119</v>
      </c>
      <c r="C194" s="88" t="s">
        <v>39</v>
      </c>
      <c r="D194" s="88" t="s">
        <v>617</v>
      </c>
      <c r="E194" s="87" t="s">
        <v>40</v>
      </c>
      <c r="F194" s="89">
        <v>46204</v>
      </c>
      <c r="G194" s="90">
        <v>227</v>
      </c>
      <c r="H194" s="89">
        <f>IF(COUNTIFS(Pesagens!$B$3:$B$5001,$B194)=0,"",_xlfn.MAXIFS(Pesagens!$A$3:$A$5001,Pesagens!$B$3:$B$5001,$B194,Pesagens!$E$3:$E$5001,"&lt;&gt;"))</f>
        <v>46204</v>
      </c>
      <c r="I194" s="90">
        <f>IF($H194="","",IFERROR(AVERAGEIFS(Pesagens!$E$3:$E$5001,Pesagens!$B$3:$B$5001,$B194,Pesagens!$A$3:$A$5001,$H194),""))</f>
        <v>227</v>
      </c>
      <c r="J194" s="87">
        <f>IF(F194="","",Parâmetros!$C$4-F194)</f>
        <v>42</v>
      </c>
      <c r="K194" s="90">
        <f t="shared" si="4"/>
        <v>0</v>
      </c>
      <c r="L194" s="91" t="str">
        <f t="shared" si="5"/>
        <v/>
      </c>
      <c r="M194" s="92">
        <f>IF(I194="","",I194*Parâmetros!$C$8/15)</f>
        <v>8.0206666666666671</v>
      </c>
      <c r="N194" s="92">
        <f>IF(K194="","",K194*Parâmetros!$C$8/15)</f>
        <v>0</v>
      </c>
      <c r="O194" s="93">
        <f>IF(M194="","",M194*Parâmetros!$C$5)</f>
        <v>2486.4066666666668</v>
      </c>
      <c r="P194" s="87" t="str">
        <f>IF(L194="","",IF(L194&gt;=Parâmetros!$C$10,"Sim","Não"))</f>
        <v/>
      </c>
    </row>
    <row r="195" spans="1:16" ht="14.25" customHeight="1" x14ac:dyDescent="0.3">
      <c r="A195" s="87">
        <v>193</v>
      </c>
      <c r="B195" s="95" t="s">
        <v>120</v>
      </c>
      <c r="C195" s="95" t="s">
        <v>39</v>
      </c>
      <c r="D195" s="95" t="s">
        <v>617</v>
      </c>
      <c r="E195" s="94" t="s">
        <v>40</v>
      </c>
      <c r="F195" s="96">
        <v>46204</v>
      </c>
      <c r="G195" s="97">
        <v>193</v>
      </c>
      <c r="H195" s="89">
        <f>IF(COUNTIFS(Pesagens!$B$3:$B$5001,$B195)=0,"",_xlfn.MAXIFS(Pesagens!$A$3:$A$5001,Pesagens!$B$3:$B$5001,$B195,Pesagens!$E$3:$E$5001,"&lt;&gt;"))</f>
        <v>46204</v>
      </c>
      <c r="I195" s="97">
        <f>IF($H195="","",IFERROR(AVERAGEIFS(Pesagens!$E$3:$E$5001,Pesagens!$B$3:$B$5001,$B195,Pesagens!$A$3:$A$5001,$H195),""))</f>
        <v>193</v>
      </c>
      <c r="J195" s="94">
        <f>IF(F195="","",Parâmetros!$C$4-F195)</f>
        <v>42</v>
      </c>
      <c r="K195" s="97">
        <f t="shared" ref="K195:K258" si="6">IF(OR(I195="",G195=""),"",I195-G195)</f>
        <v>0</v>
      </c>
      <c r="L195" s="98" t="str">
        <f t="shared" ref="L195:L258" si="7">IF(OR(I195="",G195="",H195&lt;=F195),"",(I195-G195)/(H195-F195))</f>
        <v/>
      </c>
      <c r="M195" s="99">
        <f>IF(I195="","",I195*Parâmetros!$C$8/15)</f>
        <v>6.8193333333333337</v>
      </c>
      <c r="N195" s="99">
        <f>IF(K195="","",K195*Parâmetros!$C$8/15)</f>
        <v>0</v>
      </c>
      <c r="O195" s="100">
        <f>IF(M195="","",M195*Parâmetros!$C$5)</f>
        <v>2113.9933333333333</v>
      </c>
      <c r="P195" s="94" t="str">
        <f>IF(L195="","",IF(L195&gt;=Parâmetros!$C$10,"Sim","Não"))</f>
        <v/>
      </c>
    </row>
    <row r="196" spans="1:16" ht="14.25" customHeight="1" x14ac:dyDescent="0.3">
      <c r="A196" s="94">
        <v>194</v>
      </c>
      <c r="B196" s="88" t="s">
        <v>121</v>
      </c>
      <c r="C196" s="88" t="s">
        <v>39</v>
      </c>
      <c r="D196" s="88" t="s">
        <v>617</v>
      </c>
      <c r="E196" s="87" t="s">
        <v>40</v>
      </c>
      <c r="F196" s="89">
        <v>46204</v>
      </c>
      <c r="G196" s="90">
        <v>251</v>
      </c>
      <c r="H196" s="89">
        <f>IF(COUNTIFS(Pesagens!$B$3:$B$5001,$B196)=0,"",_xlfn.MAXIFS(Pesagens!$A$3:$A$5001,Pesagens!$B$3:$B$5001,$B196,Pesagens!$E$3:$E$5001,"&lt;&gt;"))</f>
        <v>46204</v>
      </c>
      <c r="I196" s="90">
        <f>IF($H196="","",IFERROR(AVERAGEIFS(Pesagens!$E$3:$E$5001,Pesagens!$B$3:$B$5001,$B196,Pesagens!$A$3:$A$5001,$H196),""))</f>
        <v>251</v>
      </c>
      <c r="J196" s="87">
        <f>IF(F196="","",Parâmetros!$C$4-F196)</f>
        <v>42</v>
      </c>
      <c r="K196" s="90">
        <f t="shared" si="6"/>
        <v>0</v>
      </c>
      <c r="L196" s="91" t="str">
        <f t="shared" si="7"/>
        <v/>
      </c>
      <c r="M196" s="92">
        <f>IF(I196="","",I196*Parâmetros!$C$8/15)</f>
        <v>8.868666666666666</v>
      </c>
      <c r="N196" s="92">
        <f>IF(K196="","",K196*Parâmetros!$C$8/15)</f>
        <v>0</v>
      </c>
      <c r="O196" s="93">
        <f>IF(M196="","",M196*Parâmetros!$C$5)</f>
        <v>2749.2866666666664</v>
      </c>
      <c r="P196" s="87" t="str">
        <f>IF(L196="","",IF(L196&gt;=Parâmetros!$C$10,"Sim","Não"))</f>
        <v/>
      </c>
    </row>
    <row r="197" spans="1:16" ht="14.25" customHeight="1" x14ac:dyDescent="0.3">
      <c r="A197" s="87">
        <v>195</v>
      </c>
      <c r="B197" s="95" t="s">
        <v>122</v>
      </c>
      <c r="C197" s="95" t="s">
        <v>39</v>
      </c>
      <c r="D197" s="95" t="s">
        <v>617</v>
      </c>
      <c r="E197" s="94" t="s">
        <v>40</v>
      </c>
      <c r="F197" s="96">
        <v>46204</v>
      </c>
      <c r="G197" s="97">
        <v>176</v>
      </c>
      <c r="H197" s="89">
        <f>IF(COUNTIFS(Pesagens!$B$3:$B$5001,$B197)=0,"",_xlfn.MAXIFS(Pesagens!$A$3:$A$5001,Pesagens!$B$3:$B$5001,$B197,Pesagens!$E$3:$E$5001,"&lt;&gt;"))</f>
        <v>46204</v>
      </c>
      <c r="I197" s="97">
        <f>IF($H197="","",IFERROR(AVERAGEIFS(Pesagens!$E$3:$E$5001,Pesagens!$B$3:$B$5001,$B197,Pesagens!$A$3:$A$5001,$H197),""))</f>
        <v>176</v>
      </c>
      <c r="J197" s="94">
        <f>IF(F197="","",Parâmetros!$C$4-F197)</f>
        <v>42</v>
      </c>
      <c r="K197" s="97">
        <f t="shared" si="6"/>
        <v>0</v>
      </c>
      <c r="L197" s="98" t="str">
        <f t="shared" si="7"/>
        <v/>
      </c>
      <c r="M197" s="99">
        <f>IF(I197="","",I197*Parâmetros!$C$8/15)</f>
        <v>6.2186666666666666</v>
      </c>
      <c r="N197" s="99">
        <f>IF(K197="","",K197*Parâmetros!$C$8/15)</f>
        <v>0</v>
      </c>
      <c r="O197" s="100">
        <f>IF(M197="","",M197*Parâmetros!$C$5)</f>
        <v>1927.7866666666666</v>
      </c>
      <c r="P197" s="94" t="str">
        <f>IF(L197="","",IF(L197&gt;=Parâmetros!$C$10,"Sim","Não"))</f>
        <v/>
      </c>
    </row>
    <row r="198" spans="1:16" ht="14.25" customHeight="1" x14ac:dyDescent="0.3">
      <c r="A198" s="94">
        <v>196</v>
      </c>
      <c r="B198" s="88" t="s">
        <v>123</v>
      </c>
      <c r="C198" s="88" t="s">
        <v>39</v>
      </c>
      <c r="D198" s="88" t="s">
        <v>617</v>
      </c>
      <c r="E198" s="87" t="s">
        <v>40</v>
      </c>
      <c r="F198" s="89">
        <v>46204</v>
      </c>
      <c r="G198" s="90">
        <v>177</v>
      </c>
      <c r="H198" s="89">
        <f>IF(COUNTIFS(Pesagens!$B$3:$B$5001,$B198)=0,"",_xlfn.MAXIFS(Pesagens!$A$3:$A$5001,Pesagens!$B$3:$B$5001,$B198,Pesagens!$E$3:$E$5001,"&lt;&gt;"))</f>
        <v>46204</v>
      </c>
      <c r="I198" s="90">
        <f>IF($H198="","",IFERROR(AVERAGEIFS(Pesagens!$E$3:$E$5001,Pesagens!$B$3:$B$5001,$B198,Pesagens!$A$3:$A$5001,$H198),""))</f>
        <v>177</v>
      </c>
      <c r="J198" s="87">
        <f>IF(F198="","",Parâmetros!$C$4-F198)</f>
        <v>42</v>
      </c>
      <c r="K198" s="90">
        <f t="shared" si="6"/>
        <v>0</v>
      </c>
      <c r="L198" s="91" t="str">
        <f t="shared" si="7"/>
        <v/>
      </c>
      <c r="M198" s="92">
        <f>IF(I198="","",I198*Parâmetros!$C$8/15)</f>
        <v>6.2540000000000004</v>
      </c>
      <c r="N198" s="92">
        <f>IF(K198="","",K198*Parâmetros!$C$8/15)</f>
        <v>0</v>
      </c>
      <c r="O198" s="93">
        <f>IF(M198="","",M198*Parâmetros!$C$5)</f>
        <v>1938.7400000000002</v>
      </c>
      <c r="P198" s="87" t="str">
        <f>IF(L198="","",IF(L198&gt;=Parâmetros!$C$10,"Sim","Não"))</f>
        <v/>
      </c>
    </row>
    <row r="199" spans="1:16" ht="14.25" customHeight="1" x14ac:dyDescent="0.3">
      <c r="A199" s="87">
        <v>197</v>
      </c>
      <c r="B199" s="95" t="s">
        <v>124</v>
      </c>
      <c r="C199" s="95" t="s">
        <v>39</v>
      </c>
      <c r="D199" s="95" t="s">
        <v>617</v>
      </c>
      <c r="E199" s="94" t="s">
        <v>40</v>
      </c>
      <c r="F199" s="96">
        <v>46204</v>
      </c>
      <c r="G199" s="97">
        <v>210</v>
      </c>
      <c r="H199" s="89">
        <f>IF(COUNTIFS(Pesagens!$B$3:$B$5001,$B199)=0,"",_xlfn.MAXIFS(Pesagens!$A$3:$A$5001,Pesagens!$B$3:$B$5001,$B199,Pesagens!$E$3:$E$5001,"&lt;&gt;"))</f>
        <v>46204</v>
      </c>
      <c r="I199" s="97">
        <f>IF($H199="","",IFERROR(AVERAGEIFS(Pesagens!$E$3:$E$5001,Pesagens!$B$3:$B$5001,$B199,Pesagens!$A$3:$A$5001,$H199),""))</f>
        <v>210</v>
      </c>
      <c r="J199" s="94">
        <f>IF(F199="","",Parâmetros!$C$4-F199)</f>
        <v>42</v>
      </c>
      <c r="K199" s="97">
        <f t="shared" si="6"/>
        <v>0</v>
      </c>
      <c r="L199" s="98" t="str">
        <f t="shared" si="7"/>
        <v/>
      </c>
      <c r="M199" s="99">
        <f>IF(I199="","",I199*Parâmetros!$C$8/15)</f>
        <v>7.4200000000000008</v>
      </c>
      <c r="N199" s="99">
        <f>IF(K199="","",K199*Parâmetros!$C$8/15)</f>
        <v>0</v>
      </c>
      <c r="O199" s="100">
        <f>IF(M199="","",M199*Parâmetros!$C$5)</f>
        <v>2300.2000000000003</v>
      </c>
      <c r="P199" s="94" t="str">
        <f>IF(L199="","",IF(L199&gt;=Parâmetros!$C$10,"Sim","Não"))</f>
        <v/>
      </c>
    </row>
    <row r="200" spans="1:16" ht="14.25" customHeight="1" x14ac:dyDescent="0.3">
      <c r="A200" s="94">
        <v>198</v>
      </c>
      <c r="B200" s="88" t="s">
        <v>125</v>
      </c>
      <c r="C200" s="88" t="s">
        <v>39</v>
      </c>
      <c r="D200" s="88" t="s">
        <v>617</v>
      </c>
      <c r="E200" s="87" t="s">
        <v>40</v>
      </c>
      <c r="F200" s="89">
        <v>46204</v>
      </c>
      <c r="G200" s="90">
        <v>222</v>
      </c>
      <c r="H200" s="89">
        <f>IF(COUNTIFS(Pesagens!$B$3:$B$5001,$B200)=0,"",_xlfn.MAXIFS(Pesagens!$A$3:$A$5001,Pesagens!$B$3:$B$5001,$B200,Pesagens!$E$3:$E$5001,"&lt;&gt;"))</f>
        <v>46204</v>
      </c>
      <c r="I200" s="90">
        <f>IF($H200="","",IFERROR(AVERAGEIFS(Pesagens!$E$3:$E$5001,Pesagens!$B$3:$B$5001,$B200,Pesagens!$A$3:$A$5001,$H200),""))</f>
        <v>222</v>
      </c>
      <c r="J200" s="87">
        <f>IF(F200="","",Parâmetros!$C$4-F200)</f>
        <v>42</v>
      </c>
      <c r="K200" s="90">
        <f t="shared" si="6"/>
        <v>0</v>
      </c>
      <c r="L200" s="91" t="str">
        <f t="shared" si="7"/>
        <v/>
      </c>
      <c r="M200" s="92">
        <f>IF(I200="","",I200*Parâmetros!$C$8/15)</f>
        <v>7.8440000000000003</v>
      </c>
      <c r="N200" s="92">
        <f>IF(K200="","",K200*Parâmetros!$C$8/15)</f>
        <v>0</v>
      </c>
      <c r="O200" s="93">
        <f>IF(M200="","",M200*Parâmetros!$C$5)</f>
        <v>2431.64</v>
      </c>
      <c r="P200" s="87" t="str">
        <f>IF(L200="","",IF(L200&gt;=Parâmetros!$C$10,"Sim","Não"))</f>
        <v/>
      </c>
    </row>
    <row r="201" spans="1:16" ht="14.25" customHeight="1" x14ac:dyDescent="0.3">
      <c r="A201" s="87">
        <v>199</v>
      </c>
      <c r="B201" s="95" t="s">
        <v>126</v>
      </c>
      <c r="C201" s="95" t="s">
        <v>39</v>
      </c>
      <c r="D201" s="95" t="s">
        <v>617</v>
      </c>
      <c r="E201" s="94" t="s">
        <v>40</v>
      </c>
      <c r="F201" s="96">
        <v>46204</v>
      </c>
      <c r="G201" s="97">
        <v>211</v>
      </c>
      <c r="H201" s="89">
        <f>IF(COUNTIFS(Pesagens!$B$3:$B$5001,$B201)=0,"",_xlfn.MAXIFS(Pesagens!$A$3:$A$5001,Pesagens!$B$3:$B$5001,$B201,Pesagens!$E$3:$E$5001,"&lt;&gt;"))</f>
        <v>46204</v>
      </c>
      <c r="I201" s="97">
        <f>IF($H201="","",IFERROR(AVERAGEIFS(Pesagens!$E$3:$E$5001,Pesagens!$B$3:$B$5001,$B201,Pesagens!$A$3:$A$5001,$H201),""))</f>
        <v>211</v>
      </c>
      <c r="J201" s="94">
        <f>IF(F201="","",Parâmetros!$C$4-F201)</f>
        <v>42</v>
      </c>
      <c r="K201" s="97">
        <f t="shared" si="6"/>
        <v>0</v>
      </c>
      <c r="L201" s="98" t="str">
        <f t="shared" si="7"/>
        <v/>
      </c>
      <c r="M201" s="99">
        <f>IF(I201="","",I201*Parâmetros!$C$8/15)</f>
        <v>7.4553333333333338</v>
      </c>
      <c r="N201" s="99">
        <f>IF(K201="","",K201*Parâmetros!$C$8/15)</f>
        <v>0</v>
      </c>
      <c r="O201" s="100">
        <f>IF(M201="","",M201*Parâmetros!$C$5)</f>
        <v>2311.1533333333336</v>
      </c>
      <c r="P201" s="94" t="str">
        <f>IF(L201="","",IF(L201&gt;=Parâmetros!$C$10,"Sim","Não"))</f>
        <v/>
      </c>
    </row>
    <row r="202" spans="1:16" ht="14.25" customHeight="1" x14ac:dyDescent="0.3">
      <c r="A202" s="94">
        <v>200</v>
      </c>
      <c r="B202" s="88" t="s">
        <v>127</v>
      </c>
      <c r="C202" s="88" t="s">
        <v>39</v>
      </c>
      <c r="D202" s="88" t="s">
        <v>617</v>
      </c>
      <c r="E202" s="87" t="s">
        <v>40</v>
      </c>
      <c r="F202" s="89">
        <v>46204</v>
      </c>
      <c r="G202" s="90">
        <v>238</v>
      </c>
      <c r="H202" s="89">
        <f>IF(COUNTIFS(Pesagens!$B$3:$B$5001,$B202)=0,"",_xlfn.MAXIFS(Pesagens!$A$3:$A$5001,Pesagens!$B$3:$B$5001,$B202,Pesagens!$E$3:$E$5001,"&lt;&gt;"))</f>
        <v>46204</v>
      </c>
      <c r="I202" s="90">
        <f>IF($H202="","",IFERROR(AVERAGEIFS(Pesagens!$E$3:$E$5001,Pesagens!$B$3:$B$5001,$B202,Pesagens!$A$3:$A$5001,$H202),""))</f>
        <v>238</v>
      </c>
      <c r="J202" s="87">
        <f>IF(F202="","",Parâmetros!$C$4-F202)</f>
        <v>42</v>
      </c>
      <c r="K202" s="90">
        <f t="shared" si="6"/>
        <v>0</v>
      </c>
      <c r="L202" s="91" t="str">
        <f t="shared" si="7"/>
        <v/>
      </c>
      <c r="M202" s="92">
        <f>IF(I202="","",I202*Parâmetros!$C$8/15)</f>
        <v>8.4093333333333327</v>
      </c>
      <c r="N202" s="92">
        <f>IF(K202="","",K202*Parâmetros!$C$8/15)</f>
        <v>0</v>
      </c>
      <c r="O202" s="93">
        <f>IF(M202="","",M202*Parâmetros!$C$5)</f>
        <v>2606.893333333333</v>
      </c>
      <c r="P202" s="87" t="str">
        <f>IF(L202="","",IF(L202&gt;=Parâmetros!$C$10,"Sim","Não"))</f>
        <v/>
      </c>
    </row>
    <row r="203" spans="1:16" ht="14.25" customHeight="1" x14ac:dyDescent="0.3">
      <c r="A203" s="87">
        <v>201</v>
      </c>
      <c r="B203" s="95" t="s">
        <v>128</v>
      </c>
      <c r="C203" s="95" t="s">
        <v>39</v>
      </c>
      <c r="D203" s="95" t="s">
        <v>617</v>
      </c>
      <c r="E203" s="94" t="s">
        <v>40</v>
      </c>
      <c r="F203" s="96">
        <v>46204</v>
      </c>
      <c r="G203" s="97">
        <v>235</v>
      </c>
      <c r="H203" s="89">
        <f>IF(COUNTIFS(Pesagens!$B$3:$B$5001,$B203)=0,"",_xlfn.MAXIFS(Pesagens!$A$3:$A$5001,Pesagens!$B$3:$B$5001,$B203,Pesagens!$E$3:$E$5001,"&lt;&gt;"))</f>
        <v>46204</v>
      </c>
      <c r="I203" s="97">
        <f>IF($H203="","",IFERROR(AVERAGEIFS(Pesagens!$E$3:$E$5001,Pesagens!$B$3:$B$5001,$B203,Pesagens!$A$3:$A$5001,$H203),""))</f>
        <v>235</v>
      </c>
      <c r="J203" s="94">
        <f>IF(F203="","",Parâmetros!$C$4-F203)</f>
        <v>42</v>
      </c>
      <c r="K203" s="97">
        <f t="shared" si="6"/>
        <v>0</v>
      </c>
      <c r="L203" s="98" t="str">
        <f t="shared" si="7"/>
        <v/>
      </c>
      <c r="M203" s="99">
        <f>IF(I203="","",I203*Parâmetros!$C$8/15)</f>
        <v>8.3033333333333346</v>
      </c>
      <c r="N203" s="99">
        <f>IF(K203="","",K203*Parâmetros!$C$8/15)</f>
        <v>0</v>
      </c>
      <c r="O203" s="100">
        <f>IF(M203="","",M203*Parâmetros!$C$5)</f>
        <v>2574.0333333333338</v>
      </c>
      <c r="P203" s="94" t="str">
        <f>IF(L203="","",IF(L203&gt;=Parâmetros!$C$10,"Sim","Não"))</f>
        <v/>
      </c>
    </row>
    <row r="204" spans="1:16" ht="14.25" customHeight="1" x14ac:dyDescent="0.3">
      <c r="A204" s="94">
        <v>202</v>
      </c>
      <c r="B204" s="88" t="s">
        <v>129</v>
      </c>
      <c r="C204" s="88" t="s">
        <v>39</v>
      </c>
      <c r="D204" s="88" t="s">
        <v>617</v>
      </c>
      <c r="E204" s="87" t="s">
        <v>40</v>
      </c>
      <c r="F204" s="89">
        <v>46204</v>
      </c>
      <c r="G204" s="90">
        <v>229</v>
      </c>
      <c r="H204" s="89">
        <f>IF(COUNTIFS(Pesagens!$B$3:$B$5001,$B204)=0,"",_xlfn.MAXIFS(Pesagens!$A$3:$A$5001,Pesagens!$B$3:$B$5001,$B204,Pesagens!$E$3:$E$5001,"&lt;&gt;"))</f>
        <v>46204</v>
      </c>
      <c r="I204" s="90">
        <f>IF($H204="","",IFERROR(AVERAGEIFS(Pesagens!$E$3:$E$5001,Pesagens!$B$3:$B$5001,$B204,Pesagens!$A$3:$A$5001,$H204),""))</f>
        <v>229</v>
      </c>
      <c r="J204" s="87">
        <f>IF(F204="","",Parâmetros!$C$4-F204)</f>
        <v>42</v>
      </c>
      <c r="K204" s="90">
        <f t="shared" si="6"/>
        <v>0</v>
      </c>
      <c r="L204" s="91" t="str">
        <f t="shared" si="7"/>
        <v/>
      </c>
      <c r="M204" s="92">
        <f>IF(I204="","",I204*Parâmetros!$C$8/15)</f>
        <v>8.091333333333333</v>
      </c>
      <c r="N204" s="92">
        <f>IF(K204="","",K204*Parâmetros!$C$8/15)</f>
        <v>0</v>
      </c>
      <c r="O204" s="93">
        <f>IF(M204="","",M204*Parâmetros!$C$5)</f>
        <v>2508.313333333333</v>
      </c>
      <c r="P204" s="87" t="str">
        <f>IF(L204="","",IF(L204&gt;=Parâmetros!$C$10,"Sim","Não"))</f>
        <v/>
      </c>
    </row>
    <row r="205" spans="1:16" ht="14.25" customHeight="1" x14ac:dyDescent="0.3">
      <c r="A205" s="87">
        <v>203</v>
      </c>
      <c r="B205" s="95" t="s">
        <v>130</v>
      </c>
      <c r="C205" s="95" t="s">
        <v>39</v>
      </c>
      <c r="D205" s="95" t="s">
        <v>617</v>
      </c>
      <c r="E205" s="94" t="s">
        <v>40</v>
      </c>
      <c r="F205" s="96">
        <v>46204</v>
      </c>
      <c r="G205" s="97">
        <v>252</v>
      </c>
      <c r="H205" s="89">
        <f>IF(COUNTIFS(Pesagens!$B$3:$B$5001,$B205)=0,"",_xlfn.MAXIFS(Pesagens!$A$3:$A$5001,Pesagens!$B$3:$B$5001,$B205,Pesagens!$E$3:$E$5001,"&lt;&gt;"))</f>
        <v>46204</v>
      </c>
      <c r="I205" s="97">
        <f>IF($H205="","",IFERROR(AVERAGEIFS(Pesagens!$E$3:$E$5001,Pesagens!$B$3:$B$5001,$B205,Pesagens!$A$3:$A$5001,$H205),""))</f>
        <v>252</v>
      </c>
      <c r="J205" s="94">
        <f>IF(F205="","",Parâmetros!$C$4-F205)</f>
        <v>42</v>
      </c>
      <c r="K205" s="97">
        <f t="shared" si="6"/>
        <v>0</v>
      </c>
      <c r="L205" s="98" t="str">
        <f t="shared" si="7"/>
        <v/>
      </c>
      <c r="M205" s="99">
        <f>IF(I205="","",I205*Parâmetros!$C$8/15)</f>
        <v>8.9039999999999999</v>
      </c>
      <c r="N205" s="99">
        <f>IF(K205="","",K205*Parâmetros!$C$8/15)</f>
        <v>0</v>
      </c>
      <c r="O205" s="100">
        <f>IF(M205="","",M205*Parâmetros!$C$5)</f>
        <v>2760.24</v>
      </c>
      <c r="P205" s="94" t="str">
        <f>IF(L205="","",IF(L205&gt;=Parâmetros!$C$10,"Sim","Não"))</f>
        <v/>
      </c>
    </row>
    <row r="206" spans="1:16" ht="14.25" customHeight="1" x14ac:dyDescent="0.3">
      <c r="A206" s="94">
        <v>204</v>
      </c>
      <c r="B206" s="88" t="s">
        <v>131</v>
      </c>
      <c r="C206" s="88" t="s">
        <v>39</v>
      </c>
      <c r="D206" s="88" t="s">
        <v>617</v>
      </c>
      <c r="E206" s="87" t="s">
        <v>40</v>
      </c>
      <c r="F206" s="89">
        <v>46204</v>
      </c>
      <c r="G206" s="90">
        <v>150</v>
      </c>
      <c r="H206" s="89">
        <f>IF(COUNTIFS(Pesagens!$B$3:$B$5001,$B206)=0,"",_xlfn.MAXIFS(Pesagens!$A$3:$A$5001,Pesagens!$B$3:$B$5001,$B206,Pesagens!$E$3:$E$5001,"&lt;&gt;"))</f>
        <v>46204</v>
      </c>
      <c r="I206" s="90">
        <f>IF($H206="","",IFERROR(AVERAGEIFS(Pesagens!$E$3:$E$5001,Pesagens!$B$3:$B$5001,$B206,Pesagens!$A$3:$A$5001,$H206),""))</f>
        <v>150</v>
      </c>
      <c r="J206" s="87">
        <f>IF(F206="","",Parâmetros!$C$4-F206)</f>
        <v>42</v>
      </c>
      <c r="K206" s="90">
        <f t="shared" si="6"/>
        <v>0</v>
      </c>
      <c r="L206" s="91" t="str">
        <f t="shared" si="7"/>
        <v/>
      </c>
      <c r="M206" s="92">
        <f>IF(I206="","",I206*Parâmetros!$C$8/15)</f>
        <v>5.3</v>
      </c>
      <c r="N206" s="92">
        <f>IF(K206="","",K206*Parâmetros!$C$8/15)</f>
        <v>0</v>
      </c>
      <c r="O206" s="93">
        <f>IF(M206="","",M206*Parâmetros!$C$5)</f>
        <v>1643</v>
      </c>
      <c r="P206" s="87" t="str">
        <f>IF(L206="","",IF(L206&gt;=Parâmetros!$C$10,"Sim","Não"))</f>
        <v/>
      </c>
    </row>
    <row r="207" spans="1:16" ht="14.25" customHeight="1" x14ac:dyDescent="0.3">
      <c r="A207" s="87">
        <v>205</v>
      </c>
      <c r="B207" s="95" t="s">
        <v>132</v>
      </c>
      <c r="C207" s="95" t="s">
        <v>39</v>
      </c>
      <c r="D207" s="95" t="s">
        <v>617</v>
      </c>
      <c r="E207" s="94" t="s">
        <v>40</v>
      </c>
      <c r="F207" s="96">
        <v>46204</v>
      </c>
      <c r="G207" s="97">
        <v>274</v>
      </c>
      <c r="H207" s="89">
        <f>IF(COUNTIFS(Pesagens!$B$3:$B$5001,$B207)=0,"",_xlfn.MAXIFS(Pesagens!$A$3:$A$5001,Pesagens!$B$3:$B$5001,$B207,Pesagens!$E$3:$E$5001,"&lt;&gt;"))</f>
        <v>46204</v>
      </c>
      <c r="I207" s="97">
        <f>IF($H207="","",IFERROR(AVERAGEIFS(Pesagens!$E$3:$E$5001,Pesagens!$B$3:$B$5001,$B207,Pesagens!$A$3:$A$5001,$H207),""))</f>
        <v>274</v>
      </c>
      <c r="J207" s="94">
        <f>IF(F207="","",Parâmetros!$C$4-F207)</f>
        <v>42</v>
      </c>
      <c r="K207" s="97">
        <f t="shared" si="6"/>
        <v>0</v>
      </c>
      <c r="L207" s="98" t="str">
        <f t="shared" si="7"/>
        <v/>
      </c>
      <c r="M207" s="99">
        <f>IF(I207="","",I207*Parâmetros!$C$8/15)</f>
        <v>9.6813333333333329</v>
      </c>
      <c r="N207" s="99">
        <f>IF(K207="","",K207*Parâmetros!$C$8/15)</f>
        <v>0</v>
      </c>
      <c r="O207" s="100">
        <f>IF(M207="","",M207*Parâmetros!$C$5)</f>
        <v>3001.2133333333331</v>
      </c>
      <c r="P207" s="94" t="str">
        <f>IF(L207="","",IF(L207&gt;=Parâmetros!$C$10,"Sim","Não"))</f>
        <v/>
      </c>
    </row>
    <row r="208" spans="1:16" ht="14.25" customHeight="1" x14ac:dyDescent="0.3">
      <c r="A208" s="94">
        <v>206</v>
      </c>
      <c r="B208" s="88" t="s">
        <v>133</v>
      </c>
      <c r="C208" s="88" t="s">
        <v>39</v>
      </c>
      <c r="D208" s="88" t="s">
        <v>617</v>
      </c>
      <c r="E208" s="87" t="s">
        <v>40</v>
      </c>
      <c r="F208" s="89">
        <v>46204</v>
      </c>
      <c r="G208" s="90">
        <v>216</v>
      </c>
      <c r="H208" s="89">
        <f>IF(COUNTIFS(Pesagens!$B$3:$B$5001,$B208)=0,"",_xlfn.MAXIFS(Pesagens!$A$3:$A$5001,Pesagens!$B$3:$B$5001,$B208,Pesagens!$E$3:$E$5001,"&lt;&gt;"))</f>
        <v>46204</v>
      </c>
      <c r="I208" s="90">
        <f>IF($H208="","",IFERROR(AVERAGEIFS(Pesagens!$E$3:$E$5001,Pesagens!$B$3:$B$5001,$B208,Pesagens!$A$3:$A$5001,$H208),""))</f>
        <v>216</v>
      </c>
      <c r="J208" s="87">
        <f>IF(F208="","",Parâmetros!$C$4-F208)</f>
        <v>42</v>
      </c>
      <c r="K208" s="90">
        <f t="shared" si="6"/>
        <v>0</v>
      </c>
      <c r="L208" s="91" t="str">
        <f t="shared" si="7"/>
        <v/>
      </c>
      <c r="M208" s="92">
        <f>IF(I208="","",I208*Parâmetros!$C$8/15)</f>
        <v>7.6320000000000006</v>
      </c>
      <c r="N208" s="92">
        <f>IF(K208="","",K208*Parâmetros!$C$8/15)</f>
        <v>0</v>
      </c>
      <c r="O208" s="93">
        <f>IF(M208="","",M208*Parâmetros!$C$5)</f>
        <v>2365.92</v>
      </c>
      <c r="P208" s="87" t="str">
        <f>IF(L208="","",IF(L208&gt;=Parâmetros!$C$10,"Sim","Não"))</f>
        <v/>
      </c>
    </row>
    <row r="209" spans="1:16" ht="14.25" customHeight="1" x14ac:dyDescent="0.3">
      <c r="A209" s="87">
        <v>207</v>
      </c>
      <c r="B209" s="95" t="s">
        <v>134</v>
      </c>
      <c r="C209" s="95" t="s">
        <v>39</v>
      </c>
      <c r="D209" s="95" t="s">
        <v>617</v>
      </c>
      <c r="E209" s="94" t="s">
        <v>40</v>
      </c>
      <c r="F209" s="96">
        <v>46204</v>
      </c>
      <c r="G209" s="97">
        <v>208</v>
      </c>
      <c r="H209" s="89">
        <f>IF(COUNTIFS(Pesagens!$B$3:$B$5001,$B209)=0,"",_xlfn.MAXIFS(Pesagens!$A$3:$A$5001,Pesagens!$B$3:$B$5001,$B209,Pesagens!$E$3:$E$5001,"&lt;&gt;"))</f>
        <v>46204</v>
      </c>
      <c r="I209" s="97">
        <f>IF($H209="","",IFERROR(AVERAGEIFS(Pesagens!$E$3:$E$5001,Pesagens!$B$3:$B$5001,$B209,Pesagens!$A$3:$A$5001,$H209),""))</f>
        <v>208</v>
      </c>
      <c r="J209" s="94">
        <f>IF(F209="","",Parâmetros!$C$4-F209)</f>
        <v>42</v>
      </c>
      <c r="K209" s="97">
        <f t="shared" si="6"/>
        <v>0</v>
      </c>
      <c r="L209" s="98" t="str">
        <f t="shared" si="7"/>
        <v/>
      </c>
      <c r="M209" s="99">
        <f>IF(I209="","",I209*Parâmetros!$C$8/15)</f>
        <v>7.3493333333333339</v>
      </c>
      <c r="N209" s="99">
        <f>IF(K209="","",K209*Parâmetros!$C$8/15)</f>
        <v>0</v>
      </c>
      <c r="O209" s="100">
        <f>IF(M209="","",M209*Parâmetros!$C$5)</f>
        <v>2278.2933333333335</v>
      </c>
      <c r="P209" s="94" t="str">
        <f>IF(L209="","",IF(L209&gt;=Parâmetros!$C$10,"Sim","Não"))</f>
        <v/>
      </c>
    </row>
    <row r="210" spans="1:16" ht="14.25" customHeight="1" x14ac:dyDescent="0.3">
      <c r="A210" s="94">
        <v>208</v>
      </c>
      <c r="B210" s="88" t="s">
        <v>135</v>
      </c>
      <c r="C210" s="88" t="s">
        <v>39</v>
      </c>
      <c r="D210" s="88" t="s">
        <v>617</v>
      </c>
      <c r="E210" s="87" t="s">
        <v>40</v>
      </c>
      <c r="F210" s="89">
        <v>46204</v>
      </c>
      <c r="G210" s="90">
        <v>177</v>
      </c>
      <c r="H210" s="89">
        <f>IF(COUNTIFS(Pesagens!$B$3:$B$5001,$B210)=0,"",_xlfn.MAXIFS(Pesagens!$A$3:$A$5001,Pesagens!$B$3:$B$5001,$B210,Pesagens!$E$3:$E$5001,"&lt;&gt;"))</f>
        <v>46204</v>
      </c>
      <c r="I210" s="90">
        <f>IF($H210="","",IFERROR(AVERAGEIFS(Pesagens!$E$3:$E$5001,Pesagens!$B$3:$B$5001,$B210,Pesagens!$A$3:$A$5001,$H210),""))</f>
        <v>177</v>
      </c>
      <c r="J210" s="87">
        <f>IF(F210="","",Parâmetros!$C$4-F210)</f>
        <v>42</v>
      </c>
      <c r="K210" s="90">
        <f t="shared" si="6"/>
        <v>0</v>
      </c>
      <c r="L210" s="91" t="str">
        <f t="shared" si="7"/>
        <v/>
      </c>
      <c r="M210" s="92">
        <f>IF(I210="","",I210*Parâmetros!$C$8/15)</f>
        <v>6.2540000000000004</v>
      </c>
      <c r="N210" s="92">
        <f>IF(K210="","",K210*Parâmetros!$C$8/15)</f>
        <v>0</v>
      </c>
      <c r="O210" s="93">
        <f>IF(M210="","",M210*Parâmetros!$C$5)</f>
        <v>1938.7400000000002</v>
      </c>
      <c r="P210" s="87" t="str">
        <f>IF(L210="","",IF(L210&gt;=Parâmetros!$C$10,"Sim","Não"))</f>
        <v/>
      </c>
    </row>
    <row r="211" spans="1:16" ht="14.25" customHeight="1" x14ac:dyDescent="0.3">
      <c r="A211" s="87">
        <v>209</v>
      </c>
      <c r="B211" s="95" t="s">
        <v>136</v>
      </c>
      <c r="C211" s="95" t="s">
        <v>39</v>
      </c>
      <c r="D211" s="95" t="s">
        <v>617</v>
      </c>
      <c r="E211" s="94" t="s">
        <v>40</v>
      </c>
      <c r="F211" s="96">
        <v>46204</v>
      </c>
      <c r="G211" s="97">
        <v>217</v>
      </c>
      <c r="H211" s="89">
        <f>IF(COUNTIFS(Pesagens!$B$3:$B$5001,$B211)=0,"",_xlfn.MAXIFS(Pesagens!$A$3:$A$5001,Pesagens!$B$3:$B$5001,$B211,Pesagens!$E$3:$E$5001,"&lt;&gt;"))</f>
        <v>46204</v>
      </c>
      <c r="I211" s="97">
        <f>IF($H211="","",IFERROR(AVERAGEIFS(Pesagens!$E$3:$E$5001,Pesagens!$B$3:$B$5001,$B211,Pesagens!$A$3:$A$5001,$H211),""))</f>
        <v>217</v>
      </c>
      <c r="J211" s="94">
        <f>IF(F211="","",Parâmetros!$C$4-F211)</f>
        <v>42</v>
      </c>
      <c r="K211" s="97">
        <f t="shared" si="6"/>
        <v>0</v>
      </c>
      <c r="L211" s="98" t="str">
        <f t="shared" si="7"/>
        <v/>
      </c>
      <c r="M211" s="99">
        <f>IF(I211="","",I211*Parâmetros!$C$8/15)</f>
        <v>7.6673333333333336</v>
      </c>
      <c r="N211" s="99">
        <f>IF(K211="","",K211*Parâmetros!$C$8/15)</f>
        <v>0</v>
      </c>
      <c r="O211" s="100">
        <f>IF(M211="","",M211*Parâmetros!$C$5)</f>
        <v>2376.8733333333334</v>
      </c>
      <c r="P211" s="94" t="str">
        <f>IF(L211="","",IF(L211&gt;=Parâmetros!$C$10,"Sim","Não"))</f>
        <v/>
      </c>
    </row>
    <row r="212" spans="1:16" ht="14.25" customHeight="1" x14ac:dyDescent="0.3">
      <c r="A212" s="94">
        <v>210</v>
      </c>
      <c r="B212" s="88" t="s">
        <v>137</v>
      </c>
      <c r="C212" s="88" t="s">
        <v>39</v>
      </c>
      <c r="D212" s="88" t="s">
        <v>617</v>
      </c>
      <c r="E212" s="87" t="s">
        <v>40</v>
      </c>
      <c r="F212" s="89">
        <v>46204</v>
      </c>
      <c r="G212" s="90">
        <v>181</v>
      </c>
      <c r="H212" s="89">
        <f>IF(COUNTIFS(Pesagens!$B$3:$B$5001,$B212)=0,"",_xlfn.MAXIFS(Pesagens!$A$3:$A$5001,Pesagens!$B$3:$B$5001,$B212,Pesagens!$E$3:$E$5001,"&lt;&gt;"))</f>
        <v>46204</v>
      </c>
      <c r="I212" s="90">
        <f>IF($H212="","",IFERROR(AVERAGEIFS(Pesagens!$E$3:$E$5001,Pesagens!$B$3:$B$5001,$B212,Pesagens!$A$3:$A$5001,$H212),""))</f>
        <v>181</v>
      </c>
      <c r="J212" s="87">
        <f>IF(F212="","",Parâmetros!$C$4-F212)</f>
        <v>42</v>
      </c>
      <c r="K212" s="90">
        <f t="shared" si="6"/>
        <v>0</v>
      </c>
      <c r="L212" s="91" t="str">
        <f t="shared" si="7"/>
        <v/>
      </c>
      <c r="M212" s="92">
        <f>IF(I212="","",I212*Parâmetros!$C$8/15)</f>
        <v>6.3953333333333342</v>
      </c>
      <c r="N212" s="92">
        <f>IF(K212="","",K212*Parâmetros!$C$8/15)</f>
        <v>0</v>
      </c>
      <c r="O212" s="93">
        <f>IF(M212="","",M212*Parâmetros!$C$5)</f>
        <v>1982.5533333333335</v>
      </c>
      <c r="P212" s="87" t="str">
        <f>IF(L212="","",IF(L212&gt;=Parâmetros!$C$10,"Sim","Não"))</f>
        <v/>
      </c>
    </row>
    <row r="213" spans="1:16" ht="14.25" customHeight="1" x14ac:dyDescent="0.3">
      <c r="A213" s="87">
        <v>211</v>
      </c>
      <c r="B213" s="95" t="s">
        <v>296</v>
      </c>
      <c r="C213" s="95" t="s">
        <v>39</v>
      </c>
      <c r="D213" s="95" t="s">
        <v>617</v>
      </c>
      <c r="E213" s="94" t="s">
        <v>40</v>
      </c>
      <c r="F213" s="96">
        <v>46204</v>
      </c>
      <c r="G213" s="97">
        <v>215</v>
      </c>
      <c r="H213" s="89">
        <f>IF(COUNTIFS(Pesagens!$B$3:$B$5001,$B213)=0,"",_xlfn.MAXIFS(Pesagens!$A$3:$A$5001,Pesagens!$B$3:$B$5001,$B213,Pesagens!$E$3:$E$5001,"&lt;&gt;"))</f>
        <v>46204</v>
      </c>
      <c r="I213" s="97">
        <f>IF($H213="","",IFERROR(AVERAGEIFS(Pesagens!$E$3:$E$5001,Pesagens!$B$3:$B$5001,$B213,Pesagens!$A$3:$A$5001,$H213),""))</f>
        <v>215</v>
      </c>
      <c r="J213" s="94">
        <f>IF(F213="","",Parâmetros!$C$4-F213)</f>
        <v>42</v>
      </c>
      <c r="K213" s="97">
        <f t="shared" si="6"/>
        <v>0</v>
      </c>
      <c r="L213" s="98" t="str">
        <f t="shared" si="7"/>
        <v/>
      </c>
      <c r="M213" s="99">
        <f>IF(I213="","",I213*Parâmetros!$C$8/15)</f>
        <v>7.5966666666666667</v>
      </c>
      <c r="N213" s="99">
        <f>IF(K213="","",K213*Parâmetros!$C$8/15)</f>
        <v>0</v>
      </c>
      <c r="O213" s="100">
        <f>IF(M213="","",M213*Parâmetros!$C$5)</f>
        <v>2354.9666666666667</v>
      </c>
      <c r="P213" s="94" t="str">
        <f>IF(L213="","",IF(L213&gt;=Parâmetros!$C$10,"Sim","Não"))</f>
        <v/>
      </c>
    </row>
    <row r="214" spans="1:16" ht="14.25" customHeight="1" x14ac:dyDescent="0.3">
      <c r="A214" s="94">
        <v>212</v>
      </c>
      <c r="B214" s="88" t="s">
        <v>138</v>
      </c>
      <c r="C214" s="88" t="s">
        <v>39</v>
      </c>
      <c r="D214" s="88" t="s">
        <v>617</v>
      </c>
      <c r="E214" s="87" t="s">
        <v>40</v>
      </c>
      <c r="F214" s="89">
        <v>46204</v>
      </c>
      <c r="G214" s="90">
        <v>199</v>
      </c>
      <c r="H214" s="89">
        <f>IF(COUNTIFS(Pesagens!$B$3:$B$5001,$B214)=0,"",_xlfn.MAXIFS(Pesagens!$A$3:$A$5001,Pesagens!$B$3:$B$5001,$B214,Pesagens!$E$3:$E$5001,"&lt;&gt;"))</f>
        <v>46204</v>
      </c>
      <c r="I214" s="90">
        <f>IF($H214="","",IFERROR(AVERAGEIFS(Pesagens!$E$3:$E$5001,Pesagens!$B$3:$B$5001,$B214,Pesagens!$A$3:$A$5001,$H214),""))</f>
        <v>199</v>
      </c>
      <c r="J214" s="87">
        <f>IF(F214="","",Parâmetros!$C$4-F214)</f>
        <v>42</v>
      </c>
      <c r="K214" s="90">
        <f t="shared" si="6"/>
        <v>0</v>
      </c>
      <c r="L214" s="91" t="str">
        <f t="shared" si="7"/>
        <v/>
      </c>
      <c r="M214" s="92">
        <f>IF(I214="","",I214*Parâmetros!$C$8/15)</f>
        <v>7.0313333333333334</v>
      </c>
      <c r="N214" s="92">
        <f>IF(K214="","",K214*Parâmetros!$C$8/15)</f>
        <v>0</v>
      </c>
      <c r="O214" s="93">
        <f>IF(M214="","",M214*Parâmetros!$C$5)</f>
        <v>2179.7133333333331</v>
      </c>
      <c r="P214" s="87" t="str">
        <f>IF(L214="","",IF(L214&gt;=Parâmetros!$C$10,"Sim","Não"))</f>
        <v/>
      </c>
    </row>
    <row r="215" spans="1:16" ht="14.25" customHeight="1" x14ac:dyDescent="0.3">
      <c r="A215" s="87">
        <v>213</v>
      </c>
      <c r="B215" s="95" t="s">
        <v>139</v>
      </c>
      <c r="C215" s="95" t="s">
        <v>39</v>
      </c>
      <c r="D215" s="95" t="s">
        <v>617</v>
      </c>
      <c r="E215" s="94" t="s">
        <v>40</v>
      </c>
      <c r="F215" s="96">
        <v>46204</v>
      </c>
      <c r="G215" s="97">
        <v>189</v>
      </c>
      <c r="H215" s="89">
        <f>IF(COUNTIFS(Pesagens!$B$3:$B$5001,$B215)=0,"",_xlfn.MAXIFS(Pesagens!$A$3:$A$5001,Pesagens!$B$3:$B$5001,$B215,Pesagens!$E$3:$E$5001,"&lt;&gt;"))</f>
        <v>46204</v>
      </c>
      <c r="I215" s="97">
        <f>IF($H215="","",IFERROR(AVERAGEIFS(Pesagens!$E$3:$E$5001,Pesagens!$B$3:$B$5001,$B215,Pesagens!$A$3:$A$5001,$H215),""))</f>
        <v>189</v>
      </c>
      <c r="J215" s="94">
        <f>IF(F215="","",Parâmetros!$C$4-F215)</f>
        <v>42</v>
      </c>
      <c r="K215" s="97">
        <f t="shared" si="6"/>
        <v>0</v>
      </c>
      <c r="L215" s="98" t="str">
        <f t="shared" si="7"/>
        <v/>
      </c>
      <c r="M215" s="99">
        <f>IF(I215="","",I215*Parâmetros!$C$8/15)</f>
        <v>6.6779999999999999</v>
      </c>
      <c r="N215" s="99">
        <f>IF(K215="","",K215*Parâmetros!$C$8/15)</f>
        <v>0</v>
      </c>
      <c r="O215" s="100">
        <f>IF(M215="","",M215*Parâmetros!$C$5)</f>
        <v>2070.1799999999998</v>
      </c>
      <c r="P215" s="94" t="str">
        <f>IF(L215="","",IF(L215&gt;=Parâmetros!$C$10,"Sim","Não"))</f>
        <v/>
      </c>
    </row>
    <row r="216" spans="1:16" ht="14.25" customHeight="1" x14ac:dyDescent="0.3">
      <c r="A216" s="94">
        <v>214</v>
      </c>
      <c r="B216" s="88" t="s">
        <v>140</v>
      </c>
      <c r="C216" s="88" t="s">
        <v>39</v>
      </c>
      <c r="D216" s="88" t="s">
        <v>617</v>
      </c>
      <c r="E216" s="87" t="s">
        <v>40</v>
      </c>
      <c r="F216" s="89">
        <v>46204</v>
      </c>
      <c r="G216" s="90">
        <v>267</v>
      </c>
      <c r="H216" s="89">
        <f>IF(COUNTIFS(Pesagens!$B$3:$B$5001,$B216)=0,"",_xlfn.MAXIFS(Pesagens!$A$3:$A$5001,Pesagens!$B$3:$B$5001,$B216,Pesagens!$E$3:$E$5001,"&lt;&gt;"))</f>
        <v>46204</v>
      </c>
      <c r="I216" s="90">
        <f>IF($H216="","",IFERROR(AVERAGEIFS(Pesagens!$E$3:$E$5001,Pesagens!$B$3:$B$5001,$B216,Pesagens!$A$3:$A$5001,$H216),""))</f>
        <v>267</v>
      </c>
      <c r="J216" s="87">
        <f>IF(F216="","",Parâmetros!$C$4-F216)</f>
        <v>42</v>
      </c>
      <c r="K216" s="90">
        <f t="shared" si="6"/>
        <v>0</v>
      </c>
      <c r="L216" s="91" t="str">
        <f t="shared" si="7"/>
        <v/>
      </c>
      <c r="M216" s="92">
        <f>IF(I216="","",I216*Parâmetros!$C$8/15)</f>
        <v>9.4340000000000011</v>
      </c>
      <c r="N216" s="92">
        <f>IF(K216="","",K216*Parâmetros!$C$8/15)</f>
        <v>0</v>
      </c>
      <c r="O216" s="93">
        <f>IF(M216="","",M216*Parâmetros!$C$5)</f>
        <v>2924.5400000000004</v>
      </c>
      <c r="P216" s="87" t="str">
        <f>IF(L216="","",IF(L216&gt;=Parâmetros!$C$10,"Sim","Não"))</f>
        <v/>
      </c>
    </row>
    <row r="217" spans="1:16" ht="14.25" customHeight="1" x14ac:dyDescent="0.3">
      <c r="A217" s="87">
        <v>215</v>
      </c>
      <c r="B217" s="95" t="s">
        <v>141</v>
      </c>
      <c r="C217" s="95" t="s">
        <v>39</v>
      </c>
      <c r="D217" s="95" t="s">
        <v>617</v>
      </c>
      <c r="E217" s="94" t="s">
        <v>40</v>
      </c>
      <c r="F217" s="96">
        <v>46204</v>
      </c>
      <c r="G217" s="97">
        <v>196</v>
      </c>
      <c r="H217" s="89">
        <f>IF(COUNTIFS(Pesagens!$B$3:$B$5001,$B217)=0,"",_xlfn.MAXIFS(Pesagens!$A$3:$A$5001,Pesagens!$B$3:$B$5001,$B217,Pesagens!$E$3:$E$5001,"&lt;&gt;"))</f>
        <v>46204</v>
      </c>
      <c r="I217" s="97">
        <f>IF($H217="","",IFERROR(AVERAGEIFS(Pesagens!$E$3:$E$5001,Pesagens!$B$3:$B$5001,$B217,Pesagens!$A$3:$A$5001,$H217),""))</f>
        <v>196</v>
      </c>
      <c r="J217" s="94">
        <f>IF(F217="","",Parâmetros!$C$4-F217)</f>
        <v>42</v>
      </c>
      <c r="K217" s="97">
        <f t="shared" si="6"/>
        <v>0</v>
      </c>
      <c r="L217" s="98" t="str">
        <f t="shared" si="7"/>
        <v/>
      </c>
      <c r="M217" s="99">
        <f>IF(I217="","",I217*Parâmetros!$C$8/15)</f>
        <v>6.9253333333333336</v>
      </c>
      <c r="N217" s="99">
        <f>IF(K217="","",K217*Parâmetros!$C$8/15)</f>
        <v>0</v>
      </c>
      <c r="O217" s="100">
        <f>IF(M217="","",M217*Parâmetros!$C$5)</f>
        <v>2146.8533333333335</v>
      </c>
      <c r="P217" s="94" t="str">
        <f>IF(L217="","",IF(L217&gt;=Parâmetros!$C$10,"Sim","Não"))</f>
        <v/>
      </c>
    </row>
    <row r="218" spans="1:16" ht="14.25" customHeight="1" x14ac:dyDescent="0.3">
      <c r="A218" s="94">
        <v>216</v>
      </c>
      <c r="B218" s="88" t="s">
        <v>142</v>
      </c>
      <c r="C218" s="88" t="s">
        <v>39</v>
      </c>
      <c r="D218" s="88" t="s">
        <v>617</v>
      </c>
      <c r="E218" s="87" t="s">
        <v>40</v>
      </c>
      <c r="F218" s="89">
        <v>46204</v>
      </c>
      <c r="G218" s="90">
        <v>227</v>
      </c>
      <c r="H218" s="89">
        <f>IF(COUNTIFS(Pesagens!$B$3:$B$5001,$B218)=0,"",_xlfn.MAXIFS(Pesagens!$A$3:$A$5001,Pesagens!$B$3:$B$5001,$B218,Pesagens!$E$3:$E$5001,"&lt;&gt;"))</f>
        <v>46204</v>
      </c>
      <c r="I218" s="90">
        <f>IF($H218="","",IFERROR(AVERAGEIFS(Pesagens!$E$3:$E$5001,Pesagens!$B$3:$B$5001,$B218,Pesagens!$A$3:$A$5001,$H218),""))</f>
        <v>227</v>
      </c>
      <c r="J218" s="87">
        <f>IF(F218="","",Parâmetros!$C$4-F218)</f>
        <v>42</v>
      </c>
      <c r="K218" s="90">
        <f t="shared" si="6"/>
        <v>0</v>
      </c>
      <c r="L218" s="91" t="str">
        <f t="shared" si="7"/>
        <v/>
      </c>
      <c r="M218" s="92">
        <f>IF(I218="","",I218*Parâmetros!$C$8/15)</f>
        <v>8.0206666666666671</v>
      </c>
      <c r="N218" s="92">
        <f>IF(K218="","",K218*Parâmetros!$C$8/15)</f>
        <v>0</v>
      </c>
      <c r="O218" s="93">
        <f>IF(M218="","",M218*Parâmetros!$C$5)</f>
        <v>2486.4066666666668</v>
      </c>
      <c r="P218" s="87" t="str">
        <f>IF(L218="","",IF(L218&gt;=Parâmetros!$C$10,"Sim","Não"))</f>
        <v/>
      </c>
    </row>
    <row r="219" spans="1:16" ht="14.25" customHeight="1" x14ac:dyDescent="0.3">
      <c r="A219" s="87">
        <v>217</v>
      </c>
      <c r="B219" s="95" t="s">
        <v>143</v>
      </c>
      <c r="C219" s="95" t="s">
        <v>39</v>
      </c>
      <c r="D219" s="95" t="s">
        <v>617</v>
      </c>
      <c r="E219" s="94" t="s">
        <v>40</v>
      </c>
      <c r="F219" s="96">
        <v>46204</v>
      </c>
      <c r="G219" s="97">
        <v>230</v>
      </c>
      <c r="H219" s="89">
        <f>IF(COUNTIFS(Pesagens!$B$3:$B$5001,$B219)=0,"",_xlfn.MAXIFS(Pesagens!$A$3:$A$5001,Pesagens!$B$3:$B$5001,$B219,Pesagens!$E$3:$E$5001,"&lt;&gt;"))</f>
        <v>46204</v>
      </c>
      <c r="I219" s="97">
        <f>IF($H219="","",IFERROR(AVERAGEIFS(Pesagens!$E$3:$E$5001,Pesagens!$B$3:$B$5001,$B219,Pesagens!$A$3:$A$5001,$H219),""))</f>
        <v>230</v>
      </c>
      <c r="J219" s="94">
        <f>IF(F219="","",Parâmetros!$C$4-F219)</f>
        <v>42</v>
      </c>
      <c r="K219" s="97">
        <f t="shared" si="6"/>
        <v>0</v>
      </c>
      <c r="L219" s="98" t="str">
        <f t="shared" si="7"/>
        <v/>
      </c>
      <c r="M219" s="99">
        <f>IF(I219="","",I219*Parâmetros!$C$8/15)</f>
        <v>8.1266666666666669</v>
      </c>
      <c r="N219" s="99">
        <f>IF(K219="","",K219*Parâmetros!$C$8/15)</f>
        <v>0</v>
      </c>
      <c r="O219" s="100">
        <f>IF(M219="","",M219*Parâmetros!$C$5)</f>
        <v>2519.2666666666669</v>
      </c>
      <c r="P219" s="94" t="str">
        <f>IF(L219="","",IF(L219&gt;=Parâmetros!$C$10,"Sim","Não"))</f>
        <v/>
      </c>
    </row>
    <row r="220" spans="1:16" ht="14.25" customHeight="1" x14ac:dyDescent="0.3">
      <c r="A220" s="94">
        <v>218</v>
      </c>
      <c r="B220" s="88" t="s">
        <v>144</v>
      </c>
      <c r="C220" s="88" t="s">
        <v>39</v>
      </c>
      <c r="D220" s="88" t="s">
        <v>617</v>
      </c>
      <c r="E220" s="87" t="s">
        <v>40</v>
      </c>
      <c r="F220" s="89">
        <v>46204</v>
      </c>
      <c r="G220" s="90">
        <v>213</v>
      </c>
      <c r="H220" s="89">
        <f>IF(COUNTIFS(Pesagens!$B$3:$B$5001,$B220)=0,"",_xlfn.MAXIFS(Pesagens!$A$3:$A$5001,Pesagens!$B$3:$B$5001,$B220,Pesagens!$E$3:$E$5001,"&lt;&gt;"))</f>
        <v>46204</v>
      </c>
      <c r="I220" s="90">
        <f>IF($H220="","",IFERROR(AVERAGEIFS(Pesagens!$E$3:$E$5001,Pesagens!$B$3:$B$5001,$B220,Pesagens!$A$3:$A$5001,$H220),""))</f>
        <v>213</v>
      </c>
      <c r="J220" s="87">
        <f>IF(F220="","",Parâmetros!$C$4-F220)</f>
        <v>42</v>
      </c>
      <c r="K220" s="90">
        <f t="shared" si="6"/>
        <v>0</v>
      </c>
      <c r="L220" s="91" t="str">
        <f t="shared" si="7"/>
        <v/>
      </c>
      <c r="M220" s="92">
        <f>IF(I220="","",I220*Parâmetros!$C$8/15)</f>
        <v>7.5259999999999998</v>
      </c>
      <c r="N220" s="92">
        <f>IF(K220="","",K220*Parâmetros!$C$8/15)</f>
        <v>0</v>
      </c>
      <c r="O220" s="93">
        <f>IF(M220="","",M220*Parâmetros!$C$5)</f>
        <v>2333.06</v>
      </c>
      <c r="P220" s="87" t="str">
        <f>IF(L220="","",IF(L220&gt;=Parâmetros!$C$10,"Sim","Não"))</f>
        <v/>
      </c>
    </row>
    <row r="221" spans="1:16" ht="14.25" customHeight="1" x14ac:dyDescent="0.3">
      <c r="A221" s="87">
        <v>219</v>
      </c>
      <c r="B221" s="95" t="s">
        <v>145</v>
      </c>
      <c r="C221" s="95" t="s">
        <v>39</v>
      </c>
      <c r="D221" s="95" t="s">
        <v>617</v>
      </c>
      <c r="E221" s="94" t="s">
        <v>40</v>
      </c>
      <c r="F221" s="96">
        <v>46204</v>
      </c>
      <c r="G221" s="97">
        <v>190</v>
      </c>
      <c r="H221" s="89">
        <f>IF(COUNTIFS(Pesagens!$B$3:$B$5001,$B221)=0,"",_xlfn.MAXIFS(Pesagens!$A$3:$A$5001,Pesagens!$B$3:$B$5001,$B221,Pesagens!$E$3:$E$5001,"&lt;&gt;"))</f>
        <v>46204</v>
      </c>
      <c r="I221" s="97">
        <f>IF($H221="","",IFERROR(AVERAGEIFS(Pesagens!$E$3:$E$5001,Pesagens!$B$3:$B$5001,$B221,Pesagens!$A$3:$A$5001,$H221),""))</f>
        <v>190</v>
      </c>
      <c r="J221" s="94">
        <f>IF(F221="","",Parâmetros!$C$4-F221)</f>
        <v>42</v>
      </c>
      <c r="K221" s="97">
        <f t="shared" si="6"/>
        <v>0</v>
      </c>
      <c r="L221" s="98" t="str">
        <f t="shared" si="7"/>
        <v/>
      </c>
      <c r="M221" s="99">
        <f>IF(I221="","",I221*Parâmetros!$C$8/15)</f>
        <v>6.7133333333333338</v>
      </c>
      <c r="N221" s="99">
        <f>IF(K221="","",K221*Parâmetros!$C$8/15)</f>
        <v>0</v>
      </c>
      <c r="O221" s="100">
        <f>IF(M221="","",M221*Parâmetros!$C$5)</f>
        <v>2081.1333333333337</v>
      </c>
      <c r="P221" s="94" t="str">
        <f>IF(L221="","",IF(L221&gt;=Parâmetros!$C$10,"Sim","Não"))</f>
        <v/>
      </c>
    </row>
    <row r="222" spans="1:16" ht="14.25" customHeight="1" x14ac:dyDescent="0.3">
      <c r="A222" s="94">
        <v>220</v>
      </c>
      <c r="B222" s="88" t="s">
        <v>146</v>
      </c>
      <c r="C222" s="88" t="s">
        <v>39</v>
      </c>
      <c r="D222" s="88" t="s">
        <v>617</v>
      </c>
      <c r="E222" s="87" t="s">
        <v>40</v>
      </c>
      <c r="F222" s="89">
        <v>46204</v>
      </c>
      <c r="G222" s="90">
        <v>190</v>
      </c>
      <c r="H222" s="89">
        <f>IF(COUNTIFS(Pesagens!$B$3:$B$5001,$B222)=0,"",_xlfn.MAXIFS(Pesagens!$A$3:$A$5001,Pesagens!$B$3:$B$5001,$B222,Pesagens!$E$3:$E$5001,"&lt;&gt;"))</f>
        <v>46204</v>
      </c>
      <c r="I222" s="90">
        <f>IF($H222="","",IFERROR(AVERAGEIFS(Pesagens!$E$3:$E$5001,Pesagens!$B$3:$B$5001,$B222,Pesagens!$A$3:$A$5001,$H222),""))</f>
        <v>190</v>
      </c>
      <c r="J222" s="87">
        <f>IF(F222="","",Parâmetros!$C$4-F222)</f>
        <v>42</v>
      </c>
      <c r="K222" s="90">
        <f t="shared" si="6"/>
        <v>0</v>
      </c>
      <c r="L222" s="91" t="str">
        <f t="shared" si="7"/>
        <v/>
      </c>
      <c r="M222" s="92">
        <f>IF(I222="","",I222*Parâmetros!$C$8/15)</f>
        <v>6.7133333333333338</v>
      </c>
      <c r="N222" s="92">
        <f>IF(K222="","",K222*Parâmetros!$C$8/15)</f>
        <v>0</v>
      </c>
      <c r="O222" s="93">
        <f>IF(M222="","",M222*Parâmetros!$C$5)</f>
        <v>2081.1333333333337</v>
      </c>
      <c r="P222" s="87" t="str">
        <f>IF(L222="","",IF(L222&gt;=Parâmetros!$C$10,"Sim","Não"))</f>
        <v/>
      </c>
    </row>
    <row r="223" spans="1:16" ht="14.25" customHeight="1" x14ac:dyDescent="0.3">
      <c r="A223" s="87">
        <v>221</v>
      </c>
      <c r="B223" s="95" t="s">
        <v>147</v>
      </c>
      <c r="C223" s="95" t="s">
        <v>39</v>
      </c>
      <c r="D223" s="95" t="s">
        <v>617</v>
      </c>
      <c r="E223" s="94" t="s">
        <v>40</v>
      </c>
      <c r="F223" s="96">
        <v>46204</v>
      </c>
      <c r="G223" s="97">
        <v>148</v>
      </c>
      <c r="H223" s="89">
        <f>IF(COUNTIFS(Pesagens!$B$3:$B$5001,$B223)=0,"",_xlfn.MAXIFS(Pesagens!$A$3:$A$5001,Pesagens!$B$3:$B$5001,$B223,Pesagens!$E$3:$E$5001,"&lt;&gt;"))</f>
        <v>46204</v>
      </c>
      <c r="I223" s="97">
        <f>IF($H223="","",IFERROR(AVERAGEIFS(Pesagens!$E$3:$E$5001,Pesagens!$B$3:$B$5001,$B223,Pesagens!$A$3:$A$5001,$H223),""))</f>
        <v>148</v>
      </c>
      <c r="J223" s="94">
        <f>IF(F223="","",Parâmetros!$C$4-F223)</f>
        <v>42</v>
      </c>
      <c r="K223" s="97">
        <f t="shared" si="6"/>
        <v>0</v>
      </c>
      <c r="L223" s="98" t="str">
        <f t="shared" si="7"/>
        <v/>
      </c>
      <c r="M223" s="99">
        <f>IF(I223="","",I223*Parâmetros!$C$8/15)</f>
        <v>5.2293333333333329</v>
      </c>
      <c r="N223" s="99">
        <f>IF(K223="","",K223*Parâmetros!$C$8/15)</f>
        <v>0</v>
      </c>
      <c r="O223" s="100">
        <f>IF(M223="","",M223*Parâmetros!$C$5)</f>
        <v>1621.0933333333332</v>
      </c>
      <c r="P223" s="94" t="str">
        <f>IF(L223="","",IF(L223&gt;=Parâmetros!$C$10,"Sim","Não"))</f>
        <v/>
      </c>
    </row>
    <row r="224" spans="1:16" ht="14.25" customHeight="1" x14ac:dyDescent="0.3">
      <c r="A224" s="94">
        <v>222</v>
      </c>
      <c r="B224" s="88" t="s">
        <v>148</v>
      </c>
      <c r="C224" s="88" t="s">
        <v>39</v>
      </c>
      <c r="D224" s="88" t="s">
        <v>617</v>
      </c>
      <c r="E224" s="87" t="s">
        <v>40</v>
      </c>
      <c r="F224" s="89">
        <v>46204</v>
      </c>
      <c r="G224" s="90">
        <v>189</v>
      </c>
      <c r="H224" s="89">
        <f>IF(COUNTIFS(Pesagens!$B$3:$B$5001,$B224)=0,"",_xlfn.MAXIFS(Pesagens!$A$3:$A$5001,Pesagens!$B$3:$B$5001,$B224,Pesagens!$E$3:$E$5001,"&lt;&gt;"))</f>
        <v>46204</v>
      </c>
      <c r="I224" s="90">
        <f>IF($H224="","",IFERROR(AVERAGEIFS(Pesagens!$E$3:$E$5001,Pesagens!$B$3:$B$5001,$B224,Pesagens!$A$3:$A$5001,$H224),""))</f>
        <v>189</v>
      </c>
      <c r="J224" s="87">
        <f>IF(F224="","",Parâmetros!$C$4-F224)</f>
        <v>42</v>
      </c>
      <c r="K224" s="90">
        <f t="shared" si="6"/>
        <v>0</v>
      </c>
      <c r="L224" s="91" t="str">
        <f t="shared" si="7"/>
        <v/>
      </c>
      <c r="M224" s="92">
        <f>IF(I224="","",I224*Parâmetros!$C$8/15)</f>
        <v>6.6779999999999999</v>
      </c>
      <c r="N224" s="92">
        <f>IF(K224="","",K224*Parâmetros!$C$8/15)</f>
        <v>0</v>
      </c>
      <c r="O224" s="93">
        <f>IF(M224="","",M224*Parâmetros!$C$5)</f>
        <v>2070.1799999999998</v>
      </c>
      <c r="P224" s="87" t="str">
        <f>IF(L224="","",IF(L224&gt;=Parâmetros!$C$10,"Sim","Não"))</f>
        <v/>
      </c>
    </row>
    <row r="225" spans="1:16" ht="14.25" customHeight="1" x14ac:dyDescent="0.3">
      <c r="A225" s="87">
        <v>223</v>
      </c>
      <c r="B225" s="95" t="s">
        <v>149</v>
      </c>
      <c r="C225" s="95" t="s">
        <v>39</v>
      </c>
      <c r="D225" s="95" t="s">
        <v>617</v>
      </c>
      <c r="E225" s="94" t="s">
        <v>40</v>
      </c>
      <c r="F225" s="96">
        <v>46204</v>
      </c>
      <c r="G225" s="97">
        <v>154</v>
      </c>
      <c r="H225" s="89">
        <f>IF(COUNTIFS(Pesagens!$B$3:$B$5001,$B225)=0,"",_xlfn.MAXIFS(Pesagens!$A$3:$A$5001,Pesagens!$B$3:$B$5001,$B225,Pesagens!$E$3:$E$5001,"&lt;&gt;"))</f>
        <v>46204</v>
      </c>
      <c r="I225" s="97">
        <f>IF($H225="","",IFERROR(AVERAGEIFS(Pesagens!$E$3:$E$5001,Pesagens!$B$3:$B$5001,$B225,Pesagens!$A$3:$A$5001,$H225),""))</f>
        <v>154</v>
      </c>
      <c r="J225" s="94">
        <f>IF(F225="","",Parâmetros!$C$4-F225)</f>
        <v>42</v>
      </c>
      <c r="K225" s="97">
        <f t="shared" si="6"/>
        <v>0</v>
      </c>
      <c r="L225" s="98" t="str">
        <f t="shared" si="7"/>
        <v/>
      </c>
      <c r="M225" s="99">
        <f>IF(I225="","",I225*Parâmetros!$C$8/15)</f>
        <v>5.4413333333333336</v>
      </c>
      <c r="N225" s="99">
        <f>IF(K225="","",K225*Parâmetros!$C$8/15)</f>
        <v>0</v>
      </c>
      <c r="O225" s="100">
        <f>IF(M225="","",M225*Parâmetros!$C$5)</f>
        <v>1686.8133333333335</v>
      </c>
      <c r="P225" s="94" t="str">
        <f>IF(L225="","",IF(L225&gt;=Parâmetros!$C$10,"Sim","Não"))</f>
        <v/>
      </c>
    </row>
    <row r="226" spans="1:16" ht="14.25" customHeight="1" x14ac:dyDescent="0.3">
      <c r="A226" s="94">
        <v>224</v>
      </c>
      <c r="B226" s="88" t="s">
        <v>150</v>
      </c>
      <c r="C226" s="88" t="s">
        <v>39</v>
      </c>
      <c r="D226" s="88" t="s">
        <v>617</v>
      </c>
      <c r="E226" s="87" t="s">
        <v>40</v>
      </c>
      <c r="F226" s="89">
        <v>46204</v>
      </c>
      <c r="G226" s="90">
        <v>194</v>
      </c>
      <c r="H226" s="89">
        <f>IF(COUNTIFS(Pesagens!$B$3:$B$5001,$B226)=0,"",_xlfn.MAXIFS(Pesagens!$A$3:$A$5001,Pesagens!$B$3:$B$5001,$B226,Pesagens!$E$3:$E$5001,"&lt;&gt;"))</f>
        <v>46204</v>
      </c>
      <c r="I226" s="90">
        <f>IF($H226="","",IFERROR(AVERAGEIFS(Pesagens!$E$3:$E$5001,Pesagens!$B$3:$B$5001,$B226,Pesagens!$A$3:$A$5001,$H226),""))</f>
        <v>194</v>
      </c>
      <c r="J226" s="87">
        <f>IF(F226="","",Parâmetros!$C$4-F226)</f>
        <v>42</v>
      </c>
      <c r="K226" s="90">
        <f t="shared" si="6"/>
        <v>0</v>
      </c>
      <c r="L226" s="91" t="str">
        <f t="shared" si="7"/>
        <v/>
      </c>
      <c r="M226" s="92">
        <f>IF(I226="","",I226*Parâmetros!$C$8/15)</f>
        <v>6.8546666666666676</v>
      </c>
      <c r="N226" s="92">
        <f>IF(K226="","",K226*Parâmetros!$C$8/15)</f>
        <v>0</v>
      </c>
      <c r="O226" s="93">
        <f>IF(M226="","",M226*Parâmetros!$C$5)</f>
        <v>2124.9466666666672</v>
      </c>
      <c r="P226" s="87" t="str">
        <f>IF(L226="","",IF(L226&gt;=Parâmetros!$C$10,"Sim","Não"))</f>
        <v/>
      </c>
    </row>
    <row r="227" spans="1:16" ht="14.25" customHeight="1" x14ac:dyDescent="0.3">
      <c r="A227" s="87">
        <v>225</v>
      </c>
      <c r="B227" s="95" t="s">
        <v>151</v>
      </c>
      <c r="C227" s="95" t="s">
        <v>39</v>
      </c>
      <c r="D227" s="95" t="s">
        <v>617</v>
      </c>
      <c r="E227" s="94" t="s">
        <v>40</v>
      </c>
      <c r="F227" s="96">
        <v>46204</v>
      </c>
      <c r="G227" s="97">
        <v>211</v>
      </c>
      <c r="H227" s="89">
        <f>IF(COUNTIFS(Pesagens!$B$3:$B$5001,$B227)=0,"",_xlfn.MAXIFS(Pesagens!$A$3:$A$5001,Pesagens!$B$3:$B$5001,$B227,Pesagens!$E$3:$E$5001,"&lt;&gt;"))</f>
        <v>46204</v>
      </c>
      <c r="I227" s="97">
        <f>IF($H227="","",IFERROR(AVERAGEIFS(Pesagens!$E$3:$E$5001,Pesagens!$B$3:$B$5001,$B227,Pesagens!$A$3:$A$5001,$H227),""))</f>
        <v>211</v>
      </c>
      <c r="J227" s="94">
        <f>IF(F227="","",Parâmetros!$C$4-F227)</f>
        <v>42</v>
      </c>
      <c r="K227" s="97">
        <f t="shared" si="6"/>
        <v>0</v>
      </c>
      <c r="L227" s="98" t="str">
        <f t="shared" si="7"/>
        <v/>
      </c>
      <c r="M227" s="99">
        <f>IF(I227="","",I227*Parâmetros!$C$8/15)</f>
        <v>7.4553333333333338</v>
      </c>
      <c r="N227" s="99">
        <f>IF(K227="","",K227*Parâmetros!$C$8/15)</f>
        <v>0</v>
      </c>
      <c r="O227" s="100">
        <f>IF(M227="","",M227*Parâmetros!$C$5)</f>
        <v>2311.1533333333336</v>
      </c>
      <c r="P227" s="94" t="str">
        <f>IF(L227="","",IF(L227&gt;=Parâmetros!$C$10,"Sim","Não"))</f>
        <v/>
      </c>
    </row>
    <row r="228" spans="1:16" ht="14.25" customHeight="1" x14ac:dyDescent="0.3">
      <c r="A228" s="94">
        <v>226</v>
      </c>
      <c r="B228" s="88" t="s">
        <v>152</v>
      </c>
      <c r="C228" s="88" t="s">
        <v>39</v>
      </c>
      <c r="D228" s="88" t="s">
        <v>617</v>
      </c>
      <c r="E228" s="87" t="s">
        <v>40</v>
      </c>
      <c r="F228" s="89">
        <v>46204</v>
      </c>
      <c r="G228" s="90">
        <v>200</v>
      </c>
      <c r="H228" s="89">
        <f>IF(COUNTIFS(Pesagens!$B$3:$B$5001,$B228)=0,"",_xlfn.MAXIFS(Pesagens!$A$3:$A$5001,Pesagens!$B$3:$B$5001,$B228,Pesagens!$E$3:$E$5001,"&lt;&gt;"))</f>
        <v>46204</v>
      </c>
      <c r="I228" s="90">
        <f>IF($H228="","",IFERROR(AVERAGEIFS(Pesagens!$E$3:$E$5001,Pesagens!$B$3:$B$5001,$B228,Pesagens!$A$3:$A$5001,$H228),""))</f>
        <v>200</v>
      </c>
      <c r="J228" s="87">
        <f>IF(F228="","",Parâmetros!$C$4-F228)</f>
        <v>42</v>
      </c>
      <c r="K228" s="90">
        <f t="shared" si="6"/>
        <v>0</v>
      </c>
      <c r="L228" s="91" t="str">
        <f t="shared" si="7"/>
        <v/>
      </c>
      <c r="M228" s="92">
        <f>IF(I228="","",I228*Parâmetros!$C$8/15)</f>
        <v>7.0666666666666664</v>
      </c>
      <c r="N228" s="92">
        <f>IF(K228="","",K228*Parâmetros!$C$8/15)</f>
        <v>0</v>
      </c>
      <c r="O228" s="93">
        <f>IF(M228="","",M228*Parâmetros!$C$5)</f>
        <v>2190.6666666666665</v>
      </c>
      <c r="P228" s="87" t="str">
        <f>IF(L228="","",IF(L228&gt;=Parâmetros!$C$10,"Sim","Não"))</f>
        <v/>
      </c>
    </row>
    <row r="229" spans="1:16" ht="14.25" customHeight="1" x14ac:dyDescent="0.3">
      <c r="A229" s="87">
        <v>227</v>
      </c>
      <c r="B229" s="95" t="s">
        <v>153</v>
      </c>
      <c r="C229" s="95" t="s">
        <v>39</v>
      </c>
      <c r="D229" s="95" t="s">
        <v>617</v>
      </c>
      <c r="E229" s="94" t="s">
        <v>40</v>
      </c>
      <c r="F229" s="96">
        <v>46204</v>
      </c>
      <c r="G229" s="97">
        <v>168</v>
      </c>
      <c r="H229" s="89">
        <f>IF(COUNTIFS(Pesagens!$B$3:$B$5001,$B229)=0,"",_xlfn.MAXIFS(Pesagens!$A$3:$A$5001,Pesagens!$B$3:$B$5001,$B229,Pesagens!$E$3:$E$5001,"&lt;&gt;"))</f>
        <v>46204</v>
      </c>
      <c r="I229" s="97">
        <f>IF($H229="","",IFERROR(AVERAGEIFS(Pesagens!$E$3:$E$5001,Pesagens!$B$3:$B$5001,$B229,Pesagens!$A$3:$A$5001,$H229),""))</f>
        <v>168</v>
      </c>
      <c r="J229" s="94">
        <f>IF(F229="","",Parâmetros!$C$4-F229)</f>
        <v>42</v>
      </c>
      <c r="K229" s="97">
        <f t="shared" si="6"/>
        <v>0</v>
      </c>
      <c r="L229" s="98" t="str">
        <f t="shared" si="7"/>
        <v/>
      </c>
      <c r="M229" s="99">
        <f>IF(I229="","",I229*Parâmetros!$C$8/15)</f>
        <v>5.9360000000000008</v>
      </c>
      <c r="N229" s="99">
        <f>IF(K229="","",K229*Parâmetros!$C$8/15)</f>
        <v>0</v>
      </c>
      <c r="O229" s="100">
        <f>IF(M229="","",M229*Parâmetros!$C$5)</f>
        <v>1840.1600000000003</v>
      </c>
      <c r="P229" s="94" t="str">
        <f>IF(L229="","",IF(L229&gt;=Parâmetros!$C$10,"Sim","Não"))</f>
        <v/>
      </c>
    </row>
    <row r="230" spans="1:16" ht="14.25" customHeight="1" x14ac:dyDescent="0.3">
      <c r="A230" s="94">
        <v>228</v>
      </c>
      <c r="B230" s="88" t="s">
        <v>154</v>
      </c>
      <c r="C230" s="88" t="s">
        <v>39</v>
      </c>
      <c r="D230" s="88" t="s">
        <v>617</v>
      </c>
      <c r="E230" s="87" t="s">
        <v>40</v>
      </c>
      <c r="F230" s="89">
        <v>46204</v>
      </c>
      <c r="G230" s="90">
        <v>241</v>
      </c>
      <c r="H230" s="89">
        <f>IF(COUNTIFS(Pesagens!$B$3:$B$5001,$B230)=0,"",_xlfn.MAXIFS(Pesagens!$A$3:$A$5001,Pesagens!$B$3:$B$5001,$B230,Pesagens!$E$3:$E$5001,"&lt;&gt;"))</f>
        <v>46204</v>
      </c>
      <c r="I230" s="90">
        <f>IF($H230="","",IFERROR(AVERAGEIFS(Pesagens!$E$3:$E$5001,Pesagens!$B$3:$B$5001,$B230,Pesagens!$A$3:$A$5001,$H230),""))</f>
        <v>241</v>
      </c>
      <c r="J230" s="87">
        <f>IF(F230="","",Parâmetros!$C$4-F230)</f>
        <v>42</v>
      </c>
      <c r="K230" s="90">
        <f t="shared" si="6"/>
        <v>0</v>
      </c>
      <c r="L230" s="91" t="str">
        <f t="shared" si="7"/>
        <v/>
      </c>
      <c r="M230" s="92">
        <f>IF(I230="","",I230*Parâmetros!$C$8/15)</f>
        <v>8.5153333333333343</v>
      </c>
      <c r="N230" s="92">
        <f>IF(K230="","",K230*Parâmetros!$C$8/15)</f>
        <v>0</v>
      </c>
      <c r="O230" s="93">
        <f>IF(M230="","",M230*Parâmetros!$C$5)</f>
        <v>2639.7533333333336</v>
      </c>
      <c r="P230" s="87" t="str">
        <f>IF(L230="","",IF(L230&gt;=Parâmetros!$C$10,"Sim","Não"))</f>
        <v/>
      </c>
    </row>
    <row r="231" spans="1:16" ht="14.25" customHeight="1" x14ac:dyDescent="0.3">
      <c r="A231" s="87">
        <v>229</v>
      </c>
      <c r="B231" s="95" t="s">
        <v>155</v>
      </c>
      <c r="C231" s="95" t="s">
        <v>39</v>
      </c>
      <c r="D231" s="95" t="s">
        <v>617</v>
      </c>
      <c r="E231" s="94" t="s">
        <v>40</v>
      </c>
      <c r="F231" s="96">
        <v>46204</v>
      </c>
      <c r="G231" s="97">
        <v>195</v>
      </c>
      <c r="H231" s="89">
        <f>IF(COUNTIFS(Pesagens!$B$3:$B$5001,$B231)=0,"",_xlfn.MAXIFS(Pesagens!$A$3:$A$5001,Pesagens!$B$3:$B$5001,$B231,Pesagens!$E$3:$E$5001,"&lt;&gt;"))</f>
        <v>46204</v>
      </c>
      <c r="I231" s="97">
        <f>IF($H231="","",IFERROR(AVERAGEIFS(Pesagens!$E$3:$E$5001,Pesagens!$B$3:$B$5001,$B231,Pesagens!$A$3:$A$5001,$H231),""))</f>
        <v>195</v>
      </c>
      <c r="J231" s="94">
        <f>IF(F231="","",Parâmetros!$C$4-F231)</f>
        <v>42</v>
      </c>
      <c r="K231" s="97">
        <f t="shared" si="6"/>
        <v>0</v>
      </c>
      <c r="L231" s="98" t="str">
        <f t="shared" si="7"/>
        <v/>
      </c>
      <c r="M231" s="99">
        <f>IF(I231="","",I231*Parâmetros!$C$8/15)</f>
        <v>6.8900000000000006</v>
      </c>
      <c r="N231" s="99">
        <f>IF(K231="","",K231*Parâmetros!$C$8/15)</f>
        <v>0</v>
      </c>
      <c r="O231" s="100">
        <f>IF(M231="","",M231*Parâmetros!$C$5)</f>
        <v>2135.9</v>
      </c>
      <c r="P231" s="94" t="str">
        <f>IF(L231="","",IF(L231&gt;=Parâmetros!$C$10,"Sim","Não"))</f>
        <v/>
      </c>
    </row>
    <row r="232" spans="1:16" ht="14.25" customHeight="1" x14ac:dyDescent="0.3">
      <c r="A232" s="94">
        <v>230</v>
      </c>
      <c r="B232" s="88" t="s">
        <v>156</v>
      </c>
      <c r="C232" s="88" t="s">
        <v>39</v>
      </c>
      <c r="D232" s="88" t="s">
        <v>617</v>
      </c>
      <c r="E232" s="87" t="s">
        <v>40</v>
      </c>
      <c r="F232" s="89">
        <v>46204</v>
      </c>
      <c r="G232" s="90">
        <v>302</v>
      </c>
      <c r="H232" s="89">
        <f>IF(COUNTIFS(Pesagens!$B$3:$B$5001,$B232)=0,"",_xlfn.MAXIFS(Pesagens!$A$3:$A$5001,Pesagens!$B$3:$B$5001,$B232,Pesagens!$E$3:$E$5001,"&lt;&gt;"))</f>
        <v>46204</v>
      </c>
      <c r="I232" s="90">
        <f>IF($H232="","",IFERROR(AVERAGEIFS(Pesagens!$E$3:$E$5001,Pesagens!$B$3:$B$5001,$B232,Pesagens!$A$3:$A$5001,$H232),""))</f>
        <v>302</v>
      </c>
      <c r="J232" s="87">
        <f>IF(F232="","",Parâmetros!$C$4-F232)</f>
        <v>42</v>
      </c>
      <c r="K232" s="90">
        <f t="shared" si="6"/>
        <v>0</v>
      </c>
      <c r="L232" s="91" t="str">
        <f t="shared" si="7"/>
        <v/>
      </c>
      <c r="M232" s="92">
        <f>IF(I232="","",I232*Parâmetros!$C$8/15)</f>
        <v>10.670666666666667</v>
      </c>
      <c r="N232" s="92">
        <f>IF(K232="","",K232*Parâmetros!$C$8/15)</f>
        <v>0</v>
      </c>
      <c r="O232" s="93">
        <f>IF(M232="","",M232*Parâmetros!$C$5)</f>
        <v>3307.9066666666668</v>
      </c>
      <c r="P232" s="87" t="str">
        <f>IF(L232="","",IF(L232&gt;=Parâmetros!$C$10,"Sim","Não"))</f>
        <v/>
      </c>
    </row>
    <row r="233" spans="1:16" ht="14.25" customHeight="1" x14ac:dyDescent="0.3">
      <c r="A233" s="87">
        <v>231</v>
      </c>
      <c r="B233" s="95" t="s">
        <v>157</v>
      </c>
      <c r="C233" s="95" t="s">
        <v>39</v>
      </c>
      <c r="D233" s="95" t="s">
        <v>617</v>
      </c>
      <c r="E233" s="94" t="s">
        <v>40</v>
      </c>
      <c r="F233" s="96">
        <v>46204</v>
      </c>
      <c r="G233" s="97">
        <v>232</v>
      </c>
      <c r="H233" s="89">
        <f>IF(COUNTIFS(Pesagens!$B$3:$B$5001,$B233)=0,"",_xlfn.MAXIFS(Pesagens!$A$3:$A$5001,Pesagens!$B$3:$B$5001,$B233,Pesagens!$E$3:$E$5001,"&lt;&gt;"))</f>
        <v>46204</v>
      </c>
      <c r="I233" s="97">
        <f>IF($H233="","",IFERROR(AVERAGEIFS(Pesagens!$E$3:$E$5001,Pesagens!$B$3:$B$5001,$B233,Pesagens!$A$3:$A$5001,$H233),""))</f>
        <v>232</v>
      </c>
      <c r="J233" s="94">
        <f>IF(F233="","",Parâmetros!$C$4-F233)</f>
        <v>42</v>
      </c>
      <c r="K233" s="97">
        <f t="shared" si="6"/>
        <v>0</v>
      </c>
      <c r="L233" s="98" t="str">
        <f t="shared" si="7"/>
        <v/>
      </c>
      <c r="M233" s="99">
        <f>IF(I233="","",I233*Parâmetros!$C$8/15)</f>
        <v>8.1973333333333347</v>
      </c>
      <c r="N233" s="99">
        <f>IF(K233="","",K233*Parâmetros!$C$8/15)</f>
        <v>0</v>
      </c>
      <c r="O233" s="100">
        <f>IF(M233="","",M233*Parâmetros!$C$5)</f>
        <v>2541.1733333333336</v>
      </c>
      <c r="P233" s="94" t="str">
        <f>IF(L233="","",IF(L233&gt;=Parâmetros!$C$10,"Sim","Não"))</f>
        <v/>
      </c>
    </row>
    <row r="234" spans="1:16" ht="14.25" customHeight="1" x14ac:dyDescent="0.3">
      <c r="A234" s="94">
        <v>232</v>
      </c>
      <c r="B234" s="88" t="s">
        <v>158</v>
      </c>
      <c r="C234" s="88" t="s">
        <v>39</v>
      </c>
      <c r="D234" s="88" t="s">
        <v>617</v>
      </c>
      <c r="E234" s="87" t="s">
        <v>40</v>
      </c>
      <c r="F234" s="89">
        <v>46204</v>
      </c>
      <c r="G234" s="90">
        <v>235</v>
      </c>
      <c r="H234" s="89">
        <f>IF(COUNTIFS(Pesagens!$B$3:$B$5001,$B234)=0,"",_xlfn.MAXIFS(Pesagens!$A$3:$A$5001,Pesagens!$B$3:$B$5001,$B234,Pesagens!$E$3:$E$5001,"&lt;&gt;"))</f>
        <v>46204</v>
      </c>
      <c r="I234" s="90">
        <f>IF($H234="","",IFERROR(AVERAGEIFS(Pesagens!$E$3:$E$5001,Pesagens!$B$3:$B$5001,$B234,Pesagens!$A$3:$A$5001,$H234),""))</f>
        <v>235</v>
      </c>
      <c r="J234" s="87">
        <f>IF(F234="","",Parâmetros!$C$4-F234)</f>
        <v>42</v>
      </c>
      <c r="K234" s="90">
        <f t="shared" si="6"/>
        <v>0</v>
      </c>
      <c r="L234" s="91" t="str">
        <f t="shared" si="7"/>
        <v/>
      </c>
      <c r="M234" s="92">
        <f>IF(I234="","",I234*Parâmetros!$C$8/15)</f>
        <v>8.3033333333333346</v>
      </c>
      <c r="N234" s="92">
        <f>IF(K234="","",K234*Parâmetros!$C$8/15)</f>
        <v>0</v>
      </c>
      <c r="O234" s="93">
        <f>IF(M234="","",M234*Parâmetros!$C$5)</f>
        <v>2574.0333333333338</v>
      </c>
      <c r="P234" s="87" t="str">
        <f>IF(L234="","",IF(L234&gt;=Parâmetros!$C$10,"Sim","Não"))</f>
        <v/>
      </c>
    </row>
    <row r="235" spans="1:16" ht="14.25" customHeight="1" x14ac:dyDescent="0.3">
      <c r="A235" s="87">
        <v>233</v>
      </c>
      <c r="B235" s="95" t="s">
        <v>159</v>
      </c>
      <c r="C235" s="95" t="s">
        <v>39</v>
      </c>
      <c r="D235" s="95" t="s">
        <v>617</v>
      </c>
      <c r="E235" s="94" t="s">
        <v>40</v>
      </c>
      <c r="F235" s="96">
        <v>46204</v>
      </c>
      <c r="G235" s="97">
        <v>198</v>
      </c>
      <c r="H235" s="89">
        <f>IF(COUNTIFS(Pesagens!$B$3:$B$5001,$B235)=0,"",_xlfn.MAXIFS(Pesagens!$A$3:$A$5001,Pesagens!$B$3:$B$5001,$B235,Pesagens!$E$3:$E$5001,"&lt;&gt;"))</f>
        <v>46204</v>
      </c>
      <c r="I235" s="97">
        <f>IF($H235="","",IFERROR(AVERAGEIFS(Pesagens!$E$3:$E$5001,Pesagens!$B$3:$B$5001,$B235,Pesagens!$A$3:$A$5001,$H235),""))</f>
        <v>198</v>
      </c>
      <c r="J235" s="94">
        <f>IF(F235="","",Parâmetros!$C$4-F235)</f>
        <v>42</v>
      </c>
      <c r="K235" s="97">
        <f t="shared" si="6"/>
        <v>0</v>
      </c>
      <c r="L235" s="98" t="str">
        <f t="shared" si="7"/>
        <v/>
      </c>
      <c r="M235" s="99">
        <f>IF(I235="","",I235*Parâmetros!$C$8/15)</f>
        <v>6.9960000000000004</v>
      </c>
      <c r="N235" s="99">
        <f>IF(K235="","",K235*Parâmetros!$C$8/15)</f>
        <v>0</v>
      </c>
      <c r="O235" s="100">
        <f>IF(M235="","",M235*Parâmetros!$C$5)</f>
        <v>2168.7600000000002</v>
      </c>
      <c r="P235" s="94" t="str">
        <f>IF(L235="","",IF(L235&gt;=Parâmetros!$C$10,"Sim","Não"))</f>
        <v/>
      </c>
    </row>
    <row r="236" spans="1:16" ht="14.25" customHeight="1" x14ac:dyDescent="0.3">
      <c r="A236" s="94">
        <v>234</v>
      </c>
      <c r="B236" s="88" t="s">
        <v>160</v>
      </c>
      <c r="C236" s="88" t="s">
        <v>39</v>
      </c>
      <c r="D236" s="88" t="s">
        <v>617</v>
      </c>
      <c r="E236" s="87" t="s">
        <v>40</v>
      </c>
      <c r="F236" s="89">
        <v>46204</v>
      </c>
      <c r="G236" s="90">
        <v>283</v>
      </c>
      <c r="H236" s="89">
        <f>IF(COUNTIFS(Pesagens!$B$3:$B$5001,$B236)=0,"",_xlfn.MAXIFS(Pesagens!$A$3:$A$5001,Pesagens!$B$3:$B$5001,$B236,Pesagens!$E$3:$E$5001,"&lt;&gt;"))</f>
        <v>46204</v>
      </c>
      <c r="I236" s="90">
        <f>IF($H236="","",IFERROR(AVERAGEIFS(Pesagens!$E$3:$E$5001,Pesagens!$B$3:$B$5001,$B236,Pesagens!$A$3:$A$5001,$H236),""))</f>
        <v>283</v>
      </c>
      <c r="J236" s="87">
        <f>IF(F236="","",Parâmetros!$C$4-F236)</f>
        <v>42</v>
      </c>
      <c r="K236" s="90">
        <f t="shared" si="6"/>
        <v>0</v>
      </c>
      <c r="L236" s="91" t="str">
        <f t="shared" si="7"/>
        <v/>
      </c>
      <c r="M236" s="92">
        <f>IF(I236="","",I236*Parâmetros!$C$8/15)</f>
        <v>9.9993333333333343</v>
      </c>
      <c r="N236" s="92">
        <f>IF(K236="","",K236*Parâmetros!$C$8/15)</f>
        <v>0</v>
      </c>
      <c r="O236" s="93">
        <f>IF(M236="","",M236*Parâmetros!$C$5)</f>
        <v>3099.7933333333335</v>
      </c>
      <c r="P236" s="87" t="str">
        <f>IF(L236="","",IF(L236&gt;=Parâmetros!$C$10,"Sim","Não"))</f>
        <v/>
      </c>
    </row>
    <row r="237" spans="1:16" ht="14.25" customHeight="1" x14ac:dyDescent="0.3">
      <c r="A237" s="87">
        <v>235</v>
      </c>
      <c r="B237" s="95" t="s">
        <v>161</v>
      </c>
      <c r="C237" s="95" t="s">
        <v>39</v>
      </c>
      <c r="D237" s="95" t="s">
        <v>617</v>
      </c>
      <c r="E237" s="94" t="s">
        <v>40</v>
      </c>
      <c r="F237" s="96">
        <v>46204</v>
      </c>
      <c r="G237" s="97">
        <v>248</v>
      </c>
      <c r="H237" s="89">
        <f>IF(COUNTIFS(Pesagens!$B$3:$B$5001,$B237)=0,"",_xlfn.MAXIFS(Pesagens!$A$3:$A$5001,Pesagens!$B$3:$B$5001,$B237,Pesagens!$E$3:$E$5001,"&lt;&gt;"))</f>
        <v>46204</v>
      </c>
      <c r="I237" s="97">
        <f>IF($H237="","",IFERROR(AVERAGEIFS(Pesagens!$E$3:$E$5001,Pesagens!$B$3:$B$5001,$B237,Pesagens!$A$3:$A$5001,$H237),""))</f>
        <v>248</v>
      </c>
      <c r="J237" s="94">
        <f>IF(F237="","",Parâmetros!$C$4-F237)</f>
        <v>42</v>
      </c>
      <c r="K237" s="97">
        <f t="shared" si="6"/>
        <v>0</v>
      </c>
      <c r="L237" s="98" t="str">
        <f t="shared" si="7"/>
        <v/>
      </c>
      <c r="M237" s="99">
        <f>IF(I237="","",I237*Parâmetros!$C$8/15)</f>
        <v>8.7626666666666662</v>
      </c>
      <c r="N237" s="99">
        <f>IF(K237="","",K237*Parâmetros!$C$8/15)</f>
        <v>0</v>
      </c>
      <c r="O237" s="100">
        <f>IF(M237="","",M237*Parâmetros!$C$5)</f>
        <v>2716.4266666666667</v>
      </c>
      <c r="P237" s="94" t="str">
        <f>IF(L237="","",IF(L237&gt;=Parâmetros!$C$10,"Sim","Não"))</f>
        <v/>
      </c>
    </row>
    <row r="238" spans="1:16" ht="14.25" customHeight="1" x14ac:dyDescent="0.3">
      <c r="A238" s="94">
        <v>236</v>
      </c>
      <c r="B238" s="88" t="s">
        <v>162</v>
      </c>
      <c r="C238" s="88" t="s">
        <v>39</v>
      </c>
      <c r="D238" s="88" t="s">
        <v>617</v>
      </c>
      <c r="E238" s="87" t="s">
        <v>40</v>
      </c>
      <c r="F238" s="89">
        <v>46204</v>
      </c>
      <c r="G238" s="90">
        <v>216</v>
      </c>
      <c r="H238" s="89">
        <f>IF(COUNTIFS(Pesagens!$B$3:$B$5001,$B238)=0,"",_xlfn.MAXIFS(Pesagens!$A$3:$A$5001,Pesagens!$B$3:$B$5001,$B238,Pesagens!$E$3:$E$5001,"&lt;&gt;"))</f>
        <v>46204</v>
      </c>
      <c r="I238" s="90">
        <f>IF($H238="","",IFERROR(AVERAGEIFS(Pesagens!$E$3:$E$5001,Pesagens!$B$3:$B$5001,$B238,Pesagens!$A$3:$A$5001,$H238),""))</f>
        <v>216</v>
      </c>
      <c r="J238" s="87">
        <f>IF(F238="","",Parâmetros!$C$4-F238)</f>
        <v>42</v>
      </c>
      <c r="K238" s="90">
        <f t="shared" si="6"/>
        <v>0</v>
      </c>
      <c r="L238" s="91" t="str">
        <f t="shared" si="7"/>
        <v/>
      </c>
      <c r="M238" s="92">
        <f>IF(I238="","",I238*Parâmetros!$C$8/15)</f>
        <v>7.6320000000000006</v>
      </c>
      <c r="N238" s="92">
        <f>IF(K238="","",K238*Parâmetros!$C$8/15)</f>
        <v>0</v>
      </c>
      <c r="O238" s="93">
        <f>IF(M238="","",M238*Parâmetros!$C$5)</f>
        <v>2365.92</v>
      </c>
      <c r="P238" s="87" t="str">
        <f>IF(L238="","",IF(L238&gt;=Parâmetros!$C$10,"Sim","Não"))</f>
        <v/>
      </c>
    </row>
    <row r="239" spans="1:16" ht="14.25" customHeight="1" x14ac:dyDescent="0.3">
      <c r="A239" s="87">
        <v>237</v>
      </c>
      <c r="B239" s="95" t="s">
        <v>163</v>
      </c>
      <c r="C239" s="95" t="s">
        <v>39</v>
      </c>
      <c r="D239" s="95" t="s">
        <v>617</v>
      </c>
      <c r="E239" s="94" t="s">
        <v>40</v>
      </c>
      <c r="F239" s="96">
        <v>46204</v>
      </c>
      <c r="G239" s="97">
        <v>208</v>
      </c>
      <c r="H239" s="89">
        <f>IF(COUNTIFS(Pesagens!$B$3:$B$5001,$B239)=0,"",_xlfn.MAXIFS(Pesagens!$A$3:$A$5001,Pesagens!$B$3:$B$5001,$B239,Pesagens!$E$3:$E$5001,"&lt;&gt;"))</f>
        <v>46204</v>
      </c>
      <c r="I239" s="97">
        <f>IF($H239="","",IFERROR(AVERAGEIFS(Pesagens!$E$3:$E$5001,Pesagens!$B$3:$B$5001,$B239,Pesagens!$A$3:$A$5001,$H239),""))</f>
        <v>208</v>
      </c>
      <c r="J239" s="94">
        <f>IF(F239="","",Parâmetros!$C$4-F239)</f>
        <v>42</v>
      </c>
      <c r="K239" s="97">
        <f t="shared" si="6"/>
        <v>0</v>
      </c>
      <c r="L239" s="98" t="str">
        <f t="shared" si="7"/>
        <v/>
      </c>
      <c r="M239" s="99">
        <f>IF(I239="","",I239*Parâmetros!$C$8/15)</f>
        <v>7.3493333333333339</v>
      </c>
      <c r="N239" s="99">
        <f>IF(K239="","",K239*Parâmetros!$C$8/15)</f>
        <v>0</v>
      </c>
      <c r="O239" s="100">
        <f>IF(M239="","",M239*Parâmetros!$C$5)</f>
        <v>2278.2933333333335</v>
      </c>
      <c r="P239" s="94" t="str">
        <f>IF(L239="","",IF(L239&gt;=Parâmetros!$C$10,"Sim","Não"))</f>
        <v/>
      </c>
    </row>
    <row r="240" spans="1:16" ht="14.25" customHeight="1" x14ac:dyDescent="0.3">
      <c r="A240" s="94">
        <v>238</v>
      </c>
      <c r="B240" s="88" t="s">
        <v>164</v>
      </c>
      <c r="C240" s="88" t="s">
        <v>39</v>
      </c>
      <c r="D240" s="88" t="s">
        <v>617</v>
      </c>
      <c r="E240" s="87" t="s">
        <v>40</v>
      </c>
      <c r="F240" s="89">
        <v>46204</v>
      </c>
      <c r="G240" s="90">
        <v>217</v>
      </c>
      <c r="H240" s="89">
        <f>IF(COUNTIFS(Pesagens!$B$3:$B$5001,$B240)=0,"",_xlfn.MAXIFS(Pesagens!$A$3:$A$5001,Pesagens!$B$3:$B$5001,$B240,Pesagens!$E$3:$E$5001,"&lt;&gt;"))</f>
        <v>46204</v>
      </c>
      <c r="I240" s="90">
        <f>IF($H240="","",IFERROR(AVERAGEIFS(Pesagens!$E$3:$E$5001,Pesagens!$B$3:$B$5001,$B240,Pesagens!$A$3:$A$5001,$H240),""))</f>
        <v>217</v>
      </c>
      <c r="J240" s="87">
        <f>IF(F240="","",Parâmetros!$C$4-F240)</f>
        <v>42</v>
      </c>
      <c r="K240" s="90">
        <f t="shared" si="6"/>
        <v>0</v>
      </c>
      <c r="L240" s="91" t="str">
        <f t="shared" si="7"/>
        <v/>
      </c>
      <c r="M240" s="92">
        <f>IF(I240="","",I240*Parâmetros!$C$8/15)</f>
        <v>7.6673333333333336</v>
      </c>
      <c r="N240" s="92">
        <f>IF(K240="","",K240*Parâmetros!$C$8/15)</f>
        <v>0</v>
      </c>
      <c r="O240" s="93">
        <f>IF(M240="","",M240*Parâmetros!$C$5)</f>
        <v>2376.8733333333334</v>
      </c>
      <c r="P240" s="87" t="str">
        <f>IF(L240="","",IF(L240&gt;=Parâmetros!$C$10,"Sim","Não"))</f>
        <v/>
      </c>
    </row>
    <row r="241" spans="1:16" ht="14.25" customHeight="1" x14ac:dyDescent="0.3">
      <c r="A241" s="87">
        <v>239</v>
      </c>
      <c r="B241" s="95" t="s">
        <v>165</v>
      </c>
      <c r="C241" s="95" t="s">
        <v>39</v>
      </c>
      <c r="D241" s="95" t="s">
        <v>617</v>
      </c>
      <c r="E241" s="94" t="s">
        <v>40</v>
      </c>
      <c r="F241" s="96">
        <v>46204</v>
      </c>
      <c r="G241" s="97">
        <v>159</v>
      </c>
      <c r="H241" s="89">
        <f>IF(COUNTIFS(Pesagens!$B$3:$B$5001,$B241)=0,"",_xlfn.MAXIFS(Pesagens!$A$3:$A$5001,Pesagens!$B$3:$B$5001,$B241,Pesagens!$E$3:$E$5001,"&lt;&gt;"))</f>
        <v>46204</v>
      </c>
      <c r="I241" s="97">
        <f>IF($H241="","",IFERROR(AVERAGEIFS(Pesagens!$E$3:$E$5001,Pesagens!$B$3:$B$5001,$B241,Pesagens!$A$3:$A$5001,$H241),""))</f>
        <v>159</v>
      </c>
      <c r="J241" s="94">
        <f>IF(F241="","",Parâmetros!$C$4-F241)</f>
        <v>42</v>
      </c>
      <c r="K241" s="97">
        <f t="shared" si="6"/>
        <v>0</v>
      </c>
      <c r="L241" s="98" t="str">
        <f t="shared" si="7"/>
        <v/>
      </c>
      <c r="M241" s="99">
        <f>IF(I241="","",I241*Parâmetros!$C$8/15)</f>
        <v>5.6180000000000003</v>
      </c>
      <c r="N241" s="99">
        <f>IF(K241="","",K241*Parâmetros!$C$8/15)</f>
        <v>0</v>
      </c>
      <c r="O241" s="100">
        <f>IF(M241="","",M241*Parâmetros!$C$5)</f>
        <v>1741.5800000000002</v>
      </c>
      <c r="P241" s="94" t="str">
        <f>IF(L241="","",IF(L241&gt;=Parâmetros!$C$10,"Sim","Não"))</f>
        <v/>
      </c>
    </row>
    <row r="242" spans="1:16" ht="14.25" customHeight="1" x14ac:dyDescent="0.3">
      <c r="A242" s="94">
        <v>240</v>
      </c>
      <c r="B242" s="88" t="s">
        <v>166</v>
      </c>
      <c r="C242" s="88" t="s">
        <v>39</v>
      </c>
      <c r="D242" s="88" t="s">
        <v>617</v>
      </c>
      <c r="E242" s="87" t="s">
        <v>40</v>
      </c>
      <c r="F242" s="89">
        <v>46204</v>
      </c>
      <c r="G242" s="90">
        <v>224</v>
      </c>
      <c r="H242" s="89">
        <f>IF(COUNTIFS(Pesagens!$B$3:$B$5001,$B242)=0,"",_xlfn.MAXIFS(Pesagens!$A$3:$A$5001,Pesagens!$B$3:$B$5001,$B242,Pesagens!$E$3:$E$5001,"&lt;&gt;"))</f>
        <v>46204</v>
      </c>
      <c r="I242" s="90">
        <f>IF($H242="","",IFERROR(AVERAGEIFS(Pesagens!$E$3:$E$5001,Pesagens!$B$3:$B$5001,$B242,Pesagens!$A$3:$A$5001,$H242),""))</f>
        <v>224</v>
      </c>
      <c r="J242" s="87">
        <f>IF(F242="","",Parâmetros!$C$4-F242)</f>
        <v>42</v>
      </c>
      <c r="K242" s="90">
        <f t="shared" si="6"/>
        <v>0</v>
      </c>
      <c r="L242" s="91" t="str">
        <f t="shared" si="7"/>
        <v/>
      </c>
      <c r="M242" s="92">
        <f>IF(I242="","",I242*Parâmetros!$C$8/15)</f>
        <v>7.9146666666666663</v>
      </c>
      <c r="N242" s="92">
        <f>IF(K242="","",K242*Parâmetros!$C$8/15)</f>
        <v>0</v>
      </c>
      <c r="O242" s="93">
        <f>IF(M242="","",M242*Parâmetros!$C$5)</f>
        <v>2453.5466666666666</v>
      </c>
      <c r="P242" s="87" t="str">
        <f>IF(L242="","",IF(L242&gt;=Parâmetros!$C$10,"Sim","Não"))</f>
        <v/>
      </c>
    </row>
    <row r="243" spans="1:16" ht="14.25" customHeight="1" x14ac:dyDescent="0.3">
      <c r="A243" s="87">
        <v>241</v>
      </c>
      <c r="B243" s="95" t="s">
        <v>167</v>
      </c>
      <c r="C243" s="95" t="s">
        <v>39</v>
      </c>
      <c r="D243" s="95" t="s">
        <v>617</v>
      </c>
      <c r="E243" s="94" t="s">
        <v>40</v>
      </c>
      <c r="F243" s="96">
        <v>46204</v>
      </c>
      <c r="G243" s="97">
        <v>187</v>
      </c>
      <c r="H243" s="89">
        <f>IF(COUNTIFS(Pesagens!$B$3:$B$5001,$B243)=0,"",_xlfn.MAXIFS(Pesagens!$A$3:$A$5001,Pesagens!$B$3:$B$5001,$B243,Pesagens!$E$3:$E$5001,"&lt;&gt;"))</f>
        <v>46204</v>
      </c>
      <c r="I243" s="97">
        <f>IF($H243="","",IFERROR(AVERAGEIFS(Pesagens!$E$3:$E$5001,Pesagens!$B$3:$B$5001,$B243,Pesagens!$A$3:$A$5001,$H243),""))</f>
        <v>187</v>
      </c>
      <c r="J243" s="94">
        <f>IF(F243="","",Parâmetros!$C$4-F243)</f>
        <v>42</v>
      </c>
      <c r="K243" s="97">
        <f t="shared" si="6"/>
        <v>0</v>
      </c>
      <c r="L243" s="98" t="str">
        <f t="shared" si="7"/>
        <v/>
      </c>
      <c r="M243" s="99">
        <f>IF(I243="","",I243*Parâmetros!$C$8/15)</f>
        <v>6.6073333333333331</v>
      </c>
      <c r="N243" s="99">
        <f>IF(K243="","",K243*Parâmetros!$C$8/15)</f>
        <v>0</v>
      </c>
      <c r="O243" s="100">
        <f>IF(M243="","",M243*Parâmetros!$C$5)</f>
        <v>2048.2733333333331</v>
      </c>
      <c r="P243" s="94" t="str">
        <f>IF(L243="","",IF(L243&gt;=Parâmetros!$C$10,"Sim","Não"))</f>
        <v/>
      </c>
    </row>
    <row r="244" spans="1:16" ht="14.25" customHeight="1" x14ac:dyDescent="0.3">
      <c r="A244" s="94">
        <v>242</v>
      </c>
      <c r="B244" s="88" t="s">
        <v>168</v>
      </c>
      <c r="C244" s="88" t="s">
        <v>39</v>
      </c>
      <c r="D244" s="88" t="s">
        <v>617</v>
      </c>
      <c r="E244" s="87" t="s">
        <v>40</v>
      </c>
      <c r="F244" s="89">
        <v>46204</v>
      </c>
      <c r="G244" s="90">
        <v>189</v>
      </c>
      <c r="H244" s="89">
        <f>IF(COUNTIFS(Pesagens!$B$3:$B$5001,$B244)=0,"",_xlfn.MAXIFS(Pesagens!$A$3:$A$5001,Pesagens!$B$3:$B$5001,$B244,Pesagens!$E$3:$E$5001,"&lt;&gt;"))</f>
        <v>46204</v>
      </c>
      <c r="I244" s="90">
        <f>IF($H244="","",IFERROR(AVERAGEIFS(Pesagens!$E$3:$E$5001,Pesagens!$B$3:$B$5001,$B244,Pesagens!$A$3:$A$5001,$H244),""))</f>
        <v>189</v>
      </c>
      <c r="J244" s="87">
        <f>IF(F244="","",Parâmetros!$C$4-F244)</f>
        <v>42</v>
      </c>
      <c r="K244" s="90">
        <f t="shared" si="6"/>
        <v>0</v>
      </c>
      <c r="L244" s="91" t="str">
        <f t="shared" si="7"/>
        <v/>
      </c>
      <c r="M244" s="92">
        <f>IF(I244="","",I244*Parâmetros!$C$8/15)</f>
        <v>6.6779999999999999</v>
      </c>
      <c r="N244" s="92">
        <f>IF(K244="","",K244*Parâmetros!$C$8/15)</f>
        <v>0</v>
      </c>
      <c r="O244" s="93">
        <f>IF(M244="","",M244*Parâmetros!$C$5)</f>
        <v>2070.1799999999998</v>
      </c>
      <c r="P244" s="87" t="str">
        <f>IF(L244="","",IF(L244&gt;=Parâmetros!$C$10,"Sim","Não"))</f>
        <v/>
      </c>
    </row>
    <row r="245" spans="1:16" ht="14.25" customHeight="1" x14ac:dyDescent="0.3">
      <c r="A245" s="87">
        <v>243</v>
      </c>
      <c r="B245" s="95" t="s">
        <v>169</v>
      </c>
      <c r="C245" s="95" t="s">
        <v>39</v>
      </c>
      <c r="D245" s="95" t="s">
        <v>617</v>
      </c>
      <c r="E245" s="94" t="s">
        <v>40</v>
      </c>
      <c r="F245" s="96">
        <v>46204</v>
      </c>
      <c r="G245" s="97">
        <v>203</v>
      </c>
      <c r="H245" s="89">
        <f>IF(COUNTIFS(Pesagens!$B$3:$B$5001,$B245)=0,"",_xlfn.MAXIFS(Pesagens!$A$3:$A$5001,Pesagens!$B$3:$B$5001,$B245,Pesagens!$E$3:$E$5001,"&lt;&gt;"))</f>
        <v>46204</v>
      </c>
      <c r="I245" s="97">
        <f>IF($H245="","",IFERROR(AVERAGEIFS(Pesagens!$E$3:$E$5001,Pesagens!$B$3:$B$5001,$B245,Pesagens!$A$3:$A$5001,$H245),""))</f>
        <v>203</v>
      </c>
      <c r="J245" s="94">
        <f>IF(F245="","",Parâmetros!$C$4-F245)</f>
        <v>42</v>
      </c>
      <c r="K245" s="97">
        <f t="shared" si="6"/>
        <v>0</v>
      </c>
      <c r="L245" s="98" t="str">
        <f t="shared" si="7"/>
        <v/>
      </c>
      <c r="M245" s="99">
        <f>IF(I245="","",I245*Parâmetros!$C$8/15)</f>
        <v>7.1726666666666672</v>
      </c>
      <c r="N245" s="99">
        <f>IF(K245="","",K245*Parâmetros!$C$8/15)</f>
        <v>0</v>
      </c>
      <c r="O245" s="100">
        <f>IF(M245="","",M245*Parâmetros!$C$5)</f>
        <v>2223.5266666666666</v>
      </c>
      <c r="P245" s="94" t="str">
        <f>IF(L245="","",IF(L245&gt;=Parâmetros!$C$10,"Sim","Não"))</f>
        <v/>
      </c>
    </row>
    <row r="246" spans="1:16" ht="14.25" customHeight="1" x14ac:dyDescent="0.3">
      <c r="A246" s="94">
        <v>244</v>
      </c>
      <c r="B246" s="88" t="s">
        <v>170</v>
      </c>
      <c r="C246" s="88" t="s">
        <v>39</v>
      </c>
      <c r="D246" s="88" t="s">
        <v>617</v>
      </c>
      <c r="E246" s="87" t="s">
        <v>40</v>
      </c>
      <c r="F246" s="89">
        <v>46204</v>
      </c>
      <c r="G246" s="90">
        <v>155</v>
      </c>
      <c r="H246" s="89">
        <f>IF(COUNTIFS(Pesagens!$B$3:$B$5001,$B246)=0,"",_xlfn.MAXIFS(Pesagens!$A$3:$A$5001,Pesagens!$B$3:$B$5001,$B246,Pesagens!$E$3:$E$5001,"&lt;&gt;"))</f>
        <v>46204</v>
      </c>
      <c r="I246" s="90">
        <f>IF($H246="","",IFERROR(AVERAGEIFS(Pesagens!$E$3:$E$5001,Pesagens!$B$3:$B$5001,$B246,Pesagens!$A$3:$A$5001,$H246),""))</f>
        <v>155</v>
      </c>
      <c r="J246" s="87">
        <f>IF(F246="","",Parâmetros!$C$4-F246)</f>
        <v>42</v>
      </c>
      <c r="K246" s="90">
        <f t="shared" si="6"/>
        <v>0</v>
      </c>
      <c r="L246" s="91" t="str">
        <f t="shared" si="7"/>
        <v/>
      </c>
      <c r="M246" s="92">
        <f>IF(I246="","",I246*Parâmetros!$C$8/15)</f>
        <v>5.4766666666666675</v>
      </c>
      <c r="N246" s="92">
        <f>IF(K246="","",K246*Parâmetros!$C$8/15)</f>
        <v>0</v>
      </c>
      <c r="O246" s="93">
        <f>IF(M246="","",M246*Parâmetros!$C$5)</f>
        <v>1697.7666666666669</v>
      </c>
      <c r="P246" s="87" t="str">
        <f>IF(L246="","",IF(L246&gt;=Parâmetros!$C$10,"Sim","Não"))</f>
        <v/>
      </c>
    </row>
    <row r="247" spans="1:16" ht="14.25" customHeight="1" x14ac:dyDescent="0.3">
      <c r="A247" s="87">
        <v>245</v>
      </c>
      <c r="B247" s="95" t="s">
        <v>171</v>
      </c>
      <c r="C247" s="95" t="s">
        <v>39</v>
      </c>
      <c r="D247" s="95" t="s">
        <v>617</v>
      </c>
      <c r="E247" s="94" t="s">
        <v>40</v>
      </c>
      <c r="F247" s="96">
        <v>46204</v>
      </c>
      <c r="G247" s="97">
        <v>211</v>
      </c>
      <c r="H247" s="89">
        <f>IF(COUNTIFS(Pesagens!$B$3:$B$5001,$B247)=0,"",_xlfn.MAXIFS(Pesagens!$A$3:$A$5001,Pesagens!$B$3:$B$5001,$B247,Pesagens!$E$3:$E$5001,"&lt;&gt;"))</f>
        <v>46204</v>
      </c>
      <c r="I247" s="97">
        <f>IF($H247="","",IFERROR(AVERAGEIFS(Pesagens!$E$3:$E$5001,Pesagens!$B$3:$B$5001,$B247,Pesagens!$A$3:$A$5001,$H247),""))</f>
        <v>211</v>
      </c>
      <c r="J247" s="94">
        <f>IF(F247="","",Parâmetros!$C$4-F247)</f>
        <v>42</v>
      </c>
      <c r="K247" s="97">
        <f t="shared" si="6"/>
        <v>0</v>
      </c>
      <c r="L247" s="98" t="str">
        <f t="shared" si="7"/>
        <v/>
      </c>
      <c r="M247" s="99">
        <f>IF(I247="","",I247*Parâmetros!$C$8/15)</f>
        <v>7.4553333333333338</v>
      </c>
      <c r="N247" s="99">
        <f>IF(K247="","",K247*Parâmetros!$C$8/15)</f>
        <v>0</v>
      </c>
      <c r="O247" s="100">
        <f>IF(M247="","",M247*Parâmetros!$C$5)</f>
        <v>2311.1533333333336</v>
      </c>
      <c r="P247" s="94" t="str">
        <f>IF(L247="","",IF(L247&gt;=Parâmetros!$C$10,"Sim","Não"))</f>
        <v/>
      </c>
    </row>
    <row r="248" spans="1:16" ht="14.25" customHeight="1" x14ac:dyDescent="0.3">
      <c r="A248" s="94">
        <v>246</v>
      </c>
      <c r="B248" s="88" t="s">
        <v>172</v>
      </c>
      <c r="C248" s="88" t="s">
        <v>39</v>
      </c>
      <c r="D248" s="88" t="s">
        <v>617</v>
      </c>
      <c r="E248" s="87" t="s">
        <v>40</v>
      </c>
      <c r="F248" s="89">
        <v>46204</v>
      </c>
      <c r="G248" s="90">
        <v>227</v>
      </c>
      <c r="H248" s="89">
        <f>IF(COUNTIFS(Pesagens!$B$3:$B$5001,$B248)=0,"",_xlfn.MAXIFS(Pesagens!$A$3:$A$5001,Pesagens!$B$3:$B$5001,$B248,Pesagens!$E$3:$E$5001,"&lt;&gt;"))</f>
        <v>46204</v>
      </c>
      <c r="I248" s="90">
        <f>IF($H248="","",IFERROR(AVERAGEIFS(Pesagens!$E$3:$E$5001,Pesagens!$B$3:$B$5001,$B248,Pesagens!$A$3:$A$5001,$H248),""))</f>
        <v>227</v>
      </c>
      <c r="J248" s="87">
        <f>IF(F248="","",Parâmetros!$C$4-F248)</f>
        <v>42</v>
      </c>
      <c r="K248" s="90">
        <f t="shared" si="6"/>
        <v>0</v>
      </c>
      <c r="L248" s="91" t="str">
        <f t="shared" si="7"/>
        <v/>
      </c>
      <c r="M248" s="92">
        <f>IF(I248="","",I248*Parâmetros!$C$8/15)</f>
        <v>8.0206666666666671</v>
      </c>
      <c r="N248" s="92">
        <f>IF(K248="","",K248*Parâmetros!$C$8/15)</f>
        <v>0</v>
      </c>
      <c r="O248" s="93">
        <f>IF(M248="","",M248*Parâmetros!$C$5)</f>
        <v>2486.4066666666668</v>
      </c>
      <c r="P248" s="87" t="str">
        <f>IF(L248="","",IF(L248&gt;=Parâmetros!$C$10,"Sim","Não"))</f>
        <v/>
      </c>
    </row>
    <row r="249" spans="1:16" ht="14.25" customHeight="1" x14ac:dyDescent="0.3">
      <c r="A249" s="87">
        <v>247</v>
      </c>
      <c r="B249" s="95" t="s">
        <v>173</v>
      </c>
      <c r="C249" s="95" t="s">
        <v>39</v>
      </c>
      <c r="D249" s="95" t="s">
        <v>617</v>
      </c>
      <c r="E249" s="94" t="s">
        <v>40</v>
      </c>
      <c r="F249" s="96">
        <v>46204</v>
      </c>
      <c r="G249" s="97">
        <v>227</v>
      </c>
      <c r="H249" s="89">
        <f>IF(COUNTIFS(Pesagens!$B$3:$B$5001,$B249)=0,"",_xlfn.MAXIFS(Pesagens!$A$3:$A$5001,Pesagens!$B$3:$B$5001,$B249,Pesagens!$E$3:$E$5001,"&lt;&gt;"))</f>
        <v>46204</v>
      </c>
      <c r="I249" s="97">
        <f>IF($H249="","",IFERROR(AVERAGEIFS(Pesagens!$E$3:$E$5001,Pesagens!$B$3:$B$5001,$B249,Pesagens!$A$3:$A$5001,$H249),""))</f>
        <v>227</v>
      </c>
      <c r="J249" s="94">
        <f>IF(F249="","",Parâmetros!$C$4-F249)</f>
        <v>42</v>
      </c>
      <c r="K249" s="97">
        <f t="shared" si="6"/>
        <v>0</v>
      </c>
      <c r="L249" s="98" t="str">
        <f t="shared" si="7"/>
        <v/>
      </c>
      <c r="M249" s="99">
        <f>IF(I249="","",I249*Parâmetros!$C$8/15)</f>
        <v>8.0206666666666671</v>
      </c>
      <c r="N249" s="99">
        <f>IF(K249="","",K249*Parâmetros!$C$8/15)</f>
        <v>0</v>
      </c>
      <c r="O249" s="100">
        <f>IF(M249="","",M249*Parâmetros!$C$5)</f>
        <v>2486.4066666666668</v>
      </c>
      <c r="P249" s="94" t="str">
        <f>IF(L249="","",IF(L249&gt;=Parâmetros!$C$10,"Sim","Não"))</f>
        <v/>
      </c>
    </row>
    <row r="250" spans="1:16" ht="14.25" customHeight="1" x14ac:dyDescent="0.3">
      <c r="A250" s="94">
        <v>248</v>
      </c>
      <c r="B250" s="88" t="s">
        <v>174</v>
      </c>
      <c r="C250" s="88" t="s">
        <v>39</v>
      </c>
      <c r="D250" s="88" t="s">
        <v>617</v>
      </c>
      <c r="E250" s="87" t="s">
        <v>40</v>
      </c>
      <c r="F250" s="89">
        <v>46204</v>
      </c>
      <c r="G250" s="90">
        <v>222</v>
      </c>
      <c r="H250" s="89">
        <f>IF(COUNTIFS(Pesagens!$B$3:$B$5001,$B250)=0,"",_xlfn.MAXIFS(Pesagens!$A$3:$A$5001,Pesagens!$B$3:$B$5001,$B250,Pesagens!$E$3:$E$5001,"&lt;&gt;"))</f>
        <v>46204</v>
      </c>
      <c r="I250" s="90">
        <f>IF($H250="","",IFERROR(AVERAGEIFS(Pesagens!$E$3:$E$5001,Pesagens!$B$3:$B$5001,$B250,Pesagens!$A$3:$A$5001,$H250),""))</f>
        <v>222</v>
      </c>
      <c r="J250" s="87">
        <f>IF(F250="","",Parâmetros!$C$4-F250)</f>
        <v>42</v>
      </c>
      <c r="K250" s="90">
        <f t="shared" si="6"/>
        <v>0</v>
      </c>
      <c r="L250" s="91" t="str">
        <f t="shared" si="7"/>
        <v/>
      </c>
      <c r="M250" s="92">
        <f>IF(I250="","",I250*Parâmetros!$C$8/15)</f>
        <v>7.8440000000000003</v>
      </c>
      <c r="N250" s="92">
        <f>IF(K250="","",K250*Parâmetros!$C$8/15)</f>
        <v>0</v>
      </c>
      <c r="O250" s="93">
        <f>IF(M250="","",M250*Parâmetros!$C$5)</f>
        <v>2431.64</v>
      </c>
      <c r="P250" s="87" t="str">
        <f>IF(L250="","",IF(L250&gt;=Parâmetros!$C$10,"Sim","Não"))</f>
        <v/>
      </c>
    </row>
    <row r="251" spans="1:16" ht="14.25" customHeight="1" x14ac:dyDescent="0.3">
      <c r="A251" s="87">
        <v>249</v>
      </c>
      <c r="B251" s="95" t="s">
        <v>175</v>
      </c>
      <c r="C251" s="95" t="s">
        <v>39</v>
      </c>
      <c r="D251" s="95" t="s">
        <v>617</v>
      </c>
      <c r="E251" s="94" t="s">
        <v>40</v>
      </c>
      <c r="F251" s="96">
        <v>46204</v>
      </c>
      <c r="G251" s="97">
        <v>252</v>
      </c>
      <c r="H251" s="89">
        <f>IF(COUNTIFS(Pesagens!$B$3:$B$5001,$B251)=0,"",_xlfn.MAXIFS(Pesagens!$A$3:$A$5001,Pesagens!$B$3:$B$5001,$B251,Pesagens!$E$3:$E$5001,"&lt;&gt;"))</f>
        <v>46204</v>
      </c>
      <c r="I251" s="97">
        <f>IF($H251="","",IFERROR(AVERAGEIFS(Pesagens!$E$3:$E$5001,Pesagens!$B$3:$B$5001,$B251,Pesagens!$A$3:$A$5001,$H251),""))</f>
        <v>252</v>
      </c>
      <c r="J251" s="94">
        <f>IF(F251="","",Parâmetros!$C$4-F251)</f>
        <v>42</v>
      </c>
      <c r="K251" s="97">
        <f t="shared" si="6"/>
        <v>0</v>
      </c>
      <c r="L251" s="98" t="str">
        <f t="shared" si="7"/>
        <v/>
      </c>
      <c r="M251" s="99">
        <f>IF(I251="","",I251*Parâmetros!$C$8/15)</f>
        <v>8.9039999999999999</v>
      </c>
      <c r="N251" s="99">
        <f>IF(K251="","",K251*Parâmetros!$C$8/15)</f>
        <v>0</v>
      </c>
      <c r="O251" s="100">
        <f>IF(M251="","",M251*Parâmetros!$C$5)</f>
        <v>2760.24</v>
      </c>
      <c r="P251" s="94" t="str">
        <f>IF(L251="","",IF(L251&gt;=Parâmetros!$C$10,"Sim","Não"))</f>
        <v/>
      </c>
    </row>
    <row r="252" spans="1:16" ht="14.25" customHeight="1" x14ac:dyDescent="0.3">
      <c r="A252" s="94">
        <v>250</v>
      </c>
      <c r="B252" s="88" t="s">
        <v>176</v>
      </c>
      <c r="C252" s="88" t="s">
        <v>39</v>
      </c>
      <c r="D252" s="88" t="s">
        <v>617</v>
      </c>
      <c r="E252" s="87" t="s">
        <v>40</v>
      </c>
      <c r="F252" s="89">
        <v>46204</v>
      </c>
      <c r="G252" s="90">
        <v>225</v>
      </c>
      <c r="H252" s="89">
        <f>IF(COUNTIFS(Pesagens!$B$3:$B$5001,$B252)=0,"",_xlfn.MAXIFS(Pesagens!$A$3:$A$5001,Pesagens!$B$3:$B$5001,$B252,Pesagens!$E$3:$E$5001,"&lt;&gt;"))</f>
        <v>46204</v>
      </c>
      <c r="I252" s="90">
        <f>IF($H252="","",IFERROR(AVERAGEIFS(Pesagens!$E$3:$E$5001,Pesagens!$B$3:$B$5001,$B252,Pesagens!$A$3:$A$5001,$H252),""))</f>
        <v>225</v>
      </c>
      <c r="J252" s="87">
        <f>IF(F252="","",Parâmetros!$C$4-F252)</f>
        <v>42</v>
      </c>
      <c r="K252" s="90">
        <f t="shared" si="6"/>
        <v>0</v>
      </c>
      <c r="L252" s="91" t="str">
        <f t="shared" si="7"/>
        <v/>
      </c>
      <c r="M252" s="92">
        <f>IF(I252="","",I252*Parâmetros!$C$8/15)</f>
        <v>7.95</v>
      </c>
      <c r="N252" s="92">
        <f>IF(K252="","",K252*Parâmetros!$C$8/15)</f>
        <v>0</v>
      </c>
      <c r="O252" s="93">
        <f>IF(M252="","",M252*Parâmetros!$C$5)</f>
        <v>2464.5</v>
      </c>
      <c r="P252" s="87" t="str">
        <f>IF(L252="","",IF(L252&gt;=Parâmetros!$C$10,"Sim","Não"))</f>
        <v/>
      </c>
    </row>
    <row r="253" spans="1:16" ht="14.25" customHeight="1" x14ac:dyDescent="0.3">
      <c r="A253" s="87">
        <v>251</v>
      </c>
      <c r="B253" s="95" t="s">
        <v>177</v>
      </c>
      <c r="C253" s="95" t="s">
        <v>39</v>
      </c>
      <c r="D253" s="95" t="s">
        <v>617</v>
      </c>
      <c r="E253" s="94" t="s">
        <v>40</v>
      </c>
      <c r="F253" s="96">
        <v>46204</v>
      </c>
      <c r="G253" s="97">
        <v>245</v>
      </c>
      <c r="H253" s="89">
        <f>IF(COUNTIFS(Pesagens!$B$3:$B$5001,$B253)=0,"",_xlfn.MAXIFS(Pesagens!$A$3:$A$5001,Pesagens!$B$3:$B$5001,$B253,Pesagens!$E$3:$E$5001,"&lt;&gt;"))</f>
        <v>46204</v>
      </c>
      <c r="I253" s="97">
        <f>IF($H253="","",IFERROR(AVERAGEIFS(Pesagens!$E$3:$E$5001,Pesagens!$B$3:$B$5001,$B253,Pesagens!$A$3:$A$5001,$H253),""))</f>
        <v>245</v>
      </c>
      <c r="J253" s="94">
        <f>IF(F253="","",Parâmetros!$C$4-F253)</f>
        <v>42</v>
      </c>
      <c r="K253" s="97">
        <f t="shared" si="6"/>
        <v>0</v>
      </c>
      <c r="L253" s="98" t="str">
        <f t="shared" si="7"/>
        <v/>
      </c>
      <c r="M253" s="99">
        <f>IF(I253="","",I253*Parâmetros!$C$8/15)</f>
        <v>8.6566666666666663</v>
      </c>
      <c r="N253" s="99">
        <f>IF(K253="","",K253*Parâmetros!$C$8/15)</f>
        <v>0</v>
      </c>
      <c r="O253" s="100">
        <f>IF(M253="","",M253*Parâmetros!$C$5)</f>
        <v>2683.5666666666666</v>
      </c>
      <c r="P253" s="94" t="str">
        <f>IF(L253="","",IF(L253&gt;=Parâmetros!$C$10,"Sim","Não"))</f>
        <v/>
      </c>
    </row>
    <row r="254" spans="1:16" ht="14.25" customHeight="1" x14ac:dyDescent="0.3">
      <c r="A254" s="94">
        <v>252</v>
      </c>
      <c r="B254" s="88" t="s">
        <v>178</v>
      </c>
      <c r="C254" s="88" t="s">
        <v>39</v>
      </c>
      <c r="D254" s="88" t="s">
        <v>617</v>
      </c>
      <c r="E254" s="87" t="s">
        <v>40</v>
      </c>
      <c r="F254" s="89">
        <v>46204</v>
      </c>
      <c r="G254" s="90">
        <v>186</v>
      </c>
      <c r="H254" s="89">
        <f>IF(COUNTIFS(Pesagens!$B$3:$B$5001,$B254)=0,"",_xlfn.MAXIFS(Pesagens!$A$3:$A$5001,Pesagens!$B$3:$B$5001,$B254,Pesagens!$E$3:$E$5001,"&lt;&gt;"))</f>
        <v>46204</v>
      </c>
      <c r="I254" s="90">
        <f>IF($H254="","",IFERROR(AVERAGEIFS(Pesagens!$E$3:$E$5001,Pesagens!$B$3:$B$5001,$B254,Pesagens!$A$3:$A$5001,$H254),""))</f>
        <v>186</v>
      </c>
      <c r="J254" s="87">
        <f>IF(F254="","",Parâmetros!$C$4-F254)</f>
        <v>42</v>
      </c>
      <c r="K254" s="90">
        <f t="shared" si="6"/>
        <v>0</v>
      </c>
      <c r="L254" s="91" t="str">
        <f t="shared" si="7"/>
        <v/>
      </c>
      <c r="M254" s="92">
        <f>IF(I254="","",I254*Parâmetros!$C$8/15)</f>
        <v>6.5720000000000001</v>
      </c>
      <c r="N254" s="92">
        <f>IF(K254="","",K254*Parâmetros!$C$8/15)</f>
        <v>0</v>
      </c>
      <c r="O254" s="93">
        <f>IF(M254="","",M254*Parâmetros!$C$5)</f>
        <v>2037.32</v>
      </c>
      <c r="P254" s="87" t="str">
        <f>IF(L254="","",IF(L254&gt;=Parâmetros!$C$10,"Sim","Não"))</f>
        <v/>
      </c>
    </row>
    <row r="255" spans="1:16" ht="14.25" customHeight="1" x14ac:dyDescent="0.3">
      <c r="A255" s="87">
        <v>253</v>
      </c>
      <c r="B255" s="95" t="s">
        <v>179</v>
      </c>
      <c r="C255" s="95" t="s">
        <v>39</v>
      </c>
      <c r="D255" s="95" t="s">
        <v>617</v>
      </c>
      <c r="E255" s="94" t="s">
        <v>40</v>
      </c>
      <c r="F255" s="96">
        <v>46204</v>
      </c>
      <c r="G255" s="97">
        <v>256</v>
      </c>
      <c r="H255" s="89">
        <f>IF(COUNTIFS(Pesagens!$B$3:$B$5001,$B255)=0,"",_xlfn.MAXIFS(Pesagens!$A$3:$A$5001,Pesagens!$B$3:$B$5001,$B255,Pesagens!$E$3:$E$5001,"&lt;&gt;"))</f>
        <v>46204</v>
      </c>
      <c r="I255" s="97">
        <f>IF($H255="","",IFERROR(AVERAGEIFS(Pesagens!$E$3:$E$5001,Pesagens!$B$3:$B$5001,$B255,Pesagens!$A$3:$A$5001,$H255),""))</f>
        <v>256</v>
      </c>
      <c r="J255" s="94">
        <f>IF(F255="","",Parâmetros!$C$4-F255)</f>
        <v>42</v>
      </c>
      <c r="K255" s="97">
        <f t="shared" si="6"/>
        <v>0</v>
      </c>
      <c r="L255" s="98" t="str">
        <f t="shared" si="7"/>
        <v/>
      </c>
      <c r="M255" s="99">
        <f>IF(I255="","",I255*Parâmetros!$C$8/15)</f>
        <v>9.0453333333333337</v>
      </c>
      <c r="N255" s="99">
        <f>IF(K255="","",K255*Parâmetros!$C$8/15)</f>
        <v>0</v>
      </c>
      <c r="O255" s="100">
        <f>IF(M255="","",M255*Parâmetros!$C$5)</f>
        <v>2804.0533333333333</v>
      </c>
      <c r="P255" s="94" t="str">
        <f>IF(L255="","",IF(L255&gt;=Parâmetros!$C$10,"Sim","Não"))</f>
        <v/>
      </c>
    </row>
    <row r="256" spans="1:16" ht="14.25" customHeight="1" x14ac:dyDescent="0.3">
      <c r="A256" s="94">
        <v>254</v>
      </c>
      <c r="B256" s="88" t="s">
        <v>180</v>
      </c>
      <c r="C256" s="88" t="s">
        <v>39</v>
      </c>
      <c r="D256" s="88" t="s">
        <v>617</v>
      </c>
      <c r="E256" s="87" t="s">
        <v>40</v>
      </c>
      <c r="F256" s="89">
        <v>46204</v>
      </c>
      <c r="G256" s="90">
        <v>202</v>
      </c>
      <c r="H256" s="89">
        <f>IF(COUNTIFS(Pesagens!$B$3:$B$5001,$B256)=0,"",_xlfn.MAXIFS(Pesagens!$A$3:$A$5001,Pesagens!$B$3:$B$5001,$B256,Pesagens!$E$3:$E$5001,"&lt;&gt;"))</f>
        <v>46204</v>
      </c>
      <c r="I256" s="90">
        <f>IF($H256="","",IFERROR(AVERAGEIFS(Pesagens!$E$3:$E$5001,Pesagens!$B$3:$B$5001,$B256,Pesagens!$A$3:$A$5001,$H256),""))</f>
        <v>202</v>
      </c>
      <c r="J256" s="87">
        <f>IF(F256="","",Parâmetros!$C$4-F256)</f>
        <v>42</v>
      </c>
      <c r="K256" s="90">
        <f t="shared" si="6"/>
        <v>0</v>
      </c>
      <c r="L256" s="91" t="str">
        <f t="shared" si="7"/>
        <v/>
      </c>
      <c r="M256" s="92">
        <f>IF(I256="","",I256*Parâmetros!$C$8/15)</f>
        <v>7.1373333333333333</v>
      </c>
      <c r="N256" s="92">
        <f>IF(K256="","",K256*Parâmetros!$C$8/15)</f>
        <v>0</v>
      </c>
      <c r="O256" s="93">
        <f>IF(M256="","",M256*Parâmetros!$C$5)</f>
        <v>2212.5733333333333</v>
      </c>
      <c r="P256" s="87" t="str">
        <f>IF(L256="","",IF(L256&gt;=Parâmetros!$C$10,"Sim","Não"))</f>
        <v/>
      </c>
    </row>
    <row r="257" spans="1:16" ht="14.25" customHeight="1" x14ac:dyDescent="0.3">
      <c r="A257" s="87">
        <v>255</v>
      </c>
      <c r="B257" s="95" t="s">
        <v>181</v>
      </c>
      <c r="C257" s="95" t="s">
        <v>39</v>
      </c>
      <c r="D257" s="95" t="s">
        <v>617</v>
      </c>
      <c r="E257" s="94" t="s">
        <v>40</v>
      </c>
      <c r="F257" s="96">
        <v>46204</v>
      </c>
      <c r="G257" s="97">
        <v>198</v>
      </c>
      <c r="H257" s="89">
        <f>IF(COUNTIFS(Pesagens!$B$3:$B$5001,$B257)=0,"",_xlfn.MAXIFS(Pesagens!$A$3:$A$5001,Pesagens!$B$3:$B$5001,$B257,Pesagens!$E$3:$E$5001,"&lt;&gt;"))</f>
        <v>46204</v>
      </c>
      <c r="I257" s="97">
        <f>IF($H257="","",IFERROR(AVERAGEIFS(Pesagens!$E$3:$E$5001,Pesagens!$B$3:$B$5001,$B257,Pesagens!$A$3:$A$5001,$H257),""))</f>
        <v>198</v>
      </c>
      <c r="J257" s="94">
        <f>IF(F257="","",Parâmetros!$C$4-F257)</f>
        <v>42</v>
      </c>
      <c r="K257" s="97">
        <f t="shared" si="6"/>
        <v>0</v>
      </c>
      <c r="L257" s="98" t="str">
        <f t="shared" si="7"/>
        <v/>
      </c>
      <c r="M257" s="99">
        <f>IF(I257="","",I257*Parâmetros!$C$8/15)</f>
        <v>6.9960000000000004</v>
      </c>
      <c r="N257" s="99">
        <f>IF(K257="","",K257*Parâmetros!$C$8/15)</f>
        <v>0</v>
      </c>
      <c r="O257" s="100">
        <f>IF(M257="","",M257*Parâmetros!$C$5)</f>
        <v>2168.7600000000002</v>
      </c>
      <c r="P257" s="94" t="str">
        <f>IF(L257="","",IF(L257&gt;=Parâmetros!$C$10,"Sim","Não"))</f>
        <v/>
      </c>
    </row>
    <row r="258" spans="1:16" ht="14.25" customHeight="1" x14ac:dyDescent="0.3">
      <c r="A258" s="94">
        <v>256</v>
      </c>
      <c r="B258" s="88" t="s">
        <v>182</v>
      </c>
      <c r="C258" s="88" t="s">
        <v>39</v>
      </c>
      <c r="D258" s="88" t="s">
        <v>617</v>
      </c>
      <c r="E258" s="87" t="s">
        <v>40</v>
      </c>
      <c r="F258" s="89">
        <v>46204</v>
      </c>
      <c r="G258" s="90">
        <v>182</v>
      </c>
      <c r="H258" s="89">
        <f>IF(COUNTIFS(Pesagens!$B$3:$B$5001,$B258)=0,"",_xlfn.MAXIFS(Pesagens!$A$3:$A$5001,Pesagens!$B$3:$B$5001,$B258,Pesagens!$E$3:$E$5001,"&lt;&gt;"))</f>
        <v>46204</v>
      </c>
      <c r="I258" s="90">
        <f>IF($H258="","",IFERROR(AVERAGEIFS(Pesagens!$E$3:$E$5001,Pesagens!$B$3:$B$5001,$B258,Pesagens!$A$3:$A$5001,$H258),""))</f>
        <v>182</v>
      </c>
      <c r="J258" s="87">
        <f>IF(F258="","",Parâmetros!$C$4-F258)</f>
        <v>42</v>
      </c>
      <c r="K258" s="90">
        <f t="shared" si="6"/>
        <v>0</v>
      </c>
      <c r="L258" s="91" t="str">
        <f t="shared" si="7"/>
        <v/>
      </c>
      <c r="M258" s="92">
        <f>IF(I258="","",I258*Parâmetros!$C$8/15)</f>
        <v>6.4306666666666672</v>
      </c>
      <c r="N258" s="92">
        <f>IF(K258="","",K258*Parâmetros!$C$8/15)</f>
        <v>0</v>
      </c>
      <c r="O258" s="93">
        <f>IF(M258="","",M258*Parâmetros!$C$5)</f>
        <v>1993.5066666666669</v>
      </c>
      <c r="P258" s="87" t="str">
        <f>IF(L258="","",IF(L258&gt;=Parâmetros!$C$10,"Sim","Não"))</f>
        <v/>
      </c>
    </row>
    <row r="259" spans="1:16" ht="14.25" customHeight="1" x14ac:dyDescent="0.3">
      <c r="A259" s="87">
        <v>257</v>
      </c>
      <c r="B259" s="95" t="s">
        <v>183</v>
      </c>
      <c r="C259" s="95" t="s">
        <v>39</v>
      </c>
      <c r="D259" s="95" t="s">
        <v>617</v>
      </c>
      <c r="E259" s="94" t="s">
        <v>40</v>
      </c>
      <c r="F259" s="96">
        <v>46204</v>
      </c>
      <c r="G259" s="97">
        <v>250</v>
      </c>
      <c r="H259" s="89">
        <f>IF(COUNTIFS(Pesagens!$B$3:$B$5001,$B259)=0,"",_xlfn.MAXIFS(Pesagens!$A$3:$A$5001,Pesagens!$B$3:$B$5001,$B259,Pesagens!$E$3:$E$5001,"&lt;&gt;"))</f>
        <v>46204</v>
      </c>
      <c r="I259" s="97">
        <f>IF($H259="","",IFERROR(AVERAGEIFS(Pesagens!$E$3:$E$5001,Pesagens!$B$3:$B$5001,$B259,Pesagens!$A$3:$A$5001,$H259),""))</f>
        <v>250</v>
      </c>
      <c r="J259" s="94">
        <f>IF(F259="","",Parâmetros!$C$4-F259)</f>
        <v>42</v>
      </c>
      <c r="K259" s="97">
        <f t="shared" ref="K259:K322" si="8">IF(OR(I259="",G259=""),"",I259-G259)</f>
        <v>0</v>
      </c>
      <c r="L259" s="98" t="str">
        <f t="shared" ref="L259:L322" si="9">IF(OR(I259="",G259="",H259&lt;=F259),"",(I259-G259)/(H259-F259))</f>
        <v/>
      </c>
      <c r="M259" s="99">
        <f>IF(I259="","",I259*Parâmetros!$C$8/15)</f>
        <v>8.8333333333333339</v>
      </c>
      <c r="N259" s="99">
        <f>IF(K259="","",K259*Parâmetros!$C$8/15)</f>
        <v>0</v>
      </c>
      <c r="O259" s="100">
        <f>IF(M259="","",M259*Parâmetros!$C$5)</f>
        <v>2738.3333333333335</v>
      </c>
      <c r="P259" s="94" t="str">
        <f>IF(L259="","",IF(L259&gt;=Parâmetros!$C$10,"Sim","Não"))</f>
        <v/>
      </c>
    </row>
    <row r="260" spans="1:16" ht="14.25" customHeight="1" x14ac:dyDescent="0.3">
      <c r="A260" s="94">
        <v>258</v>
      </c>
      <c r="B260" s="88" t="s">
        <v>184</v>
      </c>
      <c r="C260" s="88" t="s">
        <v>39</v>
      </c>
      <c r="D260" s="88" t="s">
        <v>617</v>
      </c>
      <c r="E260" s="87" t="s">
        <v>40</v>
      </c>
      <c r="F260" s="89">
        <v>46204</v>
      </c>
      <c r="G260" s="90">
        <v>271</v>
      </c>
      <c r="H260" s="89">
        <f>IF(COUNTIFS(Pesagens!$B$3:$B$5001,$B260)=0,"",_xlfn.MAXIFS(Pesagens!$A$3:$A$5001,Pesagens!$B$3:$B$5001,$B260,Pesagens!$E$3:$E$5001,"&lt;&gt;"))</f>
        <v>46204</v>
      </c>
      <c r="I260" s="90">
        <f>IF($H260="","",IFERROR(AVERAGEIFS(Pesagens!$E$3:$E$5001,Pesagens!$B$3:$B$5001,$B260,Pesagens!$A$3:$A$5001,$H260),""))</f>
        <v>271</v>
      </c>
      <c r="J260" s="87">
        <f>IF(F260="","",Parâmetros!$C$4-F260)</f>
        <v>42</v>
      </c>
      <c r="K260" s="90">
        <f t="shared" si="8"/>
        <v>0</v>
      </c>
      <c r="L260" s="91" t="str">
        <f t="shared" si="9"/>
        <v/>
      </c>
      <c r="M260" s="92">
        <f>IF(I260="","",I260*Parâmetros!$C$8/15)</f>
        <v>9.575333333333333</v>
      </c>
      <c r="N260" s="92">
        <f>IF(K260="","",K260*Parâmetros!$C$8/15)</f>
        <v>0</v>
      </c>
      <c r="O260" s="93">
        <f>IF(M260="","",M260*Parâmetros!$C$5)</f>
        <v>2968.3533333333335</v>
      </c>
      <c r="P260" s="87" t="str">
        <f>IF(L260="","",IF(L260&gt;=Parâmetros!$C$10,"Sim","Não"))</f>
        <v/>
      </c>
    </row>
    <row r="261" spans="1:16" ht="14.25" customHeight="1" x14ac:dyDescent="0.3">
      <c r="A261" s="87">
        <v>259</v>
      </c>
      <c r="B261" s="95" t="s">
        <v>185</v>
      </c>
      <c r="C261" s="95" t="s">
        <v>39</v>
      </c>
      <c r="D261" s="95" t="s">
        <v>617</v>
      </c>
      <c r="E261" s="94" t="s">
        <v>40</v>
      </c>
      <c r="F261" s="96">
        <v>46204</v>
      </c>
      <c r="G261" s="97">
        <v>228</v>
      </c>
      <c r="H261" s="89">
        <f>IF(COUNTIFS(Pesagens!$B$3:$B$5001,$B261)=0,"",_xlfn.MAXIFS(Pesagens!$A$3:$A$5001,Pesagens!$B$3:$B$5001,$B261,Pesagens!$E$3:$E$5001,"&lt;&gt;"))</f>
        <v>46204</v>
      </c>
      <c r="I261" s="97">
        <f>IF($H261="","",IFERROR(AVERAGEIFS(Pesagens!$E$3:$E$5001,Pesagens!$B$3:$B$5001,$B261,Pesagens!$A$3:$A$5001,$H261),""))</f>
        <v>228</v>
      </c>
      <c r="J261" s="94">
        <f>IF(F261="","",Parâmetros!$C$4-F261)</f>
        <v>42</v>
      </c>
      <c r="K261" s="97">
        <f t="shared" si="8"/>
        <v>0</v>
      </c>
      <c r="L261" s="98" t="str">
        <f t="shared" si="9"/>
        <v/>
      </c>
      <c r="M261" s="99">
        <f>IF(I261="","",I261*Parâmetros!$C$8/15)</f>
        <v>8.0560000000000009</v>
      </c>
      <c r="N261" s="99">
        <f>IF(K261="","",K261*Parâmetros!$C$8/15)</f>
        <v>0</v>
      </c>
      <c r="O261" s="100">
        <f>IF(M261="","",M261*Parâmetros!$C$5)</f>
        <v>2497.36</v>
      </c>
      <c r="P261" s="94" t="str">
        <f>IF(L261="","",IF(L261&gt;=Parâmetros!$C$10,"Sim","Não"))</f>
        <v/>
      </c>
    </row>
    <row r="262" spans="1:16" ht="14.25" customHeight="1" x14ac:dyDescent="0.3">
      <c r="A262" s="94">
        <v>260</v>
      </c>
      <c r="B262" s="88" t="s">
        <v>186</v>
      </c>
      <c r="C262" s="88" t="s">
        <v>39</v>
      </c>
      <c r="D262" s="88" t="s">
        <v>617</v>
      </c>
      <c r="E262" s="87" t="s">
        <v>40</v>
      </c>
      <c r="F262" s="89">
        <v>46204</v>
      </c>
      <c r="G262" s="90">
        <v>197</v>
      </c>
      <c r="H262" s="89">
        <f>IF(COUNTIFS(Pesagens!$B$3:$B$5001,$B262)=0,"",_xlfn.MAXIFS(Pesagens!$A$3:$A$5001,Pesagens!$B$3:$B$5001,$B262,Pesagens!$E$3:$E$5001,"&lt;&gt;"))</f>
        <v>46204</v>
      </c>
      <c r="I262" s="90">
        <f>IF($H262="","",IFERROR(AVERAGEIFS(Pesagens!$E$3:$E$5001,Pesagens!$B$3:$B$5001,$B262,Pesagens!$A$3:$A$5001,$H262),""))</f>
        <v>197</v>
      </c>
      <c r="J262" s="87">
        <f>IF(F262="","",Parâmetros!$C$4-F262)</f>
        <v>42</v>
      </c>
      <c r="K262" s="90">
        <f t="shared" si="8"/>
        <v>0</v>
      </c>
      <c r="L262" s="91" t="str">
        <f t="shared" si="9"/>
        <v/>
      </c>
      <c r="M262" s="92">
        <f>IF(I262="","",I262*Parâmetros!$C$8/15)</f>
        <v>6.9606666666666674</v>
      </c>
      <c r="N262" s="92">
        <f>IF(K262="","",K262*Parâmetros!$C$8/15)</f>
        <v>0</v>
      </c>
      <c r="O262" s="93">
        <f>IF(M262="","",M262*Parâmetros!$C$5)</f>
        <v>2157.8066666666668</v>
      </c>
      <c r="P262" s="87" t="str">
        <f>IF(L262="","",IF(L262&gt;=Parâmetros!$C$10,"Sim","Não"))</f>
        <v/>
      </c>
    </row>
    <row r="263" spans="1:16" ht="14.25" customHeight="1" x14ac:dyDescent="0.3">
      <c r="A263" s="87">
        <v>261</v>
      </c>
      <c r="B263" s="95" t="s">
        <v>187</v>
      </c>
      <c r="C263" s="95" t="s">
        <v>39</v>
      </c>
      <c r="D263" s="95" t="s">
        <v>617</v>
      </c>
      <c r="E263" s="94" t="s">
        <v>40</v>
      </c>
      <c r="F263" s="96">
        <v>46204</v>
      </c>
      <c r="G263" s="97">
        <v>222</v>
      </c>
      <c r="H263" s="89">
        <f>IF(COUNTIFS(Pesagens!$B$3:$B$5001,$B263)=0,"",_xlfn.MAXIFS(Pesagens!$A$3:$A$5001,Pesagens!$B$3:$B$5001,$B263,Pesagens!$E$3:$E$5001,"&lt;&gt;"))</f>
        <v>46204</v>
      </c>
      <c r="I263" s="97">
        <f>IF($H263="","",IFERROR(AVERAGEIFS(Pesagens!$E$3:$E$5001,Pesagens!$B$3:$B$5001,$B263,Pesagens!$A$3:$A$5001,$H263),""))</f>
        <v>222</v>
      </c>
      <c r="J263" s="94">
        <f>IF(F263="","",Parâmetros!$C$4-F263)</f>
        <v>42</v>
      </c>
      <c r="K263" s="97">
        <f t="shared" si="8"/>
        <v>0</v>
      </c>
      <c r="L263" s="98" t="str">
        <f t="shared" si="9"/>
        <v/>
      </c>
      <c r="M263" s="99">
        <f>IF(I263="","",I263*Parâmetros!$C$8/15)</f>
        <v>7.8440000000000003</v>
      </c>
      <c r="N263" s="99">
        <f>IF(K263="","",K263*Parâmetros!$C$8/15)</f>
        <v>0</v>
      </c>
      <c r="O263" s="100">
        <f>IF(M263="","",M263*Parâmetros!$C$5)</f>
        <v>2431.64</v>
      </c>
      <c r="P263" s="94" t="str">
        <f>IF(L263="","",IF(L263&gt;=Parâmetros!$C$10,"Sim","Não"))</f>
        <v/>
      </c>
    </row>
    <row r="264" spans="1:16" ht="14.25" customHeight="1" x14ac:dyDescent="0.3">
      <c r="A264" s="94">
        <v>262</v>
      </c>
      <c r="B264" s="88" t="s">
        <v>188</v>
      </c>
      <c r="C264" s="88" t="s">
        <v>39</v>
      </c>
      <c r="D264" s="88" t="s">
        <v>617</v>
      </c>
      <c r="E264" s="87" t="s">
        <v>40</v>
      </c>
      <c r="F264" s="89">
        <v>46204</v>
      </c>
      <c r="G264" s="90">
        <v>192</v>
      </c>
      <c r="H264" s="89">
        <f>IF(COUNTIFS(Pesagens!$B$3:$B$5001,$B264)=0,"",_xlfn.MAXIFS(Pesagens!$A$3:$A$5001,Pesagens!$B$3:$B$5001,$B264,Pesagens!$E$3:$E$5001,"&lt;&gt;"))</f>
        <v>46204</v>
      </c>
      <c r="I264" s="90">
        <f>IF($H264="","",IFERROR(AVERAGEIFS(Pesagens!$E$3:$E$5001,Pesagens!$B$3:$B$5001,$B264,Pesagens!$A$3:$A$5001,$H264),""))</f>
        <v>192</v>
      </c>
      <c r="J264" s="87">
        <f>IF(F264="","",Parâmetros!$C$4-F264)</f>
        <v>42</v>
      </c>
      <c r="K264" s="90">
        <f t="shared" si="8"/>
        <v>0</v>
      </c>
      <c r="L264" s="91" t="str">
        <f t="shared" si="9"/>
        <v/>
      </c>
      <c r="M264" s="92">
        <f>IF(I264="","",I264*Parâmetros!$C$8/15)</f>
        <v>6.7840000000000007</v>
      </c>
      <c r="N264" s="92">
        <f>IF(K264="","",K264*Parâmetros!$C$8/15)</f>
        <v>0</v>
      </c>
      <c r="O264" s="93">
        <f>IF(M264="","",M264*Parâmetros!$C$5)</f>
        <v>2103.0400000000004</v>
      </c>
      <c r="P264" s="87" t="str">
        <f>IF(L264="","",IF(L264&gt;=Parâmetros!$C$10,"Sim","Não"))</f>
        <v/>
      </c>
    </row>
    <row r="265" spans="1:16" ht="14.25" customHeight="1" x14ac:dyDescent="0.3">
      <c r="A265" s="87">
        <v>263</v>
      </c>
      <c r="B265" s="95" t="s">
        <v>189</v>
      </c>
      <c r="C265" s="95" t="s">
        <v>39</v>
      </c>
      <c r="D265" s="95" t="s">
        <v>617</v>
      </c>
      <c r="E265" s="94" t="s">
        <v>40</v>
      </c>
      <c r="F265" s="96">
        <v>46204</v>
      </c>
      <c r="G265" s="97">
        <v>173</v>
      </c>
      <c r="H265" s="89">
        <f>IF(COUNTIFS(Pesagens!$B$3:$B$5001,$B265)=0,"",_xlfn.MAXIFS(Pesagens!$A$3:$A$5001,Pesagens!$B$3:$B$5001,$B265,Pesagens!$E$3:$E$5001,"&lt;&gt;"))</f>
        <v>46204</v>
      </c>
      <c r="I265" s="97">
        <f>IF($H265="","",IFERROR(AVERAGEIFS(Pesagens!$E$3:$E$5001,Pesagens!$B$3:$B$5001,$B265,Pesagens!$A$3:$A$5001,$H265),""))</f>
        <v>173</v>
      </c>
      <c r="J265" s="94">
        <f>IF(F265="","",Parâmetros!$C$4-F265)</f>
        <v>42</v>
      </c>
      <c r="K265" s="97">
        <f t="shared" si="8"/>
        <v>0</v>
      </c>
      <c r="L265" s="98" t="str">
        <f t="shared" si="9"/>
        <v/>
      </c>
      <c r="M265" s="99">
        <f>IF(I265="","",I265*Parâmetros!$C$8/15)</f>
        <v>6.1126666666666667</v>
      </c>
      <c r="N265" s="99">
        <f>IF(K265="","",K265*Parâmetros!$C$8/15)</f>
        <v>0</v>
      </c>
      <c r="O265" s="100">
        <f>IF(M265="","",M265*Parâmetros!$C$5)</f>
        <v>1894.9266666666667</v>
      </c>
      <c r="P265" s="94" t="str">
        <f>IF(L265="","",IF(L265&gt;=Parâmetros!$C$10,"Sim","Não"))</f>
        <v/>
      </c>
    </row>
    <row r="266" spans="1:16" ht="14.25" customHeight="1" x14ac:dyDescent="0.3">
      <c r="A266" s="94">
        <v>264</v>
      </c>
      <c r="B266" s="88" t="s">
        <v>190</v>
      </c>
      <c r="C266" s="88" t="s">
        <v>39</v>
      </c>
      <c r="D266" s="88" t="s">
        <v>617</v>
      </c>
      <c r="E266" s="87" t="s">
        <v>40</v>
      </c>
      <c r="F266" s="89">
        <v>46204</v>
      </c>
      <c r="G266" s="90">
        <v>147</v>
      </c>
      <c r="H266" s="89">
        <f>IF(COUNTIFS(Pesagens!$B$3:$B$5001,$B266)=0,"",_xlfn.MAXIFS(Pesagens!$A$3:$A$5001,Pesagens!$B$3:$B$5001,$B266,Pesagens!$E$3:$E$5001,"&lt;&gt;"))</f>
        <v>46204</v>
      </c>
      <c r="I266" s="90">
        <f>IF($H266="","",IFERROR(AVERAGEIFS(Pesagens!$E$3:$E$5001,Pesagens!$B$3:$B$5001,$B266,Pesagens!$A$3:$A$5001,$H266),""))</f>
        <v>147</v>
      </c>
      <c r="J266" s="87">
        <f>IF(F266="","",Parâmetros!$C$4-F266)</f>
        <v>42</v>
      </c>
      <c r="K266" s="90">
        <f t="shared" si="8"/>
        <v>0</v>
      </c>
      <c r="L266" s="91" t="str">
        <f t="shared" si="9"/>
        <v/>
      </c>
      <c r="M266" s="92">
        <f>IF(I266="","",I266*Parâmetros!$C$8/15)</f>
        <v>5.1940000000000008</v>
      </c>
      <c r="N266" s="92">
        <f>IF(K266="","",K266*Parâmetros!$C$8/15)</f>
        <v>0</v>
      </c>
      <c r="O266" s="93">
        <f>IF(M266="","",M266*Parâmetros!$C$5)</f>
        <v>1610.1400000000003</v>
      </c>
      <c r="P266" s="87" t="str">
        <f>IF(L266="","",IF(L266&gt;=Parâmetros!$C$10,"Sim","Não"))</f>
        <v/>
      </c>
    </row>
    <row r="267" spans="1:16" ht="14.25" customHeight="1" x14ac:dyDescent="0.3">
      <c r="A267" s="87">
        <v>265</v>
      </c>
      <c r="B267" s="95" t="s">
        <v>191</v>
      </c>
      <c r="C267" s="95" t="s">
        <v>39</v>
      </c>
      <c r="D267" s="95" t="s">
        <v>617</v>
      </c>
      <c r="E267" s="94" t="s">
        <v>40</v>
      </c>
      <c r="F267" s="96">
        <v>46204</v>
      </c>
      <c r="G267" s="97">
        <v>200</v>
      </c>
      <c r="H267" s="89">
        <f>IF(COUNTIFS(Pesagens!$B$3:$B$5001,$B267)=0,"",_xlfn.MAXIFS(Pesagens!$A$3:$A$5001,Pesagens!$B$3:$B$5001,$B267,Pesagens!$E$3:$E$5001,"&lt;&gt;"))</f>
        <v>46204</v>
      </c>
      <c r="I267" s="97">
        <f>IF($H267="","",IFERROR(AVERAGEIFS(Pesagens!$E$3:$E$5001,Pesagens!$B$3:$B$5001,$B267,Pesagens!$A$3:$A$5001,$H267),""))</f>
        <v>200</v>
      </c>
      <c r="J267" s="94">
        <f>IF(F267="","",Parâmetros!$C$4-F267)</f>
        <v>42</v>
      </c>
      <c r="K267" s="97">
        <f t="shared" si="8"/>
        <v>0</v>
      </c>
      <c r="L267" s="98" t="str">
        <f t="shared" si="9"/>
        <v/>
      </c>
      <c r="M267" s="99">
        <f>IF(I267="","",I267*Parâmetros!$C$8/15)</f>
        <v>7.0666666666666664</v>
      </c>
      <c r="N267" s="99">
        <f>IF(K267="","",K267*Parâmetros!$C$8/15)</f>
        <v>0</v>
      </c>
      <c r="O267" s="100">
        <f>IF(M267="","",M267*Parâmetros!$C$5)</f>
        <v>2190.6666666666665</v>
      </c>
      <c r="P267" s="94" t="str">
        <f>IF(L267="","",IF(L267&gt;=Parâmetros!$C$10,"Sim","Não"))</f>
        <v/>
      </c>
    </row>
    <row r="268" spans="1:16" ht="14.25" customHeight="1" x14ac:dyDescent="0.3">
      <c r="A268" s="94">
        <v>266</v>
      </c>
      <c r="B268" s="88" t="s">
        <v>192</v>
      </c>
      <c r="C268" s="88" t="s">
        <v>39</v>
      </c>
      <c r="D268" s="88" t="s">
        <v>617</v>
      </c>
      <c r="E268" s="87" t="s">
        <v>40</v>
      </c>
      <c r="F268" s="89">
        <v>46204</v>
      </c>
      <c r="G268" s="90">
        <v>171</v>
      </c>
      <c r="H268" s="89">
        <f>IF(COUNTIFS(Pesagens!$B$3:$B$5001,$B268)=0,"",_xlfn.MAXIFS(Pesagens!$A$3:$A$5001,Pesagens!$B$3:$B$5001,$B268,Pesagens!$E$3:$E$5001,"&lt;&gt;"))</f>
        <v>46204</v>
      </c>
      <c r="I268" s="90">
        <f>IF($H268="","",IFERROR(AVERAGEIFS(Pesagens!$E$3:$E$5001,Pesagens!$B$3:$B$5001,$B268,Pesagens!$A$3:$A$5001,$H268),""))</f>
        <v>171</v>
      </c>
      <c r="J268" s="87">
        <f>IF(F268="","",Parâmetros!$C$4-F268)</f>
        <v>42</v>
      </c>
      <c r="K268" s="90">
        <f t="shared" si="8"/>
        <v>0</v>
      </c>
      <c r="L268" s="91" t="str">
        <f t="shared" si="9"/>
        <v/>
      </c>
      <c r="M268" s="92">
        <f>IF(I268="","",I268*Parâmetros!$C$8/15)</f>
        <v>6.0420000000000007</v>
      </c>
      <c r="N268" s="92">
        <f>IF(K268="","",K268*Parâmetros!$C$8/15)</f>
        <v>0</v>
      </c>
      <c r="O268" s="93">
        <f>IF(M268="","",M268*Parâmetros!$C$5)</f>
        <v>1873.0200000000002</v>
      </c>
      <c r="P268" s="87" t="str">
        <f>IF(L268="","",IF(L268&gt;=Parâmetros!$C$10,"Sim","Não"))</f>
        <v/>
      </c>
    </row>
    <row r="269" spans="1:16" ht="14.25" customHeight="1" x14ac:dyDescent="0.3">
      <c r="A269" s="87">
        <v>267</v>
      </c>
      <c r="B269" s="95" t="s">
        <v>193</v>
      </c>
      <c r="C269" s="95" t="s">
        <v>39</v>
      </c>
      <c r="D269" s="95" t="s">
        <v>617</v>
      </c>
      <c r="E269" s="94" t="s">
        <v>40</v>
      </c>
      <c r="F269" s="96">
        <v>46204</v>
      </c>
      <c r="G269" s="97">
        <v>148</v>
      </c>
      <c r="H269" s="89">
        <f>IF(COUNTIFS(Pesagens!$B$3:$B$5001,$B269)=0,"",_xlfn.MAXIFS(Pesagens!$A$3:$A$5001,Pesagens!$B$3:$B$5001,$B269,Pesagens!$E$3:$E$5001,"&lt;&gt;"))</f>
        <v>46204</v>
      </c>
      <c r="I269" s="97">
        <f>IF($H269="","",IFERROR(AVERAGEIFS(Pesagens!$E$3:$E$5001,Pesagens!$B$3:$B$5001,$B269,Pesagens!$A$3:$A$5001,$H269),""))</f>
        <v>148</v>
      </c>
      <c r="J269" s="94">
        <f>IF(F269="","",Parâmetros!$C$4-F269)</f>
        <v>42</v>
      </c>
      <c r="K269" s="97">
        <f t="shared" si="8"/>
        <v>0</v>
      </c>
      <c r="L269" s="98" t="str">
        <f t="shared" si="9"/>
        <v/>
      </c>
      <c r="M269" s="99">
        <f>IF(I269="","",I269*Parâmetros!$C$8/15)</f>
        <v>5.2293333333333329</v>
      </c>
      <c r="N269" s="99">
        <f>IF(K269="","",K269*Parâmetros!$C$8/15)</f>
        <v>0</v>
      </c>
      <c r="O269" s="100">
        <f>IF(M269="","",M269*Parâmetros!$C$5)</f>
        <v>1621.0933333333332</v>
      </c>
      <c r="P269" s="94" t="str">
        <f>IF(L269="","",IF(L269&gt;=Parâmetros!$C$10,"Sim","Não"))</f>
        <v/>
      </c>
    </row>
    <row r="270" spans="1:16" ht="14.25" customHeight="1" x14ac:dyDescent="0.3">
      <c r="A270" s="94">
        <v>268</v>
      </c>
      <c r="B270" s="88" t="s">
        <v>194</v>
      </c>
      <c r="C270" s="88" t="s">
        <v>39</v>
      </c>
      <c r="D270" s="88" t="s">
        <v>617</v>
      </c>
      <c r="E270" s="87" t="s">
        <v>40</v>
      </c>
      <c r="F270" s="89">
        <v>46204</v>
      </c>
      <c r="G270" s="90">
        <v>148</v>
      </c>
      <c r="H270" s="89">
        <f>IF(COUNTIFS(Pesagens!$B$3:$B$5001,$B270)=0,"",_xlfn.MAXIFS(Pesagens!$A$3:$A$5001,Pesagens!$B$3:$B$5001,$B270,Pesagens!$E$3:$E$5001,"&lt;&gt;"))</f>
        <v>46204</v>
      </c>
      <c r="I270" s="90">
        <f>IF($H270="","",IFERROR(AVERAGEIFS(Pesagens!$E$3:$E$5001,Pesagens!$B$3:$B$5001,$B270,Pesagens!$A$3:$A$5001,$H270),""))</f>
        <v>148</v>
      </c>
      <c r="J270" s="87">
        <f>IF(F270="","",Parâmetros!$C$4-F270)</f>
        <v>42</v>
      </c>
      <c r="K270" s="90">
        <f t="shared" si="8"/>
        <v>0</v>
      </c>
      <c r="L270" s="91" t="str">
        <f t="shared" si="9"/>
        <v/>
      </c>
      <c r="M270" s="92">
        <f>IF(I270="","",I270*Parâmetros!$C$8/15)</f>
        <v>5.2293333333333329</v>
      </c>
      <c r="N270" s="92">
        <f>IF(K270="","",K270*Parâmetros!$C$8/15)</f>
        <v>0</v>
      </c>
      <c r="O270" s="93">
        <f>IF(M270="","",M270*Parâmetros!$C$5)</f>
        <v>1621.0933333333332</v>
      </c>
      <c r="P270" s="87" t="str">
        <f>IF(L270="","",IF(L270&gt;=Parâmetros!$C$10,"Sim","Não"))</f>
        <v/>
      </c>
    </row>
    <row r="271" spans="1:16" ht="14.25" customHeight="1" x14ac:dyDescent="0.3">
      <c r="A271" s="87">
        <v>269</v>
      </c>
      <c r="B271" s="95" t="s">
        <v>195</v>
      </c>
      <c r="C271" s="95" t="s">
        <v>39</v>
      </c>
      <c r="D271" s="95" t="s">
        <v>617</v>
      </c>
      <c r="E271" s="94" t="s">
        <v>40</v>
      </c>
      <c r="F271" s="96">
        <v>46204</v>
      </c>
      <c r="G271" s="97">
        <v>195</v>
      </c>
      <c r="H271" s="89">
        <f>IF(COUNTIFS(Pesagens!$B$3:$B$5001,$B271)=0,"",_xlfn.MAXIFS(Pesagens!$A$3:$A$5001,Pesagens!$B$3:$B$5001,$B271,Pesagens!$E$3:$E$5001,"&lt;&gt;"))</f>
        <v>46204</v>
      </c>
      <c r="I271" s="97">
        <f>IF($H271="","",IFERROR(AVERAGEIFS(Pesagens!$E$3:$E$5001,Pesagens!$B$3:$B$5001,$B271,Pesagens!$A$3:$A$5001,$H271),""))</f>
        <v>195</v>
      </c>
      <c r="J271" s="94">
        <f>IF(F271="","",Parâmetros!$C$4-F271)</f>
        <v>42</v>
      </c>
      <c r="K271" s="97">
        <f t="shared" si="8"/>
        <v>0</v>
      </c>
      <c r="L271" s="98" t="str">
        <f t="shared" si="9"/>
        <v/>
      </c>
      <c r="M271" s="99">
        <f>IF(I271="","",I271*Parâmetros!$C$8/15)</f>
        <v>6.8900000000000006</v>
      </c>
      <c r="N271" s="99">
        <f>IF(K271="","",K271*Parâmetros!$C$8/15)</f>
        <v>0</v>
      </c>
      <c r="O271" s="100">
        <f>IF(M271="","",M271*Parâmetros!$C$5)</f>
        <v>2135.9</v>
      </c>
      <c r="P271" s="94" t="str">
        <f>IF(L271="","",IF(L271&gt;=Parâmetros!$C$10,"Sim","Não"))</f>
        <v/>
      </c>
    </row>
    <row r="272" spans="1:16" ht="14.25" customHeight="1" x14ac:dyDescent="0.3">
      <c r="A272" s="94">
        <v>270</v>
      </c>
      <c r="B272" s="88" t="s">
        <v>196</v>
      </c>
      <c r="C272" s="88" t="s">
        <v>39</v>
      </c>
      <c r="D272" s="88" t="s">
        <v>617</v>
      </c>
      <c r="E272" s="87" t="s">
        <v>40</v>
      </c>
      <c r="F272" s="89">
        <v>46204</v>
      </c>
      <c r="G272" s="90">
        <v>146</v>
      </c>
      <c r="H272" s="89">
        <f>IF(COUNTIFS(Pesagens!$B$3:$B$5001,$B272)=0,"",_xlfn.MAXIFS(Pesagens!$A$3:$A$5001,Pesagens!$B$3:$B$5001,$B272,Pesagens!$E$3:$E$5001,"&lt;&gt;"))</f>
        <v>46204</v>
      </c>
      <c r="I272" s="90">
        <f>IF($H272="","",IFERROR(AVERAGEIFS(Pesagens!$E$3:$E$5001,Pesagens!$B$3:$B$5001,$B272,Pesagens!$A$3:$A$5001,$H272),""))</f>
        <v>146</v>
      </c>
      <c r="J272" s="87">
        <f>IF(F272="","",Parâmetros!$C$4-F272)</f>
        <v>42</v>
      </c>
      <c r="K272" s="90">
        <f t="shared" si="8"/>
        <v>0</v>
      </c>
      <c r="L272" s="91" t="str">
        <f t="shared" si="9"/>
        <v/>
      </c>
      <c r="M272" s="92">
        <f>IF(I272="","",I272*Parâmetros!$C$8/15)</f>
        <v>5.158666666666667</v>
      </c>
      <c r="N272" s="92">
        <f>IF(K272="","",K272*Parâmetros!$C$8/15)</f>
        <v>0</v>
      </c>
      <c r="O272" s="93">
        <f>IF(M272="","",M272*Parâmetros!$C$5)</f>
        <v>1599.1866666666667</v>
      </c>
      <c r="P272" s="87" t="str">
        <f>IF(L272="","",IF(L272&gt;=Parâmetros!$C$10,"Sim","Não"))</f>
        <v/>
      </c>
    </row>
    <row r="273" spans="1:16" ht="14.25" customHeight="1" x14ac:dyDescent="0.3">
      <c r="A273" s="87">
        <v>271</v>
      </c>
      <c r="B273" s="95" t="s">
        <v>197</v>
      </c>
      <c r="C273" s="95" t="s">
        <v>39</v>
      </c>
      <c r="D273" s="95" t="s">
        <v>617</v>
      </c>
      <c r="E273" s="94" t="s">
        <v>40</v>
      </c>
      <c r="F273" s="96">
        <v>46204</v>
      </c>
      <c r="G273" s="97">
        <v>170</v>
      </c>
      <c r="H273" s="89">
        <f>IF(COUNTIFS(Pesagens!$B$3:$B$5001,$B273)=0,"",_xlfn.MAXIFS(Pesagens!$A$3:$A$5001,Pesagens!$B$3:$B$5001,$B273,Pesagens!$E$3:$E$5001,"&lt;&gt;"))</f>
        <v>46204</v>
      </c>
      <c r="I273" s="97">
        <f>IF($H273="","",IFERROR(AVERAGEIFS(Pesagens!$E$3:$E$5001,Pesagens!$B$3:$B$5001,$B273,Pesagens!$A$3:$A$5001,$H273),""))</f>
        <v>170</v>
      </c>
      <c r="J273" s="94">
        <f>IF(F273="","",Parâmetros!$C$4-F273)</f>
        <v>42</v>
      </c>
      <c r="K273" s="97">
        <f t="shared" si="8"/>
        <v>0</v>
      </c>
      <c r="L273" s="98" t="str">
        <f t="shared" si="9"/>
        <v/>
      </c>
      <c r="M273" s="99">
        <f>IF(I273="","",I273*Parâmetros!$C$8/15)</f>
        <v>6.0066666666666668</v>
      </c>
      <c r="N273" s="99">
        <f>IF(K273="","",K273*Parâmetros!$C$8/15)</f>
        <v>0</v>
      </c>
      <c r="O273" s="100">
        <f>IF(M273="","",M273*Parâmetros!$C$5)</f>
        <v>1862.0666666666666</v>
      </c>
      <c r="P273" s="94" t="str">
        <f>IF(L273="","",IF(L273&gt;=Parâmetros!$C$10,"Sim","Não"))</f>
        <v/>
      </c>
    </row>
    <row r="274" spans="1:16" ht="14.25" customHeight="1" x14ac:dyDescent="0.3">
      <c r="A274" s="94">
        <v>272</v>
      </c>
      <c r="B274" s="88" t="s">
        <v>198</v>
      </c>
      <c r="C274" s="88" t="s">
        <v>39</v>
      </c>
      <c r="D274" s="88" t="s">
        <v>617</v>
      </c>
      <c r="E274" s="87" t="s">
        <v>40</v>
      </c>
      <c r="F274" s="89">
        <v>46204</v>
      </c>
      <c r="G274" s="90">
        <v>205</v>
      </c>
      <c r="H274" s="89">
        <f>IF(COUNTIFS(Pesagens!$B$3:$B$5001,$B274)=0,"",_xlfn.MAXIFS(Pesagens!$A$3:$A$5001,Pesagens!$B$3:$B$5001,$B274,Pesagens!$E$3:$E$5001,"&lt;&gt;"))</f>
        <v>46204</v>
      </c>
      <c r="I274" s="90">
        <f>IF($H274="","",IFERROR(AVERAGEIFS(Pesagens!$E$3:$E$5001,Pesagens!$B$3:$B$5001,$B274,Pesagens!$A$3:$A$5001,$H274),""))</f>
        <v>205</v>
      </c>
      <c r="J274" s="87">
        <f>IF(F274="","",Parâmetros!$C$4-F274)</f>
        <v>42</v>
      </c>
      <c r="K274" s="90">
        <f t="shared" si="8"/>
        <v>0</v>
      </c>
      <c r="L274" s="91" t="str">
        <f t="shared" si="9"/>
        <v/>
      </c>
      <c r="M274" s="92">
        <f>IF(I274="","",I274*Parâmetros!$C$8/15)</f>
        <v>7.2433333333333341</v>
      </c>
      <c r="N274" s="92">
        <f>IF(K274="","",K274*Parâmetros!$C$8/15)</f>
        <v>0</v>
      </c>
      <c r="O274" s="93">
        <f>IF(M274="","",M274*Parâmetros!$C$5)</f>
        <v>2245.4333333333334</v>
      </c>
      <c r="P274" s="87" t="str">
        <f>IF(L274="","",IF(L274&gt;=Parâmetros!$C$10,"Sim","Não"))</f>
        <v/>
      </c>
    </row>
    <row r="275" spans="1:16" ht="14.25" customHeight="1" x14ac:dyDescent="0.3">
      <c r="A275" s="87">
        <v>273</v>
      </c>
      <c r="B275" s="95" t="s">
        <v>199</v>
      </c>
      <c r="C275" s="95" t="s">
        <v>39</v>
      </c>
      <c r="D275" s="95" t="s">
        <v>617</v>
      </c>
      <c r="E275" s="94" t="s">
        <v>40</v>
      </c>
      <c r="F275" s="96">
        <v>46204</v>
      </c>
      <c r="G275" s="97">
        <v>179</v>
      </c>
      <c r="H275" s="89">
        <f>IF(COUNTIFS(Pesagens!$B$3:$B$5001,$B275)=0,"",_xlfn.MAXIFS(Pesagens!$A$3:$A$5001,Pesagens!$B$3:$B$5001,$B275,Pesagens!$E$3:$E$5001,"&lt;&gt;"))</f>
        <v>46204</v>
      </c>
      <c r="I275" s="97">
        <f>IF($H275="","",IFERROR(AVERAGEIFS(Pesagens!$E$3:$E$5001,Pesagens!$B$3:$B$5001,$B275,Pesagens!$A$3:$A$5001,$H275),""))</f>
        <v>179</v>
      </c>
      <c r="J275" s="94">
        <f>IF(F275="","",Parâmetros!$C$4-F275)</f>
        <v>42</v>
      </c>
      <c r="K275" s="97">
        <f t="shared" si="8"/>
        <v>0</v>
      </c>
      <c r="L275" s="98" t="str">
        <f t="shared" si="9"/>
        <v/>
      </c>
      <c r="M275" s="99">
        <f>IF(I275="","",I275*Parâmetros!$C$8/15)</f>
        <v>6.3246666666666673</v>
      </c>
      <c r="N275" s="99">
        <f>IF(K275="","",K275*Parâmetros!$C$8/15)</f>
        <v>0</v>
      </c>
      <c r="O275" s="100">
        <f>IF(M275="","",M275*Parâmetros!$C$5)</f>
        <v>1960.6466666666668</v>
      </c>
      <c r="P275" s="94" t="str">
        <f>IF(L275="","",IF(L275&gt;=Parâmetros!$C$10,"Sim","Não"))</f>
        <v/>
      </c>
    </row>
    <row r="276" spans="1:16" ht="14.25" customHeight="1" x14ac:dyDescent="0.3">
      <c r="A276" s="94">
        <v>274</v>
      </c>
      <c r="B276" s="88" t="s">
        <v>200</v>
      </c>
      <c r="C276" s="88" t="s">
        <v>39</v>
      </c>
      <c r="D276" s="88" t="s">
        <v>617</v>
      </c>
      <c r="E276" s="87" t="s">
        <v>40</v>
      </c>
      <c r="F276" s="89">
        <v>46199</v>
      </c>
      <c r="G276" s="90">
        <v>220</v>
      </c>
      <c r="H276" s="89">
        <f>IF(COUNTIFS(Pesagens!$B$3:$B$5001,$B276)=0,"",_xlfn.MAXIFS(Pesagens!$A$3:$A$5001,Pesagens!$B$3:$B$5001,$B276,Pesagens!$E$3:$E$5001,"&lt;&gt;"))</f>
        <v>46199</v>
      </c>
      <c r="I276" s="90">
        <f>IF($H276="","",IFERROR(AVERAGEIFS(Pesagens!$E$3:$E$5001,Pesagens!$B$3:$B$5001,$B276,Pesagens!$A$3:$A$5001,$H276),""))</f>
        <v>220</v>
      </c>
      <c r="J276" s="87">
        <f>IF(F276="","",Parâmetros!$C$4-F276)</f>
        <v>47</v>
      </c>
      <c r="K276" s="90">
        <f t="shared" si="8"/>
        <v>0</v>
      </c>
      <c r="L276" s="91" t="str">
        <f t="shared" si="9"/>
        <v/>
      </c>
      <c r="M276" s="92">
        <f>IF(I276="","",I276*Parâmetros!$C$8/15)</f>
        <v>7.7733333333333343</v>
      </c>
      <c r="N276" s="92">
        <f>IF(K276="","",K276*Parâmetros!$C$8/15)</f>
        <v>0</v>
      </c>
      <c r="O276" s="93">
        <f>IF(M276="","",M276*Parâmetros!$C$5)</f>
        <v>2409.7333333333336</v>
      </c>
      <c r="P276" s="87" t="str">
        <f>IF(L276="","",IF(L276&gt;=Parâmetros!$C$10,"Sim","Não"))</f>
        <v/>
      </c>
    </row>
    <row r="277" spans="1:16" ht="14.25" customHeight="1" x14ac:dyDescent="0.3">
      <c r="A277" s="87">
        <v>275</v>
      </c>
      <c r="B277" s="95" t="s">
        <v>201</v>
      </c>
      <c r="C277" s="95" t="s">
        <v>39</v>
      </c>
      <c r="D277" s="95" t="s">
        <v>617</v>
      </c>
      <c r="E277" s="94" t="s">
        <v>40</v>
      </c>
      <c r="F277" s="96">
        <v>46204</v>
      </c>
      <c r="G277" s="97">
        <v>162</v>
      </c>
      <c r="H277" s="89">
        <f>IF(COUNTIFS(Pesagens!$B$3:$B$5001,$B277)=0,"",_xlfn.MAXIFS(Pesagens!$A$3:$A$5001,Pesagens!$B$3:$B$5001,$B277,Pesagens!$E$3:$E$5001,"&lt;&gt;"))</f>
        <v>46204</v>
      </c>
      <c r="I277" s="97">
        <f>IF($H277="","",IFERROR(AVERAGEIFS(Pesagens!$E$3:$E$5001,Pesagens!$B$3:$B$5001,$B277,Pesagens!$A$3:$A$5001,$H277),""))</f>
        <v>162</v>
      </c>
      <c r="J277" s="94">
        <f>IF(F277="","",Parâmetros!$C$4-F277)</f>
        <v>42</v>
      </c>
      <c r="K277" s="97">
        <f t="shared" si="8"/>
        <v>0</v>
      </c>
      <c r="L277" s="98" t="str">
        <f t="shared" si="9"/>
        <v/>
      </c>
      <c r="M277" s="99">
        <f>IF(I277="","",I277*Parâmetros!$C$8/15)</f>
        <v>5.7240000000000002</v>
      </c>
      <c r="N277" s="99">
        <f>IF(K277="","",K277*Parâmetros!$C$8/15)</f>
        <v>0</v>
      </c>
      <c r="O277" s="100">
        <f>IF(M277="","",M277*Parâmetros!$C$5)</f>
        <v>1774.44</v>
      </c>
      <c r="P277" s="94" t="str">
        <f>IF(L277="","",IF(L277&gt;=Parâmetros!$C$10,"Sim","Não"))</f>
        <v/>
      </c>
    </row>
    <row r="278" spans="1:16" ht="14.25" customHeight="1" x14ac:dyDescent="0.3">
      <c r="A278" s="94">
        <v>276</v>
      </c>
      <c r="B278" s="88" t="s">
        <v>202</v>
      </c>
      <c r="C278" s="88" t="s">
        <v>39</v>
      </c>
      <c r="D278" s="88" t="s">
        <v>617</v>
      </c>
      <c r="E278" s="87" t="s">
        <v>40</v>
      </c>
      <c r="F278" s="89">
        <v>46204</v>
      </c>
      <c r="G278" s="90">
        <v>193</v>
      </c>
      <c r="H278" s="89">
        <f>IF(COUNTIFS(Pesagens!$B$3:$B$5001,$B278)=0,"",_xlfn.MAXIFS(Pesagens!$A$3:$A$5001,Pesagens!$B$3:$B$5001,$B278,Pesagens!$E$3:$E$5001,"&lt;&gt;"))</f>
        <v>46204</v>
      </c>
      <c r="I278" s="90">
        <f>IF($H278="","",IFERROR(AVERAGEIFS(Pesagens!$E$3:$E$5001,Pesagens!$B$3:$B$5001,$B278,Pesagens!$A$3:$A$5001,$H278),""))</f>
        <v>193</v>
      </c>
      <c r="J278" s="87">
        <f>IF(F278="","",Parâmetros!$C$4-F278)</f>
        <v>42</v>
      </c>
      <c r="K278" s="90">
        <f t="shared" si="8"/>
        <v>0</v>
      </c>
      <c r="L278" s="91" t="str">
        <f t="shared" si="9"/>
        <v/>
      </c>
      <c r="M278" s="92">
        <f>IF(I278="","",I278*Parâmetros!$C$8/15)</f>
        <v>6.8193333333333337</v>
      </c>
      <c r="N278" s="92">
        <f>IF(K278="","",K278*Parâmetros!$C$8/15)</f>
        <v>0</v>
      </c>
      <c r="O278" s="93">
        <f>IF(M278="","",M278*Parâmetros!$C$5)</f>
        <v>2113.9933333333333</v>
      </c>
      <c r="P278" s="87" t="str">
        <f>IF(L278="","",IF(L278&gt;=Parâmetros!$C$10,"Sim","Não"))</f>
        <v/>
      </c>
    </row>
    <row r="279" spans="1:16" ht="14.25" customHeight="1" x14ac:dyDescent="0.3">
      <c r="A279" s="87">
        <v>277</v>
      </c>
      <c r="B279" s="95" t="s">
        <v>203</v>
      </c>
      <c r="C279" s="95" t="s">
        <v>39</v>
      </c>
      <c r="D279" s="95" t="s">
        <v>617</v>
      </c>
      <c r="E279" s="94" t="s">
        <v>40</v>
      </c>
      <c r="F279" s="96">
        <v>46204</v>
      </c>
      <c r="G279" s="97">
        <v>146</v>
      </c>
      <c r="H279" s="89">
        <f>IF(COUNTIFS(Pesagens!$B$3:$B$5001,$B279)=0,"",_xlfn.MAXIFS(Pesagens!$A$3:$A$5001,Pesagens!$B$3:$B$5001,$B279,Pesagens!$E$3:$E$5001,"&lt;&gt;"))</f>
        <v>46204</v>
      </c>
      <c r="I279" s="97">
        <f>IF($H279="","",IFERROR(AVERAGEIFS(Pesagens!$E$3:$E$5001,Pesagens!$B$3:$B$5001,$B279,Pesagens!$A$3:$A$5001,$H279),""))</f>
        <v>146</v>
      </c>
      <c r="J279" s="94">
        <f>IF(F279="","",Parâmetros!$C$4-F279)</f>
        <v>42</v>
      </c>
      <c r="K279" s="97">
        <f t="shared" si="8"/>
        <v>0</v>
      </c>
      <c r="L279" s="98" t="str">
        <f t="shared" si="9"/>
        <v/>
      </c>
      <c r="M279" s="99">
        <f>IF(I279="","",I279*Parâmetros!$C$8/15)</f>
        <v>5.158666666666667</v>
      </c>
      <c r="N279" s="99">
        <f>IF(K279="","",K279*Parâmetros!$C$8/15)</f>
        <v>0</v>
      </c>
      <c r="O279" s="100">
        <f>IF(M279="","",M279*Parâmetros!$C$5)</f>
        <v>1599.1866666666667</v>
      </c>
      <c r="P279" s="94" t="str">
        <f>IF(L279="","",IF(L279&gt;=Parâmetros!$C$10,"Sim","Não"))</f>
        <v/>
      </c>
    </row>
    <row r="280" spans="1:16" ht="14.25" customHeight="1" x14ac:dyDescent="0.3">
      <c r="A280" s="94">
        <v>278</v>
      </c>
      <c r="B280" s="88" t="s">
        <v>204</v>
      </c>
      <c r="C280" s="88" t="s">
        <v>39</v>
      </c>
      <c r="D280" s="88" t="s">
        <v>617</v>
      </c>
      <c r="E280" s="87" t="s">
        <v>40</v>
      </c>
      <c r="F280" s="89">
        <v>46204</v>
      </c>
      <c r="G280" s="90">
        <v>197</v>
      </c>
      <c r="H280" s="89">
        <f>IF(COUNTIFS(Pesagens!$B$3:$B$5001,$B280)=0,"",_xlfn.MAXIFS(Pesagens!$A$3:$A$5001,Pesagens!$B$3:$B$5001,$B280,Pesagens!$E$3:$E$5001,"&lt;&gt;"))</f>
        <v>46204</v>
      </c>
      <c r="I280" s="90">
        <f>IF($H280="","",IFERROR(AVERAGEIFS(Pesagens!$E$3:$E$5001,Pesagens!$B$3:$B$5001,$B280,Pesagens!$A$3:$A$5001,$H280),""))</f>
        <v>197</v>
      </c>
      <c r="J280" s="87">
        <f>IF(F280="","",Parâmetros!$C$4-F280)</f>
        <v>42</v>
      </c>
      <c r="K280" s="90">
        <f t="shared" si="8"/>
        <v>0</v>
      </c>
      <c r="L280" s="91" t="str">
        <f t="shared" si="9"/>
        <v/>
      </c>
      <c r="M280" s="92">
        <f>IF(I280="","",I280*Parâmetros!$C$8/15)</f>
        <v>6.9606666666666674</v>
      </c>
      <c r="N280" s="92">
        <f>IF(K280="","",K280*Parâmetros!$C$8/15)</f>
        <v>0</v>
      </c>
      <c r="O280" s="93">
        <f>IF(M280="","",M280*Parâmetros!$C$5)</f>
        <v>2157.8066666666668</v>
      </c>
      <c r="P280" s="87" t="str">
        <f>IF(L280="","",IF(L280&gt;=Parâmetros!$C$10,"Sim","Não"))</f>
        <v/>
      </c>
    </row>
    <row r="281" spans="1:16" ht="14.25" customHeight="1" x14ac:dyDescent="0.3">
      <c r="A281" s="87">
        <v>279</v>
      </c>
      <c r="B281" s="95" t="s">
        <v>297</v>
      </c>
      <c r="C281" s="95" t="s">
        <v>298</v>
      </c>
      <c r="D281" s="95" t="s">
        <v>422</v>
      </c>
      <c r="E281" s="94" t="s">
        <v>299</v>
      </c>
      <c r="F281" s="96">
        <v>46225</v>
      </c>
      <c r="G281" s="97">
        <v>370</v>
      </c>
      <c r="H281" s="89">
        <f>IF(COUNTIFS(Pesagens!$B$3:$B$5001,$B281)=0,"",_xlfn.MAXIFS(Pesagens!$A$3:$A$5001,Pesagens!$B$3:$B$5001,$B281,Pesagens!$E$3:$E$5001,"&lt;&gt;"))</f>
        <v>46225</v>
      </c>
      <c r="I281" s="97">
        <f>IF($H281="","",IFERROR(AVERAGEIFS(Pesagens!$E$3:$E$5001,Pesagens!$B$3:$B$5001,$B281,Pesagens!$A$3:$A$5001,$H281),""))</f>
        <v>370</v>
      </c>
      <c r="J281" s="94">
        <f>IF(F281="","",Parâmetros!$C$4-F281)</f>
        <v>21</v>
      </c>
      <c r="K281" s="97">
        <f t="shared" si="8"/>
        <v>0</v>
      </c>
      <c r="L281" s="98" t="str">
        <f t="shared" si="9"/>
        <v/>
      </c>
      <c r="M281" s="99">
        <f>IF(I281="","",I281*Parâmetros!$C$8/15)</f>
        <v>13.073333333333334</v>
      </c>
      <c r="N281" s="99">
        <f>IF(K281="","",K281*Parâmetros!$C$8/15)</f>
        <v>0</v>
      </c>
      <c r="O281" s="100">
        <f>IF(M281="","",M281*Parâmetros!$C$5)</f>
        <v>4052.7333333333336</v>
      </c>
      <c r="P281" s="94" t="str">
        <f>IF(L281="","",IF(L281&gt;=Parâmetros!$C$10,"Sim","Não"))</f>
        <v/>
      </c>
    </row>
    <row r="282" spans="1:16" ht="14.25" customHeight="1" x14ac:dyDescent="0.3">
      <c r="A282" s="94">
        <v>280</v>
      </c>
      <c r="B282" s="88" t="s">
        <v>301</v>
      </c>
      <c r="C282" s="88" t="s">
        <v>298</v>
      </c>
      <c r="D282" s="88" t="s">
        <v>422</v>
      </c>
      <c r="E282" s="87" t="s">
        <v>299</v>
      </c>
      <c r="F282" s="89">
        <v>46225</v>
      </c>
      <c r="G282" s="90">
        <v>340</v>
      </c>
      <c r="H282" s="89">
        <f>IF(COUNTIFS(Pesagens!$B$3:$B$5001,$B282)=0,"",_xlfn.MAXIFS(Pesagens!$A$3:$A$5001,Pesagens!$B$3:$B$5001,$B282,Pesagens!$E$3:$E$5001,"&lt;&gt;"))</f>
        <v>46225</v>
      </c>
      <c r="I282" s="90">
        <f>IF($H282="","",IFERROR(AVERAGEIFS(Pesagens!$E$3:$E$5001,Pesagens!$B$3:$B$5001,$B282,Pesagens!$A$3:$A$5001,$H282),""))</f>
        <v>340</v>
      </c>
      <c r="J282" s="87">
        <f>IF(F282="","",Parâmetros!$C$4-F282)</f>
        <v>21</v>
      </c>
      <c r="K282" s="90">
        <f t="shared" si="8"/>
        <v>0</v>
      </c>
      <c r="L282" s="91" t="str">
        <f t="shared" si="9"/>
        <v/>
      </c>
      <c r="M282" s="92">
        <f>IF(I282="","",I282*Parâmetros!$C$8/15)</f>
        <v>12.013333333333334</v>
      </c>
      <c r="N282" s="92">
        <f>IF(K282="","",K282*Parâmetros!$C$8/15)</f>
        <v>0</v>
      </c>
      <c r="O282" s="93">
        <f>IF(M282="","",M282*Parâmetros!$C$5)</f>
        <v>3724.1333333333332</v>
      </c>
      <c r="P282" s="87" t="str">
        <f>IF(L282="","",IF(L282&gt;=Parâmetros!$C$10,"Sim","Não"))</f>
        <v/>
      </c>
    </row>
    <row r="283" spans="1:16" ht="14.25" customHeight="1" x14ac:dyDescent="0.3">
      <c r="A283" s="87">
        <v>281</v>
      </c>
      <c r="B283" s="95" t="s">
        <v>302</v>
      </c>
      <c r="C283" s="95" t="s">
        <v>298</v>
      </c>
      <c r="D283" s="95" t="s">
        <v>422</v>
      </c>
      <c r="E283" s="94" t="s">
        <v>299</v>
      </c>
      <c r="F283" s="96">
        <v>46225</v>
      </c>
      <c r="G283" s="97">
        <v>358</v>
      </c>
      <c r="H283" s="89">
        <f>IF(COUNTIFS(Pesagens!$B$3:$B$5001,$B283)=0,"",_xlfn.MAXIFS(Pesagens!$A$3:$A$5001,Pesagens!$B$3:$B$5001,$B283,Pesagens!$E$3:$E$5001,"&lt;&gt;"))</f>
        <v>46225</v>
      </c>
      <c r="I283" s="97">
        <f>IF($H283="","",IFERROR(AVERAGEIFS(Pesagens!$E$3:$E$5001,Pesagens!$B$3:$B$5001,$B283,Pesagens!$A$3:$A$5001,$H283),""))</f>
        <v>358</v>
      </c>
      <c r="J283" s="94">
        <f>IF(F283="","",Parâmetros!$C$4-F283)</f>
        <v>21</v>
      </c>
      <c r="K283" s="97">
        <f t="shared" si="8"/>
        <v>0</v>
      </c>
      <c r="L283" s="98" t="str">
        <f t="shared" si="9"/>
        <v/>
      </c>
      <c r="M283" s="99">
        <f>IF(I283="","",I283*Parâmetros!$C$8/15)</f>
        <v>12.649333333333335</v>
      </c>
      <c r="N283" s="99">
        <f>IF(K283="","",K283*Parâmetros!$C$8/15)</f>
        <v>0</v>
      </c>
      <c r="O283" s="100">
        <f>IF(M283="","",M283*Parâmetros!$C$5)</f>
        <v>3921.2933333333335</v>
      </c>
      <c r="P283" s="94" t="str">
        <f>IF(L283="","",IF(L283&gt;=Parâmetros!$C$10,"Sim","Não"))</f>
        <v/>
      </c>
    </row>
    <row r="284" spans="1:16" ht="14.25" customHeight="1" x14ac:dyDescent="0.3">
      <c r="A284" s="94">
        <v>282</v>
      </c>
      <c r="B284" s="88" t="s">
        <v>303</v>
      </c>
      <c r="C284" s="88" t="s">
        <v>298</v>
      </c>
      <c r="D284" s="88" t="s">
        <v>422</v>
      </c>
      <c r="E284" s="87" t="s">
        <v>299</v>
      </c>
      <c r="F284" s="89">
        <v>46225</v>
      </c>
      <c r="G284" s="90">
        <v>371</v>
      </c>
      <c r="H284" s="89">
        <f>IF(COUNTIFS(Pesagens!$B$3:$B$5001,$B284)=0,"",_xlfn.MAXIFS(Pesagens!$A$3:$A$5001,Pesagens!$B$3:$B$5001,$B284,Pesagens!$E$3:$E$5001,"&lt;&gt;"))</f>
        <v>46225</v>
      </c>
      <c r="I284" s="90">
        <f>IF($H284="","",IFERROR(AVERAGEIFS(Pesagens!$E$3:$E$5001,Pesagens!$B$3:$B$5001,$B284,Pesagens!$A$3:$A$5001,$H284),""))</f>
        <v>371</v>
      </c>
      <c r="J284" s="87">
        <f>IF(F284="","",Parâmetros!$C$4-F284)</f>
        <v>21</v>
      </c>
      <c r="K284" s="90">
        <f t="shared" si="8"/>
        <v>0</v>
      </c>
      <c r="L284" s="91" t="str">
        <f t="shared" si="9"/>
        <v/>
      </c>
      <c r="M284" s="92">
        <f>IF(I284="","",I284*Parâmetros!$C$8/15)</f>
        <v>13.108666666666668</v>
      </c>
      <c r="N284" s="92">
        <f>IF(K284="","",K284*Parâmetros!$C$8/15)</f>
        <v>0</v>
      </c>
      <c r="O284" s="93">
        <f>IF(M284="","",M284*Parâmetros!$C$5)</f>
        <v>4063.686666666667</v>
      </c>
      <c r="P284" s="87" t="str">
        <f>IF(L284="","",IF(L284&gt;=Parâmetros!$C$10,"Sim","Não"))</f>
        <v/>
      </c>
    </row>
    <row r="285" spans="1:16" ht="14.25" customHeight="1" x14ac:dyDescent="0.3">
      <c r="A285" s="87">
        <v>283</v>
      </c>
      <c r="B285" s="95" t="s">
        <v>304</v>
      </c>
      <c r="C285" s="95" t="s">
        <v>298</v>
      </c>
      <c r="D285" s="95" t="s">
        <v>422</v>
      </c>
      <c r="E285" s="94" t="s">
        <v>299</v>
      </c>
      <c r="F285" s="96">
        <v>46225</v>
      </c>
      <c r="G285" s="97">
        <v>369</v>
      </c>
      <c r="H285" s="89">
        <f>IF(COUNTIFS(Pesagens!$B$3:$B$5001,$B285)=0,"",_xlfn.MAXIFS(Pesagens!$A$3:$A$5001,Pesagens!$B$3:$B$5001,$B285,Pesagens!$E$3:$E$5001,"&lt;&gt;"))</f>
        <v>46225</v>
      </c>
      <c r="I285" s="97">
        <f>IF($H285="","",IFERROR(AVERAGEIFS(Pesagens!$E$3:$E$5001,Pesagens!$B$3:$B$5001,$B285,Pesagens!$A$3:$A$5001,$H285),""))</f>
        <v>369</v>
      </c>
      <c r="J285" s="94">
        <f>IF(F285="","",Parâmetros!$C$4-F285)</f>
        <v>21</v>
      </c>
      <c r="K285" s="97">
        <f t="shared" si="8"/>
        <v>0</v>
      </c>
      <c r="L285" s="98" t="str">
        <f t="shared" si="9"/>
        <v/>
      </c>
      <c r="M285" s="99">
        <f>IF(I285="","",I285*Parâmetros!$C$8/15)</f>
        <v>13.038000000000002</v>
      </c>
      <c r="N285" s="99">
        <f>IF(K285="","",K285*Parâmetros!$C$8/15)</f>
        <v>0</v>
      </c>
      <c r="O285" s="100">
        <f>IF(M285="","",M285*Parâmetros!$C$5)</f>
        <v>4041.7800000000007</v>
      </c>
      <c r="P285" s="94" t="str">
        <f>IF(L285="","",IF(L285&gt;=Parâmetros!$C$10,"Sim","Não"))</f>
        <v/>
      </c>
    </row>
    <row r="286" spans="1:16" ht="14.25" customHeight="1" x14ac:dyDescent="0.3">
      <c r="A286" s="94">
        <v>284</v>
      </c>
      <c r="B286" s="88" t="s">
        <v>305</v>
      </c>
      <c r="C286" s="88" t="s">
        <v>298</v>
      </c>
      <c r="D286" s="88" t="s">
        <v>422</v>
      </c>
      <c r="E286" s="87" t="s">
        <v>299</v>
      </c>
      <c r="F286" s="89">
        <v>46225</v>
      </c>
      <c r="G286" s="90">
        <v>321</v>
      </c>
      <c r="H286" s="89">
        <f>IF(COUNTIFS(Pesagens!$B$3:$B$5001,$B286)=0,"",_xlfn.MAXIFS(Pesagens!$A$3:$A$5001,Pesagens!$B$3:$B$5001,$B286,Pesagens!$E$3:$E$5001,"&lt;&gt;"))</f>
        <v>46225</v>
      </c>
      <c r="I286" s="90">
        <f>IF($H286="","",IFERROR(AVERAGEIFS(Pesagens!$E$3:$E$5001,Pesagens!$B$3:$B$5001,$B286,Pesagens!$A$3:$A$5001,$H286),""))</f>
        <v>321</v>
      </c>
      <c r="J286" s="87">
        <f>IF(F286="","",Parâmetros!$C$4-F286)</f>
        <v>21</v>
      </c>
      <c r="K286" s="90">
        <f t="shared" si="8"/>
        <v>0</v>
      </c>
      <c r="L286" s="91" t="str">
        <f t="shared" si="9"/>
        <v/>
      </c>
      <c r="M286" s="92">
        <f>IF(I286="","",I286*Parâmetros!$C$8/15)</f>
        <v>11.342000000000001</v>
      </c>
      <c r="N286" s="92">
        <f>IF(K286="","",K286*Parâmetros!$C$8/15)</f>
        <v>0</v>
      </c>
      <c r="O286" s="93">
        <f>IF(M286="","",M286*Parâmetros!$C$5)</f>
        <v>3516.02</v>
      </c>
      <c r="P286" s="87" t="str">
        <f>IF(L286="","",IF(L286&gt;=Parâmetros!$C$10,"Sim","Não"))</f>
        <v/>
      </c>
    </row>
    <row r="287" spans="1:16" ht="14.25" customHeight="1" x14ac:dyDescent="0.3">
      <c r="A287" s="87">
        <v>285</v>
      </c>
      <c r="B287" s="95" t="s">
        <v>306</v>
      </c>
      <c r="C287" s="95" t="s">
        <v>298</v>
      </c>
      <c r="D287" s="95" t="s">
        <v>422</v>
      </c>
      <c r="E287" s="94" t="s">
        <v>299</v>
      </c>
      <c r="F287" s="96">
        <v>46225</v>
      </c>
      <c r="G287" s="97">
        <v>359</v>
      </c>
      <c r="H287" s="89">
        <f>IF(COUNTIFS(Pesagens!$B$3:$B$5001,$B287)=0,"",_xlfn.MAXIFS(Pesagens!$A$3:$A$5001,Pesagens!$B$3:$B$5001,$B287,Pesagens!$E$3:$E$5001,"&lt;&gt;"))</f>
        <v>46225</v>
      </c>
      <c r="I287" s="97">
        <f>IF($H287="","",IFERROR(AVERAGEIFS(Pesagens!$E$3:$E$5001,Pesagens!$B$3:$B$5001,$B287,Pesagens!$A$3:$A$5001,$H287),""))</f>
        <v>359</v>
      </c>
      <c r="J287" s="94">
        <f>IF(F287="","",Parâmetros!$C$4-F287)</f>
        <v>21</v>
      </c>
      <c r="K287" s="97">
        <f t="shared" si="8"/>
        <v>0</v>
      </c>
      <c r="L287" s="98" t="str">
        <f t="shared" si="9"/>
        <v/>
      </c>
      <c r="M287" s="99">
        <f>IF(I287="","",I287*Parâmetros!$C$8/15)</f>
        <v>12.684666666666667</v>
      </c>
      <c r="N287" s="99">
        <f>IF(K287="","",K287*Parâmetros!$C$8/15)</f>
        <v>0</v>
      </c>
      <c r="O287" s="100">
        <f>IF(M287="","",M287*Parâmetros!$C$5)</f>
        <v>3932.2466666666669</v>
      </c>
      <c r="P287" s="94" t="str">
        <f>IF(L287="","",IF(L287&gt;=Parâmetros!$C$10,"Sim","Não"))</f>
        <v/>
      </c>
    </row>
    <row r="288" spans="1:16" ht="14.25" customHeight="1" x14ac:dyDescent="0.3">
      <c r="A288" s="94">
        <v>286</v>
      </c>
      <c r="B288" s="88" t="s">
        <v>307</v>
      </c>
      <c r="C288" s="88" t="s">
        <v>298</v>
      </c>
      <c r="D288" s="88" t="s">
        <v>422</v>
      </c>
      <c r="E288" s="87" t="s">
        <v>299</v>
      </c>
      <c r="F288" s="89">
        <v>46225</v>
      </c>
      <c r="G288" s="90">
        <v>329</v>
      </c>
      <c r="H288" s="89">
        <f>IF(COUNTIFS(Pesagens!$B$3:$B$5001,$B288)=0,"",_xlfn.MAXIFS(Pesagens!$A$3:$A$5001,Pesagens!$B$3:$B$5001,$B288,Pesagens!$E$3:$E$5001,"&lt;&gt;"))</f>
        <v>46225</v>
      </c>
      <c r="I288" s="90">
        <f>IF($H288="","",IFERROR(AVERAGEIFS(Pesagens!$E$3:$E$5001,Pesagens!$B$3:$B$5001,$B288,Pesagens!$A$3:$A$5001,$H288),""))</f>
        <v>329</v>
      </c>
      <c r="J288" s="87">
        <f>IF(F288="","",Parâmetros!$C$4-F288)</f>
        <v>21</v>
      </c>
      <c r="K288" s="90">
        <f t="shared" si="8"/>
        <v>0</v>
      </c>
      <c r="L288" s="91" t="str">
        <f t="shared" si="9"/>
        <v/>
      </c>
      <c r="M288" s="92">
        <f>IF(I288="","",I288*Parâmetros!$C$8/15)</f>
        <v>11.624666666666666</v>
      </c>
      <c r="N288" s="92">
        <f>IF(K288="","",K288*Parâmetros!$C$8/15)</f>
        <v>0</v>
      </c>
      <c r="O288" s="93">
        <f>IF(M288="","",M288*Parâmetros!$C$5)</f>
        <v>3603.6466666666665</v>
      </c>
      <c r="P288" s="87" t="str">
        <f>IF(L288="","",IF(L288&gt;=Parâmetros!$C$10,"Sim","Não"))</f>
        <v/>
      </c>
    </row>
    <row r="289" spans="1:16" ht="14.25" customHeight="1" x14ac:dyDescent="0.3">
      <c r="A289" s="87">
        <v>287</v>
      </c>
      <c r="B289" s="95" t="s">
        <v>308</v>
      </c>
      <c r="C289" s="95" t="s">
        <v>298</v>
      </c>
      <c r="D289" s="95" t="s">
        <v>422</v>
      </c>
      <c r="E289" s="94" t="s">
        <v>299</v>
      </c>
      <c r="F289" s="96">
        <v>46225</v>
      </c>
      <c r="G289" s="97">
        <v>325</v>
      </c>
      <c r="H289" s="89">
        <f>IF(COUNTIFS(Pesagens!$B$3:$B$5001,$B289)=0,"",_xlfn.MAXIFS(Pesagens!$A$3:$A$5001,Pesagens!$B$3:$B$5001,$B289,Pesagens!$E$3:$E$5001,"&lt;&gt;"))</f>
        <v>46225</v>
      </c>
      <c r="I289" s="97">
        <f>IF($H289="","",IFERROR(AVERAGEIFS(Pesagens!$E$3:$E$5001,Pesagens!$B$3:$B$5001,$B289,Pesagens!$A$3:$A$5001,$H289),""))</f>
        <v>325</v>
      </c>
      <c r="J289" s="94">
        <f>IF(F289="","",Parâmetros!$C$4-F289)</f>
        <v>21</v>
      </c>
      <c r="K289" s="97">
        <f t="shared" si="8"/>
        <v>0</v>
      </c>
      <c r="L289" s="98" t="str">
        <f t="shared" si="9"/>
        <v/>
      </c>
      <c r="M289" s="99">
        <f>IF(I289="","",I289*Parâmetros!$C$8/15)</f>
        <v>11.483333333333333</v>
      </c>
      <c r="N289" s="99">
        <f>IF(K289="","",K289*Parâmetros!$C$8/15)</f>
        <v>0</v>
      </c>
      <c r="O289" s="100">
        <f>IF(M289="","",M289*Parâmetros!$C$5)</f>
        <v>3559.833333333333</v>
      </c>
      <c r="P289" s="94" t="str">
        <f>IF(L289="","",IF(L289&gt;=Parâmetros!$C$10,"Sim","Não"))</f>
        <v/>
      </c>
    </row>
    <row r="290" spans="1:16" ht="14.25" customHeight="1" x14ac:dyDescent="0.3">
      <c r="A290" s="94">
        <v>288</v>
      </c>
      <c r="B290" s="88" t="s">
        <v>309</v>
      </c>
      <c r="C290" s="88" t="s">
        <v>298</v>
      </c>
      <c r="D290" s="88" t="s">
        <v>422</v>
      </c>
      <c r="E290" s="87" t="s">
        <v>299</v>
      </c>
      <c r="F290" s="89">
        <v>46225</v>
      </c>
      <c r="G290" s="90">
        <v>386</v>
      </c>
      <c r="H290" s="89">
        <f>IF(COUNTIFS(Pesagens!$B$3:$B$5001,$B290)=0,"",_xlfn.MAXIFS(Pesagens!$A$3:$A$5001,Pesagens!$B$3:$B$5001,$B290,Pesagens!$E$3:$E$5001,"&lt;&gt;"))</f>
        <v>46225</v>
      </c>
      <c r="I290" s="90">
        <f>IF($H290="","",IFERROR(AVERAGEIFS(Pesagens!$E$3:$E$5001,Pesagens!$B$3:$B$5001,$B290,Pesagens!$A$3:$A$5001,$H290),""))</f>
        <v>386</v>
      </c>
      <c r="J290" s="87">
        <f>IF(F290="","",Parâmetros!$C$4-F290)</f>
        <v>21</v>
      </c>
      <c r="K290" s="90">
        <f t="shared" si="8"/>
        <v>0</v>
      </c>
      <c r="L290" s="91" t="str">
        <f t="shared" si="9"/>
        <v/>
      </c>
      <c r="M290" s="92">
        <f>IF(I290="","",I290*Parâmetros!$C$8/15)</f>
        <v>13.638666666666667</v>
      </c>
      <c r="N290" s="92">
        <f>IF(K290="","",K290*Parâmetros!$C$8/15)</f>
        <v>0</v>
      </c>
      <c r="O290" s="93">
        <f>IF(M290="","",M290*Parâmetros!$C$5)</f>
        <v>4227.9866666666667</v>
      </c>
      <c r="P290" s="87" t="str">
        <f>IF(L290="","",IF(L290&gt;=Parâmetros!$C$10,"Sim","Não"))</f>
        <v/>
      </c>
    </row>
    <row r="291" spans="1:16" ht="14.25" customHeight="1" x14ac:dyDescent="0.3">
      <c r="A291" s="87">
        <v>289</v>
      </c>
      <c r="B291" s="95" t="s">
        <v>310</v>
      </c>
      <c r="C291" s="95" t="s">
        <v>298</v>
      </c>
      <c r="D291" s="95" t="s">
        <v>422</v>
      </c>
      <c r="E291" s="94" t="s">
        <v>299</v>
      </c>
      <c r="F291" s="96">
        <v>46225</v>
      </c>
      <c r="G291" s="97">
        <v>339</v>
      </c>
      <c r="H291" s="89">
        <f>IF(COUNTIFS(Pesagens!$B$3:$B$5001,$B291)=0,"",_xlfn.MAXIFS(Pesagens!$A$3:$A$5001,Pesagens!$B$3:$B$5001,$B291,Pesagens!$E$3:$E$5001,"&lt;&gt;"))</f>
        <v>46225</v>
      </c>
      <c r="I291" s="97">
        <f>IF($H291="","",IFERROR(AVERAGEIFS(Pesagens!$E$3:$E$5001,Pesagens!$B$3:$B$5001,$B291,Pesagens!$A$3:$A$5001,$H291),""))</f>
        <v>339</v>
      </c>
      <c r="J291" s="94">
        <f>IF(F291="","",Parâmetros!$C$4-F291)</f>
        <v>21</v>
      </c>
      <c r="K291" s="97">
        <f t="shared" si="8"/>
        <v>0</v>
      </c>
      <c r="L291" s="98" t="str">
        <f t="shared" si="9"/>
        <v/>
      </c>
      <c r="M291" s="99">
        <f>IF(I291="","",I291*Parâmetros!$C$8/15)</f>
        <v>11.978000000000002</v>
      </c>
      <c r="N291" s="99">
        <f>IF(K291="","",K291*Parâmetros!$C$8/15)</f>
        <v>0</v>
      </c>
      <c r="O291" s="100">
        <f>IF(M291="","",M291*Parâmetros!$C$5)</f>
        <v>3713.1800000000003</v>
      </c>
      <c r="P291" s="94" t="str">
        <f>IF(L291="","",IF(L291&gt;=Parâmetros!$C$10,"Sim","Não"))</f>
        <v/>
      </c>
    </row>
    <row r="292" spans="1:16" ht="14.25" customHeight="1" x14ac:dyDescent="0.3">
      <c r="A292" s="94">
        <v>290</v>
      </c>
      <c r="B292" s="88" t="s">
        <v>311</v>
      </c>
      <c r="C292" s="88" t="s">
        <v>298</v>
      </c>
      <c r="D292" s="88" t="s">
        <v>422</v>
      </c>
      <c r="E292" s="87" t="s">
        <v>299</v>
      </c>
      <c r="F292" s="89">
        <v>46225</v>
      </c>
      <c r="G292" s="90">
        <v>345</v>
      </c>
      <c r="H292" s="89">
        <f>IF(COUNTIFS(Pesagens!$B$3:$B$5001,$B292)=0,"",_xlfn.MAXIFS(Pesagens!$A$3:$A$5001,Pesagens!$B$3:$B$5001,$B292,Pesagens!$E$3:$E$5001,"&lt;&gt;"))</f>
        <v>46225</v>
      </c>
      <c r="I292" s="90">
        <f>IF($H292="","",IFERROR(AVERAGEIFS(Pesagens!$E$3:$E$5001,Pesagens!$B$3:$B$5001,$B292,Pesagens!$A$3:$A$5001,$H292),""))</f>
        <v>345</v>
      </c>
      <c r="J292" s="87">
        <f>IF(F292="","",Parâmetros!$C$4-F292)</f>
        <v>21</v>
      </c>
      <c r="K292" s="90">
        <f t="shared" si="8"/>
        <v>0</v>
      </c>
      <c r="L292" s="91" t="str">
        <f t="shared" si="9"/>
        <v/>
      </c>
      <c r="M292" s="92">
        <f>IF(I292="","",I292*Parâmetros!$C$8/15)</f>
        <v>12.190000000000001</v>
      </c>
      <c r="N292" s="92">
        <f>IF(K292="","",K292*Parâmetros!$C$8/15)</f>
        <v>0</v>
      </c>
      <c r="O292" s="93">
        <f>IF(M292="","",M292*Parâmetros!$C$5)</f>
        <v>3778.9000000000005</v>
      </c>
      <c r="P292" s="87" t="str">
        <f>IF(L292="","",IF(L292&gt;=Parâmetros!$C$10,"Sim","Não"))</f>
        <v/>
      </c>
    </row>
    <row r="293" spans="1:16" ht="14.25" customHeight="1" x14ac:dyDescent="0.3">
      <c r="A293" s="87">
        <v>291</v>
      </c>
      <c r="B293" s="95" t="s">
        <v>312</v>
      </c>
      <c r="C293" s="95" t="s">
        <v>298</v>
      </c>
      <c r="D293" s="95" t="s">
        <v>422</v>
      </c>
      <c r="E293" s="94" t="s">
        <v>299</v>
      </c>
      <c r="F293" s="96">
        <v>46225</v>
      </c>
      <c r="G293" s="97">
        <v>358</v>
      </c>
      <c r="H293" s="89">
        <f>IF(COUNTIFS(Pesagens!$B$3:$B$5001,$B293)=0,"",_xlfn.MAXIFS(Pesagens!$A$3:$A$5001,Pesagens!$B$3:$B$5001,$B293,Pesagens!$E$3:$E$5001,"&lt;&gt;"))</f>
        <v>46225</v>
      </c>
      <c r="I293" s="97">
        <f>IF($H293="","",IFERROR(AVERAGEIFS(Pesagens!$E$3:$E$5001,Pesagens!$B$3:$B$5001,$B293,Pesagens!$A$3:$A$5001,$H293),""))</f>
        <v>358</v>
      </c>
      <c r="J293" s="94">
        <f>IF(F293="","",Parâmetros!$C$4-F293)</f>
        <v>21</v>
      </c>
      <c r="K293" s="97">
        <f t="shared" si="8"/>
        <v>0</v>
      </c>
      <c r="L293" s="98" t="str">
        <f t="shared" si="9"/>
        <v/>
      </c>
      <c r="M293" s="99">
        <f>IF(I293="","",I293*Parâmetros!$C$8/15)</f>
        <v>12.649333333333335</v>
      </c>
      <c r="N293" s="99">
        <f>IF(K293="","",K293*Parâmetros!$C$8/15)</f>
        <v>0</v>
      </c>
      <c r="O293" s="100">
        <f>IF(M293="","",M293*Parâmetros!$C$5)</f>
        <v>3921.2933333333335</v>
      </c>
      <c r="P293" s="94" t="str">
        <f>IF(L293="","",IF(L293&gt;=Parâmetros!$C$10,"Sim","Não"))</f>
        <v/>
      </c>
    </row>
    <row r="294" spans="1:16" ht="14.25" customHeight="1" x14ac:dyDescent="0.3">
      <c r="A294" s="94">
        <v>292</v>
      </c>
      <c r="B294" s="88" t="s">
        <v>313</v>
      </c>
      <c r="C294" s="88" t="s">
        <v>298</v>
      </c>
      <c r="D294" s="88" t="s">
        <v>422</v>
      </c>
      <c r="E294" s="87" t="s">
        <v>299</v>
      </c>
      <c r="F294" s="89">
        <v>46225</v>
      </c>
      <c r="G294" s="90">
        <v>348</v>
      </c>
      <c r="H294" s="89">
        <f>IF(COUNTIFS(Pesagens!$B$3:$B$5001,$B294)=0,"",_xlfn.MAXIFS(Pesagens!$A$3:$A$5001,Pesagens!$B$3:$B$5001,$B294,Pesagens!$E$3:$E$5001,"&lt;&gt;"))</f>
        <v>46225</v>
      </c>
      <c r="I294" s="90">
        <f>IF($H294="","",IFERROR(AVERAGEIFS(Pesagens!$E$3:$E$5001,Pesagens!$B$3:$B$5001,$B294,Pesagens!$A$3:$A$5001,$H294),""))</f>
        <v>348</v>
      </c>
      <c r="J294" s="87">
        <f>IF(F294="","",Parâmetros!$C$4-F294)</f>
        <v>21</v>
      </c>
      <c r="K294" s="90">
        <f t="shared" si="8"/>
        <v>0</v>
      </c>
      <c r="L294" s="91" t="str">
        <f t="shared" si="9"/>
        <v/>
      </c>
      <c r="M294" s="92">
        <f>IF(I294="","",I294*Parâmetros!$C$8/15)</f>
        <v>12.295999999999999</v>
      </c>
      <c r="N294" s="92">
        <f>IF(K294="","",K294*Parâmetros!$C$8/15)</f>
        <v>0</v>
      </c>
      <c r="O294" s="93">
        <f>IF(M294="","",M294*Parâmetros!$C$5)</f>
        <v>3811.7599999999998</v>
      </c>
      <c r="P294" s="87" t="str">
        <f>IF(L294="","",IF(L294&gt;=Parâmetros!$C$10,"Sim","Não"))</f>
        <v/>
      </c>
    </row>
    <row r="295" spans="1:16" ht="14.25" customHeight="1" x14ac:dyDescent="0.3">
      <c r="A295" s="87">
        <v>293</v>
      </c>
      <c r="B295" s="95" t="s">
        <v>314</v>
      </c>
      <c r="C295" s="95" t="s">
        <v>298</v>
      </c>
      <c r="D295" s="95" t="s">
        <v>422</v>
      </c>
      <c r="E295" s="94" t="s">
        <v>299</v>
      </c>
      <c r="F295" s="96">
        <v>46225</v>
      </c>
      <c r="G295" s="97">
        <v>346</v>
      </c>
      <c r="H295" s="89">
        <f>IF(COUNTIFS(Pesagens!$B$3:$B$5001,$B295)=0,"",_xlfn.MAXIFS(Pesagens!$A$3:$A$5001,Pesagens!$B$3:$B$5001,$B295,Pesagens!$E$3:$E$5001,"&lt;&gt;"))</f>
        <v>46225</v>
      </c>
      <c r="I295" s="97">
        <f>IF($H295="","",IFERROR(AVERAGEIFS(Pesagens!$E$3:$E$5001,Pesagens!$B$3:$B$5001,$B295,Pesagens!$A$3:$A$5001,$H295),""))</f>
        <v>346</v>
      </c>
      <c r="J295" s="94">
        <f>IF(F295="","",Parâmetros!$C$4-F295)</f>
        <v>21</v>
      </c>
      <c r="K295" s="97">
        <f t="shared" si="8"/>
        <v>0</v>
      </c>
      <c r="L295" s="98" t="str">
        <f t="shared" si="9"/>
        <v/>
      </c>
      <c r="M295" s="99">
        <f>IF(I295="","",I295*Parâmetros!$C$8/15)</f>
        <v>12.225333333333333</v>
      </c>
      <c r="N295" s="99">
        <f>IF(K295="","",K295*Parâmetros!$C$8/15)</f>
        <v>0</v>
      </c>
      <c r="O295" s="100">
        <f>IF(M295="","",M295*Parâmetros!$C$5)</f>
        <v>3789.8533333333335</v>
      </c>
      <c r="P295" s="94" t="str">
        <f>IF(L295="","",IF(L295&gt;=Parâmetros!$C$10,"Sim","Não"))</f>
        <v/>
      </c>
    </row>
    <row r="296" spans="1:16" ht="14.25" customHeight="1" x14ac:dyDescent="0.3">
      <c r="A296" s="94">
        <v>294</v>
      </c>
      <c r="B296" s="88" t="s">
        <v>315</v>
      </c>
      <c r="C296" s="88" t="s">
        <v>298</v>
      </c>
      <c r="D296" s="88" t="s">
        <v>422</v>
      </c>
      <c r="E296" s="87" t="s">
        <v>299</v>
      </c>
      <c r="F296" s="89">
        <v>46225</v>
      </c>
      <c r="G296" s="90">
        <v>359</v>
      </c>
      <c r="H296" s="89">
        <f>IF(COUNTIFS(Pesagens!$B$3:$B$5001,$B296)=0,"",_xlfn.MAXIFS(Pesagens!$A$3:$A$5001,Pesagens!$B$3:$B$5001,$B296,Pesagens!$E$3:$E$5001,"&lt;&gt;"))</f>
        <v>46225</v>
      </c>
      <c r="I296" s="90">
        <f>IF($H296="","",IFERROR(AVERAGEIFS(Pesagens!$E$3:$E$5001,Pesagens!$B$3:$B$5001,$B296,Pesagens!$A$3:$A$5001,$H296),""))</f>
        <v>359</v>
      </c>
      <c r="J296" s="87">
        <f>IF(F296="","",Parâmetros!$C$4-F296)</f>
        <v>21</v>
      </c>
      <c r="K296" s="90">
        <f t="shared" si="8"/>
        <v>0</v>
      </c>
      <c r="L296" s="91" t="str">
        <f t="shared" si="9"/>
        <v/>
      </c>
      <c r="M296" s="92">
        <f>IF(I296="","",I296*Parâmetros!$C$8/15)</f>
        <v>12.684666666666667</v>
      </c>
      <c r="N296" s="92">
        <f>IF(K296="","",K296*Parâmetros!$C$8/15)</f>
        <v>0</v>
      </c>
      <c r="O296" s="93">
        <f>IF(M296="","",M296*Parâmetros!$C$5)</f>
        <v>3932.2466666666669</v>
      </c>
      <c r="P296" s="87" t="str">
        <f>IF(L296="","",IF(L296&gt;=Parâmetros!$C$10,"Sim","Não"))</f>
        <v/>
      </c>
    </row>
    <row r="297" spans="1:16" ht="14.25" customHeight="1" x14ac:dyDescent="0.3">
      <c r="A297" s="87">
        <v>295</v>
      </c>
      <c r="B297" s="95" t="s">
        <v>316</v>
      </c>
      <c r="C297" s="95" t="s">
        <v>298</v>
      </c>
      <c r="D297" s="95" t="s">
        <v>422</v>
      </c>
      <c r="E297" s="94" t="s">
        <v>299</v>
      </c>
      <c r="F297" s="96">
        <v>46225</v>
      </c>
      <c r="G297" s="97">
        <v>330</v>
      </c>
      <c r="H297" s="89">
        <f>IF(COUNTIFS(Pesagens!$B$3:$B$5001,$B297)=0,"",_xlfn.MAXIFS(Pesagens!$A$3:$A$5001,Pesagens!$B$3:$B$5001,$B297,Pesagens!$E$3:$E$5001,"&lt;&gt;"))</f>
        <v>46225</v>
      </c>
      <c r="I297" s="97">
        <f>IF($H297="","",IFERROR(AVERAGEIFS(Pesagens!$E$3:$E$5001,Pesagens!$B$3:$B$5001,$B297,Pesagens!$A$3:$A$5001,$H297),""))</f>
        <v>330</v>
      </c>
      <c r="J297" s="94">
        <f>IF(F297="","",Parâmetros!$C$4-F297)</f>
        <v>21</v>
      </c>
      <c r="K297" s="97">
        <f t="shared" si="8"/>
        <v>0</v>
      </c>
      <c r="L297" s="98" t="str">
        <f t="shared" si="9"/>
        <v/>
      </c>
      <c r="M297" s="99">
        <f>IF(I297="","",I297*Parâmetros!$C$8/15)</f>
        <v>11.66</v>
      </c>
      <c r="N297" s="99">
        <f>IF(K297="","",K297*Parâmetros!$C$8/15)</f>
        <v>0</v>
      </c>
      <c r="O297" s="100">
        <f>IF(M297="","",M297*Parâmetros!$C$5)</f>
        <v>3614.6</v>
      </c>
      <c r="P297" s="94" t="str">
        <f>IF(L297="","",IF(L297&gt;=Parâmetros!$C$10,"Sim","Não"))</f>
        <v/>
      </c>
    </row>
    <row r="298" spans="1:16" ht="14.25" customHeight="1" x14ac:dyDescent="0.3">
      <c r="A298" s="94">
        <v>296</v>
      </c>
      <c r="B298" s="88" t="s">
        <v>317</v>
      </c>
      <c r="C298" s="88" t="s">
        <v>298</v>
      </c>
      <c r="D298" s="88" t="s">
        <v>422</v>
      </c>
      <c r="E298" s="87" t="s">
        <v>299</v>
      </c>
      <c r="F298" s="89">
        <v>46225</v>
      </c>
      <c r="G298" s="90">
        <v>336</v>
      </c>
      <c r="H298" s="89">
        <f>IF(COUNTIFS(Pesagens!$B$3:$B$5001,$B298)=0,"",_xlfn.MAXIFS(Pesagens!$A$3:$A$5001,Pesagens!$B$3:$B$5001,$B298,Pesagens!$E$3:$E$5001,"&lt;&gt;"))</f>
        <v>46225</v>
      </c>
      <c r="I298" s="90">
        <f>IF($H298="","",IFERROR(AVERAGEIFS(Pesagens!$E$3:$E$5001,Pesagens!$B$3:$B$5001,$B298,Pesagens!$A$3:$A$5001,$H298),""))</f>
        <v>336</v>
      </c>
      <c r="J298" s="87">
        <f>IF(F298="","",Parâmetros!$C$4-F298)</f>
        <v>21</v>
      </c>
      <c r="K298" s="90">
        <f t="shared" si="8"/>
        <v>0</v>
      </c>
      <c r="L298" s="91" t="str">
        <f t="shared" si="9"/>
        <v/>
      </c>
      <c r="M298" s="92">
        <f>IF(I298="","",I298*Parâmetros!$C$8/15)</f>
        <v>11.872000000000002</v>
      </c>
      <c r="N298" s="92">
        <f>IF(K298="","",K298*Parâmetros!$C$8/15)</f>
        <v>0</v>
      </c>
      <c r="O298" s="93">
        <f>IF(M298="","",M298*Parâmetros!$C$5)</f>
        <v>3680.3200000000006</v>
      </c>
      <c r="P298" s="87" t="str">
        <f>IF(L298="","",IF(L298&gt;=Parâmetros!$C$10,"Sim","Não"))</f>
        <v/>
      </c>
    </row>
    <row r="299" spans="1:16" ht="14.25" customHeight="1" x14ac:dyDescent="0.3">
      <c r="A299" s="87">
        <v>297</v>
      </c>
      <c r="B299" s="95" t="s">
        <v>318</v>
      </c>
      <c r="C299" s="95" t="s">
        <v>298</v>
      </c>
      <c r="D299" s="95" t="s">
        <v>422</v>
      </c>
      <c r="E299" s="94" t="s">
        <v>299</v>
      </c>
      <c r="F299" s="96">
        <v>46225</v>
      </c>
      <c r="G299" s="97">
        <v>335</v>
      </c>
      <c r="H299" s="89">
        <f>IF(COUNTIFS(Pesagens!$B$3:$B$5001,$B299)=0,"",_xlfn.MAXIFS(Pesagens!$A$3:$A$5001,Pesagens!$B$3:$B$5001,$B299,Pesagens!$E$3:$E$5001,"&lt;&gt;"))</f>
        <v>46225</v>
      </c>
      <c r="I299" s="97">
        <f>IF($H299="","",IFERROR(AVERAGEIFS(Pesagens!$E$3:$E$5001,Pesagens!$B$3:$B$5001,$B299,Pesagens!$A$3:$A$5001,$H299),""))</f>
        <v>335</v>
      </c>
      <c r="J299" s="94">
        <f>IF(F299="","",Parâmetros!$C$4-F299)</f>
        <v>21</v>
      </c>
      <c r="K299" s="97">
        <f t="shared" si="8"/>
        <v>0</v>
      </c>
      <c r="L299" s="98" t="str">
        <f t="shared" si="9"/>
        <v/>
      </c>
      <c r="M299" s="99">
        <f>IF(I299="","",I299*Parâmetros!$C$8/15)</f>
        <v>11.836666666666668</v>
      </c>
      <c r="N299" s="99">
        <f>IF(K299="","",K299*Parâmetros!$C$8/15)</f>
        <v>0</v>
      </c>
      <c r="O299" s="100">
        <f>IF(M299="","",M299*Parâmetros!$C$5)</f>
        <v>3669.3666666666668</v>
      </c>
      <c r="P299" s="94" t="str">
        <f>IF(L299="","",IF(L299&gt;=Parâmetros!$C$10,"Sim","Não"))</f>
        <v/>
      </c>
    </row>
    <row r="300" spans="1:16" ht="14.25" customHeight="1" x14ac:dyDescent="0.3">
      <c r="A300" s="94">
        <v>298</v>
      </c>
      <c r="B300" s="88" t="s">
        <v>319</v>
      </c>
      <c r="C300" s="88" t="s">
        <v>298</v>
      </c>
      <c r="D300" s="88" t="s">
        <v>422</v>
      </c>
      <c r="E300" s="87" t="s">
        <v>299</v>
      </c>
      <c r="F300" s="89">
        <v>46225</v>
      </c>
      <c r="G300" s="90">
        <v>323</v>
      </c>
      <c r="H300" s="89">
        <f>IF(COUNTIFS(Pesagens!$B$3:$B$5001,$B300)=0,"",_xlfn.MAXIFS(Pesagens!$A$3:$A$5001,Pesagens!$B$3:$B$5001,$B300,Pesagens!$E$3:$E$5001,"&lt;&gt;"))</f>
        <v>46225</v>
      </c>
      <c r="I300" s="90">
        <f>IF($H300="","",IFERROR(AVERAGEIFS(Pesagens!$E$3:$E$5001,Pesagens!$B$3:$B$5001,$B300,Pesagens!$A$3:$A$5001,$H300),""))</f>
        <v>323</v>
      </c>
      <c r="J300" s="87">
        <f>IF(F300="","",Parâmetros!$C$4-F300)</f>
        <v>21</v>
      </c>
      <c r="K300" s="90">
        <f t="shared" si="8"/>
        <v>0</v>
      </c>
      <c r="L300" s="91" t="str">
        <f t="shared" si="9"/>
        <v/>
      </c>
      <c r="M300" s="92">
        <f>IF(I300="","",I300*Parâmetros!$C$8/15)</f>
        <v>11.412666666666667</v>
      </c>
      <c r="N300" s="92">
        <f>IF(K300="","",K300*Parâmetros!$C$8/15)</f>
        <v>0</v>
      </c>
      <c r="O300" s="93">
        <f>IF(M300="","",M300*Parâmetros!$C$5)</f>
        <v>3537.9266666666667</v>
      </c>
      <c r="P300" s="87" t="str">
        <f>IF(L300="","",IF(L300&gt;=Parâmetros!$C$10,"Sim","Não"))</f>
        <v/>
      </c>
    </row>
    <row r="301" spans="1:16" ht="14.25" customHeight="1" x14ac:dyDescent="0.3">
      <c r="A301" s="87">
        <v>299</v>
      </c>
      <c r="B301" s="95" t="s">
        <v>320</v>
      </c>
      <c r="C301" s="95" t="s">
        <v>298</v>
      </c>
      <c r="D301" s="95" t="s">
        <v>422</v>
      </c>
      <c r="E301" s="94" t="s">
        <v>299</v>
      </c>
      <c r="F301" s="96">
        <v>46225</v>
      </c>
      <c r="G301" s="97">
        <v>343</v>
      </c>
      <c r="H301" s="89">
        <f>IF(COUNTIFS(Pesagens!$B$3:$B$5001,$B301)=0,"",_xlfn.MAXIFS(Pesagens!$A$3:$A$5001,Pesagens!$B$3:$B$5001,$B301,Pesagens!$E$3:$E$5001,"&lt;&gt;"))</f>
        <v>46225</v>
      </c>
      <c r="I301" s="97">
        <f>IF($H301="","",IFERROR(AVERAGEIFS(Pesagens!$E$3:$E$5001,Pesagens!$B$3:$B$5001,$B301,Pesagens!$A$3:$A$5001,$H301),""))</f>
        <v>343</v>
      </c>
      <c r="J301" s="94">
        <f>IF(F301="","",Parâmetros!$C$4-F301)</f>
        <v>21</v>
      </c>
      <c r="K301" s="97">
        <f t="shared" si="8"/>
        <v>0</v>
      </c>
      <c r="L301" s="98" t="str">
        <f t="shared" si="9"/>
        <v/>
      </c>
      <c r="M301" s="99">
        <f>IF(I301="","",I301*Parâmetros!$C$8/15)</f>
        <v>12.119333333333335</v>
      </c>
      <c r="N301" s="99">
        <f>IF(K301="","",K301*Parâmetros!$C$8/15)</f>
        <v>0</v>
      </c>
      <c r="O301" s="100">
        <f>IF(M301="","",M301*Parâmetros!$C$5)</f>
        <v>3756.9933333333338</v>
      </c>
      <c r="P301" s="94" t="str">
        <f>IF(L301="","",IF(L301&gt;=Parâmetros!$C$10,"Sim","Não"))</f>
        <v/>
      </c>
    </row>
    <row r="302" spans="1:16" ht="14.25" customHeight="1" x14ac:dyDescent="0.3">
      <c r="A302" s="94">
        <v>300</v>
      </c>
      <c r="B302" s="88" t="s">
        <v>321</v>
      </c>
      <c r="C302" s="88" t="s">
        <v>298</v>
      </c>
      <c r="D302" s="88" t="s">
        <v>422</v>
      </c>
      <c r="E302" s="87" t="s">
        <v>299</v>
      </c>
      <c r="F302" s="89">
        <v>46225</v>
      </c>
      <c r="G302" s="90">
        <v>373</v>
      </c>
      <c r="H302" s="89">
        <f>IF(COUNTIFS(Pesagens!$B$3:$B$5001,$B302)=0,"",_xlfn.MAXIFS(Pesagens!$A$3:$A$5001,Pesagens!$B$3:$B$5001,$B302,Pesagens!$E$3:$E$5001,"&lt;&gt;"))</f>
        <v>46225</v>
      </c>
      <c r="I302" s="90">
        <f>IF($H302="","",IFERROR(AVERAGEIFS(Pesagens!$E$3:$E$5001,Pesagens!$B$3:$B$5001,$B302,Pesagens!$A$3:$A$5001,$H302),""))</f>
        <v>373</v>
      </c>
      <c r="J302" s="87">
        <f>IF(F302="","",Parâmetros!$C$4-F302)</f>
        <v>21</v>
      </c>
      <c r="K302" s="90">
        <f t="shared" si="8"/>
        <v>0</v>
      </c>
      <c r="L302" s="91" t="str">
        <f t="shared" si="9"/>
        <v/>
      </c>
      <c r="M302" s="92">
        <f>IF(I302="","",I302*Parâmetros!$C$8/15)</f>
        <v>13.179333333333334</v>
      </c>
      <c r="N302" s="92">
        <f>IF(K302="","",K302*Parâmetros!$C$8/15)</f>
        <v>0</v>
      </c>
      <c r="O302" s="93">
        <f>IF(M302="","",M302*Parâmetros!$C$5)</f>
        <v>4085.5933333333337</v>
      </c>
      <c r="P302" s="87" t="str">
        <f>IF(L302="","",IF(L302&gt;=Parâmetros!$C$10,"Sim","Não"))</f>
        <v/>
      </c>
    </row>
    <row r="303" spans="1:16" ht="14.25" customHeight="1" x14ac:dyDescent="0.3">
      <c r="A303" s="87">
        <v>301</v>
      </c>
      <c r="B303" s="95" t="s">
        <v>322</v>
      </c>
      <c r="C303" s="95" t="s">
        <v>298</v>
      </c>
      <c r="D303" s="95" t="s">
        <v>422</v>
      </c>
      <c r="E303" s="94" t="s">
        <v>299</v>
      </c>
      <c r="F303" s="96">
        <v>46225</v>
      </c>
      <c r="G303" s="97">
        <v>337</v>
      </c>
      <c r="H303" s="89">
        <f>IF(COUNTIFS(Pesagens!$B$3:$B$5001,$B303)=0,"",_xlfn.MAXIFS(Pesagens!$A$3:$A$5001,Pesagens!$B$3:$B$5001,$B303,Pesagens!$E$3:$E$5001,"&lt;&gt;"))</f>
        <v>46225</v>
      </c>
      <c r="I303" s="97">
        <f>IF($H303="","",IFERROR(AVERAGEIFS(Pesagens!$E$3:$E$5001,Pesagens!$B$3:$B$5001,$B303,Pesagens!$A$3:$A$5001,$H303),""))</f>
        <v>337</v>
      </c>
      <c r="J303" s="94">
        <f>IF(F303="","",Parâmetros!$C$4-F303)</f>
        <v>21</v>
      </c>
      <c r="K303" s="97">
        <f t="shared" si="8"/>
        <v>0</v>
      </c>
      <c r="L303" s="98" t="str">
        <f t="shared" si="9"/>
        <v/>
      </c>
      <c r="M303" s="99">
        <f>IF(I303="","",I303*Parâmetros!$C$8/15)</f>
        <v>11.907333333333334</v>
      </c>
      <c r="N303" s="99">
        <f>IF(K303="","",K303*Parâmetros!$C$8/15)</f>
        <v>0</v>
      </c>
      <c r="O303" s="100">
        <f>IF(M303="","",M303*Parâmetros!$C$5)</f>
        <v>3691.2733333333335</v>
      </c>
      <c r="P303" s="94" t="str">
        <f>IF(L303="","",IF(L303&gt;=Parâmetros!$C$10,"Sim","Não"))</f>
        <v/>
      </c>
    </row>
    <row r="304" spans="1:16" ht="14.25" customHeight="1" x14ac:dyDescent="0.3">
      <c r="A304" s="94">
        <v>302</v>
      </c>
      <c r="B304" s="88" t="s">
        <v>323</v>
      </c>
      <c r="C304" s="88" t="s">
        <v>298</v>
      </c>
      <c r="D304" s="88" t="s">
        <v>422</v>
      </c>
      <c r="E304" s="87" t="s">
        <v>299</v>
      </c>
      <c r="F304" s="89">
        <v>46225</v>
      </c>
      <c r="G304" s="90">
        <v>339</v>
      </c>
      <c r="H304" s="89">
        <f>IF(COUNTIFS(Pesagens!$B$3:$B$5001,$B304)=0,"",_xlfn.MAXIFS(Pesagens!$A$3:$A$5001,Pesagens!$B$3:$B$5001,$B304,Pesagens!$E$3:$E$5001,"&lt;&gt;"))</f>
        <v>46225</v>
      </c>
      <c r="I304" s="90">
        <f>IF($H304="","",IFERROR(AVERAGEIFS(Pesagens!$E$3:$E$5001,Pesagens!$B$3:$B$5001,$B304,Pesagens!$A$3:$A$5001,$H304),""))</f>
        <v>339</v>
      </c>
      <c r="J304" s="87">
        <f>IF(F304="","",Parâmetros!$C$4-F304)</f>
        <v>21</v>
      </c>
      <c r="K304" s="90">
        <f t="shared" si="8"/>
        <v>0</v>
      </c>
      <c r="L304" s="91" t="str">
        <f t="shared" si="9"/>
        <v/>
      </c>
      <c r="M304" s="92">
        <f>IF(I304="","",I304*Parâmetros!$C$8/15)</f>
        <v>11.978000000000002</v>
      </c>
      <c r="N304" s="92">
        <f>IF(K304="","",K304*Parâmetros!$C$8/15)</f>
        <v>0</v>
      </c>
      <c r="O304" s="93">
        <f>IF(M304="","",M304*Parâmetros!$C$5)</f>
        <v>3713.1800000000003</v>
      </c>
      <c r="P304" s="87" t="str">
        <f>IF(L304="","",IF(L304&gt;=Parâmetros!$C$10,"Sim","Não"))</f>
        <v/>
      </c>
    </row>
    <row r="305" spans="1:16" ht="14.25" customHeight="1" x14ac:dyDescent="0.3">
      <c r="A305" s="87">
        <v>303</v>
      </c>
      <c r="B305" s="95" t="s">
        <v>324</v>
      </c>
      <c r="C305" s="95" t="s">
        <v>298</v>
      </c>
      <c r="D305" s="95" t="s">
        <v>422</v>
      </c>
      <c r="E305" s="94" t="s">
        <v>299</v>
      </c>
      <c r="F305" s="96">
        <v>46225</v>
      </c>
      <c r="G305" s="97">
        <v>348</v>
      </c>
      <c r="H305" s="89">
        <f>IF(COUNTIFS(Pesagens!$B$3:$B$5001,$B305)=0,"",_xlfn.MAXIFS(Pesagens!$A$3:$A$5001,Pesagens!$B$3:$B$5001,$B305,Pesagens!$E$3:$E$5001,"&lt;&gt;"))</f>
        <v>46225</v>
      </c>
      <c r="I305" s="97">
        <f>IF($H305="","",IFERROR(AVERAGEIFS(Pesagens!$E$3:$E$5001,Pesagens!$B$3:$B$5001,$B305,Pesagens!$A$3:$A$5001,$H305),""))</f>
        <v>348</v>
      </c>
      <c r="J305" s="94">
        <f>IF(F305="","",Parâmetros!$C$4-F305)</f>
        <v>21</v>
      </c>
      <c r="K305" s="97">
        <f t="shared" si="8"/>
        <v>0</v>
      </c>
      <c r="L305" s="98" t="str">
        <f t="shared" si="9"/>
        <v/>
      </c>
      <c r="M305" s="99">
        <f>IF(I305="","",I305*Parâmetros!$C$8/15)</f>
        <v>12.295999999999999</v>
      </c>
      <c r="N305" s="99">
        <f>IF(K305="","",K305*Parâmetros!$C$8/15)</f>
        <v>0</v>
      </c>
      <c r="O305" s="100">
        <f>IF(M305="","",M305*Parâmetros!$C$5)</f>
        <v>3811.7599999999998</v>
      </c>
      <c r="P305" s="94" t="str">
        <f>IF(L305="","",IF(L305&gt;=Parâmetros!$C$10,"Sim","Não"))</f>
        <v/>
      </c>
    </row>
    <row r="306" spans="1:16" ht="14.25" customHeight="1" x14ac:dyDescent="0.3">
      <c r="A306" s="94">
        <v>304</v>
      </c>
      <c r="B306" s="88" t="s">
        <v>325</v>
      </c>
      <c r="C306" s="88" t="s">
        <v>298</v>
      </c>
      <c r="D306" s="88" t="s">
        <v>422</v>
      </c>
      <c r="E306" s="87" t="s">
        <v>299</v>
      </c>
      <c r="F306" s="89">
        <v>46225</v>
      </c>
      <c r="G306" s="90">
        <v>336</v>
      </c>
      <c r="H306" s="89">
        <f>IF(COUNTIFS(Pesagens!$B$3:$B$5001,$B306)=0,"",_xlfn.MAXIFS(Pesagens!$A$3:$A$5001,Pesagens!$B$3:$B$5001,$B306,Pesagens!$E$3:$E$5001,"&lt;&gt;"))</f>
        <v>46225</v>
      </c>
      <c r="I306" s="90">
        <f>IF($H306="","",IFERROR(AVERAGEIFS(Pesagens!$E$3:$E$5001,Pesagens!$B$3:$B$5001,$B306,Pesagens!$A$3:$A$5001,$H306),""))</f>
        <v>336</v>
      </c>
      <c r="J306" s="87">
        <f>IF(F306="","",Parâmetros!$C$4-F306)</f>
        <v>21</v>
      </c>
      <c r="K306" s="90">
        <f t="shared" si="8"/>
        <v>0</v>
      </c>
      <c r="L306" s="91" t="str">
        <f t="shared" si="9"/>
        <v/>
      </c>
      <c r="M306" s="92">
        <f>IF(I306="","",I306*Parâmetros!$C$8/15)</f>
        <v>11.872000000000002</v>
      </c>
      <c r="N306" s="92">
        <f>IF(K306="","",K306*Parâmetros!$C$8/15)</f>
        <v>0</v>
      </c>
      <c r="O306" s="93">
        <f>IF(M306="","",M306*Parâmetros!$C$5)</f>
        <v>3680.3200000000006</v>
      </c>
      <c r="P306" s="87" t="str">
        <f>IF(L306="","",IF(L306&gt;=Parâmetros!$C$10,"Sim","Não"))</f>
        <v/>
      </c>
    </row>
    <row r="307" spans="1:16" ht="14.25" customHeight="1" x14ac:dyDescent="0.3">
      <c r="A307" s="87">
        <v>305</v>
      </c>
      <c r="B307" s="95" t="s">
        <v>326</v>
      </c>
      <c r="C307" s="95" t="s">
        <v>298</v>
      </c>
      <c r="D307" s="95" t="s">
        <v>422</v>
      </c>
      <c r="E307" s="94" t="s">
        <v>299</v>
      </c>
      <c r="F307" s="96">
        <v>46225</v>
      </c>
      <c r="G307" s="97">
        <v>331</v>
      </c>
      <c r="H307" s="89">
        <f>IF(COUNTIFS(Pesagens!$B$3:$B$5001,$B307)=0,"",_xlfn.MAXIFS(Pesagens!$A$3:$A$5001,Pesagens!$B$3:$B$5001,$B307,Pesagens!$E$3:$E$5001,"&lt;&gt;"))</f>
        <v>46225</v>
      </c>
      <c r="I307" s="97">
        <f>IF($H307="","",IFERROR(AVERAGEIFS(Pesagens!$E$3:$E$5001,Pesagens!$B$3:$B$5001,$B307,Pesagens!$A$3:$A$5001,$H307),""))</f>
        <v>331</v>
      </c>
      <c r="J307" s="94">
        <f>IF(F307="","",Parâmetros!$C$4-F307)</f>
        <v>21</v>
      </c>
      <c r="K307" s="97">
        <f t="shared" si="8"/>
        <v>0</v>
      </c>
      <c r="L307" s="98" t="str">
        <f t="shared" si="9"/>
        <v/>
      </c>
      <c r="M307" s="99">
        <f>IF(I307="","",I307*Parâmetros!$C$8/15)</f>
        <v>11.695333333333334</v>
      </c>
      <c r="N307" s="99">
        <f>IF(K307="","",K307*Parâmetros!$C$8/15)</f>
        <v>0</v>
      </c>
      <c r="O307" s="100">
        <f>IF(M307="","",M307*Parâmetros!$C$5)</f>
        <v>3625.5533333333337</v>
      </c>
      <c r="P307" s="94" t="str">
        <f>IF(L307="","",IF(L307&gt;=Parâmetros!$C$10,"Sim","Não"))</f>
        <v/>
      </c>
    </row>
    <row r="308" spans="1:16" ht="14.25" customHeight="1" x14ac:dyDescent="0.3">
      <c r="A308" s="94">
        <v>306</v>
      </c>
      <c r="B308" s="88" t="s">
        <v>327</v>
      </c>
      <c r="C308" s="88" t="s">
        <v>298</v>
      </c>
      <c r="D308" s="88" t="s">
        <v>422</v>
      </c>
      <c r="E308" s="87" t="s">
        <v>299</v>
      </c>
      <c r="F308" s="89">
        <v>46225</v>
      </c>
      <c r="G308" s="90">
        <v>357</v>
      </c>
      <c r="H308" s="89">
        <f>IF(COUNTIFS(Pesagens!$B$3:$B$5001,$B308)=0,"",_xlfn.MAXIFS(Pesagens!$A$3:$A$5001,Pesagens!$B$3:$B$5001,$B308,Pesagens!$E$3:$E$5001,"&lt;&gt;"))</f>
        <v>46225</v>
      </c>
      <c r="I308" s="90">
        <f>IF($H308="","",IFERROR(AVERAGEIFS(Pesagens!$E$3:$E$5001,Pesagens!$B$3:$B$5001,$B308,Pesagens!$A$3:$A$5001,$H308),""))</f>
        <v>357</v>
      </c>
      <c r="J308" s="87">
        <f>IF(F308="","",Parâmetros!$C$4-F308)</f>
        <v>21</v>
      </c>
      <c r="K308" s="90">
        <f t="shared" si="8"/>
        <v>0</v>
      </c>
      <c r="L308" s="91" t="str">
        <f t="shared" si="9"/>
        <v/>
      </c>
      <c r="M308" s="92">
        <f>IF(I308="","",I308*Parâmetros!$C$8/15)</f>
        <v>12.614000000000001</v>
      </c>
      <c r="N308" s="92">
        <f>IF(K308="","",K308*Parâmetros!$C$8/15)</f>
        <v>0</v>
      </c>
      <c r="O308" s="93">
        <f>IF(M308="","",M308*Parâmetros!$C$5)</f>
        <v>3910.34</v>
      </c>
      <c r="P308" s="87" t="str">
        <f>IF(L308="","",IF(L308&gt;=Parâmetros!$C$10,"Sim","Não"))</f>
        <v/>
      </c>
    </row>
    <row r="309" spans="1:16" ht="14.25" customHeight="1" x14ac:dyDescent="0.3">
      <c r="A309" s="87">
        <v>307</v>
      </c>
      <c r="B309" s="95" t="s">
        <v>328</v>
      </c>
      <c r="C309" s="95" t="s">
        <v>298</v>
      </c>
      <c r="D309" s="95" t="s">
        <v>422</v>
      </c>
      <c r="E309" s="94" t="s">
        <v>299</v>
      </c>
      <c r="F309" s="96">
        <v>46225</v>
      </c>
      <c r="G309" s="97">
        <v>336</v>
      </c>
      <c r="H309" s="89">
        <f>IF(COUNTIFS(Pesagens!$B$3:$B$5001,$B309)=0,"",_xlfn.MAXIFS(Pesagens!$A$3:$A$5001,Pesagens!$B$3:$B$5001,$B309,Pesagens!$E$3:$E$5001,"&lt;&gt;"))</f>
        <v>46225</v>
      </c>
      <c r="I309" s="97">
        <f>IF($H309="","",IFERROR(AVERAGEIFS(Pesagens!$E$3:$E$5001,Pesagens!$B$3:$B$5001,$B309,Pesagens!$A$3:$A$5001,$H309),""))</f>
        <v>336</v>
      </c>
      <c r="J309" s="94">
        <f>IF(F309="","",Parâmetros!$C$4-F309)</f>
        <v>21</v>
      </c>
      <c r="K309" s="97">
        <f t="shared" si="8"/>
        <v>0</v>
      </c>
      <c r="L309" s="98" t="str">
        <f t="shared" si="9"/>
        <v/>
      </c>
      <c r="M309" s="99">
        <f>IF(I309="","",I309*Parâmetros!$C$8/15)</f>
        <v>11.872000000000002</v>
      </c>
      <c r="N309" s="99">
        <f>IF(K309="","",K309*Parâmetros!$C$8/15)</f>
        <v>0</v>
      </c>
      <c r="O309" s="100">
        <f>IF(M309="","",M309*Parâmetros!$C$5)</f>
        <v>3680.3200000000006</v>
      </c>
      <c r="P309" s="94" t="str">
        <f>IF(L309="","",IF(L309&gt;=Parâmetros!$C$10,"Sim","Não"))</f>
        <v/>
      </c>
    </row>
    <row r="310" spans="1:16" ht="14.25" customHeight="1" x14ac:dyDescent="0.3">
      <c r="A310" s="94">
        <v>308</v>
      </c>
      <c r="B310" s="88" t="s">
        <v>329</v>
      </c>
      <c r="C310" s="88" t="s">
        <v>298</v>
      </c>
      <c r="D310" s="88" t="s">
        <v>422</v>
      </c>
      <c r="E310" s="87" t="s">
        <v>299</v>
      </c>
      <c r="F310" s="89">
        <v>46225</v>
      </c>
      <c r="G310" s="90">
        <v>337</v>
      </c>
      <c r="H310" s="89">
        <f>IF(COUNTIFS(Pesagens!$B$3:$B$5001,$B310)=0,"",_xlfn.MAXIFS(Pesagens!$A$3:$A$5001,Pesagens!$B$3:$B$5001,$B310,Pesagens!$E$3:$E$5001,"&lt;&gt;"))</f>
        <v>46225</v>
      </c>
      <c r="I310" s="90">
        <f>IF($H310="","",IFERROR(AVERAGEIFS(Pesagens!$E$3:$E$5001,Pesagens!$B$3:$B$5001,$B310,Pesagens!$A$3:$A$5001,$H310),""))</f>
        <v>337</v>
      </c>
      <c r="J310" s="87">
        <f>IF(F310="","",Parâmetros!$C$4-F310)</f>
        <v>21</v>
      </c>
      <c r="K310" s="90">
        <f t="shared" si="8"/>
        <v>0</v>
      </c>
      <c r="L310" s="91" t="str">
        <f t="shared" si="9"/>
        <v/>
      </c>
      <c r="M310" s="92">
        <f>IF(I310="","",I310*Parâmetros!$C$8/15)</f>
        <v>11.907333333333334</v>
      </c>
      <c r="N310" s="92">
        <f>IF(K310="","",K310*Parâmetros!$C$8/15)</f>
        <v>0</v>
      </c>
      <c r="O310" s="93">
        <f>IF(M310="","",M310*Parâmetros!$C$5)</f>
        <v>3691.2733333333335</v>
      </c>
      <c r="P310" s="87" t="str">
        <f>IF(L310="","",IF(L310&gt;=Parâmetros!$C$10,"Sim","Não"))</f>
        <v/>
      </c>
    </row>
    <row r="311" spans="1:16" ht="14.25" customHeight="1" x14ac:dyDescent="0.3">
      <c r="A311" s="87">
        <v>309</v>
      </c>
      <c r="B311" s="95" t="s">
        <v>330</v>
      </c>
      <c r="C311" s="95" t="s">
        <v>298</v>
      </c>
      <c r="D311" s="95" t="s">
        <v>422</v>
      </c>
      <c r="E311" s="94" t="s">
        <v>299</v>
      </c>
      <c r="F311" s="96">
        <v>46225</v>
      </c>
      <c r="G311" s="97">
        <v>320</v>
      </c>
      <c r="H311" s="89">
        <f>IF(COUNTIFS(Pesagens!$B$3:$B$5001,$B311)=0,"",_xlfn.MAXIFS(Pesagens!$A$3:$A$5001,Pesagens!$B$3:$B$5001,$B311,Pesagens!$E$3:$E$5001,"&lt;&gt;"))</f>
        <v>46225</v>
      </c>
      <c r="I311" s="97">
        <f>IF($H311="","",IFERROR(AVERAGEIFS(Pesagens!$E$3:$E$5001,Pesagens!$B$3:$B$5001,$B311,Pesagens!$A$3:$A$5001,$H311),""))</f>
        <v>320</v>
      </c>
      <c r="J311" s="94">
        <f>IF(F311="","",Parâmetros!$C$4-F311)</f>
        <v>21</v>
      </c>
      <c r="K311" s="97">
        <f t="shared" si="8"/>
        <v>0</v>
      </c>
      <c r="L311" s="98" t="str">
        <f t="shared" si="9"/>
        <v/>
      </c>
      <c r="M311" s="99">
        <f>IF(I311="","",I311*Parâmetros!$C$8/15)</f>
        <v>11.306666666666668</v>
      </c>
      <c r="N311" s="99">
        <f>IF(K311="","",K311*Parâmetros!$C$8/15)</f>
        <v>0</v>
      </c>
      <c r="O311" s="100">
        <f>IF(M311="","",M311*Parâmetros!$C$5)</f>
        <v>3505.0666666666671</v>
      </c>
      <c r="P311" s="94" t="str">
        <f>IF(L311="","",IF(L311&gt;=Parâmetros!$C$10,"Sim","Não"))</f>
        <v/>
      </c>
    </row>
    <row r="312" spans="1:16" ht="14.25" customHeight="1" x14ac:dyDescent="0.3">
      <c r="A312" s="94">
        <v>310</v>
      </c>
      <c r="B312" s="88" t="s">
        <v>331</v>
      </c>
      <c r="C312" s="88" t="s">
        <v>298</v>
      </c>
      <c r="D312" s="88" t="s">
        <v>422</v>
      </c>
      <c r="E312" s="87" t="s">
        <v>299</v>
      </c>
      <c r="F312" s="89">
        <v>46225</v>
      </c>
      <c r="G312" s="90">
        <v>373</v>
      </c>
      <c r="H312" s="89">
        <f>IF(COUNTIFS(Pesagens!$B$3:$B$5001,$B312)=0,"",_xlfn.MAXIFS(Pesagens!$A$3:$A$5001,Pesagens!$B$3:$B$5001,$B312,Pesagens!$E$3:$E$5001,"&lt;&gt;"))</f>
        <v>46225</v>
      </c>
      <c r="I312" s="90">
        <f>IF($H312="","",IFERROR(AVERAGEIFS(Pesagens!$E$3:$E$5001,Pesagens!$B$3:$B$5001,$B312,Pesagens!$A$3:$A$5001,$H312),""))</f>
        <v>373</v>
      </c>
      <c r="J312" s="87">
        <f>IF(F312="","",Parâmetros!$C$4-F312)</f>
        <v>21</v>
      </c>
      <c r="K312" s="90">
        <f t="shared" si="8"/>
        <v>0</v>
      </c>
      <c r="L312" s="91" t="str">
        <f t="shared" si="9"/>
        <v/>
      </c>
      <c r="M312" s="92">
        <f>IF(I312="","",I312*Parâmetros!$C$8/15)</f>
        <v>13.179333333333334</v>
      </c>
      <c r="N312" s="92">
        <f>IF(K312="","",K312*Parâmetros!$C$8/15)</f>
        <v>0</v>
      </c>
      <c r="O312" s="93">
        <f>IF(M312="","",M312*Parâmetros!$C$5)</f>
        <v>4085.5933333333337</v>
      </c>
      <c r="P312" s="87" t="str">
        <f>IF(L312="","",IF(L312&gt;=Parâmetros!$C$10,"Sim","Não"))</f>
        <v/>
      </c>
    </row>
    <row r="313" spans="1:16" ht="14.25" customHeight="1" x14ac:dyDescent="0.3">
      <c r="A313" s="87">
        <v>311</v>
      </c>
      <c r="B313" s="95" t="s">
        <v>332</v>
      </c>
      <c r="C313" s="95" t="s">
        <v>298</v>
      </c>
      <c r="D313" s="95" t="s">
        <v>422</v>
      </c>
      <c r="E313" s="94" t="s">
        <v>299</v>
      </c>
      <c r="F313" s="96">
        <v>46225</v>
      </c>
      <c r="G313" s="97">
        <v>326</v>
      </c>
      <c r="H313" s="89">
        <f>IF(COUNTIFS(Pesagens!$B$3:$B$5001,$B313)=0,"",_xlfn.MAXIFS(Pesagens!$A$3:$A$5001,Pesagens!$B$3:$B$5001,$B313,Pesagens!$E$3:$E$5001,"&lt;&gt;"))</f>
        <v>46225</v>
      </c>
      <c r="I313" s="97">
        <f>IF($H313="","",IFERROR(AVERAGEIFS(Pesagens!$E$3:$E$5001,Pesagens!$B$3:$B$5001,$B313,Pesagens!$A$3:$A$5001,$H313),""))</f>
        <v>326</v>
      </c>
      <c r="J313" s="94">
        <f>IF(F313="","",Parâmetros!$C$4-F313)</f>
        <v>21</v>
      </c>
      <c r="K313" s="97">
        <f t="shared" si="8"/>
        <v>0</v>
      </c>
      <c r="L313" s="98" t="str">
        <f t="shared" si="9"/>
        <v/>
      </c>
      <c r="M313" s="99">
        <f>IF(I313="","",I313*Parâmetros!$C$8/15)</f>
        <v>11.518666666666666</v>
      </c>
      <c r="N313" s="99">
        <f>IF(K313="","",K313*Parâmetros!$C$8/15)</f>
        <v>0</v>
      </c>
      <c r="O313" s="100">
        <f>IF(M313="","",M313*Parâmetros!$C$5)</f>
        <v>3570.7866666666664</v>
      </c>
      <c r="P313" s="94" t="str">
        <f>IF(L313="","",IF(L313&gt;=Parâmetros!$C$10,"Sim","Não"))</f>
        <v/>
      </c>
    </row>
    <row r="314" spans="1:16" ht="14.25" customHeight="1" x14ac:dyDescent="0.3">
      <c r="A314" s="94">
        <v>312</v>
      </c>
      <c r="B314" s="88" t="s">
        <v>333</v>
      </c>
      <c r="C314" s="88" t="s">
        <v>298</v>
      </c>
      <c r="D314" s="88" t="s">
        <v>422</v>
      </c>
      <c r="E314" s="87" t="s">
        <v>299</v>
      </c>
      <c r="F314" s="89">
        <v>46225</v>
      </c>
      <c r="G314" s="90">
        <v>369</v>
      </c>
      <c r="H314" s="89">
        <f>IF(COUNTIFS(Pesagens!$B$3:$B$5001,$B314)=0,"",_xlfn.MAXIFS(Pesagens!$A$3:$A$5001,Pesagens!$B$3:$B$5001,$B314,Pesagens!$E$3:$E$5001,"&lt;&gt;"))</f>
        <v>46225</v>
      </c>
      <c r="I314" s="90">
        <f>IF($H314="","",IFERROR(AVERAGEIFS(Pesagens!$E$3:$E$5001,Pesagens!$B$3:$B$5001,$B314,Pesagens!$A$3:$A$5001,$H314),""))</f>
        <v>369</v>
      </c>
      <c r="J314" s="87">
        <f>IF(F314="","",Parâmetros!$C$4-F314)</f>
        <v>21</v>
      </c>
      <c r="K314" s="90">
        <f t="shared" si="8"/>
        <v>0</v>
      </c>
      <c r="L314" s="91" t="str">
        <f t="shared" si="9"/>
        <v/>
      </c>
      <c r="M314" s="92">
        <f>IF(I314="","",I314*Parâmetros!$C$8/15)</f>
        <v>13.038000000000002</v>
      </c>
      <c r="N314" s="92">
        <f>IF(K314="","",K314*Parâmetros!$C$8/15)</f>
        <v>0</v>
      </c>
      <c r="O314" s="93">
        <f>IF(M314="","",M314*Parâmetros!$C$5)</f>
        <v>4041.7800000000007</v>
      </c>
      <c r="P314" s="87" t="str">
        <f>IF(L314="","",IF(L314&gt;=Parâmetros!$C$10,"Sim","Não"))</f>
        <v/>
      </c>
    </row>
    <row r="315" spans="1:16" ht="14.25" customHeight="1" x14ac:dyDescent="0.3">
      <c r="A315" s="87">
        <v>313</v>
      </c>
      <c r="B315" s="95" t="s">
        <v>334</v>
      </c>
      <c r="C315" s="95" t="s">
        <v>298</v>
      </c>
      <c r="D315" s="95" t="s">
        <v>422</v>
      </c>
      <c r="E315" s="94" t="s">
        <v>299</v>
      </c>
      <c r="F315" s="96">
        <v>46225</v>
      </c>
      <c r="G315" s="97">
        <v>293</v>
      </c>
      <c r="H315" s="89">
        <f>IF(COUNTIFS(Pesagens!$B$3:$B$5001,$B315)=0,"",_xlfn.MAXIFS(Pesagens!$A$3:$A$5001,Pesagens!$B$3:$B$5001,$B315,Pesagens!$E$3:$E$5001,"&lt;&gt;"))</f>
        <v>46225</v>
      </c>
      <c r="I315" s="97">
        <f>IF($H315="","",IFERROR(AVERAGEIFS(Pesagens!$E$3:$E$5001,Pesagens!$B$3:$B$5001,$B315,Pesagens!$A$3:$A$5001,$H315),""))</f>
        <v>293</v>
      </c>
      <c r="J315" s="94">
        <f>IF(F315="","",Parâmetros!$C$4-F315)</f>
        <v>21</v>
      </c>
      <c r="K315" s="97">
        <f t="shared" si="8"/>
        <v>0</v>
      </c>
      <c r="L315" s="98" t="str">
        <f t="shared" si="9"/>
        <v/>
      </c>
      <c r="M315" s="99">
        <f>IF(I315="","",I315*Parâmetros!$C$8/15)</f>
        <v>10.352666666666668</v>
      </c>
      <c r="N315" s="99">
        <f>IF(K315="","",K315*Parâmetros!$C$8/15)</f>
        <v>0</v>
      </c>
      <c r="O315" s="100">
        <f>IF(M315="","",M315*Parâmetros!$C$5)</f>
        <v>3209.3266666666668</v>
      </c>
      <c r="P315" s="94" t="str">
        <f>IF(L315="","",IF(L315&gt;=Parâmetros!$C$10,"Sim","Não"))</f>
        <v/>
      </c>
    </row>
    <row r="316" spans="1:16" ht="14.25" customHeight="1" x14ac:dyDescent="0.3">
      <c r="A316" s="94">
        <v>314</v>
      </c>
      <c r="B316" s="88" t="s">
        <v>335</v>
      </c>
      <c r="C316" s="88" t="s">
        <v>298</v>
      </c>
      <c r="D316" s="88" t="s">
        <v>422</v>
      </c>
      <c r="E316" s="87" t="s">
        <v>299</v>
      </c>
      <c r="F316" s="89">
        <v>46225</v>
      </c>
      <c r="G316" s="90">
        <v>323</v>
      </c>
      <c r="H316" s="89">
        <f>IF(COUNTIFS(Pesagens!$B$3:$B$5001,$B316)=0,"",_xlfn.MAXIFS(Pesagens!$A$3:$A$5001,Pesagens!$B$3:$B$5001,$B316,Pesagens!$E$3:$E$5001,"&lt;&gt;"))</f>
        <v>46225</v>
      </c>
      <c r="I316" s="90">
        <f>IF($H316="","",IFERROR(AVERAGEIFS(Pesagens!$E$3:$E$5001,Pesagens!$B$3:$B$5001,$B316,Pesagens!$A$3:$A$5001,$H316),""))</f>
        <v>323</v>
      </c>
      <c r="J316" s="87">
        <f>IF(F316="","",Parâmetros!$C$4-F316)</f>
        <v>21</v>
      </c>
      <c r="K316" s="90">
        <f t="shared" si="8"/>
        <v>0</v>
      </c>
      <c r="L316" s="91" t="str">
        <f t="shared" si="9"/>
        <v/>
      </c>
      <c r="M316" s="92">
        <f>IF(I316="","",I316*Parâmetros!$C$8/15)</f>
        <v>11.412666666666667</v>
      </c>
      <c r="N316" s="92">
        <f>IF(K316="","",K316*Parâmetros!$C$8/15)</f>
        <v>0</v>
      </c>
      <c r="O316" s="93">
        <f>IF(M316="","",M316*Parâmetros!$C$5)</f>
        <v>3537.9266666666667</v>
      </c>
      <c r="P316" s="87" t="str">
        <f>IF(L316="","",IF(L316&gt;=Parâmetros!$C$10,"Sim","Não"))</f>
        <v/>
      </c>
    </row>
    <row r="317" spans="1:16" ht="14.25" customHeight="1" x14ac:dyDescent="0.3">
      <c r="A317" s="87">
        <v>315</v>
      </c>
      <c r="B317" s="95" t="s">
        <v>336</v>
      </c>
      <c r="C317" s="95" t="s">
        <v>298</v>
      </c>
      <c r="D317" s="95" t="s">
        <v>422</v>
      </c>
      <c r="E317" s="94" t="s">
        <v>299</v>
      </c>
      <c r="F317" s="96">
        <v>46225</v>
      </c>
      <c r="G317" s="97">
        <v>357</v>
      </c>
      <c r="H317" s="89">
        <f>IF(COUNTIFS(Pesagens!$B$3:$B$5001,$B317)=0,"",_xlfn.MAXIFS(Pesagens!$A$3:$A$5001,Pesagens!$B$3:$B$5001,$B317,Pesagens!$E$3:$E$5001,"&lt;&gt;"))</f>
        <v>46225</v>
      </c>
      <c r="I317" s="97">
        <f>IF($H317="","",IFERROR(AVERAGEIFS(Pesagens!$E$3:$E$5001,Pesagens!$B$3:$B$5001,$B317,Pesagens!$A$3:$A$5001,$H317),""))</f>
        <v>357</v>
      </c>
      <c r="J317" s="94">
        <f>IF(F317="","",Parâmetros!$C$4-F317)</f>
        <v>21</v>
      </c>
      <c r="K317" s="97">
        <f t="shared" si="8"/>
        <v>0</v>
      </c>
      <c r="L317" s="98" t="str">
        <f t="shared" si="9"/>
        <v/>
      </c>
      <c r="M317" s="99">
        <f>IF(I317="","",I317*Parâmetros!$C$8/15)</f>
        <v>12.614000000000001</v>
      </c>
      <c r="N317" s="99">
        <f>IF(K317="","",K317*Parâmetros!$C$8/15)</f>
        <v>0</v>
      </c>
      <c r="O317" s="100">
        <f>IF(M317="","",M317*Parâmetros!$C$5)</f>
        <v>3910.34</v>
      </c>
      <c r="P317" s="94" t="str">
        <f>IF(L317="","",IF(L317&gt;=Parâmetros!$C$10,"Sim","Não"))</f>
        <v/>
      </c>
    </row>
    <row r="318" spans="1:16" ht="14.25" customHeight="1" x14ac:dyDescent="0.3">
      <c r="A318" s="94">
        <v>316</v>
      </c>
      <c r="B318" s="88" t="s">
        <v>337</v>
      </c>
      <c r="C318" s="88" t="s">
        <v>298</v>
      </c>
      <c r="D318" s="88" t="s">
        <v>422</v>
      </c>
      <c r="E318" s="87" t="s">
        <v>299</v>
      </c>
      <c r="F318" s="89">
        <v>46225</v>
      </c>
      <c r="G318" s="90">
        <v>354</v>
      </c>
      <c r="H318" s="89">
        <f>IF(COUNTIFS(Pesagens!$B$3:$B$5001,$B318)=0,"",_xlfn.MAXIFS(Pesagens!$A$3:$A$5001,Pesagens!$B$3:$B$5001,$B318,Pesagens!$E$3:$E$5001,"&lt;&gt;"))</f>
        <v>46225</v>
      </c>
      <c r="I318" s="90">
        <f>IF($H318="","",IFERROR(AVERAGEIFS(Pesagens!$E$3:$E$5001,Pesagens!$B$3:$B$5001,$B318,Pesagens!$A$3:$A$5001,$H318),""))</f>
        <v>354</v>
      </c>
      <c r="J318" s="87">
        <f>IF(F318="","",Parâmetros!$C$4-F318)</f>
        <v>21</v>
      </c>
      <c r="K318" s="90">
        <f t="shared" si="8"/>
        <v>0</v>
      </c>
      <c r="L318" s="91" t="str">
        <f t="shared" si="9"/>
        <v/>
      </c>
      <c r="M318" s="92">
        <f>IF(I318="","",I318*Parâmetros!$C$8/15)</f>
        <v>12.508000000000001</v>
      </c>
      <c r="N318" s="92">
        <f>IF(K318="","",K318*Parâmetros!$C$8/15)</f>
        <v>0</v>
      </c>
      <c r="O318" s="93">
        <f>IF(M318="","",M318*Parâmetros!$C$5)</f>
        <v>3877.4800000000005</v>
      </c>
      <c r="P318" s="87" t="str">
        <f>IF(L318="","",IF(L318&gt;=Parâmetros!$C$10,"Sim","Não"))</f>
        <v/>
      </c>
    </row>
    <row r="319" spans="1:16" ht="14.25" customHeight="1" x14ac:dyDescent="0.3">
      <c r="A319" s="87">
        <v>317</v>
      </c>
      <c r="B319" s="95" t="s">
        <v>338</v>
      </c>
      <c r="C319" s="95" t="s">
        <v>298</v>
      </c>
      <c r="D319" s="95" t="s">
        <v>422</v>
      </c>
      <c r="E319" s="94" t="s">
        <v>299</v>
      </c>
      <c r="F319" s="96">
        <v>46225</v>
      </c>
      <c r="G319" s="97">
        <v>321</v>
      </c>
      <c r="H319" s="89">
        <f>IF(COUNTIFS(Pesagens!$B$3:$B$5001,$B319)=0,"",_xlfn.MAXIFS(Pesagens!$A$3:$A$5001,Pesagens!$B$3:$B$5001,$B319,Pesagens!$E$3:$E$5001,"&lt;&gt;"))</f>
        <v>46225</v>
      </c>
      <c r="I319" s="97">
        <f>IF($H319="","",IFERROR(AVERAGEIFS(Pesagens!$E$3:$E$5001,Pesagens!$B$3:$B$5001,$B319,Pesagens!$A$3:$A$5001,$H319),""))</f>
        <v>321</v>
      </c>
      <c r="J319" s="94">
        <f>IF(F319="","",Parâmetros!$C$4-F319)</f>
        <v>21</v>
      </c>
      <c r="K319" s="97">
        <f t="shared" si="8"/>
        <v>0</v>
      </c>
      <c r="L319" s="98" t="str">
        <f t="shared" si="9"/>
        <v/>
      </c>
      <c r="M319" s="99">
        <f>IF(I319="","",I319*Parâmetros!$C$8/15)</f>
        <v>11.342000000000001</v>
      </c>
      <c r="N319" s="99">
        <f>IF(K319="","",K319*Parâmetros!$C$8/15)</f>
        <v>0</v>
      </c>
      <c r="O319" s="100">
        <f>IF(M319="","",M319*Parâmetros!$C$5)</f>
        <v>3516.02</v>
      </c>
      <c r="P319" s="94" t="str">
        <f>IF(L319="","",IF(L319&gt;=Parâmetros!$C$10,"Sim","Não"))</f>
        <v/>
      </c>
    </row>
    <row r="320" spans="1:16" ht="14.25" customHeight="1" x14ac:dyDescent="0.3">
      <c r="A320" s="94">
        <v>318</v>
      </c>
      <c r="B320" s="88" t="s">
        <v>339</v>
      </c>
      <c r="C320" s="88" t="s">
        <v>298</v>
      </c>
      <c r="D320" s="88" t="s">
        <v>422</v>
      </c>
      <c r="E320" s="87" t="s">
        <v>299</v>
      </c>
      <c r="F320" s="89">
        <v>46225</v>
      </c>
      <c r="G320" s="90">
        <v>349</v>
      </c>
      <c r="H320" s="89">
        <f>IF(COUNTIFS(Pesagens!$B$3:$B$5001,$B320)=0,"",_xlfn.MAXIFS(Pesagens!$A$3:$A$5001,Pesagens!$B$3:$B$5001,$B320,Pesagens!$E$3:$E$5001,"&lt;&gt;"))</f>
        <v>46225</v>
      </c>
      <c r="I320" s="90">
        <f>IF($H320="","",IFERROR(AVERAGEIFS(Pesagens!$E$3:$E$5001,Pesagens!$B$3:$B$5001,$B320,Pesagens!$A$3:$A$5001,$H320),""))</f>
        <v>349</v>
      </c>
      <c r="J320" s="87">
        <f>IF(F320="","",Parâmetros!$C$4-F320)</f>
        <v>21</v>
      </c>
      <c r="K320" s="90">
        <f t="shared" si="8"/>
        <v>0</v>
      </c>
      <c r="L320" s="91" t="str">
        <f t="shared" si="9"/>
        <v/>
      </c>
      <c r="M320" s="92">
        <f>IF(I320="","",I320*Parâmetros!$C$8/15)</f>
        <v>12.331333333333333</v>
      </c>
      <c r="N320" s="92">
        <f>IF(K320="","",K320*Parâmetros!$C$8/15)</f>
        <v>0</v>
      </c>
      <c r="O320" s="93">
        <f>IF(M320="","",M320*Parâmetros!$C$5)</f>
        <v>3822.7133333333331</v>
      </c>
      <c r="P320" s="87" t="str">
        <f>IF(L320="","",IF(L320&gt;=Parâmetros!$C$10,"Sim","Não"))</f>
        <v/>
      </c>
    </row>
    <row r="321" spans="1:16" ht="14.25" customHeight="1" x14ac:dyDescent="0.3">
      <c r="A321" s="87">
        <v>319</v>
      </c>
      <c r="B321" s="95" t="s">
        <v>340</v>
      </c>
      <c r="C321" s="95" t="s">
        <v>298</v>
      </c>
      <c r="D321" s="95" t="s">
        <v>422</v>
      </c>
      <c r="E321" s="94" t="s">
        <v>299</v>
      </c>
      <c r="F321" s="96">
        <v>46225</v>
      </c>
      <c r="G321" s="97">
        <v>314</v>
      </c>
      <c r="H321" s="89">
        <f>IF(COUNTIFS(Pesagens!$B$3:$B$5001,$B321)=0,"",_xlfn.MAXIFS(Pesagens!$A$3:$A$5001,Pesagens!$B$3:$B$5001,$B321,Pesagens!$E$3:$E$5001,"&lt;&gt;"))</f>
        <v>46225</v>
      </c>
      <c r="I321" s="97">
        <f>IF($H321="","",IFERROR(AVERAGEIFS(Pesagens!$E$3:$E$5001,Pesagens!$B$3:$B$5001,$B321,Pesagens!$A$3:$A$5001,$H321),""))</f>
        <v>314</v>
      </c>
      <c r="J321" s="94">
        <f>IF(F321="","",Parâmetros!$C$4-F321)</f>
        <v>21</v>
      </c>
      <c r="K321" s="97">
        <f t="shared" si="8"/>
        <v>0</v>
      </c>
      <c r="L321" s="98" t="str">
        <f t="shared" si="9"/>
        <v/>
      </c>
      <c r="M321" s="99">
        <f>IF(I321="","",I321*Parâmetros!$C$8/15)</f>
        <v>11.094666666666667</v>
      </c>
      <c r="N321" s="99">
        <f>IF(K321="","",K321*Parâmetros!$C$8/15)</f>
        <v>0</v>
      </c>
      <c r="O321" s="100">
        <f>IF(M321="","",M321*Parâmetros!$C$5)</f>
        <v>3439.3466666666668</v>
      </c>
      <c r="P321" s="94" t="str">
        <f>IF(L321="","",IF(L321&gt;=Parâmetros!$C$10,"Sim","Não"))</f>
        <v/>
      </c>
    </row>
    <row r="322" spans="1:16" ht="14.25" customHeight="1" x14ac:dyDescent="0.3">
      <c r="A322" s="94">
        <v>320</v>
      </c>
      <c r="B322" s="88" t="s">
        <v>341</v>
      </c>
      <c r="C322" s="88" t="s">
        <v>298</v>
      </c>
      <c r="D322" s="88" t="s">
        <v>422</v>
      </c>
      <c r="E322" s="87" t="s">
        <v>299</v>
      </c>
      <c r="F322" s="89">
        <v>46225</v>
      </c>
      <c r="G322" s="90">
        <v>337</v>
      </c>
      <c r="H322" s="89">
        <f>IF(COUNTIFS(Pesagens!$B$3:$B$5001,$B322)=0,"",_xlfn.MAXIFS(Pesagens!$A$3:$A$5001,Pesagens!$B$3:$B$5001,$B322,Pesagens!$E$3:$E$5001,"&lt;&gt;"))</f>
        <v>46225</v>
      </c>
      <c r="I322" s="90">
        <f>IF($H322="","",IFERROR(AVERAGEIFS(Pesagens!$E$3:$E$5001,Pesagens!$B$3:$B$5001,$B322,Pesagens!$A$3:$A$5001,$H322),""))</f>
        <v>337</v>
      </c>
      <c r="J322" s="87">
        <f>IF(F322="","",Parâmetros!$C$4-F322)</f>
        <v>21</v>
      </c>
      <c r="K322" s="90">
        <f t="shared" si="8"/>
        <v>0</v>
      </c>
      <c r="L322" s="91" t="str">
        <f t="shared" si="9"/>
        <v/>
      </c>
      <c r="M322" s="92">
        <f>IF(I322="","",I322*Parâmetros!$C$8/15)</f>
        <v>11.907333333333334</v>
      </c>
      <c r="N322" s="92">
        <f>IF(K322="","",K322*Parâmetros!$C$8/15)</f>
        <v>0</v>
      </c>
      <c r="O322" s="93">
        <f>IF(M322="","",M322*Parâmetros!$C$5)</f>
        <v>3691.2733333333335</v>
      </c>
      <c r="P322" s="87" t="str">
        <f>IF(L322="","",IF(L322&gt;=Parâmetros!$C$10,"Sim","Não"))</f>
        <v/>
      </c>
    </row>
    <row r="323" spans="1:16" ht="14.25" customHeight="1" x14ac:dyDescent="0.3">
      <c r="A323" s="87">
        <v>321</v>
      </c>
      <c r="B323" s="95" t="s">
        <v>342</v>
      </c>
      <c r="C323" s="95" t="s">
        <v>298</v>
      </c>
      <c r="D323" s="95" t="s">
        <v>422</v>
      </c>
      <c r="E323" s="94" t="s">
        <v>299</v>
      </c>
      <c r="F323" s="96">
        <v>46225</v>
      </c>
      <c r="G323" s="97">
        <v>335</v>
      </c>
      <c r="H323" s="89">
        <f>IF(COUNTIFS(Pesagens!$B$3:$B$5001,$B323)=0,"",_xlfn.MAXIFS(Pesagens!$A$3:$A$5001,Pesagens!$B$3:$B$5001,$B323,Pesagens!$E$3:$E$5001,"&lt;&gt;"))</f>
        <v>46225</v>
      </c>
      <c r="I323" s="97">
        <f>IF($H323="","",IFERROR(AVERAGEIFS(Pesagens!$E$3:$E$5001,Pesagens!$B$3:$B$5001,$B323,Pesagens!$A$3:$A$5001,$H323),""))</f>
        <v>335</v>
      </c>
      <c r="J323" s="94">
        <f>IF(F323="","",Parâmetros!$C$4-F323)</f>
        <v>21</v>
      </c>
      <c r="K323" s="97">
        <f t="shared" ref="K323:K387" si="10">IF(OR(I323="",G323=""),"",I323-G323)</f>
        <v>0</v>
      </c>
      <c r="L323" s="98" t="str">
        <f t="shared" ref="L323:L387" si="11">IF(OR(I323="",G323="",H323&lt;=F323),"",(I323-G323)/(H323-F323))</f>
        <v/>
      </c>
      <c r="M323" s="99">
        <f>IF(I323="","",I323*Parâmetros!$C$8/15)</f>
        <v>11.836666666666668</v>
      </c>
      <c r="N323" s="99">
        <f>IF(K323="","",K323*Parâmetros!$C$8/15)</f>
        <v>0</v>
      </c>
      <c r="O323" s="100">
        <f>IF(M323="","",M323*Parâmetros!$C$5)</f>
        <v>3669.3666666666668</v>
      </c>
      <c r="P323" s="94" t="str">
        <f>IF(L323="","",IF(L323&gt;=Parâmetros!$C$10,"Sim","Não"))</f>
        <v/>
      </c>
    </row>
    <row r="324" spans="1:16" ht="14.25" customHeight="1" x14ac:dyDescent="0.3">
      <c r="A324" s="94">
        <v>322</v>
      </c>
      <c r="B324" s="88" t="s">
        <v>343</v>
      </c>
      <c r="C324" s="88" t="s">
        <v>298</v>
      </c>
      <c r="D324" s="88" t="s">
        <v>422</v>
      </c>
      <c r="E324" s="87" t="s">
        <v>299</v>
      </c>
      <c r="F324" s="89">
        <v>46225</v>
      </c>
      <c r="G324" s="90">
        <v>318</v>
      </c>
      <c r="H324" s="89">
        <f>IF(COUNTIFS(Pesagens!$B$3:$B$5001,$B324)=0,"",_xlfn.MAXIFS(Pesagens!$A$3:$A$5001,Pesagens!$B$3:$B$5001,$B324,Pesagens!$E$3:$E$5001,"&lt;&gt;"))</f>
        <v>46225</v>
      </c>
      <c r="I324" s="90">
        <f>IF($H324="","",IFERROR(AVERAGEIFS(Pesagens!$E$3:$E$5001,Pesagens!$B$3:$B$5001,$B324,Pesagens!$A$3:$A$5001,$H324),""))</f>
        <v>318</v>
      </c>
      <c r="J324" s="87">
        <f>IF(F324="","",Parâmetros!$C$4-F324)</f>
        <v>21</v>
      </c>
      <c r="K324" s="90">
        <f t="shared" si="10"/>
        <v>0</v>
      </c>
      <c r="L324" s="91" t="str">
        <f t="shared" si="11"/>
        <v/>
      </c>
      <c r="M324" s="92">
        <f>IF(I324="","",I324*Parâmetros!$C$8/15)</f>
        <v>11.236000000000001</v>
      </c>
      <c r="N324" s="92">
        <f>IF(K324="","",K324*Parâmetros!$C$8/15)</f>
        <v>0</v>
      </c>
      <c r="O324" s="93">
        <f>IF(M324="","",M324*Parâmetros!$C$5)</f>
        <v>3483.1600000000003</v>
      </c>
      <c r="P324" s="87" t="str">
        <f>IF(L324="","",IF(L324&gt;=Parâmetros!$C$10,"Sim","Não"))</f>
        <v/>
      </c>
    </row>
    <row r="325" spans="1:16" ht="14.25" customHeight="1" x14ac:dyDescent="0.3">
      <c r="A325" s="87">
        <v>323</v>
      </c>
      <c r="B325" s="95" t="s">
        <v>344</v>
      </c>
      <c r="C325" s="95" t="s">
        <v>298</v>
      </c>
      <c r="D325" s="95" t="s">
        <v>422</v>
      </c>
      <c r="E325" s="94" t="s">
        <v>299</v>
      </c>
      <c r="F325" s="96">
        <v>46225</v>
      </c>
      <c r="G325" s="97">
        <v>357</v>
      </c>
      <c r="H325" s="89">
        <f>IF(COUNTIFS(Pesagens!$B$3:$B$5001,$B325)=0,"",_xlfn.MAXIFS(Pesagens!$A$3:$A$5001,Pesagens!$B$3:$B$5001,$B325,Pesagens!$E$3:$E$5001,"&lt;&gt;"))</f>
        <v>46225</v>
      </c>
      <c r="I325" s="97">
        <f>IF($H325="","",IFERROR(AVERAGEIFS(Pesagens!$E$3:$E$5001,Pesagens!$B$3:$B$5001,$B325,Pesagens!$A$3:$A$5001,$H325),""))</f>
        <v>357</v>
      </c>
      <c r="J325" s="94">
        <f>IF(F325="","",Parâmetros!$C$4-F325)</f>
        <v>21</v>
      </c>
      <c r="K325" s="97">
        <f t="shared" si="10"/>
        <v>0</v>
      </c>
      <c r="L325" s="98" t="str">
        <f t="shared" si="11"/>
        <v/>
      </c>
      <c r="M325" s="99">
        <f>IF(I325="","",I325*Parâmetros!$C$8/15)</f>
        <v>12.614000000000001</v>
      </c>
      <c r="N325" s="99">
        <f>IF(K325="","",K325*Parâmetros!$C$8/15)</f>
        <v>0</v>
      </c>
      <c r="O325" s="100">
        <f>IF(M325="","",M325*Parâmetros!$C$5)</f>
        <v>3910.34</v>
      </c>
      <c r="P325" s="94" t="str">
        <f>IF(L325="","",IF(L325&gt;=Parâmetros!$C$10,"Sim","Não"))</f>
        <v/>
      </c>
    </row>
    <row r="326" spans="1:16" ht="14.25" customHeight="1" x14ac:dyDescent="0.3">
      <c r="A326" s="94">
        <v>324</v>
      </c>
      <c r="B326" s="88" t="s">
        <v>345</v>
      </c>
      <c r="C326" s="88" t="s">
        <v>298</v>
      </c>
      <c r="D326" s="88" t="s">
        <v>422</v>
      </c>
      <c r="E326" s="87" t="s">
        <v>299</v>
      </c>
      <c r="F326" s="89">
        <v>46225</v>
      </c>
      <c r="G326" s="90">
        <v>333</v>
      </c>
      <c r="H326" s="89">
        <f>IF(COUNTIFS(Pesagens!$B$3:$B$5001,$B326)=0,"",_xlfn.MAXIFS(Pesagens!$A$3:$A$5001,Pesagens!$B$3:$B$5001,$B326,Pesagens!$E$3:$E$5001,"&lt;&gt;"))</f>
        <v>46225</v>
      </c>
      <c r="I326" s="90">
        <f>IF($H326="","",IFERROR(AVERAGEIFS(Pesagens!$E$3:$E$5001,Pesagens!$B$3:$B$5001,$B326,Pesagens!$A$3:$A$5001,$H326),""))</f>
        <v>333</v>
      </c>
      <c r="J326" s="87">
        <f>IF(F326="","",Parâmetros!$C$4-F326)</f>
        <v>21</v>
      </c>
      <c r="K326" s="90">
        <f t="shared" si="10"/>
        <v>0</v>
      </c>
      <c r="L326" s="91" t="str">
        <f t="shared" si="11"/>
        <v/>
      </c>
      <c r="M326" s="92">
        <f>IF(I326="","",I326*Parâmetros!$C$8/15)</f>
        <v>11.766</v>
      </c>
      <c r="N326" s="92">
        <f>IF(K326="","",K326*Parâmetros!$C$8/15)</f>
        <v>0</v>
      </c>
      <c r="O326" s="93">
        <f>IF(M326="","",M326*Parâmetros!$C$5)</f>
        <v>3647.46</v>
      </c>
      <c r="P326" s="87" t="str">
        <f>IF(L326="","",IF(L326&gt;=Parâmetros!$C$10,"Sim","Não"))</f>
        <v/>
      </c>
    </row>
    <row r="327" spans="1:16" ht="14.25" customHeight="1" x14ac:dyDescent="0.3">
      <c r="A327" s="87">
        <v>325</v>
      </c>
      <c r="B327" s="95" t="s">
        <v>346</v>
      </c>
      <c r="C327" s="95" t="s">
        <v>298</v>
      </c>
      <c r="D327" s="95" t="s">
        <v>422</v>
      </c>
      <c r="E327" s="94" t="s">
        <v>299</v>
      </c>
      <c r="F327" s="96">
        <v>46225</v>
      </c>
      <c r="G327" s="97">
        <v>337</v>
      </c>
      <c r="H327" s="89">
        <f>IF(COUNTIFS(Pesagens!$B$3:$B$5001,$B327)=0,"",_xlfn.MAXIFS(Pesagens!$A$3:$A$5001,Pesagens!$B$3:$B$5001,$B327,Pesagens!$E$3:$E$5001,"&lt;&gt;"))</f>
        <v>46225</v>
      </c>
      <c r="I327" s="97">
        <f>IF($H327="","",IFERROR(AVERAGEIFS(Pesagens!$E$3:$E$5001,Pesagens!$B$3:$B$5001,$B327,Pesagens!$A$3:$A$5001,$H327),""))</f>
        <v>337</v>
      </c>
      <c r="J327" s="94">
        <f>IF(F327="","",Parâmetros!$C$4-F327)</f>
        <v>21</v>
      </c>
      <c r="K327" s="97">
        <f t="shared" si="10"/>
        <v>0</v>
      </c>
      <c r="L327" s="98" t="str">
        <f t="shared" si="11"/>
        <v/>
      </c>
      <c r="M327" s="99">
        <f>IF(I327="","",I327*Parâmetros!$C$8/15)</f>
        <v>11.907333333333334</v>
      </c>
      <c r="N327" s="99">
        <f>IF(K327="","",K327*Parâmetros!$C$8/15)</f>
        <v>0</v>
      </c>
      <c r="O327" s="100">
        <f>IF(M327="","",M327*Parâmetros!$C$5)</f>
        <v>3691.2733333333335</v>
      </c>
      <c r="P327" s="94" t="str">
        <f>IF(L327="","",IF(L327&gt;=Parâmetros!$C$10,"Sim","Não"))</f>
        <v/>
      </c>
    </row>
    <row r="328" spans="1:16" ht="14.25" customHeight="1" x14ac:dyDescent="0.3">
      <c r="A328" s="94">
        <v>326</v>
      </c>
      <c r="B328" s="88" t="s">
        <v>347</v>
      </c>
      <c r="C328" s="88" t="s">
        <v>298</v>
      </c>
      <c r="D328" s="88" t="s">
        <v>422</v>
      </c>
      <c r="E328" s="87" t="s">
        <v>299</v>
      </c>
      <c r="F328" s="89">
        <v>46225</v>
      </c>
      <c r="G328" s="90">
        <v>387</v>
      </c>
      <c r="H328" s="89">
        <f>IF(COUNTIFS(Pesagens!$B$3:$B$5001,$B328)=0,"",_xlfn.MAXIFS(Pesagens!$A$3:$A$5001,Pesagens!$B$3:$B$5001,$B328,Pesagens!$E$3:$E$5001,"&lt;&gt;"))</f>
        <v>46225</v>
      </c>
      <c r="I328" s="90">
        <f>IF($H328="","",IFERROR(AVERAGEIFS(Pesagens!$E$3:$E$5001,Pesagens!$B$3:$B$5001,$B328,Pesagens!$A$3:$A$5001,$H328),""))</f>
        <v>387</v>
      </c>
      <c r="J328" s="87">
        <f>IF(F328="","",Parâmetros!$C$4-F328)</f>
        <v>21</v>
      </c>
      <c r="K328" s="90">
        <f t="shared" si="10"/>
        <v>0</v>
      </c>
      <c r="L328" s="91" t="str">
        <f t="shared" si="11"/>
        <v/>
      </c>
      <c r="M328" s="92">
        <f>IF(I328="","",I328*Parâmetros!$C$8/15)</f>
        <v>13.674000000000001</v>
      </c>
      <c r="N328" s="92">
        <f>IF(K328="","",K328*Parâmetros!$C$8/15)</f>
        <v>0</v>
      </c>
      <c r="O328" s="93">
        <f>IF(M328="","",M328*Parâmetros!$C$5)</f>
        <v>4238.9400000000005</v>
      </c>
      <c r="P328" s="87" t="str">
        <f>IF(L328="","",IF(L328&gt;=Parâmetros!$C$10,"Sim","Não"))</f>
        <v/>
      </c>
    </row>
    <row r="329" spans="1:16" ht="14.25" customHeight="1" x14ac:dyDescent="0.3">
      <c r="A329" s="87">
        <v>327</v>
      </c>
      <c r="B329" s="95" t="s">
        <v>348</v>
      </c>
      <c r="C329" s="95" t="s">
        <v>298</v>
      </c>
      <c r="D329" s="95" t="s">
        <v>422</v>
      </c>
      <c r="E329" s="94" t="s">
        <v>299</v>
      </c>
      <c r="F329" s="96">
        <v>46225</v>
      </c>
      <c r="G329" s="97">
        <v>361</v>
      </c>
      <c r="H329" s="89">
        <f>IF(COUNTIFS(Pesagens!$B$3:$B$5001,$B329)=0,"",_xlfn.MAXIFS(Pesagens!$A$3:$A$5001,Pesagens!$B$3:$B$5001,$B329,Pesagens!$E$3:$E$5001,"&lt;&gt;"))</f>
        <v>46225</v>
      </c>
      <c r="I329" s="97">
        <f>IF($H329="","",IFERROR(AVERAGEIFS(Pesagens!$E$3:$E$5001,Pesagens!$B$3:$B$5001,$B329,Pesagens!$A$3:$A$5001,$H329),""))</f>
        <v>361</v>
      </c>
      <c r="J329" s="94">
        <f>IF(F329="","",Parâmetros!$C$4-F329)</f>
        <v>21</v>
      </c>
      <c r="K329" s="97">
        <f t="shared" si="10"/>
        <v>0</v>
      </c>
      <c r="L329" s="98" t="str">
        <f t="shared" si="11"/>
        <v/>
      </c>
      <c r="M329" s="99">
        <f>IF(I329="","",I329*Parâmetros!$C$8/15)</f>
        <v>12.755333333333335</v>
      </c>
      <c r="N329" s="99">
        <f>IF(K329="","",K329*Parâmetros!$C$8/15)</f>
        <v>0</v>
      </c>
      <c r="O329" s="100">
        <f>IF(M329="","",M329*Parâmetros!$C$5)</f>
        <v>3954.1533333333336</v>
      </c>
      <c r="P329" s="94" t="str">
        <f>IF(L329="","",IF(L329&gt;=Parâmetros!$C$10,"Sim","Não"))</f>
        <v/>
      </c>
    </row>
    <row r="330" spans="1:16" ht="14.25" customHeight="1" x14ac:dyDescent="0.3">
      <c r="A330" s="94">
        <v>328</v>
      </c>
      <c r="B330" s="88" t="s">
        <v>349</v>
      </c>
      <c r="C330" s="88" t="s">
        <v>298</v>
      </c>
      <c r="D330" s="88" t="s">
        <v>422</v>
      </c>
      <c r="E330" s="87" t="s">
        <v>299</v>
      </c>
      <c r="F330" s="89">
        <v>46225</v>
      </c>
      <c r="G330" s="90">
        <v>321</v>
      </c>
      <c r="H330" s="89">
        <f>IF(COUNTIFS(Pesagens!$B$3:$B$5001,$B330)=0,"",_xlfn.MAXIFS(Pesagens!$A$3:$A$5001,Pesagens!$B$3:$B$5001,$B330,Pesagens!$E$3:$E$5001,"&lt;&gt;"))</f>
        <v>46225</v>
      </c>
      <c r="I330" s="90">
        <f>IF($H330="","",IFERROR(AVERAGEIFS(Pesagens!$E$3:$E$5001,Pesagens!$B$3:$B$5001,$B330,Pesagens!$A$3:$A$5001,$H330),""))</f>
        <v>321</v>
      </c>
      <c r="J330" s="87">
        <f>IF(F330="","",Parâmetros!$C$4-F330)</f>
        <v>21</v>
      </c>
      <c r="K330" s="90">
        <f t="shared" si="10"/>
        <v>0</v>
      </c>
      <c r="L330" s="91" t="str">
        <f t="shared" si="11"/>
        <v/>
      </c>
      <c r="M330" s="92">
        <f>IF(I330="","",I330*Parâmetros!$C$8/15)</f>
        <v>11.342000000000001</v>
      </c>
      <c r="N330" s="92">
        <f>IF(K330="","",K330*Parâmetros!$C$8/15)</f>
        <v>0</v>
      </c>
      <c r="O330" s="93">
        <f>IF(M330="","",M330*Parâmetros!$C$5)</f>
        <v>3516.02</v>
      </c>
      <c r="P330" s="87" t="str">
        <f>IF(L330="","",IF(L330&gt;=Parâmetros!$C$10,"Sim","Não"))</f>
        <v/>
      </c>
    </row>
    <row r="331" spans="1:16" ht="14.25" customHeight="1" x14ac:dyDescent="0.3">
      <c r="A331" s="87">
        <v>329</v>
      </c>
      <c r="B331" s="95" t="s">
        <v>350</v>
      </c>
      <c r="C331" s="95" t="s">
        <v>298</v>
      </c>
      <c r="D331" s="95" t="s">
        <v>422</v>
      </c>
      <c r="E331" s="94" t="s">
        <v>299</v>
      </c>
      <c r="F331" s="96">
        <v>46225</v>
      </c>
      <c r="G331" s="97">
        <v>310</v>
      </c>
      <c r="H331" s="89">
        <f>IF(COUNTIFS(Pesagens!$B$3:$B$5001,$B331)=0,"",_xlfn.MAXIFS(Pesagens!$A$3:$A$5001,Pesagens!$B$3:$B$5001,$B331,Pesagens!$E$3:$E$5001,"&lt;&gt;"))</f>
        <v>46225</v>
      </c>
      <c r="I331" s="97">
        <f>IF($H331="","",IFERROR(AVERAGEIFS(Pesagens!$E$3:$E$5001,Pesagens!$B$3:$B$5001,$B331,Pesagens!$A$3:$A$5001,$H331),""))</f>
        <v>310</v>
      </c>
      <c r="J331" s="94">
        <f>IF(F331="","",Parâmetros!$C$4-F331)</f>
        <v>21</v>
      </c>
      <c r="K331" s="97">
        <f t="shared" si="10"/>
        <v>0</v>
      </c>
      <c r="L331" s="98" t="str">
        <f t="shared" si="11"/>
        <v/>
      </c>
      <c r="M331" s="99">
        <f>IF(I331="","",I331*Parâmetros!$C$8/15)</f>
        <v>10.953333333333335</v>
      </c>
      <c r="N331" s="99">
        <f>IF(K331="","",K331*Parâmetros!$C$8/15)</f>
        <v>0</v>
      </c>
      <c r="O331" s="100">
        <f>IF(M331="","",M331*Parâmetros!$C$5)</f>
        <v>3395.5333333333338</v>
      </c>
      <c r="P331" s="94" t="str">
        <f>IF(L331="","",IF(L331&gt;=Parâmetros!$C$10,"Sim","Não"))</f>
        <v/>
      </c>
    </row>
    <row r="332" spans="1:16" ht="14.25" customHeight="1" x14ac:dyDescent="0.3">
      <c r="A332" s="94">
        <v>330</v>
      </c>
      <c r="B332" s="88" t="s">
        <v>351</v>
      </c>
      <c r="C332" s="88" t="s">
        <v>298</v>
      </c>
      <c r="D332" s="88" t="s">
        <v>422</v>
      </c>
      <c r="E332" s="87" t="s">
        <v>299</v>
      </c>
      <c r="F332" s="89">
        <v>46225</v>
      </c>
      <c r="G332" s="90">
        <v>356</v>
      </c>
      <c r="H332" s="89">
        <f>IF(COUNTIFS(Pesagens!$B$3:$B$5001,$B332)=0,"",_xlfn.MAXIFS(Pesagens!$A$3:$A$5001,Pesagens!$B$3:$B$5001,$B332,Pesagens!$E$3:$E$5001,"&lt;&gt;"))</f>
        <v>46225</v>
      </c>
      <c r="I332" s="90">
        <f>IF($H332="","",IFERROR(AVERAGEIFS(Pesagens!$E$3:$E$5001,Pesagens!$B$3:$B$5001,$B332,Pesagens!$A$3:$A$5001,$H332),""))</f>
        <v>356</v>
      </c>
      <c r="J332" s="87">
        <f>IF(F332="","",Parâmetros!$C$4-F332)</f>
        <v>21</v>
      </c>
      <c r="K332" s="90">
        <f t="shared" si="10"/>
        <v>0</v>
      </c>
      <c r="L332" s="91" t="str">
        <f t="shared" si="11"/>
        <v/>
      </c>
      <c r="M332" s="92">
        <f>IF(I332="","",I332*Parâmetros!$C$8/15)</f>
        <v>12.578666666666667</v>
      </c>
      <c r="N332" s="92">
        <f>IF(K332="","",K332*Parâmetros!$C$8/15)</f>
        <v>0</v>
      </c>
      <c r="O332" s="93">
        <f>IF(M332="","",M332*Parâmetros!$C$5)</f>
        <v>3899.3866666666668</v>
      </c>
      <c r="P332" s="87" t="str">
        <f>IF(L332="","",IF(L332&gt;=Parâmetros!$C$10,"Sim","Não"))</f>
        <v/>
      </c>
    </row>
    <row r="333" spans="1:16" ht="14.25" customHeight="1" x14ac:dyDescent="0.3">
      <c r="A333" s="87">
        <v>331</v>
      </c>
      <c r="B333" s="95" t="s">
        <v>352</v>
      </c>
      <c r="C333" s="95" t="s">
        <v>298</v>
      </c>
      <c r="D333" s="95" t="s">
        <v>422</v>
      </c>
      <c r="E333" s="94" t="s">
        <v>299</v>
      </c>
      <c r="F333" s="96">
        <v>46225</v>
      </c>
      <c r="G333" s="97">
        <v>314</v>
      </c>
      <c r="H333" s="89">
        <f>IF(COUNTIFS(Pesagens!$B$3:$B$5001,$B333)=0,"",_xlfn.MAXIFS(Pesagens!$A$3:$A$5001,Pesagens!$B$3:$B$5001,$B333,Pesagens!$E$3:$E$5001,"&lt;&gt;"))</f>
        <v>46225</v>
      </c>
      <c r="I333" s="97">
        <f>IF($H333="","",IFERROR(AVERAGEIFS(Pesagens!$E$3:$E$5001,Pesagens!$B$3:$B$5001,$B333,Pesagens!$A$3:$A$5001,$H333),""))</f>
        <v>314</v>
      </c>
      <c r="J333" s="94">
        <f>IF(F333="","",Parâmetros!$C$4-F333)</f>
        <v>21</v>
      </c>
      <c r="K333" s="97">
        <f t="shared" si="10"/>
        <v>0</v>
      </c>
      <c r="L333" s="98" t="str">
        <f t="shared" si="11"/>
        <v/>
      </c>
      <c r="M333" s="99">
        <f>IF(I333="","",I333*Parâmetros!$C$8/15)</f>
        <v>11.094666666666667</v>
      </c>
      <c r="N333" s="99">
        <f>IF(K333="","",K333*Parâmetros!$C$8/15)</f>
        <v>0</v>
      </c>
      <c r="O333" s="100">
        <f>IF(M333="","",M333*Parâmetros!$C$5)</f>
        <v>3439.3466666666668</v>
      </c>
      <c r="P333" s="94" t="str">
        <f>IF(L333="","",IF(L333&gt;=Parâmetros!$C$10,"Sim","Não"))</f>
        <v/>
      </c>
    </row>
    <row r="334" spans="1:16" ht="14.25" customHeight="1" x14ac:dyDescent="0.3">
      <c r="A334" s="94">
        <v>332</v>
      </c>
      <c r="B334" s="88" t="s">
        <v>353</v>
      </c>
      <c r="C334" s="88" t="s">
        <v>298</v>
      </c>
      <c r="D334" s="88" t="s">
        <v>422</v>
      </c>
      <c r="E334" s="87" t="s">
        <v>299</v>
      </c>
      <c r="F334" s="89">
        <v>46225</v>
      </c>
      <c r="G334" s="90">
        <v>355</v>
      </c>
      <c r="H334" s="89">
        <f>IF(COUNTIFS(Pesagens!$B$3:$B$5001,$B334)=0,"",_xlfn.MAXIFS(Pesagens!$A$3:$A$5001,Pesagens!$B$3:$B$5001,$B334,Pesagens!$E$3:$E$5001,"&lt;&gt;"))</f>
        <v>46225</v>
      </c>
      <c r="I334" s="90">
        <f>IF($H334="","",IFERROR(AVERAGEIFS(Pesagens!$E$3:$E$5001,Pesagens!$B$3:$B$5001,$B334,Pesagens!$A$3:$A$5001,$H334),""))</f>
        <v>355</v>
      </c>
      <c r="J334" s="87">
        <f>IF(F334="","",Parâmetros!$C$4-F334)</f>
        <v>21</v>
      </c>
      <c r="K334" s="90">
        <f t="shared" si="10"/>
        <v>0</v>
      </c>
      <c r="L334" s="91" t="str">
        <f t="shared" si="11"/>
        <v/>
      </c>
      <c r="M334" s="92">
        <f>IF(I334="","",I334*Parâmetros!$C$8/15)</f>
        <v>12.543333333333333</v>
      </c>
      <c r="N334" s="92">
        <f>IF(K334="","",K334*Parâmetros!$C$8/15)</f>
        <v>0</v>
      </c>
      <c r="O334" s="93">
        <f>IF(M334="","",M334*Parâmetros!$C$5)</f>
        <v>3888.4333333333334</v>
      </c>
      <c r="P334" s="87" t="str">
        <f>IF(L334="","",IF(L334&gt;=Parâmetros!$C$10,"Sim","Não"))</f>
        <v/>
      </c>
    </row>
    <row r="335" spans="1:16" ht="14.25" customHeight="1" x14ac:dyDescent="0.3">
      <c r="A335" s="87">
        <v>333</v>
      </c>
      <c r="B335" s="95" t="s">
        <v>354</v>
      </c>
      <c r="C335" s="95" t="s">
        <v>298</v>
      </c>
      <c r="D335" s="95" t="s">
        <v>422</v>
      </c>
      <c r="E335" s="94" t="s">
        <v>299</v>
      </c>
      <c r="F335" s="96">
        <v>46225</v>
      </c>
      <c r="G335" s="97">
        <v>309</v>
      </c>
      <c r="H335" s="89">
        <f>IF(COUNTIFS(Pesagens!$B$3:$B$5001,$B335)=0,"",_xlfn.MAXIFS(Pesagens!$A$3:$A$5001,Pesagens!$B$3:$B$5001,$B335,Pesagens!$E$3:$E$5001,"&lt;&gt;"))</f>
        <v>46225</v>
      </c>
      <c r="I335" s="97">
        <f>IF($H335="","",IFERROR(AVERAGEIFS(Pesagens!$E$3:$E$5001,Pesagens!$B$3:$B$5001,$B335,Pesagens!$A$3:$A$5001,$H335),""))</f>
        <v>309</v>
      </c>
      <c r="J335" s="94">
        <f>IF(F335="","",Parâmetros!$C$4-F335)</f>
        <v>21</v>
      </c>
      <c r="K335" s="97">
        <f t="shared" si="10"/>
        <v>0</v>
      </c>
      <c r="L335" s="98" t="str">
        <f t="shared" si="11"/>
        <v/>
      </c>
      <c r="M335" s="99">
        <f>IF(I335="","",I335*Parâmetros!$C$8/15)</f>
        <v>10.918000000000001</v>
      </c>
      <c r="N335" s="99">
        <f>IF(K335="","",K335*Parâmetros!$C$8/15)</f>
        <v>0</v>
      </c>
      <c r="O335" s="100">
        <f>IF(M335="","",M335*Parâmetros!$C$5)</f>
        <v>3384.5800000000004</v>
      </c>
      <c r="P335" s="94" t="str">
        <f>IF(L335="","",IF(L335&gt;=Parâmetros!$C$10,"Sim","Não"))</f>
        <v/>
      </c>
    </row>
    <row r="336" spans="1:16" ht="14.25" customHeight="1" x14ac:dyDescent="0.3">
      <c r="A336" s="94">
        <v>334</v>
      </c>
      <c r="B336" s="88" t="s">
        <v>355</v>
      </c>
      <c r="C336" s="88" t="s">
        <v>298</v>
      </c>
      <c r="D336" s="88" t="s">
        <v>422</v>
      </c>
      <c r="E336" s="87" t="s">
        <v>299</v>
      </c>
      <c r="F336" s="89">
        <v>46225</v>
      </c>
      <c r="G336" s="90">
        <v>315</v>
      </c>
      <c r="H336" s="89">
        <f>IF(COUNTIFS(Pesagens!$B$3:$B$5001,$B336)=0,"",_xlfn.MAXIFS(Pesagens!$A$3:$A$5001,Pesagens!$B$3:$B$5001,$B336,Pesagens!$E$3:$E$5001,"&lt;&gt;"))</f>
        <v>46225</v>
      </c>
      <c r="I336" s="90">
        <f>IF($H336="","",IFERROR(AVERAGEIFS(Pesagens!$E$3:$E$5001,Pesagens!$B$3:$B$5001,$B336,Pesagens!$A$3:$A$5001,$H336),""))</f>
        <v>315</v>
      </c>
      <c r="J336" s="87">
        <f>IF(F336="","",Parâmetros!$C$4-F336)</f>
        <v>21</v>
      </c>
      <c r="K336" s="90">
        <f t="shared" si="10"/>
        <v>0</v>
      </c>
      <c r="L336" s="91" t="str">
        <f t="shared" si="11"/>
        <v/>
      </c>
      <c r="M336" s="92">
        <f>IF(I336="","",I336*Parâmetros!$C$8/15)</f>
        <v>11.13</v>
      </c>
      <c r="N336" s="92">
        <f>IF(K336="","",K336*Parâmetros!$C$8/15)</f>
        <v>0</v>
      </c>
      <c r="O336" s="93">
        <f>IF(M336="","",M336*Parâmetros!$C$5)</f>
        <v>3450.3</v>
      </c>
      <c r="P336" s="87" t="str">
        <f>IF(L336="","",IF(L336&gt;=Parâmetros!$C$10,"Sim","Não"))</f>
        <v/>
      </c>
    </row>
    <row r="337" spans="1:16" ht="14.25" customHeight="1" x14ac:dyDescent="0.3">
      <c r="A337" s="87">
        <v>335</v>
      </c>
      <c r="B337" s="95" t="s">
        <v>356</v>
      </c>
      <c r="C337" s="95" t="s">
        <v>298</v>
      </c>
      <c r="D337" s="95" t="s">
        <v>422</v>
      </c>
      <c r="E337" s="94" t="s">
        <v>299</v>
      </c>
      <c r="F337" s="96">
        <v>46225</v>
      </c>
      <c r="G337" s="97">
        <v>340</v>
      </c>
      <c r="H337" s="89">
        <f>IF(COUNTIFS(Pesagens!$B$3:$B$5001,$B337)=0,"",_xlfn.MAXIFS(Pesagens!$A$3:$A$5001,Pesagens!$B$3:$B$5001,$B337,Pesagens!$E$3:$E$5001,"&lt;&gt;"))</f>
        <v>46225</v>
      </c>
      <c r="I337" s="97">
        <f>IF($H337="","",IFERROR(AVERAGEIFS(Pesagens!$E$3:$E$5001,Pesagens!$B$3:$B$5001,$B337,Pesagens!$A$3:$A$5001,$H337),""))</f>
        <v>340</v>
      </c>
      <c r="J337" s="94">
        <f>IF(F337="","",Parâmetros!$C$4-F337)</f>
        <v>21</v>
      </c>
      <c r="K337" s="97">
        <f t="shared" si="10"/>
        <v>0</v>
      </c>
      <c r="L337" s="98" t="str">
        <f t="shared" si="11"/>
        <v/>
      </c>
      <c r="M337" s="99">
        <f>IF(I337="","",I337*Parâmetros!$C$8/15)</f>
        <v>12.013333333333334</v>
      </c>
      <c r="N337" s="99">
        <f>IF(K337="","",K337*Parâmetros!$C$8/15)</f>
        <v>0</v>
      </c>
      <c r="O337" s="100">
        <f>IF(M337="","",M337*Parâmetros!$C$5)</f>
        <v>3724.1333333333332</v>
      </c>
      <c r="P337" s="94" t="str">
        <f>IF(L337="","",IF(L337&gt;=Parâmetros!$C$10,"Sim","Não"))</f>
        <v/>
      </c>
    </row>
    <row r="338" spans="1:16" ht="14.25" customHeight="1" x14ac:dyDescent="0.3">
      <c r="A338" s="94">
        <v>336</v>
      </c>
      <c r="B338" s="88" t="s">
        <v>357</v>
      </c>
      <c r="C338" s="88" t="s">
        <v>298</v>
      </c>
      <c r="D338" s="88" t="s">
        <v>422</v>
      </c>
      <c r="E338" s="87" t="s">
        <v>299</v>
      </c>
      <c r="F338" s="89">
        <v>46225</v>
      </c>
      <c r="G338" s="90">
        <v>351</v>
      </c>
      <c r="H338" s="89">
        <f>IF(COUNTIFS(Pesagens!$B$3:$B$5001,$B338)=0,"",_xlfn.MAXIFS(Pesagens!$A$3:$A$5001,Pesagens!$B$3:$B$5001,$B338,Pesagens!$E$3:$E$5001,"&lt;&gt;"))</f>
        <v>46225</v>
      </c>
      <c r="I338" s="90">
        <f>IF($H338="","",IFERROR(AVERAGEIFS(Pesagens!$E$3:$E$5001,Pesagens!$B$3:$B$5001,$B338,Pesagens!$A$3:$A$5001,$H338),""))</f>
        <v>351</v>
      </c>
      <c r="J338" s="87">
        <f>IF(F338="","",Parâmetros!$C$4-F338)</f>
        <v>21</v>
      </c>
      <c r="K338" s="90">
        <f t="shared" si="10"/>
        <v>0</v>
      </c>
      <c r="L338" s="91" t="str">
        <f t="shared" si="11"/>
        <v/>
      </c>
      <c r="M338" s="92">
        <f>IF(I338="","",I338*Parâmetros!$C$8/15)</f>
        <v>12.401999999999999</v>
      </c>
      <c r="N338" s="92">
        <f>IF(K338="","",K338*Parâmetros!$C$8/15)</f>
        <v>0</v>
      </c>
      <c r="O338" s="93">
        <f>IF(M338="","",M338*Parâmetros!$C$5)</f>
        <v>3844.62</v>
      </c>
      <c r="P338" s="87" t="str">
        <f>IF(L338="","",IF(L338&gt;=Parâmetros!$C$10,"Sim","Não"))</f>
        <v/>
      </c>
    </row>
    <row r="339" spans="1:16" ht="14.25" customHeight="1" x14ac:dyDescent="0.3">
      <c r="A339" s="87">
        <v>337</v>
      </c>
      <c r="B339" s="95" t="s">
        <v>358</v>
      </c>
      <c r="C339" s="95" t="s">
        <v>298</v>
      </c>
      <c r="D339" s="95" t="s">
        <v>422</v>
      </c>
      <c r="E339" s="94" t="s">
        <v>299</v>
      </c>
      <c r="F339" s="96">
        <v>46225</v>
      </c>
      <c r="G339" s="97">
        <v>332</v>
      </c>
      <c r="H339" s="89">
        <f>IF(COUNTIFS(Pesagens!$B$3:$B$5001,$B339)=0,"",_xlfn.MAXIFS(Pesagens!$A$3:$A$5001,Pesagens!$B$3:$B$5001,$B339,Pesagens!$E$3:$E$5001,"&lt;&gt;"))</f>
        <v>46225</v>
      </c>
      <c r="I339" s="97">
        <f>IF($H339="","",IFERROR(AVERAGEIFS(Pesagens!$E$3:$E$5001,Pesagens!$B$3:$B$5001,$B339,Pesagens!$A$3:$A$5001,$H339),""))</f>
        <v>332</v>
      </c>
      <c r="J339" s="94">
        <f>IF(F339="","",Parâmetros!$C$4-F339)</f>
        <v>21</v>
      </c>
      <c r="K339" s="97">
        <f t="shared" si="10"/>
        <v>0</v>
      </c>
      <c r="L339" s="98" t="str">
        <f t="shared" si="11"/>
        <v/>
      </c>
      <c r="M339" s="99">
        <f>IF(I339="","",I339*Parâmetros!$C$8/15)</f>
        <v>11.730666666666668</v>
      </c>
      <c r="N339" s="99">
        <f>IF(K339="","",K339*Parâmetros!$C$8/15)</f>
        <v>0</v>
      </c>
      <c r="O339" s="100">
        <f>IF(M339="","",M339*Parâmetros!$C$5)</f>
        <v>3636.5066666666671</v>
      </c>
      <c r="P339" s="94" t="str">
        <f>IF(L339="","",IF(L339&gt;=Parâmetros!$C$10,"Sim","Não"))</f>
        <v/>
      </c>
    </row>
    <row r="340" spans="1:16" ht="14.25" customHeight="1" x14ac:dyDescent="0.3">
      <c r="A340" s="94">
        <v>338</v>
      </c>
      <c r="B340" s="88" t="s">
        <v>359</v>
      </c>
      <c r="C340" s="88" t="s">
        <v>298</v>
      </c>
      <c r="D340" s="88" t="s">
        <v>422</v>
      </c>
      <c r="E340" s="87" t="s">
        <v>299</v>
      </c>
      <c r="F340" s="89">
        <v>46225</v>
      </c>
      <c r="G340" s="90">
        <v>358</v>
      </c>
      <c r="H340" s="89">
        <f>IF(COUNTIFS(Pesagens!$B$3:$B$5001,$B340)=0,"",_xlfn.MAXIFS(Pesagens!$A$3:$A$5001,Pesagens!$B$3:$B$5001,$B340,Pesagens!$E$3:$E$5001,"&lt;&gt;"))</f>
        <v>46225</v>
      </c>
      <c r="I340" s="90">
        <f>IF($H340="","",IFERROR(AVERAGEIFS(Pesagens!$E$3:$E$5001,Pesagens!$B$3:$B$5001,$B340,Pesagens!$A$3:$A$5001,$H340),""))</f>
        <v>358</v>
      </c>
      <c r="J340" s="87">
        <f>IF(F340="","",Parâmetros!$C$4-F340)</f>
        <v>21</v>
      </c>
      <c r="K340" s="90">
        <f t="shared" si="10"/>
        <v>0</v>
      </c>
      <c r="L340" s="91" t="str">
        <f t="shared" si="11"/>
        <v/>
      </c>
      <c r="M340" s="92">
        <f>IF(I340="","",I340*Parâmetros!$C$8/15)</f>
        <v>12.649333333333335</v>
      </c>
      <c r="N340" s="92">
        <f>IF(K340="","",K340*Parâmetros!$C$8/15)</f>
        <v>0</v>
      </c>
      <c r="O340" s="93">
        <f>IF(M340="","",M340*Parâmetros!$C$5)</f>
        <v>3921.2933333333335</v>
      </c>
      <c r="P340" s="87" t="str">
        <f>IF(L340="","",IF(L340&gt;=Parâmetros!$C$10,"Sim","Não"))</f>
        <v/>
      </c>
    </row>
    <row r="341" spans="1:16" ht="14.25" customHeight="1" x14ac:dyDescent="0.3">
      <c r="A341" s="87">
        <v>339</v>
      </c>
      <c r="B341" s="95" t="s">
        <v>360</v>
      </c>
      <c r="C341" s="95" t="s">
        <v>298</v>
      </c>
      <c r="D341" s="95" t="s">
        <v>422</v>
      </c>
      <c r="E341" s="94" t="s">
        <v>299</v>
      </c>
      <c r="F341" s="96">
        <v>46225</v>
      </c>
      <c r="G341" s="97">
        <v>373</v>
      </c>
      <c r="H341" s="89">
        <f>IF(COUNTIFS(Pesagens!$B$3:$B$5001,$B341)=0,"",_xlfn.MAXIFS(Pesagens!$A$3:$A$5001,Pesagens!$B$3:$B$5001,$B341,Pesagens!$E$3:$E$5001,"&lt;&gt;"))</f>
        <v>46225</v>
      </c>
      <c r="I341" s="97">
        <f>IF($H341="","",IFERROR(AVERAGEIFS(Pesagens!$E$3:$E$5001,Pesagens!$B$3:$B$5001,$B341,Pesagens!$A$3:$A$5001,$H341),""))</f>
        <v>373</v>
      </c>
      <c r="J341" s="94">
        <f>IF(F341="","",Parâmetros!$C$4-F341)</f>
        <v>21</v>
      </c>
      <c r="K341" s="97">
        <f t="shared" si="10"/>
        <v>0</v>
      </c>
      <c r="L341" s="98" t="str">
        <f t="shared" si="11"/>
        <v/>
      </c>
      <c r="M341" s="99">
        <f>IF(I341="","",I341*Parâmetros!$C$8/15)</f>
        <v>13.179333333333334</v>
      </c>
      <c r="N341" s="99">
        <f>IF(K341="","",K341*Parâmetros!$C$8/15)</f>
        <v>0</v>
      </c>
      <c r="O341" s="100">
        <f>IF(M341="","",M341*Parâmetros!$C$5)</f>
        <v>4085.5933333333337</v>
      </c>
      <c r="P341" s="94" t="str">
        <f>IF(L341="","",IF(L341&gt;=Parâmetros!$C$10,"Sim","Não"))</f>
        <v/>
      </c>
    </row>
    <row r="342" spans="1:16" ht="14.25" customHeight="1" x14ac:dyDescent="0.3">
      <c r="A342" s="94">
        <v>340</v>
      </c>
      <c r="B342" s="88" t="s">
        <v>361</v>
      </c>
      <c r="C342" s="88" t="s">
        <v>298</v>
      </c>
      <c r="D342" s="88" t="s">
        <v>422</v>
      </c>
      <c r="E342" s="87" t="s">
        <v>299</v>
      </c>
      <c r="F342" s="89">
        <v>46225</v>
      </c>
      <c r="G342" s="90">
        <v>331</v>
      </c>
      <c r="H342" s="89">
        <f>IF(COUNTIFS(Pesagens!$B$3:$B$5001,$B342)=0,"",_xlfn.MAXIFS(Pesagens!$A$3:$A$5001,Pesagens!$B$3:$B$5001,$B342,Pesagens!$E$3:$E$5001,"&lt;&gt;"))</f>
        <v>46225</v>
      </c>
      <c r="I342" s="90">
        <f>IF($H342="","",IFERROR(AVERAGEIFS(Pesagens!$E$3:$E$5001,Pesagens!$B$3:$B$5001,$B342,Pesagens!$A$3:$A$5001,$H342),""))</f>
        <v>331</v>
      </c>
      <c r="J342" s="87">
        <f>IF(F342="","",Parâmetros!$C$4-F342)</f>
        <v>21</v>
      </c>
      <c r="K342" s="90">
        <f t="shared" si="10"/>
        <v>0</v>
      </c>
      <c r="L342" s="91" t="str">
        <f t="shared" si="11"/>
        <v/>
      </c>
      <c r="M342" s="92">
        <f>IF(I342="","",I342*Parâmetros!$C$8/15)</f>
        <v>11.695333333333334</v>
      </c>
      <c r="N342" s="92">
        <f>IF(K342="","",K342*Parâmetros!$C$8/15)</f>
        <v>0</v>
      </c>
      <c r="O342" s="93">
        <f>IF(M342="","",M342*Parâmetros!$C$5)</f>
        <v>3625.5533333333337</v>
      </c>
      <c r="P342" s="87" t="str">
        <f>IF(L342="","",IF(L342&gt;=Parâmetros!$C$10,"Sim","Não"))</f>
        <v/>
      </c>
    </row>
    <row r="343" spans="1:16" ht="14.25" customHeight="1" x14ac:dyDescent="0.3">
      <c r="A343" s="87">
        <v>341</v>
      </c>
      <c r="B343" s="95" t="s">
        <v>362</v>
      </c>
      <c r="C343" s="95" t="s">
        <v>298</v>
      </c>
      <c r="D343" s="95" t="s">
        <v>422</v>
      </c>
      <c r="E343" s="94" t="s">
        <v>299</v>
      </c>
      <c r="F343" s="96">
        <v>46225</v>
      </c>
      <c r="G343" s="97">
        <v>332</v>
      </c>
      <c r="H343" s="89">
        <f>IF(COUNTIFS(Pesagens!$B$3:$B$5001,$B343)=0,"",_xlfn.MAXIFS(Pesagens!$A$3:$A$5001,Pesagens!$B$3:$B$5001,$B343,Pesagens!$E$3:$E$5001,"&lt;&gt;"))</f>
        <v>46225</v>
      </c>
      <c r="I343" s="97">
        <f>IF($H343="","",IFERROR(AVERAGEIFS(Pesagens!$E$3:$E$5001,Pesagens!$B$3:$B$5001,$B343,Pesagens!$A$3:$A$5001,$H343),""))</f>
        <v>332</v>
      </c>
      <c r="J343" s="94">
        <f>IF(F343="","",Parâmetros!$C$4-F343)</f>
        <v>21</v>
      </c>
      <c r="K343" s="97">
        <f t="shared" si="10"/>
        <v>0</v>
      </c>
      <c r="L343" s="98" t="str">
        <f t="shared" si="11"/>
        <v/>
      </c>
      <c r="M343" s="99">
        <f>IF(I343="","",I343*Parâmetros!$C$8/15)</f>
        <v>11.730666666666668</v>
      </c>
      <c r="N343" s="99">
        <f>IF(K343="","",K343*Parâmetros!$C$8/15)</f>
        <v>0</v>
      </c>
      <c r="O343" s="100">
        <f>IF(M343="","",M343*Parâmetros!$C$5)</f>
        <v>3636.5066666666671</v>
      </c>
      <c r="P343" s="94" t="str">
        <f>IF(L343="","",IF(L343&gt;=Parâmetros!$C$10,"Sim","Não"))</f>
        <v/>
      </c>
    </row>
    <row r="344" spans="1:16" ht="14.25" customHeight="1" x14ac:dyDescent="0.3">
      <c r="A344" s="94">
        <v>342</v>
      </c>
      <c r="B344" s="88" t="s">
        <v>363</v>
      </c>
      <c r="C344" s="88" t="s">
        <v>298</v>
      </c>
      <c r="D344" s="88" t="s">
        <v>422</v>
      </c>
      <c r="E344" s="87" t="s">
        <v>299</v>
      </c>
      <c r="F344" s="89">
        <v>46225</v>
      </c>
      <c r="G344" s="90">
        <v>339</v>
      </c>
      <c r="H344" s="89">
        <f>IF(COUNTIFS(Pesagens!$B$3:$B$5001,$B344)=0,"",_xlfn.MAXIFS(Pesagens!$A$3:$A$5001,Pesagens!$B$3:$B$5001,$B344,Pesagens!$E$3:$E$5001,"&lt;&gt;"))</f>
        <v>46225</v>
      </c>
      <c r="I344" s="90">
        <f>IF($H344="","",IFERROR(AVERAGEIFS(Pesagens!$E$3:$E$5001,Pesagens!$B$3:$B$5001,$B344,Pesagens!$A$3:$A$5001,$H344),""))</f>
        <v>339</v>
      </c>
      <c r="J344" s="87">
        <f>IF(F344="","",Parâmetros!$C$4-F344)</f>
        <v>21</v>
      </c>
      <c r="K344" s="90">
        <f t="shared" si="10"/>
        <v>0</v>
      </c>
      <c r="L344" s="91" t="str">
        <f t="shared" si="11"/>
        <v/>
      </c>
      <c r="M344" s="92">
        <f>IF(I344="","",I344*Parâmetros!$C$8/15)</f>
        <v>11.978000000000002</v>
      </c>
      <c r="N344" s="92">
        <f>IF(K344="","",K344*Parâmetros!$C$8/15)</f>
        <v>0</v>
      </c>
      <c r="O344" s="93">
        <f>IF(M344="","",M344*Parâmetros!$C$5)</f>
        <v>3713.1800000000003</v>
      </c>
      <c r="P344" s="87" t="str">
        <f>IF(L344="","",IF(L344&gt;=Parâmetros!$C$10,"Sim","Não"))</f>
        <v/>
      </c>
    </row>
    <row r="345" spans="1:16" ht="14.25" customHeight="1" x14ac:dyDescent="0.3">
      <c r="A345" s="87">
        <v>343</v>
      </c>
      <c r="B345" s="95" t="s">
        <v>364</v>
      </c>
      <c r="C345" s="95" t="s">
        <v>298</v>
      </c>
      <c r="D345" s="95" t="s">
        <v>422</v>
      </c>
      <c r="E345" s="94" t="s">
        <v>299</v>
      </c>
      <c r="F345" s="96">
        <v>46225</v>
      </c>
      <c r="G345" s="97">
        <v>351</v>
      </c>
      <c r="H345" s="89">
        <f>IF(COUNTIFS(Pesagens!$B$3:$B$5001,$B345)=0,"",_xlfn.MAXIFS(Pesagens!$A$3:$A$5001,Pesagens!$B$3:$B$5001,$B345,Pesagens!$E$3:$E$5001,"&lt;&gt;"))</f>
        <v>46225</v>
      </c>
      <c r="I345" s="97">
        <f>IF($H345="","",IFERROR(AVERAGEIFS(Pesagens!$E$3:$E$5001,Pesagens!$B$3:$B$5001,$B345,Pesagens!$A$3:$A$5001,$H345),""))</f>
        <v>351</v>
      </c>
      <c r="J345" s="94">
        <f>IF(F345="","",Parâmetros!$C$4-F345)</f>
        <v>21</v>
      </c>
      <c r="K345" s="97">
        <f t="shared" si="10"/>
        <v>0</v>
      </c>
      <c r="L345" s="98" t="str">
        <f t="shared" si="11"/>
        <v/>
      </c>
      <c r="M345" s="99">
        <f>IF(I345="","",I345*Parâmetros!$C$8/15)</f>
        <v>12.401999999999999</v>
      </c>
      <c r="N345" s="99">
        <f>IF(K345="","",K345*Parâmetros!$C$8/15)</f>
        <v>0</v>
      </c>
      <c r="O345" s="100">
        <f>IF(M345="","",M345*Parâmetros!$C$5)</f>
        <v>3844.62</v>
      </c>
      <c r="P345" s="94" t="str">
        <f>IF(L345="","",IF(L345&gt;=Parâmetros!$C$10,"Sim","Não"))</f>
        <v/>
      </c>
    </row>
    <row r="346" spans="1:16" ht="14.25" customHeight="1" x14ac:dyDescent="0.3">
      <c r="A346" s="94">
        <v>344</v>
      </c>
      <c r="B346" s="88" t="s">
        <v>365</v>
      </c>
      <c r="C346" s="88" t="s">
        <v>298</v>
      </c>
      <c r="D346" s="88" t="s">
        <v>422</v>
      </c>
      <c r="E346" s="87" t="s">
        <v>299</v>
      </c>
      <c r="F346" s="89">
        <v>46225</v>
      </c>
      <c r="G346" s="90">
        <v>337</v>
      </c>
      <c r="H346" s="89">
        <f>IF(COUNTIFS(Pesagens!$B$3:$B$5001,$B346)=0,"",_xlfn.MAXIFS(Pesagens!$A$3:$A$5001,Pesagens!$B$3:$B$5001,$B346,Pesagens!$E$3:$E$5001,"&lt;&gt;"))</f>
        <v>46225</v>
      </c>
      <c r="I346" s="90">
        <f>IF($H346="","",IFERROR(AVERAGEIFS(Pesagens!$E$3:$E$5001,Pesagens!$B$3:$B$5001,$B346,Pesagens!$A$3:$A$5001,$H346),""))</f>
        <v>337</v>
      </c>
      <c r="J346" s="87">
        <f>IF(F346="","",Parâmetros!$C$4-F346)</f>
        <v>21</v>
      </c>
      <c r="K346" s="90">
        <f t="shared" si="10"/>
        <v>0</v>
      </c>
      <c r="L346" s="91" t="str">
        <f t="shared" si="11"/>
        <v/>
      </c>
      <c r="M346" s="92">
        <f>IF(I346="","",I346*Parâmetros!$C$8/15)</f>
        <v>11.907333333333334</v>
      </c>
      <c r="N346" s="92">
        <f>IF(K346="","",K346*Parâmetros!$C$8/15)</f>
        <v>0</v>
      </c>
      <c r="O346" s="93">
        <f>IF(M346="","",M346*Parâmetros!$C$5)</f>
        <v>3691.2733333333335</v>
      </c>
      <c r="P346" s="87" t="str">
        <f>IF(L346="","",IF(L346&gt;=Parâmetros!$C$10,"Sim","Não"))</f>
        <v/>
      </c>
    </row>
    <row r="347" spans="1:16" ht="14.25" customHeight="1" x14ac:dyDescent="0.3">
      <c r="A347" s="87">
        <v>345</v>
      </c>
      <c r="B347" s="95" t="s">
        <v>366</v>
      </c>
      <c r="C347" s="95" t="s">
        <v>298</v>
      </c>
      <c r="D347" s="95" t="s">
        <v>422</v>
      </c>
      <c r="E347" s="94" t="s">
        <v>299</v>
      </c>
      <c r="F347" s="96">
        <v>46225</v>
      </c>
      <c r="G347" s="97">
        <v>351</v>
      </c>
      <c r="H347" s="89">
        <f>IF(COUNTIFS(Pesagens!$B$3:$B$5001,$B347)=0,"",_xlfn.MAXIFS(Pesagens!$A$3:$A$5001,Pesagens!$B$3:$B$5001,$B347,Pesagens!$E$3:$E$5001,"&lt;&gt;"))</f>
        <v>46225</v>
      </c>
      <c r="I347" s="97">
        <f>IF($H347="","",IFERROR(AVERAGEIFS(Pesagens!$E$3:$E$5001,Pesagens!$B$3:$B$5001,$B347,Pesagens!$A$3:$A$5001,$H347),""))</f>
        <v>351</v>
      </c>
      <c r="J347" s="94">
        <f>IF(F347="","",Parâmetros!$C$4-F347)</f>
        <v>21</v>
      </c>
      <c r="K347" s="97">
        <f t="shared" si="10"/>
        <v>0</v>
      </c>
      <c r="L347" s="98" t="str">
        <f t="shared" si="11"/>
        <v/>
      </c>
      <c r="M347" s="99">
        <f>IF(I347="","",I347*Parâmetros!$C$8/15)</f>
        <v>12.401999999999999</v>
      </c>
      <c r="N347" s="99">
        <f>IF(K347="","",K347*Parâmetros!$C$8/15)</f>
        <v>0</v>
      </c>
      <c r="O347" s="100">
        <f>IF(M347="","",M347*Parâmetros!$C$5)</f>
        <v>3844.62</v>
      </c>
      <c r="P347" s="94" t="str">
        <f>IF(L347="","",IF(L347&gt;=Parâmetros!$C$10,"Sim","Não"))</f>
        <v/>
      </c>
    </row>
    <row r="348" spans="1:16" ht="14.25" customHeight="1" x14ac:dyDescent="0.3">
      <c r="A348" s="94">
        <v>346</v>
      </c>
      <c r="B348" s="88" t="s">
        <v>367</v>
      </c>
      <c r="C348" s="88" t="s">
        <v>298</v>
      </c>
      <c r="D348" s="88" t="s">
        <v>422</v>
      </c>
      <c r="E348" s="87" t="s">
        <v>299</v>
      </c>
      <c r="F348" s="89">
        <v>46225</v>
      </c>
      <c r="G348" s="90">
        <v>329</v>
      </c>
      <c r="H348" s="89">
        <f>IF(COUNTIFS(Pesagens!$B$3:$B$5001,$B348)=0,"",_xlfn.MAXIFS(Pesagens!$A$3:$A$5001,Pesagens!$B$3:$B$5001,$B348,Pesagens!$E$3:$E$5001,"&lt;&gt;"))</f>
        <v>46225</v>
      </c>
      <c r="I348" s="90">
        <f>IF($H348="","",IFERROR(AVERAGEIFS(Pesagens!$E$3:$E$5001,Pesagens!$B$3:$B$5001,$B348,Pesagens!$A$3:$A$5001,$H348),""))</f>
        <v>329</v>
      </c>
      <c r="J348" s="87">
        <f>IF(F348="","",Parâmetros!$C$4-F348)</f>
        <v>21</v>
      </c>
      <c r="K348" s="90">
        <f t="shared" si="10"/>
        <v>0</v>
      </c>
      <c r="L348" s="91" t="str">
        <f t="shared" si="11"/>
        <v/>
      </c>
      <c r="M348" s="92">
        <f>IF(I348="","",I348*Parâmetros!$C$8/15)</f>
        <v>11.624666666666666</v>
      </c>
      <c r="N348" s="92">
        <f>IF(K348="","",K348*Parâmetros!$C$8/15)</f>
        <v>0</v>
      </c>
      <c r="O348" s="93">
        <f>IF(M348="","",M348*Parâmetros!$C$5)</f>
        <v>3603.6466666666665</v>
      </c>
      <c r="P348" s="87" t="str">
        <f>IF(L348="","",IF(L348&gt;=Parâmetros!$C$10,"Sim","Não"))</f>
        <v/>
      </c>
    </row>
    <row r="349" spans="1:16" ht="14.25" customHeight="1" x14ac:dyDescent="0.3">
      <c r="A349" s="87">
        <v>347</v>
      </c>
      <c r="B349" s="95" t="s">
        <v>368</v>
      </c>
      <c r="C349" s="95" t="s">
        <v>298</v>
      </c>
      <c r="D349" s="95" t="s">
        <v>422</v>
      </c>
      <c r="E349" s="94" t="s">
        <v>299</v>
      </c>
      <c r="F349" s="96">
        <v>46225</v>
      </c>
      <c r="G349" s="97">
        <v>344</v>
      </c>
      <c r="H349" s="89">
        <f>IF(COUNTIFS(Pesagens!$B$3:$B$5001,$B349)=0,"",_xlfn.MAXIFS(Pesagens!$A$3:$A$5001,Pesagens!$B$3:$B$5001,$B349,Pesagens!$E$3:$E$5001,"&lt;&gt;"))</f>
        <v>46225</v>
      </c>
      <c r="I349" s="97">
        <f>IF($H349="","",IFERROR(AVERAGEIFS(Pesagens!$E$3:$E$5001,Pesagens!$B$3:$B$5001,$B349,Pesagens!$A$3:$A$5001,$H349),""))</f>
        <v>344</v>
      </c>
      <c r="J349" s="94">
        <f>IF(F349="","",Parâmetros!$C$4-F349)</f>
        <v>21</v>
      </c>
      <c r="K349" s="97">
        <f t="shared" si="10"/>
        <v>0</v>
      </c>
      <c r="L349" s="98" t="str">
        <f t="shared" si="11"/>
        <v/>
      </c>
      <c r="M349" s="99">
        <f>IF(I349="","",I349*Parâmetros!$C$8/15)</f>
        <v>12.154666666666667</v>
      </c>
      <c r="N349" s="99">
        <f>IF(K349="","",K349*Parâmetros!$C$8/15)</f>
        <v>0</v>
      </c>
      <c r="O349" s="100">
        <f>IF(M349="","",M349*Parâmetros!$C$5)</f>
        <v>3767.9466666666667</v>
      </c>
      <c r="P349" s="94" t="str">
        <f>IF(L349="","",IF(L349&gt;=Parâmetros!$C$10,"Sim","Não"))</f>
        <v/>
      </c>
    </row>
    <row r="350" spans="1:16" ht="14.25" customHeight="1" x14ac:dyDescent="0.3">
      <c r="A350" s="94">
        <v>348</v>
      </c>
      <c r="B350" s="88" t="s">
        <v>369</v>
      </c>
      <c r="C350" s="88" t="s">
        <v>298</v>
      </c>
      <c r="D350" s="88" t="s">
        <v>422</v>
      </c>
      <c r="E350" s="87" t="s">
        <v>299</v>
      </c>
      <c r="F350" s="89">
        <v>46225</v>
      </c>
      <c r="G350" s="90">
        <v>346</v>
      </c>
      <c r="H350" s="89">
        <f>IF(COUNTIFS(Pesagens!$B$3:$B$5001,$B350)=0,"",_xlfn.MAXIFS(Pesagens!$A$3:$A$5001,Pesagens!$B$3:$B$5001,$B350,Pesagens!$E$3:$E$5001,"&lt;&gt;"))</f>
        <v>46225</v>
      </c>
      <c r="I350" s="90">
        <f>IF($H350="","",IFERROR(AVERAGEIFS(Pesagens!$E$3:$E$5001,Pesagens!$B$3:$B$5001,$B350,Pesagens!$A$3:$A$5001,$H350),""))</f>
        <v>346</v>
      </c>
      <c r="J350" s="87">
        <f>IF(F350="","",Parâmetros!$C$4-F350)</f>
        <v>21</v>
      </c>
      <c r="K350" s="90">
        <f t="shared" si="10"/>
        <v>0</v>
      </c>
      <c r="L350" s="91" t="str">
        <f t="shared" si="11"/>
        <v/>
      </c>
      <c r="M350" s="92">
        <f>IF(I350="","",I350*Parâmetros!$C$8/15)</f>
        <v>12.225333333333333</v>
      </c>
      <c r="N350" s="92">
        <f>IF(K350="","",K350*Parâmetros!$C$8/15)</f>
        <v>0</v>
      </c>
      <c r="O350" s="93">
        <f>IF(M350="","",M350*Parâmetros!$C$5)</f>
        <v>3789.8533333333335</v>
      </c>
      <c r="P350" s="87" t="str">
        <f>IF(L350="","",IF(L350&gt;=Parâmetros!$C$10,"Sim","Não"))</f>
        <v/>
      </c>
    </row>
    <row r="351" spans="1:16" ht="14.25" customHeight="1" x14ac:dyDescent="0.3">
      <c r="A351" s="87">
        <v>349</v>
      </c>
      <c r="B351" s="95" t="s">
        <v>375</v>
      </c>
      <c r="C351" s="95" t="s">
        <v>371</v>
      </c>
      <c r="D351" s="95" t="s">
        <v>618</v>
      </c>
      <c r="E351" s="94" t="s">
        <v>372</v>
      </c>
      <c r="F351" s="96">
        <v>46232</v>
      </c>
      <c r="G351" s="97">
        <v>340</v>
      </c>
      <c r="H351" s="89">
        <f>IF(COUNTIFS(Pesagens!$B$3:$B$5001,$B351)=0,"",_xlfn.MAXIFS(Pesagens!$A$3:$A$5001,Pesagens!$B$3:$B$5001,$B351,Pesagens!$E$3:$E$5001,"&lt;&gt;"))</f>
        <v>46232</v>
      </c>
      <c r="I351" s="97">
        <f>IF($H351="","",IFERROR(AVERAGEIFS(Pesagens!$E$3:$E$5001,Pesagens!$B$3:$B$5001,$B351,Pesagens!$A$3:$A$5001,$H351),""))</f>
        <v>340</v>
      </c>
      <c r="J351" s="94">
        <f>IF(F351="","",Parâmetros!$C$4-F351)</f>
        <v>14</v>
      </c>
      <c r="K351" s="97">
        <f t="shared" si="10"/>
        <v>0</v>
      </c>
      <c r="L351" s="98" t="str">
        <f t="shared" si="11"/>
        <v/>
      </c>
      <c r="M351" s="99">
        <f>IF(I351="","",I351*Parâmetros!$C$8/15)</f>
        <v>12.013333333333334</v>
      </c>
      <c r="N351" s="99">
        <f>IF(K351="","",K351*Parâmetros!$C$8/15)</f>
        <v>0</v>
      </c>
      <c r="O351" s="100">
        <f>IF(M351="","",M351*Parâmetros!$C$5)</f>
        <v>3724.1333333333332</v>
      </c>
      <c r="P351" s="94" t="str">
        <f>IF(L351="","",IF(L351&gt;=Parâmetros!$C$10,"Sim","Não"))</f>
        <v/>
      </c>
    </row>
    <row r="352" spans="1:16" ht="14.25" customHeight="1" x14ac:dyDescent="0.3">
      <c r="A352" s="94">
        <v>350</v>
      </c>
      <c r="B352" s="88" t="s">
        <v>404</v>
      </c>
      <c r="C352" s="88" t="s">
        <v>371</v>
      </c>
      <c r="D352" s="88" t="s">
        <v>618</v>
      </c>
      <c r="E352" s="87" t="s">
        <v>372</v>
      </c>
      <c r="F352" s="89">
        <v>46232</v>
      </c>
      <c r="G352" s="90">
        <v>305</v>
      </c>
      <c r="H352" s="89">
        <f>IF(COUNTIFS(Pesagens!$B$3:$B$5001,$B352)=0,"",_xlfn.MAXIFS(Pesagens!$A$3:$A$5001,Pesagens!$B$3:$B$5001,$B352,Pesagens!$E$3:$E$5001,"&lt;&gt;"))</f>
        <v>46232</v>
      </c>
      <c r="I352" s="90">
        <f>IF($H352="","",IFERROR(AVERAGEIFS(Pesagens!$E$3:$E$5001,Pesagens!$B$3:$B$5001,$B352,Pesagens!$A$3:$A$5001,$H352),""))</f>
        <v>305</v>
      </c>
      <c r="J352" s="87">
        <f>IF(F352="","",Parâmetros!$C$4-F352)</f>
        <v>14</v>
      </c>
      <c r="K352" s="90">
        <f t="shared" si="10"/>
        <v>0</v>
      </c>
      <c r="L352" s="91" t="str">
        <f t="shared" si="11"/>
        <v/>
      </c>
      <c r="M352" s="92">
        <f>IF(I352="","",I352*Parâmetros!$C$8/15)</f>
        <v>10.776666666666667</v>
      </c>
      <c r="N352" s="92">
        <f>IF(K352="","",K352*Parâmetros!$C$8/15)</f>
        <v>0</v>
      </c>
      <c r="O352" s="93">
        <f>IF(M352="","",M352*Parâmetros!$C$5)</f>
        <v>3340.7666666666669</v>
      </c>
      <c r="P352" s="87" t="str">
        <f>IF(L352="","",IF(L352&gt;=Parâmetros!$C$10,"Sim","Não"))</f>
        <v/>
      </c>
    </row>
    <row r="353" spans="1:16" ht="14.25" customHeight="1" x14ac:dyDescent="0.3">
      <c r="A353" s="87">
        <v>351</v>
      </c>
      <c r="B353" s="95" t="s">
        <v>405</v>
      </c>
      <c r="C353" s="95" t="s">
        <v>371</v>
      </c>
      <c r="D353" s="95" t="s">
        <v>618</v>
      </c>
      <c r="E353" s="94" t="s">
        <v>372</v>
      </c>
      <c r="F353" s="96">
        <v>46232</v>
      </c>
      <c r="G353" s="97">
        <v>404</v>
      </c>
      <c r="H353" s="89">
        <f>IF(COUNTIFS(Pesagens!$B$3:$B$5001,$B353)=0,"",_xlfn.MAXIFS(Pesagens!$A$3:$A$5001,Pesagens!$B$3:$B$5001,$B353,Pesagens!$E$3:$E$5001,"&lt;&gt;"))</f>
        <v>46232</v>
      </c>
      <c r="I353" s="97">
        <f>IF($H353="","",IFERROR(AVERAGEIFS(Pesagens!$E$3:$E$5001,Pesagens!$B$3:$B$5001,$B353,Pesagens!$A$3:$A$5001,$H353),""))</f>
        <v>404</v>
      </c>
      <c r="J353" s="94">
        <f>IF(F353="","",Parâmetros!$C$4-F353)</f>
        <v>14</v>
      </c>
      <c r="K353" s="97">
        <f t="shared" si="10"/>
        <v>0</v>
      </c>
      <c r="L353" s="98" t="str">
        <f t="shared" si="11"/>
        <v/>
      </c>
      <c r="M353" s="99">
        <f>IF(I353="","",I353*Parâmetros!$C$8/15)</f>
        <v>14.274666666666667</v>
      </c>
      <c r="N353" s="99">
        <f>IF(K353="","",K353*Parâmetros!$C$8/15)</f>
        <v>0</v>
      </c>
      <c r="O353" s="100">
        <f>IF(M353="","",M353*Parâmetros!$C$5)</f>
        <v>4425.1466666666665</v>
      </c>
      <c r="P353" s="94" t="str">
        <f>IF(L353="","",IF(L353&gt;=Parâmetros!$C$10,"Sim","Não"))</f>
        <v/>
      </c>
    </row>
    <row r="354" spans="1:16" ht="14.25" customHeight="1" x14ac:dyDescent="0.3">
      <c r="A354" s="94">
        <v>352</v>
      </c>
      <c r="B354" s="88" t="s">
        <v>376</v>
      </c>
      <c r="C354" s="88" t="s">
        <v>371</v>
      </c>
      <c r="D354" s="88" t="s">
        <v>618</v>
      </c>
      <c r="E354" s="87" t="s">
        <v>372</v>
      </c>
      <c r="F354" s="89">
        <v>46232</v>
      </c>
      <c r="G354" s="90">
        <v>288</v>
      </c>
      <c r="H354" s="89">
        <f>IF(COUNTIFS(Pesagens!$B$3:$B$5001,$B354)=0,"",_xlfn.MAXIFS(Pesagens!$A$3:$A$5001,Pesagens!$B$3:$B$5001,$B354,Pesagens!$E$3:$E$5001,"&lt;&gt;"))</f>
        <v>46232</v>
      </c>
      <c r="I354" s="90">
        <f>IF($H354="","",IFERROR(AVERAGEIFS(Pesagens!$E$3:$E$5001,Pesagens!$B$3:$B$5001,$B354,Pesagens!$A$3:$A$5001,$H354),""))</f>
        <v>288</v>
      </c>
      <c r="J354" s="87">
        <f>IF(F354="","",Parâmetros!$C$4-F354)</f>
        <v>14</v>
      </c>
      <c r="K354" s="90">
        <f t="shared" si="10"/>
        <v>0</v>
      </c>
      <c r="L354" s="91" t="str">
        <f t="shared" si="11"/>
        <v/>
      </c>
      <c r="M354" s="92">
        <f>IF(I354="","",I354*Parâmetros!$C$8/15)</f>
        <v>10.176</v>
      </c>
      <c r="N354" s="92">
        <f>IF(K354="","",K354*Parâmetros!$C$8/15)</f>
        <v>0</v>
      </c>
      <c r="O354" s="93">
        <f>IF(M354="","",M354*Parâmetros!$C$5)</f>
        <v>3154.56</v>
      </c>
      <c r="P354" s="87" t="str">
        <f>IF(L354="","",IF(L354&gt;=Parâmetros!$C$10,"Sim","Não"))</f>
        <v/>
      </c>
    </row>
    <row r="355" spans="1:16" ht="14.25" customHeight="1" x14ac:dyDescent="0.3">
      <c r="A355" s="87">
        <v>353</v>
      </c>
      <c r="B355" s="95" t="s">
        <v>403</v>
      </c>
      <c r="C355" s="95" t="s">
        <v>371</v>
      </c>
      <c r="D355" s="95" t="s">
        <v>618</v>
      </c>
      <c r="E355" s="94" t="s">
        <v>372</v>
      </c>
      <c r="F355" s="96">
        <v>46232</v>
      </c>
      <c r="G355" s="97">
        <v>348</v>
      </c>
      <c r="H355" s="89">
        <f>IF(COUNTIFS(Pesagens!$B$3:$B$5001,$B355)=0,"",_xlfn.MAXIFS(Pesagens!$A$3:$A$5001,Pesagens!$B$3:$B$5001,$B355,Pesagens!$E$3:$E$5001,"&lt;&gt;"))</f>
        <v>46232</v>
      </c>
      <c r="I355" s="97">
        <f>IF($H355="","",IFERROR(AVERAGEIFS(Pesagens!$E$3:$E$5001,Pesagens!$B$3:$B$5001,$B355,Pesagens!$A$3:$A$5001,$H355),""))</f>
        <v>348</v>
      </c>
      <c r="J355" s="94">
        <f>IF(F355="","",Parâmetros!$C$4-F355)</f>
        <v>14</v>
      </c>
      <c r="K355" s="97">
        <f t="shared" si="10"/>
        <v>0</v>
      </c>
      <c r="L355" s="98" t="str">
        <f t="shared" si="11"/>
        <v/>
      </c>
      <c r="M355" s="99">
        <f>IF(I355="","",I355*Parâmetros!$C$8/15)</f>
        <v>12.295999999999999</v>
      </c>
      <c r="N355" s="99">
        <f>IF(K355="","",K355*Parâmetros!$C$8/15)</f>
        <v>0</v>
      </c>
      <c r="O355" s="100">
        <f>IF(M355="","",M355*Parâmetros!$C$5)</f>
        <v>3811.7599999999998</v>
      </c>
      <c r="P355" s="94" t="str">
        <f>IF(L355="","",IF(L355&gt;=Parâmetros!$C$10,"Sim","Não"))</f>
        <v/>
      </c>
    </row>
    <row r="356" spans="1:16" ht="14.25" customHeight="1" x14ac:dyDescent="0.3">
      <c r="A356" s="94">
        <v>354</v>
      </c>
      <c r="B356" s="88" t="s">
        <v>379</v>
      </c>
      <c r="C356" s="88" t="s">
        <v>371</v>
      </c>
      <c r="D356" s="88" t="s">
        <v>618</v>
      </c>
      <c r="E356" s="87" t="s">
        <v>372</v>
      </c>
      <c r="F356" s="89">
        <v>46232</v>
      </c>
      <c r="G356" s="90">
        <v>390</v>
      </c>
      <c r="H356" s="89">
        <f>IF(COUNTIFS(Pesagens!$B$3:$B$5001,$B356)=0,"",_xlfn.MAXIFS(Pesagens!$A$3:$A$5001,Pesagens!$B$3:$B$5001,$B356,Pesagens!$E$3:$E$5001,"&lt;&gt;"))</f>
        <v>46232</v>
      </c>
      <c r="I356" s="90">
        <f>IF($H356="","",IFERROR(AVERAGEIFS(Pesagens!$E$3:$E$5001,Pesagens!$B$3:$B$5001,$B356,Pesagens!$A$3:$A$5001,$H356),""))</f>
        <v>390</v>
      </c>
      <c r="J356" s="87">
        <f>IF(F356="","",Parâmetros!$C$4-F356)</f>
        <v>14</v>
      </c>
      <c r="K356" s="90">
        <f t="shared" si="10"/>
        <v>0</v>
      </c>
      <c r="L356" s="91" t="str">
        <f t="shared" si="11"/>
        <v/>
      </c>
      <c r="M356" s="92">
        <f>IF(I356="","",I356*Parâmetros!$C$8/15)</f>
        <v>13.780000000000001</v>
      </c>
      <c r="N356" s="92">
        <f>IF(K356="","",K356*Parâmetros!$C$8/15)</f>
        <v>0</v>
      </c>
      <c r="O356" s="93">
        <f>IF(M356="","",M356*Parâmetros!$C$5)</f>
        <v>4271.8</v>
      </c>
      <c r="P356" s="87" t="str">
        <f>IF(L356="","",IF(L356&gt;=Parâmetros!$C$10,"Sim","Não"))</f>
        <v/>
      </c>
    </row>
    <row r="357" spans="1:16" ht="14.25" customHeight="1" x14ac:dyDescent="0.3">
      <c r="A357" s="87">
        <v>355</v>
      </c>
      <c r="B357" s="95" t="s">
        <v>409</v>
      </c>
      <c r="C357" s="95" t="s">
        <v>371</v>
      </c>
      <c r="D357" s="95" t="s">
        <v>618</v>
      </c>
      <c r="E357" s="94" t="s">
        <v>372</v>
      </c>
      <c r="F357" s="96">
        <v>46232</v>
      </c>
      <c r="G357" s="97">
        <v>405</v>
      </c>
      <c r="H357" s="89">
        <f>IF(COUNTIFS(Pesagens!$B$3:$B$5001,$B357)=0,"",_xlfn.MAXIFS(Pesagens!$A$3:$A$5001,Pesagens!$B$3:$B$5001,$B357,Pesagens!$E$3:$E$5001,"&lt;&gt;"))</f>
        <v>46232</v>
      </c>
      <c r="I357" s="97">
        <f>IF($H357="","",IFERROR(AVERAGEIFS(Pesagens!$E$3:$E$5001,Pesagens!$B$3:$B$5001,$B357,Pesagens!$A$3:$A$5001,$H357),""))</f>
        <v>405</v>
      </c>
      <c r="J357" s="94">
        <f>IF(F357="","",Parâmetros!$C$4-F357)</f>
        <v>14</v>
      </c>
      <c r="K357" s="97">
        <f t="shared" si="10"/>
        <v>0</v>
      </c>
      <c r="L357" s="98" t="str">
        <f t="shared" si="11"/>
        <v/>
      </c>
      <c r="M357" s="99">
        <f>IF(I357="","",I357*Parâmetros!$C$8/15)</f>
        <v>14.31</v>
      </c>
      <c r="N357" s="99">
        <f>IF(K357="","",K357*Parâmetros!$C$8/15)</f>
        <v>0</v>
      </c>
      <c r="O357" s="100">
        <f>IF(M357="","",M357*Parâmetros!$C$5)</f>
        <v>4436.1000000000004</v>
      </c>
      <c r="P357" s="94" t="str">
        <f>IF(L357="","",IF(L357&gt;=Parâmetros!$C$10,"Sim","Não"))</f>
        <v/>
      </c>
    </row>
    <row r="358" spans="1:16" ht="14.25" customHeight="1" x14ac:dyDescent="0.3">
      <c r="A358" s="94">
        <v>356</v>
      </c>
      <c r="B358" s="88" t="s">
        <v>401</v>
      </c>
      <c r="C358" s="88" t="s">
        <v>371</v>
      </c>
      <c r="D358" s="88" t="s">
        <v>618</v>
      </c>
      <c r="E358" s="87" t="s">
        <v>372</v>
      </c>
      <c r="F358" s="89">
        <v>46232</v>
      </c>
      <c r="G358" s="90">
        <v>387</v>
      </c>
      <c r="H358" s="89">
        <f>IF(COUNTIFS(Pesagens!$B$3:$B$5001,$B358)=0,"",_xlfn.MAXIFS(Pesagens!$A$3:$A$5001,Pesagens!$B$3:$B$5001,$B358,Pesagens!$E$3:$E$5001,"&lt;&gt;"))</f>
        <v>46232</v>
      </c>
      <c r="I358" s="90">
        <f>IF($H358="","",IFERROR(AVERAGEIFS(Pesagens!$E$3:$E$5001,Pesagens!$B$3:$B$5001,$B358,Pesagens!$A$3:$A$5001,$H358),""))</f>
        <v>387</v>
      </c>
      <c r="J358" s="87">
        <f>IF(F358="","",Parâmetros!$C$4-F358)</f>
        <v>14</v>
      </c>
      <c r="K358" s="90">
        <f t="shared" si="10"/>
        <v>0</v>
      </c>
      <c r="L358" s="91" t="str">
        <f t="shared" si="11"/>
        <v/>
      </c>
      <c r="M358" s="92">
        <f>IF(I358="","",I358*Parâmetros!$C$8/15)</f>
        <v>13.674000000000001</v>
      </c>
      <c r="N358" s="92">
        <f>IF(K358="","",K358*Parâmetros!$C$8/15)</f>
        <v>0</v>
      </c>
      <c r="O358" s="93">
        <f>IF(M358="","",M358*Parâmetros!$C$5)</f>
        <v>4238.9400000000005</v>
      </c>
      <c r="P358" s="87" t="str">
        <f>IF(L358="","",IF(L358&gt;=Parâmetros!$C$10,"Sim","Não"))</f>
        <v/>
      </c>
    </row>
    <row r="359" spans="1:16" ht="14.25" customHeight="1" x14ac:dyDescent="0.3">
      <c r="A359" s="87">
        <v>357</v>
      </c>
      <c r="B359" s="95" t="s">
        <v>390</v>
      </c>
      <c r="C359" s="95" t="s">
        <v>371</v>
      </c>
      <c r="D359" s="95" t="s">
        <v>618</v>
      </c>
      <c r="E359" s="94" t="s">
        <v>372</v>
      </c>
      <c r="F359" s="96">
        <v>46232</v>
      </c>
      <c r="G359" s="97">
        <v>342</v>
      </c>
      <c r="H359" s="89">
        <f>IF(COUNTIFS(Pesagens!$B$3:$B$5001,$B359)=0,"",_xlfn.MAXIFS(Pesagens!$A$3:$A$5001,Pesagens!$B$3:$B$5001,$B359,Pesagens!$E$3:$E$5001,"&lt;&gt;"))</f>
        <v>46232</v>
      </c>
      <c r="I359" s="97">
        <f>IF($H359="","",IFERROR(AVERAGEIFS(Pesagens!$E$3:$E$5001,Pesagens!$B$3:$B$5001,$B359,Pesagens!$A$3:$A$5001,$H359),""))</f>
        <v>342</v>
      </c>
      <c r="J359" s="94">
        <f>IF(F359="","",Parâmetros!$C$4-F359)</f>
        <v>14</v>
      </c>
      <c r="K359" s="97">
        <f t="shared" si="10"/>
        <v>0</v>
      </c>
      <c r="L359" s="98" t="str">
        <f t="shared" si="11"/>
        <v/>
      </c>
      <c r="M359" s="99">
        <f>IF(I359="","",I359*Parâmetros!$C$8/15)</f>
        <v>12.084000000000001</v>
      </c>
      <c r="N359" s="99">
        <f>IF(K359="","",K359*Parâmetros!$C$8/15)</f>
        <v>0</v>
      </c>
      <c r="O359" s="100">
        <f>IF(M359="","",M359*Parâmetros!$C$5)</f>
        <v>3746.0400000000004</v>
      </c>
      <c r="P359" s="94" t="str">
        <f>IF(L359="","",IF(L359&gt;=Parâmetros!$C$10,"Sim","Não"))</f>
        <v/>
      </c>
    </row>
    <row r="360" spans="1:16" ht="14.25" customHeight="1" x14ac:dyDescent="0.3">
      <c r="A360" s="94">
        <v>358</v>
      </c>
      <c r="B360" s="88" t="s">
        <v>374</v>
      </c>
      <c r="C360" s="88" t="s">
        <v>371</v>
      </c>
      <c r="D360" s="88" t="s">
        <v>618</v>
      </c>
      <c r="E360" s="87" t="s">
        <v>372</v>
      </c>
      <c r="F360" s="89">
        <v>46232</v>
      </c>
      <c r="G360" s="90">
        <v>365</v>
      </c>
      <c r="H360" s="89">
        <f>IF(COUNTIFS(Pesagens!$B$3:$B$5001,$B360)=0,"",_xlfn.MAXIFS(Pesagens!$A$3:$A$5001,Pesagens!$B$3:$B$5001,$B360,Pesagens!$E$3:$E$5001,"&lt;&gt;"))</f>
        <v>46232</v>
      </c>
      <c r="I360" s="90">
        <f>IF($H360="","",IFERROR(AVERAGEIFS(Pesagens!$E$3:$E$5001,Pesagens!$B$3:$B$5001,$B360,Pesagens!$A$3:$A$5001,$H360),""))</f>
        <v>365</v>
      </c>
      <c r="J360" s="87">
        <f>IF(F360="","",Parâmetros!$C$4-F360)</f>
        <v>14</v>
      </c>
      <c r="K360" s="90">
        <f t="shared" si="10"/>
        <v>0</v>
      </c>
      <c r="L360" s="91" t="str">
        <f t="shared" si="11"/>
        <v/>
      </c>
      <c r="M360" s="92">
        <f>IF(I360="","",I360*Parâmetros!$C$8/15)</f>
        <v>12.896666666666668</v>
      </c>
      <c r="N360" s="92">
        <f>IF(K360="","",K360*Parâmetros!$C$8/15)</f>
        <v>0</v>
      </c>
      <c r="O360" s="93">
        <f>IF(M360="","",M360*Parâmetros!$C$5)</f>
        <v>3997.9666666666672</v>
      </c>
      <c r="P360" s="87" t="str">
        <f>IF(L360="","",IF(L360&gt;=Parâmetros!$C$10,"Sim","Não"))</f>
        <v/>
      </c>
    </row>
    <row r="361" spans="1:16" ht="14.25" customHeight="1" x14ac:dyDescent="0.3">
      <c r="A361" s="87">
        <v>359</v>
      </c>
      <c r="B361" s="95" t="s">
        <v>400</v>
      </c>
      <c r="C361" s="95" t="s">
        <v>371</v>
      </c>
      <c r="D361" s="95" t="s">
        <v>618</v>
      </c>
      <c r="E361" s="94" t="s">
        <v>372</v>
      </c>
      <c r="F361" s="96">
        <v>46232</v>
      </c>
      <c r="G361" s="97">
        <v>291</v>
      </c>
      <c r="H361" s="89">
        <f>IF(COUNTIFS(Pesagens!$B$3:$B$5001,$B361)=0,"",_xlfn.MAXIFS(Pesagens!$A$3:$A$5001,Pesagens!$B$3:$B$5001,$B361,Pesagens!$E$3:$E$5001,"&lt;&gt;"))</f>
        <v>46232</v>
      </c>
      <c r="I361" s="97">
        <f>IF($H361="","",IFERROR(AVERAGEIFS(Pesagens!$E$3:$E$5001,Pesagens!$B$3:$B$5001,$B361,Pesagens!$A$3:$A$5001,$H361),""))</f>
        <v>291</v>
      </c>
      <c r="J361" s="94">
        <f>IF(F361="","",Parâmetros!$C$4-F361)</f>
        <v>14</v>
      </c>
      <c r="K361" s="97">
        <f t="shared" si="10"/>
        <v>0</v>
      </c>
      <c r="L361" s="98" t="str">
        <f t="shared" si="11"/>
        <v/>
      </c>
      <c r="M361" s="99">
        <f>IF(I361="","",I361*Parâmetros!$C$8/15)</f>
        <v>10.282000000000002</v>
      </c>
      <c r="N361" s="99">
        <f>IF(K361="","",K361*Parâmetros!$C$8/15)</f>
        <v>0</v>
      </c>
      <c r="O361" s="100">
        <f>IF(M361="","",M361*Parâmetros!$C$5)</f>
        <v>3187.4200000000005</v>
      </c>
      <c r="P361" s="94" t="str">
        <f>IF(L361="","",IF(L361&gt;=Parâmetros!$C$10,"Sim","Não"))</f>
        <v/>
      </c>
    </row>
    <row r="362" spans="1:16" ht="14.25" customHeight="1" x14ac:dyDescent="0.3">
      <c r="A362" s="94">
        <v>360</v>
      </c>
      <c r="B362" s="88" t="s">
        <v>386</v>
      </c>
      <c r="C362" s="88" t="s">
        <v>371</v>
      </c>
      <c r="D362" s="88" t="s">
        <v>618</v>
      </c>
      <c r="E362" s="87" t="s">
        <v>372</v>
      </c>
      <c r="F362" s="89">
        <v>46232</v>
      </c>
      <c r="G362" s="90">
        <v>338</v>
      </c>
      <c r="H362" s="89">
        <f>IF(COUNTIFS(Pesagens!$B$3:$B$5001,$B362)=0,"",_xlfn.MAXIFS(Pesagens!$A$3:$A$5001,Pesagens!$B$3:$B$5001,$B362,Pesagens!$E$3:$E$5001,"&lt;&gt;"))</f>
        <v>46232</v>
      </c>
      <c r="I362" s="90">
        <f>IF($H362="","",IFERROR(AVERAGEIFS(Pesagens!$E$3:$E$5001,Pesagens!$B$3:$B$5001,$B362,Pesagens!$A$3:$A$5001,$H362),""))</f>
        <v>338</v>
      </c>
      <c r="J362" s="87">
        <f>IF(F362="","",Parâmetros!$C$4-F362)</f>
        <v>14</v>
      </c>
      <c r="K362" s="90">
        <f t="shared" si="10"/>
        <v>0</v>
      </c>
      <c r="L362" s="91" t="str">
        <f t="shared" si="11"/>
        <v/>
      </c>
      <c r="M362" s="92">
        <f>IF(I362="","",I362*Parâmetros!$C$8/15)</f>
        <v>11.942666666666668</v>
      </c>
      <c r="N362" s="92">
        <f>IF(K362="","",K362*Parâmetros!$C$8/15)</f>
        <v>0</v>
      </c>
      <c r="O362" s="93">
        <f>IF(M362="","",M362*Parâmetros!$C$5)</f>
        <v>3702.2266666666669</v>
      </c>
      <c r="P362" s="87" t="str">
        <f>IF(L362="","",IF(L362&gt;=Parâmetros!$C$10,"Sim","Não"))</f>
        <v/>
      </c>
    </row>
    <row r="363" spans="1:16" ht="14.25" customHeight="1" x14ac:dyDescent="0.3">
      <c r="A363" s="87">
        <v>361</v>
      </c>
      <c r="B363" s="95" t="s">
        <v>397</v>
      </c>
      <c r="C363" s="95" t="s">
        <v>371</v>
      </c>
      <c r="D363" s="95" t="s">
        <v>618</v>
      </c>
      <c r="E363" s="94" t="s">
        <v>372</v>
      </c>
      <c r="F363" s="96">
        <v>46232</v>
      </c>
      <c r="G363" s="97">
        <v>295</v>
      </c>
      <c r="H363" s="89">
        <f>IF(COUNTIFS(Pesagens!$B$3:$B$5001,$B363)=0,"",_xlfn.MAXIFS(Pesagens!$A$3:$A$5001,Pesagens!$B$3:$B$5001,$B363,Pesagens!$E$3:$E$5001,"&lt;&gt;"))</f>
        <v>46232</v>
      </c>
      <c r="I363" s="97">
        <f>IF($H363="","",IFERROR(AVERAGEIFS(Pesagens!$E$3:$E$5001,Pesagens!$B$3:$B$5001,$B363,Pesagens!$A$3:$A$5001,$H363),""))</f>
        <v>295</v>
      </c>
      <c r="J363" s="94">
        <f>IF(F363="","",Parâmetros!$C$4-F363)</f>
        <v>14</v>
      </c>
      <c r="K363" s="97">
        <f t="shared" si="10"/>
        <v>0</v>
      </c>
      <c r="L363" s="98" t="str">
        <f t="shared" si="11"/>
        <v/>
      </c>
      <c r="M363" s="99">
        <f>IF(I363="","",I363*Parâmetros!$C$8/15)</f>
        <v>10.423333333333334</v>
      </c>
      <c r="N363" s="99">
        <f>IF(K363="","",K363*Parâmetros!$C$8/15)</f>
        <v>0</v>
      </c>
      <c r="O363" s="100">
        <f>IF(M363="","",M363*Parâmetros!$C$5)</f>
        <v>3231.2333333333336</v>
      </c>
      <c r="P363" s="94" t="str">
        <f>IF(L363="","",IF(L363&gt;=Parâmetros!$C$10,"Sim","Não"))</f>
        <v/>
      </c>
    </row>
    <row r="364" spans="1:16" ht="14.25" customHeight="1" x14ac:dyDescent="0.3">
      <c r="A364" s="94">
        <v>362</v>
      </c>
      <c r="B364" s="88" t="s">
        <v>399</v>
      </c>
      <c r="C364" s="88" t="s">
        <v>371</v>
      </c>
      <c r="D364" s="88" t="s">
        <v>618</v>
      </c>
      <c r="E364" s="87" t="s">
        <v>372</v>
      </c>
      <c r="F364" s="89">
        <v>46232</v>
      </c>
      <c r="G364" s="90">
        <v>435</v>
      </c>
      <c r="H364" s="89">
        <f>IF(COUNTIFS(Pesagens!$B$3:$B$5001,$B364)=0,"",_xlfn.MAXIFS(Pesagens!$A$3:$A$5001,Pesagens!$B$3:$B$5001,$B364,Pesagens!$E$3:$E$5001,"&lt;&gt;"))</f>
        <v>46232</v>
      </c>
      <c r="I364" s="90">
        <f>IF($H364="","",IFERROR(AVERAGEIFS(Pesagens!$E$3:$E$5001,Pesagens!$B$3:$B$5001,$B364,Pesagens!$A$3:$A$5001,$H364),""))</f>
        <v>435</v>
      </c>
      <c r="J364" s="87">
        <f>IF(F364="","",Parâmetros!$C$4-F364)</f>
        <v>14</v>
      </c>
      <c r="K364" s="90">
        <f t="shared" si="10"/>
        <v>0</v>
      </c>
      <c r="L364" s="91" t="str">
        <f t="shared" si="11"/>
        <v/>
      </c>
      <c r="M364" s="92">
        <f>IF(I364="","",I364*Parâmetros!$C$8/15)</f>
        <v>15.370000000000001</v>
      </c>
      <c r="N364" s="92">
        <f>IF(K364="","",K364*Parâmetros!$C$8/15)</f>
        <v>0</v>
      </c>
      <c r="O364" s="93">
        <f>IF(M364="","",M364*Parâmetros!$C$5)</f>
        <v>4764.7000000000007</v>
      </c>
      <c r="P364" s="87" t="str">
        <f>IF(L364="","",IF(L364&gt;=Parâmetros!$C$10,"Sim","Não"))</f>
        <v/>
      </c>
    </row>
    <row r="365" spans="1:16" ht="14.25" customHeight="1" x14ac:dyDescent="0.3">
      <c r="A365" s="87">
        <v>363</v>
      </c>
      <c r="B365" s="95" t="s">
        <v>378</v>
      </c>
      <c r="C365" s="95" t="s">
        <v>371</v>
      </c>
      <c r="D365" s="95" t="s">
        <v>618</v>
      </c>
      <c r="E365" s="94" t="s">
        <v>372</v>
      </c>
      <c r="F365" s="96">
        <v>46232</v>
      </c>
      <c r="G365" s="97">
        <v>418</v>
      </c>
      <c r="H365" s="89">
        <f>IF(COUNTIFS(Pesagens!$B$3:$B$5001,$B365)=0,"",_xlfn.MAXIFS(Pesagens!$A$3:$A$5001,Pesagens!$B$3:$B$5001,$B365,Pesagens!$E$3:$E$5001,"&lt;&gt;"))</f>
        <v>46232</v>
      </c>
      <c r="I365" s="97">
        <f>IF($H365="","",IFERROR(AVERAGEIFS(Pesagens!$E$3:$E$5001,Pesagens!$B$3:$B$5001,$B365,Pesagens!$A$3:$A$5001,$H365),""))</f>
        <v>418</v>
      </c>
      <c r="J365" s="94">
        <f>IF(F365="","",Parâmetros!$C$4-F365)</f>
        <v>14</v>
      </c>
      <c r="K365" s="97">
        <f t="shared" si="10"/>
        <v>0</v>
      </c>
      <c r="L365" s="98" t="str">
        <f t="shared" si="11"/>
        <v/>
      </c>
      <c r="M365" s="99">
        <f>IF(I365="","",I365*Parâmetros!$C$8/15)</f>
        <v>14.769333333333334</v>
      </c>
      <c r="N365" s="99">
        <f>IF(K365="","",K365*Parâmetros!$C$8/15)</f>
        <v>0</v>
      </c>
      <c r="O365" s="100">
        <f>IF(M365="","",M365*Parâmetros!$C$5)</f>
        <v>4578.4933333333338</v>
      </c>
      <c r="P365" s="94" t="str">
        <f>IF(L365="","",IF(L365&gt;=Parâmetros!$C$10,"Sim","Não"))</f>
        <v/>
      </c>
    </row>
    <row r="366" spans="1:16" ht="14.25" customHeight="1" x14ac:dyDescent="0.3">
      <c r="A366" s="94">
        <v>364</v>
      </c>
      <c r="B366" s="88" t="s">
        <v>388</v>
      </c>
      <c r="C366" s="88" t="s">
        <v>371</v>
      </c>
      <c r="D366" s="88" t="s">
        <v>618</v>
      </c>
      <c r="E366" s="87" t="s">
        <v>372</v>
      </c>
      <c r="F366" s="89">
        <v>46232</v>
      </c>
      <c r="G366" s="90">
        <v>309</v>
      </c>
      <c r="H366" s="89">
        <f>IF(COUNTIFS(Pesagens!$B$3:$B$5001,$B366)=0,"",_xlfn.MAXIFS(Pesagens!$A$3:$A$5001,Pesagens!$B$3:$B$5001,$B366,Pesagens!$E$3:$E$5001,"&lt;&gt;"))</f>
        <v>46232</v>
      </c>
      <c r="I366" s="90">
        <f>IF($H366="","",IFERROR(AVERAGEIFS(Pesagens!$E$3:$E$5001,Pesagens!$B$3:$B$5001,$B366,Pesagens!$A$3:$A$5001,$H366),""))</f>
        <v>309</v>
      </c>
      <c r="J366" s="87">
        <f>IF(F366="","",Parâmetros!$C$4-F366)</f>
        <v>14</v>
      </c>
      <c r="K366" s="90">
        <f t="shared" si="10"/>
        <v>0</v>
      </c>
      <c r="L366" s="91" t="str">
        <f t="shared" si="11"/>
        <v/>
      </c>
      <c r="M366" s="92">
        <f>IF(I366="","",I366*Parâmetros!$C$8/15)</f>
        <v>10.918000000000001</v>
      </c>
      <c r="N366" s="92">
        <f>IF(K366="","",K366*Parâmetros!$C$8/15)</f>
        <v>0</v>
      </c>
      <c r="O366" s="93">
        <f>IF(M366="","",M366*Parâmetros!$C$5)</f>
        <v>3384.5800000000004</v>
      </c>
      <c r="P366" s="87" t="str">
        <f>IF(L366="","",IF(L366&gt;=Parâmetros!$C$10,"Sim","Não"))</f>
        <v/>
      </c>
    </row>
    <row r="367" spans="1:16" ht="14.25" customHeight="1" x14ac:dyDescent="0.3">
      <c r="A367" s="87">
        <v>365</v>
      </c>
      <c r="B367" s="95" t="s">
        <v>392</v>
      </c>
      <c r="C367" s="95" t="s">
        <v>371</v>
      </c>
      <c r="D367" s="95" t="s">
        <v>618</v>
      </c>
      <c r="E367" s="94" t="s">
        <v>372</v>
      </c>
      <c r="F367" s="96">
        <v>46232</v>
      </c>
      <c r="G367" s="97">
        <v>377</v>
      </c>
      <c r="H367" s="89">
        <f>IF(COUNTIFS(Pesagens!$B$3:$B$5001,$B367)=0,"",_xlfn.MAXIFS(Pesagens!$A$3:$A$5001,Pesagens!$B$3:$B$5001,$B367,Pesagens!$E$3:$E$5001,"&lt;&gt;"))</f>
        <v>46232</v>
      </c>
      <c r="I367" s="97">
        <f>IF($H367="","",IFERROR(AVERAGEIFS(Pesagens!$E$3:$E$5001,Pesagens!$B$3:$B$5001,$B367,Pesagens!$A$3:$A$5001,$H367),""))</f>
        <v>377</v>
      </c>
      <c r="J367" s="94">
        <f>IF(F367="","",Parâmetros!$C$4-F367)</f>
        <v>14</v>
      </c>
      <c r="K367" s="97">
        <f t="shared" si="10"/>
        <v>0</v>
      </c>
      <c r="L367" s="98" t="str">
        <f t="shared" si="11"/>
        <v/>
      </c>
      <c r="M367" s="99">
        <f>IF(I367="","",I367*Parâmetros!$C$8/15)</f>
        <v>13.320666666666666</v>
      </c>
      <c r="N367" s="99">
        <f>IF(K367="","",K367*Parâmetros!$C$8/15)</f>
        <v>0</v>
      </c>
      <c r="O367" s="100">
        <f>IF(M367="","",M367*Parâmetros!$C$5)</f>
        <v>4129.4066666666668</v>
      </c>
      <c r="P367" s="94" t="str">
        <f>IF(L367="","",IF(L367&gt;=Parâmetros!$C$10,"Sim","Não"))</f>
        <v/>
      </c>
    </row>
    <row r="368" spans="1:16" ht="14.25" customHeight="1" x14ac:dyDescent="0.3">
      <c r="A368" s="94">
        <v>366</v>
      </c>
      <c r="B368" s="88" t="s">
        <v>381</v>
      </c>
      <c r="C368" s="88" t="s">
        <v>371</v>
      </c>
      <c r="D368" s="88" t="s">
        <v>618</v>
      </c>
      <c r="E368" s="87" t="s">
        <v>372</v>
      </c>
      <c r="F368" s="89">
        <v>46232</v>
      </c>
      <c r="G368" s="90">
        <v>371</v>
      </c>
      <c r="H368" s="89">
        <f>IF(COUNTIFS(Pesagens!$B$3:$B$5001,$B368)=0,"",_xlfn.MAXIFS(Pesagens!$A$3:$A$5001,Pesagens!$B$3:$B$5001,$B368,Pesagens!$E$3:$E$5001,"&lt;&gt;"))</f>
        <v>46232</v>
      </c>
      <c r="I368" s="90">
        <f>IF($H368="","",IFERROR(AVERAGEIFS(Pesagens!$E$3:$E$5001,Pesagens!$B$3:$B$5001,$B368,Pesagens!$A$3:$A$5001,$H368),""))</f>
        <v>371</v>
      </c>
      <c r="J368" s="87">
        <f>IF(F368="","",Parâmetros!$C$4-F368)</f>
        <v>14</v>
      </c>
      <c r="K368" s="90">
        <f t="shared" si="10"/>
        <v>0</v>
      </c>
      <c r="L368" s="91" t="str">
        <f t="shared" si="11"/>
        <v/>
      </c>
      <c r="M368" s="92">
        <f>IF(I368="","",I368*Parâmetros!$C$8/15)</f>
        <v>13.108666666666668</v>
      </c>
      <c r="N368" s="92">
        <f>IF(K368="","",K368*Parâmetros!$C$8/15)</f>
        <v>0</v>
      </c>
      <c r="O368" s="93">
        <f>IF(M368="","",M368*Parâmetros!$C$5)</f>
        <v>4063.686666666667</v>
      </c>
      <c r="P368" s="87" t="str">
        <f>IF(L368="","",IF(L368&gt;=Parâmetros!$C$10,"Sim","Não"))</f>
        <v/>
      </c>
    </row>
    <row r="369" spans="1:16" ht="14.25" customHeight="1" x14ac:dyDescent="0.3">
      <c r="A369" s="87">
        <v>367</v>
      </c>
      <c r="B369" s="95" t="s">
        <v>382</v>
      </c>
      <c r="C369" s="95" t="s">
        <v>371</v>
      </c>
      <c r="D369" s="95" t="s">
        <v>618</v>
      </c>
      <c r="E369" s="94" t="s">
        <v>372</v>
      </c>
      <c r="F369" s="96">
        <v>46232</v>
      </c>
      <c r="G369" s="97">
        <v>356</v>
      </c>
      <c r="H369" s="89">
        <f>IF(COUNTIFS(Pesagens!$B$3:$B$5001,$B369)=0,"",_xlfn.MAXIFS(Pesagens!$A$3:$A$5001,Pesagens!$B$3:$B$5001,$B369,Pesagens!$E$3:$E$5001,"&lt;&gt;"))</f>
        <v>46232</v>
      </c>
      <c r="I369" s="97">
        <f>IF($H369="","",IFERROR(AVERAGEIFS(Pesagens!$E$3:$E$5001,Pesagens!$B$3:$B$5001,$B369,Pesagens!$A$3:$A$5001,$H369),""))</f>
        <v>356</v>
      </c>
      <c r="J369" s="94">
        <f>IF(F369="","",Parâmetros!$C$4-F369)</f>
        <v>14</v>
      </c>
      <c r="K369" s="97">
        <f t="shared" si="10"/>
        <v>0</v>
      </c>
      <c r="L369" s="98" t="str">
        <f t="shared" si="11"/>
        <v/>
      </c>
      <c r="M369" s="99">
        <f>IF(I369="","",I369*Parâmetros!$C$8/15)</f>
        <v>12.578666666666667</v>
      </c>
      <c r="N369" s="99">
        <f>IF(K369="","",K369*Parâmetros!$C$8/15)</f>
        <v>0</v>
      </c>
      <c r="O369" s="100">
        <f>IF(M369="","",M369*Parâmetros!$C$5)</f>
        <v>3899.3866666666668</v>
      </c>
      <c r="P369" s="94" t="str">
        <f>IF(L369="","",IF(L369&gt;=Parâmetros!$C$10,"Sim","Não"))</f>
        <v/>
      </c>
    </row>
    <row r="370" spans="1:16" ht="14.25" customHeight="1" x14ac:dyDescent="0.3">
      <c r="A370" s="94">
        <v>368</v>
      </c>
      <c r="B370" s="88" t="s">
        <v>402</v>
      </c>
      <c r="C370" s="88" t="s">
        <v>371</v>
      </c>
      <c r="D370" s="88" t="s">
        <v>618</v>
      </c>
      <c r="E370" s="87" t="s">
        <v>372</v>
      </c>
      <c r="F370" s="89">
        <v>46232</v>
      </c>
      <c r="G370" s="90">
        <v>318</v>
      </c>
      <c r="H370" s="89">
        <f>IF(COUNTIFS(Pesagens!$B$3:$B$5001,$B370)=0,"",_xlfn.MAXIFS(Pesagens!$A$3:$A$5001,Pesagens!$B$3:$B$5001,$B370,Pesagens!$E$3:$E$5001,"&lt;&gt;"))</f>
        <v>46232</v>
      </c>
      <c r="I370" s="90">
        <f>IF($H370="","",IFERROR(AVERAGEIFS(Pesagens!$E$3:$E$5001,Pesagens!$B$3:$B$5001,$B370,Pesagens!$A$3:$A$5001,$H370),""))</f>
        <v>318</v>
      </c>
      <c r="J370" s="87">
        <f>IF(F370="","",Parâmetros!$C$4-F370)</f>
        <v>14</v>
      </c>
      <c r="K370" s="90">
        <f t="shared" si="10"/>
        <v>0</v>
      </c>
      <c r="L370" s="91" t="str">
        <f t="shared" si="11"/>
        <v/>
      </c>
      <c r="M370" s="92">
        <f>IF(I370="","",I370*Parâmetros!$C$8/15)</f>
        <v>11.236000000000001</v>
      </c>
      <c r="N370" s="92">
        <f>IF(K370="","",K370*Parâmetros!$C$8/15)</f>
        <v>0</v>
      </c>
      <c r="O370" s="93">
        <f>IF(M370="","",M370*Parâmetros!$C$5)</f>
        <v>3483.1600000000003</v>
      </c>
      <c r="P370" s="87" t="str">
        <f>IF(L370="","",IF(L370&gt;=Parâmetros!$C$10,"Sim","Não"))</f>
        <v/>
      </c>
    </row>
    <row r="371" spans="1:16" ht="14.25" customHeight="1" x14ac:dyDescent="0.3">
      <c r="A371" s="87">
        <v>369</v>
      </c>
      <c r="B371" s="95" t="s">
        <v>387</v>
      </c>
      <c r="C371" s="95" t="s">
        <v>371</v>
      </c>
      <c r="D371" s="95" t="s">
        <v>618</v>
      </c>
      <c r="E371" s="94" t="s">
        <v>372</v>
      </c>
      <c r="F371" s="96">
        <v>46232</v>
      </c>
      <c r="G371" s="97">
        <v>322</v>
      </c>
      <c r="H371" s="89">
        <f>IF(COUNTIFS(Pesagens!$B$3:$B$5001,$B371)=0,"",_xlfn.MAXIFS(Pesagens!$A$3:$A$5001,Pesagens!$B$3:$B$5001,$B371,Pesagens!$E$3:$E$5001,"&lt;&gt;"))</f>
        <v>46232</v>
      </c>
      <c r="I371" s="97">
        <f>IF($H371="","",IFERROR(AVERAGEIFS(Pesagens!$E$3:$E$5001,Pesagens!$B$3:$B$5001,$B371,Pesagens!$A$3:$A$5001,$H371),""))</f>
        <v>322</v>
      </c>
      <c r="J371" s="94">
        <f>IF(F371="","",Parâmetros!$C$4-F371)</f>
        <v>14</v>
      </c>
      <c r="K371" s="97">
        <f t="shared" si="10"/>
        <v>0</v>
      </c>
      <c r="L371" s="98" t="str">
        <f t="shared" si="11"/>
        <v/>
      </c>
      <c r="M371" s="99">
        <f>IF(I371="","",I371*Parâmetros!$C$8/15)</f>
        <v>11.377333333333333</v>
      </c>
      <c r="N371" s="99">
        <f>IF(K371="","",K371*Parâmetros!$C$8/15)</f>
        <v>0</v>
      </c>
      <c r="O371" s="100">
        <f>IF(M371="","",M371*Parâmetros!$C$5)</f>
        <v>3526.9733333333329</v>
      </c>
      <c r="P371" s="94" t="str">
        <f>IF(L371="","",IF(L371&gt;=Parâmetros!$C$10,"Sim","Não"))</f>
        <v/>
      </c>
    </row>
    <row r="372" spans="1:16" ht="14.25" customHeight="1" x14ac:dyDescent="0.3">
      <c r="A372" s="94">
        <v>370</v>
      </c>
      <c r="B372" s="88" t="s">
        <v>396</v>
      </c>
      <c r="C372" s="88" t="s">
        <v>371</v>
      </c>
      <c r="D372" s="88" t="s">
        <v>618</v>
      </c>
      <c r="E372" s="87" t="s">
        <v>372</v>
      </c>
      <c r="F372" s="89">
        <v>46232</v>
      </c>
      <c r="G372" s="90">
        <v>449</v>
      </c>
      <c r="H372" s="89">
        <f>IF(COUNTIFS(Pesagens!$B$3:$B$5001,$B372)=0,"",_xlfn.MAXIFS(Pesagens!$A$3:$A$5001,Pesagens!$B$3:$B$5001,$B372,Pesagens!$E$3:$E$5001,"&lt;&gt;"))</f>
        <v>46232</v>
      </c>
      <c r="I372" s="90">
        <f>IF($H372="","",IFERROR(AVERAGEIFS(Pesagens!$E$3:$E$5001,Pesagens!$B$3:$B$5001,$B372,Pesagens!$A$3:$A$5001,$H372),""))</f>
        <v>449</v>
      </c>
      <c r="J372" s="87">
        <f>IF(F372="","",Parâmetros!$C$4-F372)</f>
        <v>14</v>
      </c>
      <c r="K372" s="90">
        <f t="shared" si="10"/>
        <v>0</v>
      </c>
      <c r="L372" s="91" t="str">
        <f t="shared" si="11"/>
        <v/>
      </c>
      <c r="M372" s="92">
        <f>IF(I372="","",I372*Parâmetros!$C$8/15)</f>
        <v>15.864666666666666</v>
      </c>
      <c r="N372" s="92">
        <f>IF(K372="","",K372*Parâmetros!$C$8/15)</f>
        <v>0</v>
      </c>
      <c r="O372" s="93">
        <f>IF(M372="","",M372*Parâmetros!$C$5)</f>
        <v>4918.0466666666662</v>
      </c>
      <c r="P372" s="87" t="str">
        <f>IF(L372="","",IF(L372&gt;=Parâmetros!$C$10,"Sim","Não"))</f>
        <v/>
      </c>
    </row>
    <row r="373" spans="1:16" ht="14.25" customHeight="1" x14ac:dyDescent="0.3">
      <c r="A373" s="87">
        <v>371</v>
      </c>
      <c r="B373" s="95" t="s">
        <v>377</v>
      </c>
      <c r="C373" s="95" t="s">
        <v>371</v>
      </c>
      <c r="D373" s="95" t="s">
        <v>618</v>
      </c>
      <c r="E373" s="94" t="s">
        <v>372</v>
      </c>
      <c r="F373" s="96">
        <v>46232</v>
      </c>
      <c r="G373" s="97">
        <v>371</v>
      </c>
      <c r="H373" s="89">
        <f>IF(COUNTIFS(Pesagens!$B$3:$B$5001,$B373)=0,"",_xlfn.MAXIFS(Pesagens!$A$3:$A$5001,Pesagens!$B$3:$B$5001,$B373,Pesagens!$E$3:$E$5001,"&lt;&gt;"))</f>
        <v>46232</v>
      </c>
      <c r="I373" s="97">
        <f>IF($H373="","",IFERROR(AVERAGEIFS(Pesagens!$E$3:$E$5001,Pesagens!$B$3:$B$5001,$B373,Pesagens!$A$3:$A$5001,$H373),""))</f>
        <v>371</v>
      </c>
      <c r="J373" s="94">
        <f>IF(F373="","",Parâmetros!$C$4-F373)</f>
        <v>14</v>
      </c>
      <c r="K373" s="97">
        <f t="shared" si="10"/>
        <v>0</v>
      </c>
      <c r="L373" s="98" t="str">
        <f t="shared" si="11"/>
        <v/>
      </c>
      <c r="M373" s="99">
        <f>IF(I373="","",I373*Parâmetros!$C$8/15)</f>
        <v>13.108666666666668</v>
      </c>
      <c r="N373" s="99">
        <f>IF(K373="","",K373*Parâmetros!$C$8/15)</f>
        <v>0</v>
      </c>
      <c r="O373" s="100">
        <f>IF(M373="","",M373*Parâmetros!$C$5)</f>
        <v>4063.686666666667</v>
      </c>
      <c r="P373" s="94" t="str">
        <f>IF(L373="","",IF(L373&gt;=Parâmetros!$C$10,"Sim","Não"))</f>
        <v/>
      </c>
    </row>
    <row r="374" spans="1:16" ht="14.25" customHeight="1" x14ac:dyDescent="0.3">
      <c r="A374" s="94">
        <v>372</v>
      </c>
      <c r="B374" s="88" t="s">
        <v>384</v>
      </c>
      <c r="C374" s="88" t="s">
        <v>371</v>
      </c>
      <c r="D374" s="88" t="s">
        <v>618</v>
      </c>
      <c r="E374" s="87" t="s">
        <v>372</v>
      </c>
      <c r="F374" s="89">
        <v>46232</v>
      </c>
      <c r="G374" s="90">
        <v>320</v>
      </c>
      <c r="H374" s="89">
        <f>IF(COUNTIFS(Pesagens!$B$3:$B$5001,$B374)=0,"",_xlfn.MAXIFS(Pesagens!$A$3:$A$5001,Pesagens!$B$3:$B$5001,$B374,Pesagens!$E$3:$E$5001,"&lt;&gt;"))</f>
        <v>46232</v>
      </c>
      <c r="I374" s="90">
        <f>IF($H374="","",IFERROR(AVERAGEIFS(Pesagens!$E$3:$E$5001,Pesagens!$B$3:$B$5001,$B374,Pesagens!$A$3:$A$5001,$H374),""))</f>
        <v>320</v>
      </c>
      <c r="J374" s="87">
        <f>IF(F374="","",Parâmetros!$C$4-F374)</f>
        <v>14</v>
      </c>
      <c r="K374" s="90">
        <f t="shared" si="10"/>
        <v>0</v>
      </c>
      <c r="L374" s="91" t="str">
        <f t="shared" si="11"/>
        <v/>
      </c>
      <c r="M374" s="92">
        <f>IF(I374="","",I374*Parâmetros!$C$8/15)</f>
        <v>11.306666666666668</v>
      </c>
      <c r="N374" s="92">
        <f>IF(K374="","",K374*Parâmetros!$C$8/15)</f>
        <v>0</v>
      </c>
      <c r="O374" s="93">
        <f>IF(M374="","",M374*Parâmetros!$C$5)</f>
        <v>3505.0666666666671</v>
      </c>
      <c r="P374" s="87" t="str">
        <f>IF(L374="","",IF(L374&gt;=Parâmetros!$C$10,"Sim","Não"))</f>
        <v/>
      </c>
    </row>
    <row r="375" spans="1:16" ht="14.25" customHeight="1" x14ac:dyDescent="0.3">
      <c r="A375" s="87">
        <v>373</v>
      </c>
      <c r="B375" s="95" t="s">
        <v>406</v>
      </c>
      <c r="C375" s="95" t="s">
        <v>371</v>
      </c>
      <c r="D375" s="95" t="s">
        <v>618</v>
      </c>
      <c r="E375" s="94" t="s">
        <v>372</v>
      </c>
      <c r="F375" s="96">
        <v>46232</v>
      </c>
      <c r="G375" s="97">
        <v>362</v>
      </c>
      <c r="H375" s="89">
        <f>IF(COUNTIFS(Pesagens!$B$3:$B$5001,$B375)=0,"",_xlfn.MAXIFS(Pesagens!$A$3:$A$5001,Pesagens!$B$3:$B$5001,$B375,Pesagens!$E$3:$E$5001,"&lt;&gt;"))</f>
        <v>46232</v>
      </c>
      <c r="I375" s="97">
        <f>IF($H375="","",IFERROR(AVERAGEIFS(Pesagens!$E$3:$E$5001,Pesagens!$B$3:$B$5001,$B375,Pesagens!$A$3:$A$5001,$H375),""))</f>
        <v>362</v>
      </c>
      <c r="J375" s="94">
        <f>IF(F375="","",Parâmetros!$C$4-F375)</f>
        <v>14</v>
      </c>
      <c r="K375" s="97">
        <f t="shared" si="10"/>
        <v>0</v>
      </c>
      <c r="L375" s="98" t="str">
        <f t="shared" si="11"/>
        <v/>
      </c>
      <c r="M375" s="99">
        <f>IF(I375="","",I375*Parâmetros!$C$8/15)</f>
        <v>12.790666666666668</v>
      </c>
      <c r="N375" s="99">
        <f>IF(K375="","",K375*Parâmetros!$C$8/15)</f>
        <v>0</v>
      </c>
      <c r="O375" s="100">
        <f>IF(M375="","",M375*Parâmetros!$C$5)</f>
        <v>3965.106666666667</v>
      </c>
      <c r="P375" s="94" t="str">
        <f>IF(L375="","",IF(L375&gt;=Parâmetros!$C$10,"Sim","Não"))</f>
        <v/>
      </c>
    </row>
    <row r="376" spans="1:16" ht="14.25" customHeight="1" x14ac:dyDescent="0.3">
      <c r="A376" s="94">
        <v>374</v>
      </c>
      <c r="B376" s="88" t="s">
        <v>391</v>
      </c>
      <c r="C376" s="88" t="s">
        <v>371</v>
      </c>
      <c r="D376" s="88" t="s">
        <v>618</v>
      </c>
      <c r="E376" s="87" t="s">
        <v>372</v>
      </c>
      <c r="F376" s="89">
        <v>46232</v>
      </c>
      <c r="G376" s="90">
        <v>305</v>
      </c>
      <c r="H376" s="89">
        <f>IF(COUNTIFS(Pesagens!$B$3:$B$5001,$B376)=0,"",_xlfn.MAXIFS(Pesagens!$A$3:$A$5001,Pesagens!$B$3:$B$5001,$B376,Pesagens!$E$3:$E$5001,"&lt;&gt;"))</f>
        <v>46232</v>
      </c>
      <c r="I376" s="90">
        <f>IF($H376="","",IFERROR(AVERAGEIFS(Pesagens!$E$3:$E$5001,Pesagens!$B$3:$B$5001,$B376,Pesagens!$A$3:$A$5001,$H376),""))</f>
        <v>305</v>
      </c>
      <c r="J376" s="87">
        <f>IF(F376="","",Parâmetros!$C$4-F376)</f>
        <v>14</v>
      </c>
      <c r="K376" s="90">
        <f t="shared" si="10"/>
        <v>0</v>
      </c>
      <c r="L376" s="91" t="str">
        <f t="shared" si="11"/>
        <v/>
      </c>
      <c r="M376" s="92">
        <f>IF(I376="","",I376*Parâmetros!$C$8/15)</f>
        <v>10.776666666666667</v>
      </c>
      <c r="N376" s="92">
        <f>IF(K376="","",K376*Parâmetros!$C$8/15)</f>
        <v>0</v>
      </c>
      <c r="O376" s="93">
        <f>IF(M376="","",M376*Parâmetros!$C$5)</f>
        <v>3340.7666666666669</v>
      </c>
      <c r="P376" s="87" t="str">
        <f>IF(L376="","",IF(L376&gt;=Parâmetros!$C$10,"Sim","Não"))</f>
        <v/>
      </c>
    </row>
    <row r="377" spans="1:16" ht="14.25" customHeight="1" x14ac:dyDescent="0.3">
      <c r="A377" s="87">
        <v>375</v>
      </c>
      <c r="B377" s="95" t="s">
        <v>408</v>
      </c>
      <c r="C377" s="95" t="s">
        <v>371</v>
      </c>
      <c r="D377" s="95" t="s">
        <v>618</v>
      </c>
      <c r="E377" s="94" t="s">
        <v>372</v>
      </c>
      <c r="F377" s="96">
        <v>46232</v>
      </c>
      <c r="G377" s="97">
        <v>339</v>
      </c>
      <c r="H377" s="89">
        <f>IF(COUNTIFS(Pesagens!$B$3:$B$5001,$B377)=0,"",_xlfn.MAXIFS(Pesagens!$A$3:$A$5001,Pesagens!$B$3:$B$5001,$B377,Pesagens!$E$3:$E$5001,"&lt;&gt;"))</f>
        <v>46232</v>
      </c>
      <c r="I377" s="97">
        <f>IF($H377="","",IFERROR(AVERAGEIFS(Pesagens!$E$3:$E$5001,Pesagens!$B$3:$B$5001,$B377,Pesagens!$A$3:$A$5001,$H377),""))</f>
        <v>339</v>
      </c>
      <c r="J377" s="94">
        <f>IF(F377="","",Parâmetros!$C$4-F377)</f>
        <v>14</v>
      </c>
      <c r="K377" s="97">
        <f t="shared" si="10"/>
        <v>0</v>
      </c>
      <c r="L377" s="98" t="str">
        <f t="shared" si="11"/>
        <v/>
      </c>
      <c r="M377" s="99">
        <f>IF(I377="","",I377*Parâmetros!$C$8/15)</f>
        <v>11.978000000000002</v>
      </c>
      <c r="N377" s="99">
        <f>IF(K377="","",K377*Parâmetros!$C$8/15)</f>
        <v>0</v>
      </c>
      <c r="O377" s="100">
        <f>IF(M377="","",M377*Parâmetros!$C$5)</f>
        <v>3713.1800000000003</v>
      </c>
      <c r="P377" s="94" t="str">
        <f>IF(L377="","",IF(L377&gt;=Parâmetros!$C$10,"Sim","Não"))</f>
        <v/>
      </c>
    </row>
    <row r="378" spans="1:16" ht="14.25" customHeight="1" x14ac:dyDescent="0.3">
      <c r="A378" s="94">
        <v>376</v>
      </c>
      <c r="B378" s="88" t="s">
        <v>385</v>
      </c>
      <c r="C378" s="88" t="s">
        <v>371</v>
      </c>
      <c r="D378" s="88" t="s">
        <v>618</v>
      </c>
      <c r="E378" s="87" t="s">
        <v>372</v>
      </c>
      <c r="F378" s="89">
        <v>46232</v>
      </c>
      <c r="G378" s="90">
        <v>316</v>
      </c>
      <c r="H378" s="89">
        <f>IF(COUNTIFS(Pesagens!$B$3:$B$5001,$B378)=0,"",_xlfn.MAXIFS(Pesagens!$A$3:$A$5001,Pesagens!$B$3:$B$5001,$B378,Pesagens!$E$3:$E$5001,"&lt;&gt;"))</f>
        <v>46232</v>
      </c>
      <c r="I378" s="90">
        <f>IF($H378="","",IFERROR(AVERAGEIFS(Pesagens!$E$3:$E$5001,Pesagens!$B$3:$B$5001,$B378,Pesagens!$A$3:$A$5001,$H378),""))</f>
        <v>316</v>
      </c>
      <c r="J378" s="87">
        <f>IF(F378="","",Parâmetros!$C$4-F378)</f>
        <v>14</v>
      </c>
      <c r="K378" s="90">
        <f t="shared" si="10"/>
        <v>0</v>
      </c>
      <c r="L378" s="91" t="str">
        <f t="shared" si="11"/>
        <v/>
      </c>
      <c r="M378" s="92">
        <f>IF(I378="","",I378*Parâmetros!$C$8/15)</f>
        <v>11.165333333333335</v>
      </c>
      <c r="N378" s="92">
        <f>IF(K378="","",K378*Parâmetros!$C$8/15)</f>
        <v>0</v>
      </c>
      <c r="O378" s="93">
        <f>IF(M378="","",M378*Parâmetros!$C$5)</f>
        <v>3461.2533333333336</v>
      </c>
      <c r="P378" s="87" t="str">
        <f>IF(L378="","",IF(L378&gt;=Parâmetros!$C$10,"Sim","Não"))</f>
        <v/>
      </c>
    </row>
    <row r="379" spans="1:16" ht="14.25" customHeight="1" x14ac:dyDescent="0.3">
      <c r="A379" s="87">
        <v>377</v>
      </c>
      <c r="B379" s="95" t="s">
        <v>394</v>
      </c>
      <c r="C379" s="95" t="s">
        <v>371</v>
      </c>
      <c r="D379" s="95" t="s">
        <v>618</v>
      </c>
      <c r="E379" s="94" t="s">
        <v>372</v>
      </c>
      <c r="F379" s="96">
        <v>46232</v>
      </c>
      <c r="G379" s="97">
        <v>300</v>
      </c>
      <c r="H379" s="89">
        <f>IF(COUNTIFS(Pesagens!$B$3:$B$5001,$B379)=0,"",_xlfn.MAXIFS(Pesagens!$A$3:$A$5001,Pesagens!$B$3:$B$5001,$B379,Pesagens!$E$3:$E$5001,"&lt;&gt;"))</f>
        <v>46232</v>
      </c>
      <c r="I379" s="97">
        <f>IF($H379="","",IFERROR(AVERAGEIFS(Pesagens!$E$3:$E$5001,Pesagens!$B$3:$B$5001,$B379,Pesagens!$A$3:$A$5001,$H379),""))</f>
        <v>300</v>
      </c>
      <c r="J379" s="94">
        <f>IF(F379="","",Parâmetros!$C$4-F379)</f>
        <v>14</v>
      </c>
      <c r="K379" s="97">
        <f t="shared" si="10"/>
        <v>0</v>
      </c>
      <c r="L379" s="98" t="str">
        <f t="shared" si="11"/>
        <v/>
      </c>
      <c r="M379" s="99">
        <f>IF(I379="","",I379*Parâmetros!$C$8/15)</f>
        <v>10.6</v>
      </c>
      <c r="N379" s="99">
        <f>IF(K379="","",K379*Parâmetros!$C$8/15)</f>
        <v>0</v>
      </c>
      <c r="O379" s="100">
        <f>IF(M379="","",M379*Parâmetros!$C$5)</f>
        <v>3286</v>
      </c>
      <c r="P379" s="94" t="str">
        <f>IF(L379="","",IF(L379&gt;=Parâmetros!$C$10,"Sim","Não"))</f>
        <v/>
      </c>
    </row>
    <row r="380" spans="1:16" ht="14.25" customHeight="1" x14ac:dyDescent="0.3">
      <c r="A380" s="94">
        <v>378</v>
      </c>
      <c r="B380" s="88" t="s">
        <v>370</v>
      </c>
      <c r="C380" s="88" t="s">
        <v>371</v>
      </c>
      <c r="D380" s="88" t="s">
        <v>618</v>
      </c>
      <c r="E380" s="87" t="s">
        <v>372</v>
      </c>
      <c r="F380" s="89">
        <v>46232</v>
      </c>
      <c r="G380" s="90">
        <v>339</v>
      </c>
      <c r="H380" s="89">
        <f>IF(COUNTIFS(Pesagens!$B$3:$B$5001,$B380)=0,"",_xlfn.MAXIFS(Pesagens!$A$3:$A$5001,Pesagens!$B$3:$B$5001,$B380,Pesagens!$E$3:$E$5001,"&lt;&gt;"))</f>
        <v>46232</v>
      </c>
      <c r="I380" s="90">
        <f>IF($H380="","",IFERROR(AVERAGEIFS(Pesagens!$E$3:$E$5001,Pesagens!$B$3:$B$5001,$B380,Pesagens!$A$3:$A$5001,$H380),""))</f>
        <v>339</v>
      </c>
      <c r="J380" s="87">
        <f>IF(F380="","",Parâmetros!$C$4-F380)</f>
        <v>14</v>
      </c>
      <c r="K380" s="90">
        <f t="shared" si="10"/>
        <v>0</v>
      </c>
      <c r="L380" s="91" t="str">
        <f t="shared" si="11"/>
        <v/>
      </c>
      <c r="M380" s="92">
        <f>IF(I380="","",I380*Parâmetros!$C$8/15)</f>
        <v>11.978000000000002</v>
      </c>
      <c r="N380" s="92">
        <f>IF(K380="","",K380*Parâmetros!$C$8/15)</f>
        <v>0</v>
      </c>
      <c r="O380" s="93">
        <f>IF(M380="","",M380*Parâmetros!$C$5)</f>
        <v>3713.1800000000003</v>
      </c>
      <c r="P380" s="87" t="str">
        <f>IF(L380="","",IF(L380&gt;=Parâmetros!$C$10,"Sim","Não"))</f>
        <v/>
      </c>
    </row>
    <row r="381" spans="1:16" ht="14.25" customHeight="1" x14ac:dyDescent="0.3">
      <c r="A381" s="87">
        <v>379</v>
      </c>
      <c r="B381" s="95" t="s">
        <v>393</v>
      </c>
      <c r="C381" s="95" t="s">
        <v>371</v>
      </c>
      <c r="D381" s="95" t="s">
        <v>618</v>
      </c>
      <c r="E381" s="94" t="s">
        <v>372</v>
      </c>
      <c r="F381" s="96">
        <v>46232</v>
      </c>
      <c r="G381" s="97">
        <v>348</v>
      </c>
      <c r="H381" s="89">
        <f>IF(COUNTIFS(Pesagens!$B$3:$B$5001,$B381)=0,"",_xlfn.MAXIFS(Pesagens!$A$3:$A$5001,Pesagens!$B$3:$B$5001,$B381,Pesagens!$E$3:$E$5001,"&lt;&gt;"))</f>
        <v>46232</v>
      </c>
      <c r="I381" s="97">
        <f>IF($H381="","",IFERROR(AVERAGEIFS(Pesagens!$E$3:$E$5001,Pesagens!$B$3:$B$5001,$B381,Pesagens!$A$3:$A$5001,$H381),""))</f>
        <v>348</v>
      </c>
      <c r="J381" s="94">
        <f>IF(F381="","",Parâmetros!$C$4-F381)</f>
        <v>14</v>
      </c>
      <c r="K381" s="97">
        <f t="shared" si="10"/>
        <v>0</v>
      </c>
      <c r="L381" s="98" t="str">
        <f t="shared" si="11"/>
        <v/>
      </c>
      <c r="M381" s="99">
        <f>IF(I381="","",I381*Parâmetros!$C$8/15)</f>
        <v>12.295999999999999</v>
      </c>
      <c r="N381" s="99">
        <f>IF(K381="","",K381*Parâmetros!$C$8/15)</f>
        <v>0</v>
      </c>
      <c r="O381" s="100">
        <f>IF(M381="","",M381*Parâmetros!$C$5)</f>
        <v>3811.7599999999998</v>
      </c>
      <c r="P381" s="94" t="str">
        <f>IF(L381="","",IF(L381&gt;=Parâmetros!$C$10,"Sim","Não"))</f>
        <v/>
      </c>
    </row>
    <row r="382" spans="1:16" ht="14.25" customHeight="1" x14ac:dyDescent="0.3">
      <c r="A382" s="94">
        <v>380</v>
      </c>
      <c r="B382" s="88" t="s">
        <v>407</v>
      </c>
      <c r="C382" s="88" t="s">
        <v>371</v>
      </c>
      <c r="D382" s="88" t="s">
        <v>618</v>
      </c>
      <c r="E382" s="87" t="s">
        <v>372</v>
      </c>
      <c r="F382" s="89">
        <v>46232</v>
      </c>
      <c r="G382" s="90">
        <v>369</v>
      </c>
      <c r="H382" s="89">
        <f>IF(COUNTIFS(Pesagens!$B$3:$B$5001,$B382)=0,"",_xlfn.MAXIFS(Pesagens!$A$3:$A$5001,Pesagens!$B$3:$B$5001,$B382,Pesagens!$E$3:$E$5001,"&lt;&gt;"))</f>
        <v>46232</v>
      </c>
      <c r="I382" s="90">
        <f>IF($H382="","",IFERROR(AVERAGEIFS(Pesagens!$E$3:$E$5001,Pesagens!$B$3:$B$5001,$B382,Pesagens!$A$3:$A$5001,$H382),""))</f>
        <v>369</v>
      </c>
      <c r="J382" s="87">
        <f>IF(F382="","",Parâmetros!$C$4-F382)</f>
        <v>14</v>
      </c>
      <c r="K382" s="90">
        <f t="shared" si="10"/>
        <v>0</v>
      </c>
      <c r="L382" s="91" t="str">
        <f t="shared" si="11"/>
        <v/>
      </c>
      <c r="M382" s="92">
        <f>IF(I382="","",I382*Parâmetros!$C$8/15)</f>
        <v>13.038000000000002</v>
      </c>
      <c r="N382" s="92">
        <f>IF(K382="","",K382*Parâmetros!$C$8/15)</f>
        <v>0</v>
      </c>
      <c r="O382" s="93">
        <f>IF(M382="","",M382*Parâmetros!$C$5)</f>
        <v>4041.7800000000007</v>
      </c>
      <c r="P382" s="87" t="str">
        <f>IF(L382="","",IF(L382&gt;=Parâmetros!$C$10,"Sim","Não"))</f>
        <v/>
      </c>
    </row>
    <row r="383" spans="1:16" ht="14.25" customHeight="1" x14ac:dyDescent="0.3">
      <c r="A383" s="87">
        <v>381</v>
      </c>
      <c r="B383" s="95" t="s">
        <v>380</v>
      </c>
      <c r="C383" s="95" t="s">
        <v>371</v>
      </c>
      <c r="D383" s="95" t="s">
        <v>618</v>
      </c>
      <c r="E383" s="94" t="s">
        <v>372</v>
      </c>
      <c r="F383" s="96">
        <v>46232</v>
      </c>
      <c r="G383" s="97">
        <v>366</v>
      </c>
      <c r="H383" s="89">
        <f>IF(COUNTIFS(Pesagens!$B$3:$B$5001,$B383)=0,"",_xlfn.MAXIFS(Pesagens!$A$3:$A$5001,Pesagens!$B$3:$B$5001,$B383,Pesagens!$E$3:$E$5001,"&lt;&gt;"))</f>
        <v>46232</v>
      </c>
      <c r="I383" s="97">
        <f>IF($H383="","",IFERROR(AVERAGEIFS(Pesagens!$E$3:$E$5001,Pesagens!$B$3:$B$5001,$B383,Pesagens!$A$3:$A$5001,$H383),""))</f>
        <v>366</v>
      </c>
      <c r="J383" s="94">
        <f>IF(F383="","",Parâmetros!$C$4-F383)</f>
        <v>14</v>
      </c>
      <c r="K383" s="97">
        <f t="shared" si="10"/>
        <v>0</v>
      </c>
      <c r="L383" s="98" t="str">
        <f t="shared" si="11"/>
        <v/>
      </c>
      <c r="M383" s="99">
        <f>IF(I383="","",I383*Parâmetros!$C$8/15)</f>
        <v>12.932</v>
      </c>
      <c r="N383" s="99">
        <f>IF(K383="","",K383*Parâmetros!$C$8/15)</f>
        <v>0</v>
      </c>
      <c r="O383" s="100">
        <f>IF(M383="","",M383*Parâmetros!$C$5)</f>
        <v>4008.92</v>
      </c>
      <c r="P383" s="94" t="str">
        <f>IF(L383="","",IF(L383&gt;=Parâmetros!$C$10,"Sim","Não"))</f>
        <v/>
      </c>
    </row>
    <row r="384" spans="1:16" ht="14.25" customHeight="1" x14ac:dyDescent="0.3">
      <c r="A384" s="94">
        <v>382</v>
      </c>
      <c r="B384" s="88" t="s">
        <v>383</v>
      </c>
      <c r="C384" s="88" t="s">
        <v>371</v>
      </c>
      <c r="D384" s="88" t="s">
        <v>618</v>
      </c>
      <c r="E384" s="87" t="s">
        <v>372</v>
      </c>
      <c r="F384" s="89">
        <v>46232</v>
      </c>
      <c r="G384" s="90">
        <v>412</v>
      </c>
      <c r="H384" s="89">
        <f>IF(COUNTIFS(Pesagens!$B$3:$B$5001,$B384)=0,"",_xlfn.MAXIFS(Pesagens!$A$3:$A$5001,Pesagens!$B$3:$B$5001,$B384,Pesagens!$E$3:$E$5001,"&lt;&gt;"))</f>
        <v>46232</v>
      </c>
      <c r="I384" s="90">
        <f>IF($H384="","",IFERROR(AVERAGEIFS(Pesagens!$E$3:$E$5001,Pesagens!$B$3:$B$5001,$B384,Pesagens!$A$3:$A$5001,$H384),""))</f>
        <v>412</v>
      </c>
      <c r="J384" s="87">
        <f>IF(F384="","",Parâmetros!$C$4-F384)</f>
        <v>14</v>
      </c>
      <c r="K384" s="90">
        <f t="shared" si="10"/>
        <v>0</v>
      </c>
      <c r="L384" s="91" t="str">
        <f t="shared" si="11"/>
        <v/>
      </c>
      <c r="M384" s="92">
        <f>IF(I384="","",I384*Parâmetros!$C$8/15)</f>
        <v>14.557333333333334</v>
      </c>
      <c r="N384" s="92">
        <f>IF(K384="","",K384*Parâmetros!$C$8/15)</f>
        <v>0</v>
      </c>
      <c r="O384" s="93">
        <f>IF(M384="","",M384*Parâmetros!$C$5)</f>
        <v>4512.7733333333335</v>
      </c>
      <c r="P384" s="87" t="str">
        <f>IF(L384="","",IF(L384&gt;=Parâmetros!$C$10,"Sim","Não"))</f>
        <v/>
      </c>
    </row>
    <row r="385" spans="1:16" ht="14.25" customHeight="1" x14ac:dyDescent="0.3">
      <c r="A385" s="87">
        <v>383</v>
      </c>
      <c r="B385" s="95" t="s">
        <v>398</v>
      </c>
      <c r="C385" s="95" t="s">
        <v>371</v>
      </c>
      <c r="D385" s="95" t="s">
        <v>618</v>
      </c>
      <c r="E385" s="94" t="s">
        <v>372</v>
      </c>
      <c r="F385" s="96">
        <v>46232</v>
      </c>
      <c r="G385" s="97">
        <v>339</v>
      </c>
      <c r="H385" s="89">
        <f>IF(COUNTIFS(Pesagens!$B$3:$B$5001,$B385)=0,"",_xlfn.MAXIFS(Pesagens!$A$3:$A$5001,Pesagens!$B$3:$B$5001,$B385,Pesagens!$E$3:$E$5001,"&lt;&gt;"))</f>
        <v>46232</v>
      </c>
      <c r="I385" s="97">
        <f>IF($H385="","",IFERROR(AVERAGEIFS(Pesagens!$E$3:$E$5001,Pesagens!$B$3:$B$5001,$B385,Pesagens!$A$3:$A$5001,$H385),""))</f>
        <v>339</v>
      </c>
      <c r="J385" s="94">
        <f>IF(F385="","",Parâmetros!$C$4-F385)</f>
        <v>14</v>
      </c>
      <c r="K385" s="97">
        <f t="shared" si="10"/>
        <v>0</v>
      </c>
      <c r="L385" s="98" t="str">
        <f t="shared" si="11"/>
        <v/>
      </c>
      <c r="M385" s="99">
        <f>IF(I385="","",I385*Parâmetros!$C$8/15)</f>
        <v>11.978000000000002</v>
      </c>
      <c r="N385" s="99">
        <f>IF(K385="","",K385*Parâmetros!$C$8/15)</f>
        <v>0</v>
      </c>
      <c r="O385" s="100">
        <f>IF(M385="","",M385*Parâmetros!$C$5)</f>
        <v>3713.1800000000003</v>
      </c>
      <c r="P385" s="94" t="str">
        <f>IF(L385="","",IF(L385&gt;=Parâmetros!$C$10,"Sim","Não"))</f>
        <v/>
      </c>
    </row>
    <row r="386" spans="1:16" ht="14.25" customHeight="1" x14ac:dyDescent="0.3">
      <c r="A386" s="94">
        <v>384</v>
      </c>
      <c r="B386" s="88" t="s">
        <v>395</v>
      </c>
      <c r="C386" s="88" t="s">
        <v>371</v>
      </c>
      <c r="D386" s="88" t="s">
        <v>618</v>
      </c>
      <c r="E386" s="87" t="s">
        <v>372</v>
      </c>
      <c r="F386" s="89">
        <v>46232</v>
      </c>
      <c r="G386" s="90">
        <v>365</v>
      </c>
      <c r="H386" s="89">
        <f>IF(COUNTIFS(Pesagens!$B$3:$B$5001,$B386)=0,"",_xlfn.MAXIFS(Pesagens!$A$3:$A$5001,Pesagens!$B$3:$B$5001,$B386,Pesagens!$E$3:$E$5001,"&lt;&gt;"))</f>
        <v>46232</v>
      </c>
      <c r="I386" s="90">
        <f>IF($H386="","",IFERROR(AVERAGEIFS(Pesagens!$E$3:$E$5001,Pesagens!$B$3:$B$5001,$B386,Pesagens!$A$3:$A$5001,$H386),""))</f>
        <v>365</v>
      </c>
      <c r="J386" s="87">
        <f>IF(F386="","",Parâmetros!$C$4-F386)</f>
        <v>14</v>
      </c>
      <c r="K386" s="90">
        <f t="shared" si="10"/>
        <v>0</v>
      </c>
      <c r="L386" s="91" t="str">
        <f t="shared" si="11"/>
        <v/>
      </c>
      <c r="M386" s="92">
        <f>IF(I386="","",I386*Parâmetros!$C$8/15)</f>
        <v>12.896666666666668</v>
      </c>
      <c r="N386" s="92">
        <f>IF(K386="","",K386*Parâmetros!$C$8/15)</f>
        <v>0</v>
      </c>
      <c r="O386" s="93">
        <f>IF(M386="","",M386*Parâmetros!$C$5)</f>
        <v>3997.9666666666672</v>
      </c>
      <c r="P386" s="87" t="str">
        <f>IF(L386="","",IF(L386&gt;=Parâmetros!$C$10,"Sim","Não"))</f>
        <v/>
      </c>
    </row>
    <row r="387" spans="1:16" ht="14.25" customHeight="1" x14ac:dyDescent="0.3">
      <c r="A387" s="87">
        <v>385</v>
      </c>
      <c r="B387" s="95" t="s">
        <v>389</v>
      </c>
      <c r="C387" s="95" t="s">
        <v>371</v>
      </c>
      <c r="D387" s="95" t="s">
        <v>618</v>
      </c>
      <c r="E387" s="94" t="s">
        <v>372</v>
      </c>
      <c r="F387" s="96">
        <v>46232</v>
      </c>
      <c r="G387" s="97">
        <v>301</v>
      </c>
      <c r="H387" s="89">
        <f>IF(COUNTIFS(Pesagens!$B$3:$B$5001,$B387)=0,"",_xlfn.MAXIFS(Pesagens!$A$3:$A$5001,Pesagens!$B$3:$B$5001,$B387,Pesagens!$E$3:$E$5001,"&lt;&gt;"))</f>
        <v>46232</v>
      </c>
      <c r="I387" s="97">
        <f>IF($H387="","",IFERROR(AVERAGEIFS(Pesagens!$E$3:$E$5001,Pesagens!$B$3:$B$5001,$B387,Pesagens!$A$3:$A$5001,$H387),""))</f>
        <v>301</v>
      </c>
      <c r="J387" s="94">
        <f>IF(F387="","",Parâmetros!$C$4-F387)</f>
        <v>14</v>
      </c>
      <c r="K387" s="97">
        <f t="shared" si="10"/>
        <v>0</v>
      </c>
      <c r="L387" s="98" t="str">
        <f t="shared" si="11"/>
        <v/>
      </c>
      <c r="M387" s="99">
        <f>IF(I387="","",I387*Parâmetros!$C$8/15)</f>
        <v>10.635333333333334</v>
      </c>
      <c r="N387" s="99">
        <f>IF(K387="","",K387*Parâmetros!$C$8/15)</f>
        <v>0</v>
      </c>
      <c r="O387" s="100">
        <f>IF(M387="","",M387*Parâmetros!$C$5)</f>
        <v>3296.9533333333334</v>
      </c>
      <c r="P387" s="94" t="str">
        <f>IF(L387="","",IF(L387&gt;=Parâmetros!$C$10,"Sim","Não"))</f>
        <v/>
      </c>
    </row>
  </sheetData>
  <mergeCells count="1">
    <mergeCell ref="A1:P1"/>
  </mergeCells>
  <printOptions headings="1"/>
  <pageMargins left="0.74791666666666701" right="0.74791666666666701" top="0.98402777777777795" bottom="0.98402777777777795" header="0.511811023622047" footer="0.511811023622047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33"/>
  <sheetViews>
    <sheetView showGridLines="0" zoomScaleNormal="100" workbookViewId="0">
      <pane ySplit="2" topLeftCell="A723" activePane="bottomLeft" state="frozen"/>
      <selection pane="bottomLeft" activeCell="E676" sqref="E676"/>
    </sheetView>
  </sheetViews>
  <sheetFormatPr defaultColWidth="8.6640625" defaultRowHeight="14.4" x14ac:dyDescent="0.3"/>
  <cols>
    <col min="1" max="1" width="13" customWidth="1"/>
    <col min="2" max="2" width="14" customWidth="1"/>
    <col min="3" max="3" width="16" customWidth="1"/>
    <col min="4" max="4" width="9" customWidth="1"/>
    <col min="5" max="5" width="11" customWidth="1"/>
    <col min="6" max="6" width="34" customWidth="1"/>
  </cols>
  <sheetData>
    <row r="1" spans="1:6" ht="21.75" customHeight="1" x14ac:dyDescent="0.3">
      <c r="A1" s="124" t="s">
        <v>0</v>
      </c>
      <c r="B1" s="125"/>
      <c r="C1" s="125"/>
      <c r="D1" s="125"/>
      <c r="E1" s="125"/>
      <c r="F1" s="125"/>
    </row>
    <row r="2" spans="1:6" ht="14.25" customHeight="1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</row>
    <row r="3" spans="1:6" ht="14.25" customHeight="1" x14ac:dyDescent="0.3">
      <c r="A3" s="101">
        <v>46078</v>
      </c>
      <c r="B3" s="88" t="s">
        <v>7</v>
      </c>
      <c r="C3" s="88" t="s">
        <v>8</v>
      </c>
      <c r="D3" s="87" t="s">
        <v>9</v>
      </c>
      <c r="E3" s="90">
        <v>374</v>
      </c>
      <c r="F3" s="88" t="s">
        <v>10</v>
      </c>
    </row>
    <row r="4" spans="1:6" ht="14.25" customHeight="1" x14ac:dyDescent="0.3">
      <c r="A4" s="102">
        <v>46078</v>
      </c>
      <c r="B4" s="95" t="s">
        <v>11</v>
      </c>
      <c r="C4" s="95" t="s">
        <v>8</v>
      </c>
      <c r="D4" s="94" t="s">
        <v>9</v>
      </c>
      <c r="E4" s="97">
        <v>367</v>
      </c>
      <c r="F4" s="95" t="s">
        <v>10</v>
      </c>
    </row>
    <row r="5" spans="1:6" ht="14.25" customHeight="1" x14ac:dyDescent="0.3">
      <c r="A5" s="101">
        <v>46078</v>
      </c>
      <c r="B5" s="88" t="s">
        <v>12</v>
      </c>
      <c r="C5" s="88" t="s">
        <v>8</v>
      </c>
      <c r="D5" s="87" t="s">
        <v>9</v>
      </c>
      <c r="E5" s="90">
        <v>388</v>
      </c>
      <c r="F5" s="88" t="s">
        <v>10</v>
      </c>
    </row>
    <row r="6" spans="1:6" ht="14.25" customHeight="1" x14ac:dyDescent="0.3">
      <c r="A6" s="102">
        <v>46078</v>
      </c>
      <c r="B6" s="95" t="s">
        <v>13</v>
      </c>
      <c r="C6" s="95" t="s">
        <v>8</v>
      </c>
      <c r="D6" s="94" t="s">
        <v>9</v>
      </c>
      <c r="E6" s="97">
        <v>381</v>
      </c>
      <c r="F6" s="95" t="s">
        <v>10</v>
      </c>
    </row>
    <row r="7" spans="1:6" ht="14.25" customHeight="1" x14ac:dyDescent="0.3">
      <c r="A7" s="101">
        <v>46078</v>
      </c>
      <c r="B7" s="88" t="s">
        <v>14</v>
      </c>
      <c r="C7" s="88" t="s">
        <v>8</v>
      </c>
      <c r="D7" s="87" t="s">
        <v>9</v>
      </c>
      <c r="E7" s="90">
        <v>383</v>
      </c>
      <c r="F7" s="88" t="s">
        <v>10</v>
      </c>
    </row>
    <row r="8" spans="1:6" ht="14.25" customHeight="1" x14ac:dyDescent="0.3">
      <c r="A8" s="102">
        <v>46078</v>
      </c>
      <c r="B8" s="95" t="s">
        <v>15</v>
      </c>
      <c r="C8" s="95" t="s">
        <v>8</v>
      </c>
      <c r="D8" s="94" t="s">
        <v>9</v>
      </c>
      <c r="E8" s="97">
        <v>379</v>
      </c>
      <c r="F8" s="95" t="s">
        <v>10</v>
      </c>
    </row>
    <row r="9" spans="1:6" ht="14.25" customHeight="1" x14ac:dyDescent="0.3">
      <c r="A9" s="101">
        <v>46078</v>
      </c>
      <c r="B9" s="88" t="s">
        <v>16</v>
      </c>
      <c r="C9" s="88" t="s">
        <v>8</v>
      </c>
      <c r="D9" s="87" t="s">
        <v>9</v>
      </c>
      <c r="E9" s="90">
        <v>427</v>
      </c>
      <c r="F9" s="88" t="s">
        <v>10</v>
      </c>
    </row>
    <row r="10" spans="1:6" ht="14.25" customHeight="1" x14ac:dyDescent="0.3">
      <c r="A10" s="102">
        <v>46078</v>
      </c>
      <c r="B10" s="95" t="s">
        <v>17</v>
      </c>
      <c r="C10" s="95" t="s">
        <v>8</v>
      </c>
      <c r="D10" s="94" t="s">
        <v>9</v>
      </c>
      <c r="E10" s="97">
        <v>384</v>
      </c>
      <c r="F10" s="95" t="s">
        <v>10</v>
      </c>
    </row>
    <row r="11" spans="1:6" ht="14.25" customHeight="1" x14ac:dyDescent="0.3">
      <c r="A11" s="101">
        <v>46078</v>
      </c>
      <c r="B11" s="88" t="s">
        <v>18</v>
      </c>
      <c r="C11" s="88" t="s">
        <v>8</v>
      </c>
      <c r="D11" s="87" t="s">
        <v>9</v>
      </c>
      <c r="E11" s="90">
        <v>374</v>
      </c>
      <c r="F11" s="88" t="s">
        <v>10</v>
      </c>
    </row>
    <row r="12" spans="1:6" ht="14.25" customHeight="1" x14ac:dyDescent="0.3">
      <c r="A12" s="102">
        <v>46078</v>
      </c>
      <c r="B12" s="95" t="s">
        <v>19</v>
      </c>
      <c r="C12" s="95" t="s">
        <v>8</v>
      </c>
      <c r="D12" s="94" t="s">
        <v>9</v>
      </c>
      <c r="E12" s="97">
        <v>401</v>
      </c>
      <c r="F12" s="95" t="s">
        <v>10</v>
      </c>
    </row>
    <row r="13" spans="1:6" ht="14.25" customHeight="1" x14ac:dyDescent="0.3">
      <c r="A13" s="101">
        <v>46078</v>
      </c>
      <c r="B13" s="88" t="s">
        <v>20</v>
      </c>
      <c r="C13" s="88" t="s">
        <v>8</v>
      </c>
      <c r="D13" s="87" t="s">
        <v>9</v>
      </c>
      <c r="E13" s="90">
        <v>369</v>
      </c>
      <c r="F13" s="88" t="s">
        <v>10</v>
      </c>
    </row>
    <row r="14" spans="1:6" ht="14.25" customHeight="1" x14ac:dyDescent="0.3">
      <c r="A14" s="102">
        <v>46078</v>
      </c>
      <c r="B14" s="95" t="s">
        <v>21</v>
      </c>
      <c r="C14" s="95" t="s">
        <v>8</v>
      </c>
      <c r="D14" s="94" t="s">
        <v>9</v>
      </c>
      <c r="E14" s="97">
        <v>423</v>
      </c>
      <c r="F14" s="95" t="s">
        <v>10</v>
      </c>
    </row>
    <row r="15" spans="1:6" ht="14.25" customHeight="1" x14ac:dyDescent="0.3">
      <c r="A15" s="101">
        <v>46078</v>
      </c>
      <c r="B15" s="88" t="s">
        <v>22</v>
      </c>
      <c r="C15" s="88" t="s">
        <v>8</v>
      </c>
      <c r="D15" s="87" t="s">
        <v>9</v>
      </c>
      <c r="E15" s="90">
        <v>350</v>
      </c>
      <c r="F15" s="88" t="s">
        <v>10</v>
      </c>
    </row>
    <row r="16" spans="1:6" ht="14.25" customHeight="1" x14ac:dyDescent="0.3">
      <c r="A16" s="102">
        <v>46078</v>
      </c>
      <c r="B16" s="95" t="s">
        <v>23</v>
      </c>
      <c r="C16" s="95" t="s">
        <v>8</v>
      </c>
      <c r="D16" s="94" t="s">
        <v>9</v>
      </c>
      <c r="E16" s="97">
        <v>412</v>
      </c>
      <c r="F16" s="95" t="s">
        <v>10</v>
      </c>
    </row>
    <row r="17" spans="1:6" ht="14.25" customHeight="1" x14ac:dyDescent="0.3">
      <c r="A17" s="101">
        <v>46078</v>
      </c>
      <c r="B17" s="88" t="s">
        <v>24</v>
      </c>
      <c r="C17" s="88" t="s">
        <v>8</v>
      </c>
      <c r="D17" s="87" t="s">
        <v>9</v>
      </c>
      <c r="E17" s="90">
        <v>393</v>
      </c>
      <c r="F17" s="88" t="s">
        <v>10</v>
      </c>
    </row>
    <row r="18" spans="1:6" ht="14.25" customHeight="1" x14ac:dyDescent="0.3">
      <c r="A18" s="102">
        <v>46078</v>
      </c>
      <c r="B18" s="95" t="s">
        <v>25</v>
      </c>
      <c r="C18" s="95" t="s">
        <v>8</v>
      </c>
      <c r="D18" s="94" t="s">
        <v>9</v>
      </c>
      <c r="E18" s="97">
        <v>369</v>
      </c>
      <c r="F18" s="95" t="s">
        <v>10</v>
      </c>
    </row>
    <row r="19" spans="1:6" ht="14.25" customHeight="1" x14ac:dyDescent="0.3">
      <c r="A19" s="101">
        <v>46078</v>
      </c>
      <c r="B19" s="88" t="s">
        <v>26</v>
      </c>
      <c r="C19" s="88" t="s">
        <v>8</v>
      </c>
      <c r="D19" s="87" t="s">
        <v>9</v>
      </c>
      <c r="E19" s="90">
        <v>381</v>
      </c>
      <c r="F19" s="88" t="s">
        <v>10</v>
      </c>
    </row>
    <row r="20" spans="1:6" ht="14.25" customHeight="1" x14ac:dyDescent="0.3">
      <c r="A20" s="102">
        <v>46078</v>
      </c>
      <c r="B20" s="95" t="s">
        <v>27</v>
      </c>
      <c r="C20" s="95" t="s">
        <v>8</v>
      </c>
      <c r="D20" s="94" t="s">
        <v>9</v>
      </c>
      <c r="E20" s="97">
        <v>364</v>
      </c>
      <c r="F20" s="95" t="s">
        <v>10</v>
      </c>
    </row>
    <row r="21" spans="1:6" ht="14.25" customHeight="1" x14ac:dyDescent="0.3">
      <c r="A21" s="101">
        <v>46078</v>
      </c>
      <c r="B21" s="88" t="s">
        <v>28</v>
      </c>
      <c r="C21" s="88" t="s">
        <v>8</v>
      </c>
      <c r="D21" s="87" t="s">
        <v>9</v>
      </c>
      <c r="E21" s="90">
        <v>359</v>
      </c>
      <c r="F21" s="88" t="s">
        <v>10</v>
      </c>
    </row>
    <row r="22" spans="1:6" ht="14.25" customHeight="1" x14ac:dyDescent="0.3">
      <c r="A22" s="102">
        <v>46078</v>
      </c>
      <c r="B22" s="95" t="s">
        <v>29</v>
      </c>
      <c r="C22" s="95" t="s">
        <v>8</v>
      </c>
      <c r="D22" s="94" t="s">
        <v>9</v>
      </c>
      <c r="E22" s="97">
        <v>389</v>
      </c>
      <c r="F22" s="95" t="s">
        <v>10</v>
      </c>
    </row>
    <row r="23" spans="1:6" ht="14.25" customHeight="1" x14ac:dyDescent="0.3">
      <c r="A23" s="101">
        <v>46078</v>
      </c>
      <c r="B23" s="88" t="s">
        <v>30</v>
      </c>
      <c r="C23" s="88" t="s">
        <v>8</v>
      </c>
      <c r="D23" s="87" t="s">
        <v>9</v>
      </c>
      <c r="E23" s="90">
        <v>370</v>
      </c>
      <c r="F23" s="88" t="s">
        <v>10</v>
      </c>
    </row>
    <row r="24" spans="1:6" ht="14.25" customHeight="1" x14ac:dyDescent="0.3">
      <c r="A24" s="102">
        <v>46078</v>
      </c>
      <c r="B24" s="95" t="s">
        <v>31</v>
      </c>
      <c r="C24" s="95" t="s">
        <v>8</v>
      </c>
      <c r="D24" s="94" t="s">
        <v>9</v>
      </c>
      <c r="E24" s="97">
        <v>350</v>
      </c>
      <c r="F24" s="95" t="s">
        <v>10</v>
      </c>
    </row>
    <row r="25" spans="1:6" ht="14.25" customHeight="1" x14ac:dyDescent="0.3">
      <c r="A25" s="101">
        <v>46078</v>
      </c>
      <c r="B25" s="88" t="s">
        <v>32</v>
      </c>
      <c r="C25" s="88" t="s">
        <v>8</v>
      </c>
      <c r="D25" s="87" t="s">
        <v>9</v>
      </c>
      <c r="E25" s="90">
        <v>328</v>
      </c>
      <c r="F25" s="88" t="s">
        <v>10</v>
      </c>
    </row>
    <row r="26" spans="1:6" ht="14.25" customHeight="1" x14ac:dyDescent="0.3">
      <c r="A26" s="102">
        <v>46078</v>
      </c>
      <c r="B26" s="95" t="s">
        <v>33</v>
      </c>
      <c r="C26" s="95" t="s">
        <v>8</v>
      </c>
      <c r="D26" s="94" t="s">
        <v>9</v>
      </c>
      <c r="E26" s="97">
        <v>380</v>
      </c>
      <c r="F26" s="95" t="s">
        <v>10</v>
      </c>
    </row>
    <row r="27" spans="1:6" ht="14.25" customHeight="1" x14ac:dyDescent="0.3">
      <c r="A27" s="101">
        <v>46078</v>
      </c>
      <c r="B27" s="88" t="s">
        <v>34</v>
      </c>
      <c r="C27" s="88" t="s">
        <v>8</v>
      </c>
      <c r="D27" s="87" t="s">
        <v>9</v>
      </c>
      <c r="E27" s="90">
        <v>397</v>
      </c>
      <c r="F27" s="88" t="s">
        <v>10</v>
      </c>
    </row>
    <row r="28" spans="1:6" ht="14.25" customHeight="1" x14ac:dyDescent="0.3">
      <c r="A28" s="102">
        <v>46078</v>
      </c>
      <c r="B28" s="95" t="s">
        <v>35</v>
      </c>
      <c r="C28" s="95" t="s">
        <v>8</v>
      </c>
      <c r="D28" s="94" t="s">
        <v>9</v>
      </c>
      <c r="E28" s="97">
        <v>376</v>
      </c>
      <c r="F28" s="95" t="s">
        <v>10</v>
      </c>
    </row>
    <row r="29" spans="1:6" ht="14.25" customHeight="1" x14ac:dyDescent="0.3">
      <c r="A29" s="101">
        <v>46078</v>
      </c>
      <c r="B29" s="88" t="s">
        <v>36</v>
      </c>
      <c r="C29" s="88" t="s">
        <v>8</v>
      </c>
      <c r="D29" s="87" t="s">
        <v>9</v>
      </c>
      <c r="E29" s="90">
        <v>408</v>
      </c>
      <c r="F29" s="88" t="s">
        <v>10</v>
      </c>
    </row>
    <row r="30" spans="1:6" ht="14.25" customHeight="1" x14ac:dyDescent="0.3">
      <c r="A30" s="102">
        <v>46078</v>
      </c>
      <c r="B30" s="95" t="s">
        <v>37</v>
      </c>
      <c r="C30" s="95" t="s">
        <v>8</v>
      </c>
      <c r="D30" s="94" t="s">
        <v>9</v>
      </c>
      <c r="E30" s="97">
        <v>393</v>
      </c>
      <c r="F30" s="95" t="s">
        <v>10</v>
      </c>
    </row>
    <row r="31" spans="1:6" ht="14.25" customHeight="1" x14ac:dyDescent="0.3">
      <c r="A31" s="101">
        <v>46127</v>
      </c>
      <c r="B31" s="88" t="s">
        <v>7</v>
      </c>
      <c r="C31" s="88" t="s">
        <v>8</v>
      </c>
      <c r="D31" s="87" t="s">
        <v>9</v>
      </c>
      <c r="E31" s="90">
        <v>401</v>
      </c>
      <c r="F31" s="88" t="s">
        <v>10</v>
      </c>
    </row>
    <row r="32" spans="1:6" ht="14.25" customHeight="1" x14ac:dyDescent="0.3">
      <c r="A32" s="102">
        <v>46127</v>
      </c>
      <c r="B32" s="95" t="s">
        <v>11</v>
      </c>
      <c r="C32" s="95" t="s">
        <v>8</v>
      </c>
      <c r="D32" s="94" t="s">
        <v>9</v>
      </c>
      <c r="E32" s="97">
        <v>399</v>
      </c>
      <c r="F32" s="95" t="s">
        <v>10</v>
      </c>
    </row>
    <row r="33" spans="1:6" ht="14.25" customHeight="1" x14ac:dyDescent="0.3">
      <c r="A33" s="101">
        <v>46127</v>
      </c>
      <c r="B33" s="88" t="s">
        <v>12</v>
      </c>
      <c r="C33" s="88" t="s">
        <v>8</v>
      </c>
      <c r="D33" s="87" t="s">
        <v>9</v>
      </c>
      <c r="E33" s="90">
        <v>423</v>
      </c>
      <c r="F33" s="88" t="s">
        <v>10</v>
      </c>
    </row>
    <row r="34" spans="1:6" ht="14.25" customHeight="1" x14ac:dyDescent="0.3">
      <c r="A34" s="102">
        <v>46127</v>
      </c>
      <c r="B34" s="95" t="s">
        <v>13</v>
      </c>
      <c r="C34" s="95" t="s">
        <v>8</v>
      </c>
      <c r="D34" s="94" t="s">
        <v>9</v>
      </c>
      <c r="E34" s="97">
        <v>407</v>
      </c>
      <c r="F34" s="95" t="s">
        <v>10</v>
      </c>
    </row>
    <row r="35" spans="1:6" ht="14.25" customHeight="1" x14ac:dyDescent="0.3">
      <c r="A35" s="101">
        <v>46127</v>
      </c>
      <c r="B35" s="88" t="s">
        <v>14</v>
      </c>
      <c r="C35" s="88" t="s">
        <v>8</v>
      </c>
      <c r="D35" s="87" t="s">
        <v>9</v>
      </c>
      <c r="E35" s="90">
        <v>424</v>
      </c>
      <c r="F35" s="88" t="s">
        <v>10</v>
      </c>
    </row>
    <row r="36" spans="1:6" ht="14.25" customHeight="1" x14ac:dyDescent="0.3">
      <c r="A36" s="102">
        <v>46127</v>
      </c>
      <c r="B36" s="95" t="s">
        <v>15</v>
      </c>
      <c r="C36" s="95" t="s">
        <v>8</v>
      </c>
      <c r="D36" s="94" t="s">
        <v>9</v>
      </c>
      <c r="E36" s="97">
        <v>415</v>
      </c>
      <c r="F36" s="95" t="s">
        <v>10</v>
      </c>
    </row>
    <row r="37" spans="1:6" ht="14.25" customHeight="1" x14ac:dyDescent="0.3">
      <c r="A37" s="101">
        <v>46127</v>
      </c>
      <c r="B37" s="88" t="s">
        <v>16</v>
      </c>
      <c r="C37" s="88" t="s">
        <v>8</v>
      </c>
      <c r="D37" s="87" t="s">
        <v>9</v>
      </c>
      <c r="E37" s="90">
        <v>456</v>
      </c>
      <c r="F37" s="88" t="s">
        <v>10</v>
      </c>
    </row>
    <row r="38" spans="1:6" ht="14.25" customHeight="1" x14ac:dyDescent="0.3">
      <c r="A38" s="102">
        <v>46127</v>
      </c>
      <c r="B38" s="95" t="s">
        <v>17</v>
      </c>
      <c r="C38" s="95" t="s">
        <v>8</v>
      </c>
      <c r="D38" s="94" t="s">
        <v>9</v>
      </c>
      <c r="E38" s="97">
        <v>415</v>
      </c>
      <c r="F38" s="95" t="s">
        <v>10</v>
      </c>
    </row>
    <row r="39" spans="1:6" ht="14.25" customHeight="1" x14ac:dyDescent="0.3">
      <c r="A39" s="101">
        <v>46127</v>
      </c>
      <c r="B39" s="88" t="s">
        <v>18</v>
      </c>
      <c r="C39" s="88" t="s">
        <v>8</v>
      </c>
      <c r="D39" s="87" t="s">
        <v>9</v>
      </c>
      <c r="E39" s="90">
        <v>401</v>
      </c>
      <c r="F39" s="88" t="s">
        <v>10</v>
      </c>
    </row>
    <row r="40" spans="1:6" ht="14.25" customHeight="1" x14ac:dyDescent="0.3">
      <c r="A40" s="102">
        <v>46127</v>
      </c>
      <c r="B40" s="95" t="s">
        <v>19</v>
      </c>
      <c r="C40" s="95" t="s">
        <v>8</v>
      </c>
      <c r="D40" s="94" t="s">
        <v>9</v>
      </c>
      <c r="E40" s="97">
        <v>435</v>
      </c>
      <c r="F40" s="95" t="s">
        <v>10</v>
      </c>
    </row>
    <row r="41" spans="1:6" ht="14.25" customHeight="1" x14ac:dyDescent="0.3">
      <c r="A41" s="101">
        <v>46127</v>
      </c>
      <c r="B41" s="88" t="s">
        <v>20</v>
      </c>
      <c r="C41" s="88" t="s">
        <v>8</v>
      </c>
      <c r="D41" s="87" t="s">
        <v>9</v>
      </c>
      <c r="E41" s="90">
        <v>401</v>
      </c>
      <c r="F41" s="88" t="s">
        <v>10</v>
      </c>
    </row>
    <row r="42" spans="1:6" ht="14.25" customHeight="1" x14ac:dyDescent="0.3">
      <c r="A42" s="102">
        <v>46127</v>
      </c>
      <c r="B42" s="95" t="s">
        <v>21</v>
      </c>
      <c r="C42" s="95" t="s">
        <v>8</v>
      </c>
      <c r="D42" s="94" t="s">
        <v>9</v>
      </c>
      <c r="E42" s="97">
        <v>451</v>
      </c>
      <c r="F42" s="95" t="s">
        <v>10</v>
      </c>
    </row>
    <row r="43" spans="1:6" ht="14.25" customHeight="1" x14ac:dyDescent="0.3">
      <c r="A43" s="101">
        <v>46127</v>
      </c>
      <c r="B43" s="88" t="s">
        <v>22</v>
      </c>
      <c r="C43" s="88" t="s">
        <v>8</v>
      </c>
      <c r="D43" s="87" t="s">
        <v>9</v>
      </c>
      <c r="E43" s="90">
        <v>376</v>
      </c>
      <c r="F43" s="88" t="s">
        <v>10</v>
      </c>
    </row>
    <row r="44" spans="1:6" ht="14.25" customHeight="1" x14ac:dyDescent="0.3">
      <c r="A44" s="102">
        <v>46127</v>
      </c>
      <c r="B44" s="95" t="s">
        <v>23</v>
      </c>
      <c r="C44" s="95" t="s">
        <v>8</v>
      </c>
      <c r="D44" s="94" t="s">
        <v>9</v>
      </c>
      <c r="E44" s="97">
        <v>438</v>
      </c>
      <c r="F44" s="95" t="s">
        <v>10</v>
      </c>
    </row>
    <row r="45" spans="1:6" ht="14.25" customHeight="1" x14ac:dyDescent="0.3">
      <c r="A45" s="101">
        <v>46127</v>
      </c>
      <c r="B45" s="88" t="s">
        <v>24</v>
      </c>
      <c r="C45" s="88" t="s">
        <v>8</v>
      </c>
      <c r="D45" s="87" t="s">
        <v>9</v>
      </c>
      <c r="E45" s="90">
        <v>441</v>
      </c>
      <c r="F45" s="88" t="s">
        <v>10</v>
      </c>
    </row>
    <row r="46" spans="1:6" ht="14.25" customHeight="1" x14ac:dyDescent="0.3">
      <c r="A46" s="102">
        <v>46127</v>
      </c>
      <c r="B46" s="95" t="s">
        <v>25</v>
      </c>
      <c r="C46" s="95" t="s">
        <v>8</v>
      </c>
      <c r="D46" s="94" t="s">
        <v>9</v>
      </c>
      <c r="E46" s="97">
        <v>406</v>
      </c>
      <c r="F46" s="95" t="s">
        <v>10</v>
      </c>
    </row>
    <row r="47" spans="1:6" ht="14.25" customHeight="1" x14ac:dyDescent="0.3">
      <c r="A47" s="101">
        <v>46127</v>
      </c>
      <c r="B47" s="88" t="s">
        <v>26</v>
      </c>
      <c r="C47" s="88" t="s">
        <v>8</v>
      </c>
      <c r="D47" s="87" t="s">
        <v>9</v>
      </c>
      <c r="E47" s="90">
        <v>418</v>
      </c>
      <c r="F47" s="88" t="s">
        <v>10</v>
      </c>
    </row>
    <row r="48" spans="1:6" ht="14.25" customHeight="1" x14ac:dyDescent="0.3">
      <c r="A48" s="102">
        <v>46127</v>
      </c>
      <c r="B48" s="95" t="s">
        <v>27</v>
      </c>
      <c r="C48" s="95" t="s">
        <v>8</v>
      </c>
      <c r="D48" s="94" t="s">
        <v>9</v>
      </c>
      <c r="E48" s="97">
        <v>397</v>
      </c>
      <c r="F48" s="95" t="s">
        <v>10</v>
      </c>
    </row>
    <row r="49" spans="1:6" ht="14.25" customHeight="1" x14ac:dyDescent="0.3">
      <c r="A49" s="101">
        <v>46127</v>
      </c>
      <c r="B49" s="88" t="s">
        <v>28</v>
      </c>
      <c r="C49" s="88" t="s">
        <v>8</v>
      </c>
      <c r="D49" s="87" t="s">
        <v>9</v>
      </c>
      <c r="E49" s="90">
        <v>391</v>
      </c>
      <c r="F49" s="88" t="s">
        <v>10</v>
      </c>
    </row>
    <row r="50" spans="1:6" ht="14.25" customHeight="1" x14ac:dyDescent="0.3">
      <c r="A50" s="102">
        <v>46127</v>
      </c>
      <c r="B50" s="95" t="s">
        <v>29</v>
      </c>
      <c r="C50" s="95" t="s">
        <v>8</v>
      </c>
      <c r="D50" s="94" t="s">
        <v>9</v>
      </c>
      <c r="E50" s="97">
        <v>419</v>
      </c>
      <c r="F50" s="95" t="s">
        <v>10</v>
      </c>
    </row>
    <row r="51" spans="1:6" ht="14.25" customHeight="1" x14ac:dyDescent="0.3">
      <c r="A51" s="101">
        <v>46127</v>
      </c>
      <c r="B51" s="88" t="s">
        <v>30</v>
      </c>
      <c r="C51" s="88" t="s">
        <v>8</v>
      </c>
      <c r="D51" s="87" t="s">
        <v>9</v>
      </c>
      <c r="E51" s="90">
        <v>392</v>
      </c>
      <c r="F51" s="88" t="s">
        <v>10</v>
      </c>
    </row>
    <row r="52" spans="1:6" ht="14.25" customHeight="1" x14ac:dyDescent="0.3">
      <c r="A52" s="102">
        <v>46127</v>
      </c>
      <c r="B52" s="95" t="s">
        <v>31</v>
      </c>
      <c r="C52" s="95" t="s">
        <v>8</v>
      </c>
      <c r="D52" s="94" t="s">
        <v>9</v>
      </c>
      <c r="E52" s="97">
        <v>383</v>
      </c>
      <c r="F52" s="95" t="s">
        <v>10</v>
      </c>
    </row>
    <row r="53" spans="1:6" ht="14.25" customHeight="1" x14ac:dyDescent="0.3">
      <c r="A53" s="101">
        <v>46127</v>
      </c>
      <c r="B53" s="88" t="s">
        <v>32</v>
      </c>
      <c r="C53" s="88" t="s">
        <v>8</v>
      </c>
      <c r="D53" s="87" t="s">
        <v>9</v>
      </c>
      <c r="E53" s="90">
        <v>361</v>
      </c>
      <c r="F53" s="88" t="s">
        <v>10</v>
      </c>
    </row>
    <row r="54" spans="1:6" ht="14.25" customHeight="1" x14ac:dyDescent="0.3">
      <c r="A54" s="102">
        <v>46127</v>
      </c>
      <c r="B54" s="95" t="s">
        <v>33</v>
      </c>
      <c r="C54" s="95" t="s">
        <v>8</v>
      </c>
      <c r="D54" s="94" t="s">
        <v>9</v>
      </c>
      <c r="E54" s="97">
        <v>415</v>
      </c>
      <c r="F54" s="95" t="s">
        <v>10</v>
      </c>
    </row>
    <row r="55" spans="1:6" ht="14.25" customHeight="1" x14ac:dyDescent="0.3">
      <c r="A55" s="101">
        <v>46127</v>
      </c>
      <c r="B55" s="88" t="s">
        <v>34</v>
      </c>
      <c r="C55" s="88" t="s">
        <v>8</v>
      </c>
      <c r="D55" s="87" t="s">
        <v>9</v>
      </c>
      <c r="E55" s="90">
        <v>442</v>
      </c>
      <c r="F55" s="88" t="s">
        <v>10</v>
      </c>
    </row>
    <row r="56" spans="1:6" ht="14.25" customHeight="1" x14ac:dyDescent="0.3">
      <c r="A56" s="102">
        <v>46127</v>
      </c>
      <c r="B56" s="95" t="s">
        <v>35</v>
      </c>
      <c r="C56" s="95" t="s">
        <v>8</v>
      </c>
      <c r="D56" s="94" t="s">
        <v>9</v>
      </c>
      <c r="E56" s="97">
        <v>403</v>
      </c>
      <c r="F56" s="95" t="s">
        <v>10</v>
      </c>
    </row>
    <row r="57" spans="1:6" ht="14.25" customHeight="1" x14ac:dyDescent="0.3">
      <c r="A57" s="101">
        <v>46127</v>
      </c>
      <c r="B57" s="88" t="s">
        <v>36</v>
      </c>
      <c r="C57" s="88" t="s">
        <v>8</v>
      </c>
      <c r="D57" s="87" t="s">
        <v>9</v>
      </c>
      <c r="E57" s="90">
        <v>438</v>
      </c>
      <c r="F57" s="88" t="s">
        <v>10</v>
      </c>
    </row>
    <row r="58" spans="1:6" ht="14.25" customHeight="1" x14ac:dyDescent="0.3">
      <c r="A58" s="102">
        <v>46127</v>
      </c>
      <c r="B58" s="95" t="s">
        <v>37</v>
      </c>
      <c r="C58" s="95" t="s">
        <v>8</v>
      </c>
      <c r="D58" s="94" t="s">
        <v>9</v>
      </c>
      <c r="E58" s="97">
        <v>422</v>
      </c>
      <c r="F58" s="95" t="s">
        <v>10</v>
      </c>
    </row>
    <row r="59" spans="1:6" ht="14.25" customHeight="1" x14ac:dyDescent="0.3">
      <c r="A59" s="101">
        <v>46146</v>
      </c>
      <c r="B59" s="88" t="s">
        <v>7</v>
      </c>
      <c r="C59" s="88" t="s">
        <v>8</v>
      </c>
      <c r="D59" s="87" t="s">
        <v>9</v>
      </c>
      <c r="E59" s="90">
        <v>411</v>
      </c>
      <c r="F59" s="88" t="s">
        <v>10</v>
      </c>
    </row>
    <row r="60" spans="1:6" ht="14.25" customHeight="1" x14ac:dyDescent="0.3">
      <c r="A60" s="102">
        <v>46146</v>
      </c>
      <c r="B60" s="95" t="s">
        <v>11</v>
      </c>
      <c r="C60" s="95" t="s">
        <v>8</v>
      </c>
      <c r="D60" s="94" t="s">
        <v>9</v>
      </c>
      <c r="E60" s="97">
        <v>410</v>
      </c>
      <c r="F60" s="95" t="s">
        <v>10</v>
      </c>
    </row>
    <row r="61" spans="1:6" ht="14.25" customHeight="1" x14ac:dyDescent="0.3">
      <c r="A61" s="101">
        <v>46146</v>
      </c>
      <c r="B61" s="88" t="s">
        <v>12</v>
      </c>
      <c r="C61" s="88" t="s">
        <v>8</v>
      </c>
      <c r="D61" s="87" t="s">
        <v>9</v>
      </c>
      <c r="E61" s="90">
        <v>431</v>
      </c>
      <c r="F61" s="88" t="s">
        <v>10</v>
      </c>
    </row>
    <row r="62" spans="1:6" ht="14.25" customHeight="1" x14ac:dyDescent="0.3">
      <c r="A62" s="102">
        <v>46146</v>
      </c>
      <c r="B62" s="95" t="s">
        <v>13</v>
      </c>
      <c r="C62" s="95" t="s">
        <v>8</v>
      </c>
      <c r="D62" s="94" t="s">
        <v>9</v>
      </c>
      <c r="E62" s="97">
        <v>425</v>
      </c>
      <c r="F62" s="95" t="s">
        <v>10</v>
      </c>
    </row>
    <row r="63" spans="1:6" ht="14.25" customHeight="1" x14ac:dyDescent="0.3">
      <c r="A63" s="101">
        <v>46146</v>
      </c>
      <c r="B63" s="88" t="s">
        <v>14</v>
      </c>
      <c r="C63" s="88" t="s">
        <v>8</v>
      </c>
      <c r="D63" s="87" t="s">
        <v>9</v>
      </c>
      <c r="E63" s="90">
        <v>427</v>
      </c>
      <c r="F63" s="88" t="s">
        <v>10</v>
      </c>
    </row>
    <row r="64" spans="1:6" ht="14.25" customHeight="1" x14ac:dyDescent="0.3">
      <c r="A64" s="102">
        <v>46146</v>
      </c>
      <c r="B64" s="95" t="s">
        <v>15</v>
      </c>
      <c r="C64" s="95" t="s">
        <v>8</v>
      </c>
      <c r="D64" s="94" t="s">
        <v>9</v>
      </c>
      <c r="E64" s="97">
        <v>484</v>
      </c>
      <c r="F64" s="95" t="s">
        <v>10</v>
      </c>
    </row>
    <row r="65" spans="1:6" ht="14.25" customHeight="1" x14ac:dyDescent="0.3">
      <c r="A65" s="101">
        <v>46146</v>
      </c>
      <c r="B65" s="88" t="s">
        <v>16</v>
      </c>
      <c r="C65" s="88" t="s">
        <v>8</v>
      </c>
      <c r="D65" s="87" t="s">
        <v>9</v>
      </c>
      <c r="E65" s="90">
        <v>479</v>
      </c>
      <c r="F65" s="88" t="s">
        <v>10</v>
      </c>
    </row>
    <row r="66" spans="1:6" ht="14.25" customHeight="1" x14ac:dyDescent="0.3">
      <c r="A66" s="102">
        <v>46146</v>
      </c>
      <c r="B66" s="95" t="s">
        <v>17</v>
      </c>
      <c r="C66" s="95" t="s">
        <v>8</v>
      </c>
      <c r="D66" s="94" t="s">
        <v>9</v>
      </c>
      <c r="E66" s="97">
        <v>430</v>
      </c>
      <c r="F66" s="95" t="s">
        <v>10</v>
      </c>
    </row>
    <row r="67" spans="1:6" ht="14.25" customHeight="1" x14ac:dyDescent="0.3">
      <c r="A67" s="101">
        <v>46146</v>
      </c>
      <c r="B67" s="88" t="s">
        <v>18</v>
      </c>
      <c r="C67" s="88" t="s">
        <v>8</v>
      </c>
      <c r="D67" s="87" t="s">
        <v>9</v>
      </c>
      <c r="E67" s="90">
        <v>427</v>
      </c>
      <c r="F67" s="88" t="s">
        <v>10</v>
      </c>
    </row>
    <row r="68" spans="1:6" ht="14.25" customHeight="1" x14ac:dyDescent="0.3">
      <c r="A68" s="102">
        <v>46146</v>
      </c>
      <c r="B68" s="95" t="s">
        <v>19</v>
      </c>
      <c r="C68" s="95" t="s">
        <v>8</v>
      </c>
      <c r="D68" s="94" t="s">
        <v>9</v>
      </c>
      <c r="E68" s="97">
        <v>448</v>
      </c>
      <c r="F68" s="95" t="s">
        <v>10</v>
      </c>
    </row>
    <row r="69" spans="1:6" ht="14.25" customHeight="1" x14ac:dyDescent="0.3">
      <c r="A69" s="101">
        <v>46146</v>
      </c>
      <c r="B69" s="88" t="s">
        <v>20</v>
      </c>
      <c r="C69" s="88" t="s">
        <v>8</v>
      </c>
      <c r="D69" s="87" t="s">
        <v>9</v>
      </c>
      <c r="E69" s="90">
        <v>417</v>
      </c>
      <c r="F69" s="88" t="s">
        <v>10</v>
      </c>
    </row>
    <row r="70" spans="1:6" ht="14.25" customHeight="1" x14ac:dyDescent="0.3">
      <c r="A70" s="102">
        <v>46146</v>
      </c>
      <c r="B70" s="95" t="s">
        <v>21</v>
      </c>
      <c r="C70" s="95" t="s">
        <v>8</v>
      </c>
      <c r="D70" s="94" t="s">
        <v>9</v>
      </c>
      <c r="E70" s="97">
        <v>434</v>
      </c>
      <c r="F70" s="95" t="s">
        <v>10</v>
      </c>
    </row>
    <row r="71" spans="1:6" ht="14.25" customHeight="1" x14ac:dyDescent="0.3">
      <c r="A71" s="101">
        <v>46146</v>
      </c>
      <c r="B71" s="88" t="s">
        <v>22</v>
      </c>
      <c r="C71" s="88" t="s">
        <v>8</v>
      </c>
      <c r="D71" s="87" t="s">
        <v>9</v>
      </c>
      <c r="E71" s="90">
        <v>388</v>
      </c>
      <c r="F71" s="88" t="s">
        <v>10</v>
      </c>
    </row>
    <row r="72" spans="1:6" ht="14.25" customHeight="1" x14ac:dyDescent="0.3">
      <c r="A72" s="102">
        <v>46146</v>
      </c>
      <c r="B72" s="95" t="s">
        <v>23</v>
      </c>
      <c r="C72" s="95" t="s">
        <v>8</v>
      </c>
      <c r="D72" s="94" t="s">
        <v>9</v>
      </c>
      <c r="E72" s="97">
        <v>462</v>
      </c>
      <c r="F72" s="95" t="s">
        <v>10</v>
      </c>
    </row>
    <row r="73" spans="1:6" ht="14.25" customHeight="1" x14ac:dyDescent="0.3">
      <c r="A73" s="101">
        <v>46146</v>
      </c>
      <c r="B73" s="88" t="s">
        <v>24</v>
      </c>
      <c r="C73" s="88" t="s">
        <v>8</v>
      </c>
      <c r="D73" s="87" t="s">
        <v>9</v>
      </c>
      <c r="E73" s="90">
        <v>455</v>
      </c>
      <c r="F73" s="88" t="s">
        <v>10</v>
      </c>
    </row>
    <row r="74" spans="1:6" ht="14.25" customHeight="1" x14ac:dyDescent="0.3">
      <c r="A74" s="102">
        <v>46146</v>
      </c>
      <c r="B74" s="95" t="s">
        <v>25</v>
      </c>
      <c r="C74" s="95" t="s">
        <v>8</v>
      </c>
      <c r="D74" s="94" t="s">
        <v>9</v>
      </c>
      <c r="E74" s="97">
        <v>424</v>
      </c>
      <c r="F74" s="95" t="s">
        <v>10</v>
      </c>
    </row>
    <row r="75" spans="1:6" ht="14.25" customHeight="1" x14ac:dyDescent="0.3">
      <c r="A75" s="101">
        <v>46146</v>
      </c>
      <c r="B75" s="88" t="s">
        <v>26</v>
      </c>
      <c r="C75" s="88" t="s">
        <v>8</v>
      </c>
      <c r="D75" s="87" t="s">
        <v>9</v>
      </c>
      <c r="E75" s="90">
        <v>430</v>
      </c>
      <c r="F75" s="88" t="s">
        <v>10</v>
      </c>
    </row>
    <row r="76" spans="1:6" ht="14.25" customHeight="1" x14ac:dyDescent="0.3">
      <c r="A76" s="102">
        <v>46146</v>
      </c>
      <c r="B76" s="95" t="s">
        <v>27</v>
      </c>
      <c r="C76" s="95" t="s">
        <v>8</v>
      </c>
      <c r="D76" s="94" t="s">
        <v>9</v>
      </c>
      <c r="E76" s="97">
        <v>420</v>
      </c>
      <c r="F76" s="95" t="s">
        <v>10</v>
      </c>
    </row>
    <row r="77" spans="1:6" ht="14.25" customHeight="1" x14ac:dyDescent="0.3">
      <c r="A77" s="101">
        <v>46146</v>
      </c>
      <c r="B77" s="88" t="s">
        <v>28</v>
      </c>
      <c r="C77" s="88" t="s">
        <v>8</v>
      </c>
      <c r="D77" s="87" t="s">
        <v>9</v>
      </c>
      <c r="E77" s="90">
        <v>399</v>
      </c>
      <c r="F77" s="88" t="s">
        <v>10</v>
      </c>
    </row>
    <row r="78" spans="1:6" ht="14.25" customHeight="1" x14ac:dyDescent="0.3">
      <c r="A78" s="102">
        <v>46146</v>
      </c>
      <c r="B78" s="95" t="s">
        <v>29</v>
      </c>
      <c r="C78" s="95" t="s">
        <v>8</v>
      </c>
      <c r="D78" s="94" t="s">
        <v>9</v>
      </c>
      <c r="E78" s="97">
        <v>429</v>
      </c>
      <c r="F78" s="95" t="s">
        <v>10</v>
      </c>
    </row>
    <row r="79" spans="1:6" ht="14.25" customHeight="1" x14ac:dyDescent="0.3">
      <c r="A79" s="101">
        <v>46146</v>
      </c>
      <c r="B79" s="88" t="s">
        <v>30</v>
      </c>
      <c r="C79" s="88" t="s">
        <v>8</v>
      </c>
      <c r="D79" s="87" t="s">
        <v>9</v>
      </c>
      <c r="E79" s="90">
        <v>413</v>
      </c>
      <c r="F79" s="88" t="s">
        <v>10</v>
      </c>
    </row>
    <row r="80" spans="1:6" ht="14.25" customHeight="1" x14ac:dyDescent="0.3">
      <c r="A80" s="102">
        <v>46146</v>
      </c>
      <c r="B80" s="95" t="s">
        <v>31</v>
      </c>
      <c r="C80" s="95" t="s">
        <v>8</v>
      </c>
      <c r="D80" s="94" t="s">
        <v>9</v>
      </c>
      <c r="E80" s="97">
        <v>395</v>
      </c>
      <c r="F80" s="95" t="s">
        <v>10</v>
      </c>
    </row>
    <row r="81" spans="1:6" ht="14.25" customHeight="1" x14ac:dyDescent="0.3">
      <c r="A81" s="101">
        <v>46146</v>
      </c>
      <c r="B81" s="88" t="s">
        <v>32</v>
      </c>
      <c r="C81" s="88" t="s">
        <v>8</v>
      </c>
      <c r="D81" s="87" t="s">
        <v>9</v>
      </c>
      <c r="E81" s="90">
        <v>378</v>
      </c>
      <c r="F81" s="88" t="s">
        <v>10</v>
      </c>
    </row>
    <row r="82" spans="1:6" ht="14.25" customHeight="1" x14ac:dyDescent="0.3">
      <c r="A82" s="102">
        <v>46146</v>
      </c>
      <c r="B82" s="95" t="s">
        <v>33</v>
      </c>
      <c r="C82" s="95" t="s">
        <v>8</v>
      </c>
      <c r="D82" s="94" t="s">
        <v>9</v>
      </c>
      <c r="E82" s="97">
        <v>434</v>
      </c>
      <c r="F82" s="95" t="s">
        <v>10</v>
      </c>
    </row>
    <row r="83" spans="1:6" ht="14.25" customHeight="1" x14ac:dyDescent="0.3">
      <c r="A83" s="101">
        <v>46146</v>
      </c>
      <c r="B83" s="88" t="s">
        <v>34</v>
      </c>
      <c r="C83" s="88" t="s">
        <v>8</v>
      </c>
      <c r="D83" s="87" t="s">
        <v>9</v>
      </c>
      <c r="E83" s="90">
        <v>454</v>
      </c>
      <c r="F83" s="88" t="s">
        <v>10</v>
      </c>
    </row>
    <row r="84" spans="1:6" ht="14.25" customHeight="1" x14ac:dyDescent="0.3">
      <c r="A84" s="102">
        <v>46146</v>
      </c>
      <c r="B84" s="95" t="s">
        <v>35</v>
      </c>
      <c r="C84" s="95" t="s">
        <v>8</v>
      </c>
      <c r="D84" s="94" t="s">
        <v>9</v>
      </c>
      <c r="E84" s="97">
        <v>424</v>
      </c>
      <c r="F84" s="95" t="s">
        <v>10</v>
      </c>
    </row>
    <row r="85" spans="1:6" ht="14.25" customHeight="1" x14ac:dyDescent="0.3">
      <c r="A85" s="101">
        <v>46146</v>
      </c>
      <c r="B85" s="88" t="s">
        <v>36</v>
      </c>
      <c r="C85" s="88" t="s">
        <v>8</v>
      </c>
      <c r="D85" s="87" t="s">
        <v>9</v>
      </c>
      <c r="E85" s="90">
        <v>444</v>
      </c>
      <c r="F85" s="88" t="s">
        <v>10</v>
      </c>
    </row>
    <row r="86" spans="1:6" ht="14.25" customHeight="1" x14ac:dyDescent="0.3">
      <c r="A86" s="102">
        <v>46146</v>
      </c>
      <c r="B86" s="95" t="s">
        <v>37</v>
      </c>
      <c r="C86" s="95" t="s">
        <v>8</v>
      </c>
      <c r="D86" s="94" t="s">
        <v>9</v>
      </c>
      <c r="E86" s="97">
        <v>432</v>
      </c>
      <c r="F86" s="95" t="s">
        <v>10</v>
      </c>
    </row>
    <row r="87" spans="1:6" ht="14.25" customHeight="1" x14ac:dyDescent="0.3">
      <c r="A87" s="101">
        <v>46199</v>
      </c>
      <c r="B87" s="88" t="s">
        <v>38</v>
      </c>
      <c r="C87" s="88" t="s">
        <v>39</v>
      </c>
      <c r="D87" s="87" t="s">
        <v>40</v>
      </c>
      <c r="E87" s="90">
        <v>313</v>
      </c>
      <c r="F87" s="88" t="s">
        <v>41</v>
      </c>
    </row>
    <row r="88" spans="1:6" ht="14.25" customHeight="1" x14ac:dyDescent="0.3">
      <c r="A88" s="102">
        <v>46199</v>
      </c>
      <c r="B88" s="95" t="s">
        <v>42</v>
      </c>
      <c r="C88" s="95" t="s">
        <v>39</v>
      </c>
      <c r="D88" s="94" t="s">
        <v>40</v>
      </c>
      <c r="E88" s="97">
        <v>300</v>
      </c>
      <c r="F88" s="95" t="s">
        <v>41</v>
      </c>
    </row>
    <row r="89" spans="1:6" ht="14.25" customHeight="1" x14ac:dyDescent="0.3">
      <c r="A89" s="101">
        <v>46199</v>
      </c>
      <c r="B89" s="88" t="s">
        <v>43</v>
      </c>
      <c r="C89" s="88" t="s">
        <v>39</v>
      </c>
      <c r="D89" s="87" t="s">
        <v>40</v>
      </c>
      <c r="E89" s="90">
        <v>243</v>
      </c>
      <c r="F89" s="88" t="s">
        <v>41</v>
      </c>
    </row>
    <row r="90" spans="1:6" ht="14.25" customHeight="1" x14ac:dyDescent="0.3">
      <c r="A90" s="102">
        <v>46199</v>
      </c>
      <c r="B90" s="95" t="s">
        <v>44</v>
      </c>
      <c r="C90" s="95" t="s">
        <v>39</v>
      </c>
      <c r="D90" s="94" t="s">
        <v>40</v>
      </c>
      <c r="E90" s="97">
        <v>268</v>
      </c>
      <c r="F90" s="95" t="s">
        <v>41</v>
      </c>
    </row>
    <row r="91" spans="1:6" ht="14.25" customHeight="1" x14ac:dyDescent="0.3">
      <c r="A91" s="101">
        <v>46199</v>
      </c>
      <c r="B91" s="88" t="s">
        <v>45</v>
      </c>
      <c r="C91" s="88" t="s">
        <v>39</v>
      </c>
      <c r="D91" s="87" t="s">
        <v>40</v>
      </c>
      <c r="E91" s="90">
        <v>243</v>
      </c>
      <c r="F91" s="88" t="s">
        <v>41</v>
      </c>
    </row>
    <row r="92" spans="1:6" ht="14.25" customHeight="1" x14ac:dyDescent="0.3">
      <c r="A92" s="102">
        <v>46199</v>
      </c>
      <c r="B92" s="95" t="s">
        <v>46</v>
      </c>
      <c r="C92" s="95" t="s">
        <v>39</v>
      </c>
      <c r="D92" s="94" t="s">
        <v>40</v>
      </c>
      <c r="E92" s="97">
        <v>201</v>
      </c>
      <c r="F92" s="95" t="s">
        <v>41</v>
      </c>
    </row>
    <row r="93" spans="1:6" ht="14.25" customHeight="1" x14ac:dyDescent="0.3">
      <c r="A93" s="101">
        <v>46199</v>
      </c>
      <c r="B93" s="88" t="s">
        <v>47</v>
      </c>
      <c r="C93" s="88" t="s">
        <v>39</v>
      </c>
      <c r="D93" s="87" t="s">
        <v>40</v>
      </c>
      <c r="E93" s="90">
        <v>249</v>
      </c>
      <c r="F93" s="88" t="s">
        <v>41</v>
      </c>
    </row>
    <row r="94" spans="1:6" ht="14.25" customHeight="1" x14ac:dyDescent="0.3">
      <c r="A94" s="102">
        <v>46199</v>
      </c>
      <c r="B94" s="95" t="s">
        <v>48</v>
      </c>
      <c r="C94" s="95" t="s">
        <v>39</v>
      </c>
      <c r="D94" s="94" t="s">
        <v>40</v>
      </c>
      <c r="E94" s="97">
        <v>282</v>
      </c>
      <c r="F94" s="95" t="s">
        <v>41</v>
      </c>
    </row>
    <row r="95" spans="1:6" ht="14.25" customHeight="1" x14ac:dyDescent="0.3">
      <c r="A95" s="101">
        <v>46199</v>
      </c>
      <c r="B95" s="88" t="s">
        <v>49</v>
      </c>
      <c r="C95" s="88" t="s">
        <v>39</v>
      </c>
      <c r="D95" s="87" t="s">
        <v>40</v>
      </c>
      <c r="E95" s="90">
        <v>242</v>
      </c>
      <c r="F95" s="88" t="s">
        <v>41</v>
      </c>
    </row>
    <row r="96" spans="1:6" ht="14.25" customHeight="1" x14ac:dyDescent="0.3">
      <c r="A96" s="102">
        <v>46199</v>
      </c>
      <c r="B96" s="95" t="s">
        <v>50</v>
      </c>
      <c r="C96" s="95" t="s">
        <v>39</v>
      </c>
      <c r="D96" s="94" t="s">
        <v>40</v>
      </c>
      <c r="E96" s="97">
        <v>248</v>
      </c>
      <c r="F96" s="95" t="s">
        <v>41</v>
      </c>
    </row>
    <row r="97" spans="1:6" ht="14.25" customHeight="1" x14ac:dyDescent="0.3">
      <c r="A97" s="101">
        <v>46199</v>
      </c>
      <c r="B97" s="88" t="s">
        <v>51</v>
      </c>
      <c r="C97" s="88" t="s">
        <v>39</v>
      </c>
      <c r="D97" s="87" t="s">
        <v>40</v>
      </c>
      <c r="E97" s="90">
        <v>262</v>
      </c>
      <c r="F97" s="88" t="s">
        <v>41</v>
      </c>
    </row>
    <row r="98" spans="1:6" ht="14.25" customHeight="1" x14ac:dyDescent="0.3">
      <c r="A98" s="102">
        <v>46199</v>
      </c>
      <c r="B98" s="95" t="s">
        <v>52</v>
      </c>
      <c r="C98" s="95" t="s">
        <v>39</v>
      </c>
      <c r="D98" s="94" t="s">
        <v>40</v>
      </c>
      <c r="E98" s="97">
        <v>194</v>
      </c>
      <c r="F98" s="95" t="s">
        <v>41</v>
      </c>
    </row>
    <row r="99" spans="1:6" ht="14.25" customHeight="1" x14ac:dyDescent="0.3">
      <c r="A99" s="101">
        <v>46199</v>
      </c>
      <c r="B99" s="88" t="s">
        <v>53</v>
      </c>
      <c r="C99" s="88" t="s">
        <v>39</v>
      </c>
      <c r="D99" s="87" t="s">
        <v>40</v>
      </c>
      <c r="E99" s="90">
        <v>245</v>
      </c>
      <c r="F99" s="88" t="s">
        <v>41</v>
      </c>
    </row>
    <row r="100" spans="1:6" ht="14.25" customHeight="1" x14ac:dyDescent="0.3">
      <c r="A100" s="102">
        <v>46199</v>
      </c>
      <c r="B100" s="95" t="s">
        <v>54</v>
      </c>
      <c r="C100" s="95" t="s">
        <v>39</v>
      </c>
      <c r="D100" s="94" t="s">
        <v>40</v>
      </c>
      <c r="E100" s="97">
        <v>161</v>
      </c>
      <c r="F100" s="95" t="s">
        <v>41</v>
      </c>
    </row>
    <row r="101" spans="1:6" ht="14.25" customHeight="1" x14ac:dyDescent="0.3">
      <c r="A101" s="101">
        <v>46199</v>
      </c>
      <c r="B101" s="88" t="s">
        <v>55</v>
      </c>
      <c r="C101" s="88" t="s">
        <v>39</v>
      </c>
      <c r="D101" s="87" t="s">
        <v>40</v>
      </c>
      <c r="E101" s="90">
        <v>260</v>
      </c>
      <c r="F101" s="88" t="s">
        <v>41</v>
      </c>
    </row>
    <row r="102" spans="1:6" ht="14.25" customHeight="1" x14ac:dyDescent="0.3">
      <c r="A102" s="102">
        <v>46199</v>
      </c>
      <c r="B102" s="95" t="s">
        <v>56</v>
      </c>
      <c r="C102" s="95" t="s">
        <v>39</v>
      </c>
      <c r="D102" s="94" t="s">
        <v>40</v>
      </c>
      <c r="E102" s="97">
        <v>240</v>
      </c>
      <c r="F102" s="95" t="s">
        <v>41</v>
      </c>
    </row>
    <row r="103" spans="1:6" ht="14.25" customHeight="1" x14ac:dyDescent="0.3">
      <c r="A103" s="101">
        <v>46199</v>
      </c>
      <c r="B103" s="88" t="s">
        <v>57</v>
      </c>
      <c r="C103" s="88" t="s">
        <v>39</v>
      </c>
      <c r="D103" s="87" t="s">
        <v>40</v>
      </c>
      <c r="E103" s="90">
        <v>214</v>
      </c>
      <c r="F103" s="88" t="s">
        <v>41</v>
      </c>
    </row>
    <row r="104" spans="1:6" ht="14.25" customHeight="1" x14ac:dyDescent="0.3">
      <c r="A104" s="102">
        <v>46199</v>
      </c>
      <c r="B104" s="95" t="s">
        <v>58</v>
      </c>
      <c r="C104" s="95" t="s">
        <v>39</v>
      </c>
      <c r="D104" s="94" t="s">
        <v>40</v>
      </c>
      <c r="E104" s="97">
        <v>259</v>
      </c>
      <c r="F104" s="95" t="s">
        <v>41</v>
      </c>
    </row>
    <row r="105" spans="1:6" ht="14.25" customHeight="1" x14ac:dyDescent="0.3">
      <c r="A105" s="101">
        <v>46199</v>
      </c>
      <c r="B105" s="88" t="s">
        <v>59</v>
      </c>
      <c r="C105" s="88" t="s">
        <v>39</v>
      </c>
      <c r="D105" s="87" t="s">
        <v>40</v>
      </c>
      <c r="E105" s="90">
        <v>248</v>
      </c>
      <c r="F105" s="88" t="s">
        <v>41</v>
      </c>
    </row>
    <row r="106" spans="1:6" ht="14.25" customHeight="1" x14ac:dyDescent="0.3">
      <c r="A106" s="102">
        <v>46199</v>
      </c>
      <c r="B106" s="95" t="s">
        <v>60</v>
      </c>
      <c r="C106" s="95" t="s">
        <v>39</v>
      </c>
      <c r="D106" s="94" t="s">
        <v>40</v>
      </c>
      <c r="E106" s="97">
        <v>334</v>
      </c>
      <c r="F106" s="95" t="s">
        <v>41</v>
      </c>
    </row>
    <row r="107" spans="1:6" ht="14.25" customHeight="1" x14ac:dyDescent="0.3">
      <c r="A107" s="101">
        <v>46199</v>
      </c>
      <c r="B107" s="88" t="s">
        <v>61</v>
      </c>
      <c r="C107" s="88" t="s">
        <v>39</v>
      </c>
      <c r="D107" s="87" t="s">
        <v>40</v>
      </c>
      <c r="E107" s="90">
        <v>293</v>
      </c>
      <c r="F107" s="88" t="s">
        <v>41</v>
      </c>
    </row>
    <row r="108" spans="1:6" ht="14.25" customHeight="1" x14ac:dyDescent="0.3">
      <c r="A108" s="102">
        <v>46199</v>
      </c>
      <c r="B108" s="95" t="s">
        <v>62</v>
      </c>
      <c r="C108" s="95" t="s">
        <v>39</v>
      </c>
      <c r="D108" s="94" t="s">
        <v>40</v>
      </c>
      <c r="E108" s="97">
        <v>197</v>
      </c>
      <c r="F108" s="95" t="s">
        <v>41</v>
      </c>
    </row>
    <row r="109" spans="1:6" ht="14.25" customHeight="1" x14ac:dyDescent="0.3">
      <c r="A109" s="101">
        <v>46199</v>
      </c>
      <c r="B109" s="88" t="s">
        <v>63</v>
      </c>
      <c r="C109" s="88" t="s">
        <v>39</v>
      </c>
      <c r="D109" s="87" t="s">
        <v>40</v>
      </c>
      <c r="E109" s="90">
        <v>310</v>
      </c>
      <c r="F109" s="88" t="s">
        <v>41</v>
      </c>
    </row>
    <row r="110" spans="1:6" ht="14.25" customHeight="1" x14ac:dyDescent="0.3">
      <c r="A110" s="102">
        <v>46199</v>
      </c>
      <c r="B110" s="95" t="s">
        <v>64</v>
      </c>
      <c r="C110" s="95" t="s">
        <v>39</v>
      </c>
      <c r="D110" s="94" t="s">
        <v>40</v>
      </c>
      <c r="E110" s="97">
        <v>253</v>
      </c>
      <c r="F110" s="95" t="s">
        <v>41</v>
      </c>
    </row>
    <row r="111" spans="1:6" ht="14.25" customHeight="1" x14ac:dyDescent="0.3">
      <c r="A111" s="101">
        <v>46199</v>
      </c>
      <c r="B111" s="88" t="s">
        <v>65</v>
      </c>
      <c r="C111" s="88" t="s">
        <v>39</v>
      </c>
      <c r="D111" s="87" t="s">
        <v>40</v>
      </c>
      <c r="E111" s="90">
        <v>274</v>
      </c>
      <c r="F111" s="88" t="s">
        <v>41</v>
      </c>
    </row>
    <row r="112" spans="1:6" ht="14.25" customHeight="1" x14ac:dyDescent="0.3">
      <c r="A112" s="102">
        <v>46199</v>
      </c>
      <c r="B112" s="95" t="s">
        <v>66</v>
      </c>
      <c r="C112" s="95" t="s">
        <v>39</v>
      </c>
      <c r="D112" s="94" t="s">
        <v>40</v>
      </c>
      <c r="E112" s="97">
        <v>214</v>
      </c>
      <c r="F112" s="95" t="s">
        <v>41</v>
      </c>
    </row>
    <row r="113" spans="1:6" ht="14.25" customHeight="1" x14ac:dyDescent="0.3">
      <c r="A113" s="101">
        <v>46199</v>
      </c>
      <c r="B113" s="88" t="s">
        <v>67</v>
      </c>
      <c r="C113" s="88" t="s">
        <v>39</v>
      </c>
      <c r="D113" s="87" t="s">
        <v>40</v>
      </c>
      <c r="E113" s="90">
        <v>288</v>
      </c>
      <c r="F113" s="88" t="s">
        <v>41</v>
      </c>
    </row>
    <row r="114" spans="1:6" ht="14.25" customHeight="1" x14ac:dyDescent="0.3">
      <c r="A114" s="102">
        <v>46199</v>
      </c>
      <c r="B114" s="95" t="s">
        <v>68</v>
      </c>
      <c r="C114" s="95" t="s">
        <v>39</v>
      </c>
      <c r="D114" s="94" t="s">
        <v>40</v>
      </c>
      <c r="E114" s="97">
        <v>253</v>
      </c>
      <c r="F114" s="95" t="s">
        <v>41</v>
      </c>
    </row>
    <row r="115" spans="1:6" ht="14.25" customHeight="1" x14ac:dyDescent="0.3">
      <c r="A115" s="101">
        <v>46199</v>
      </c>
      <c r="B115" s="88" t="s">
        <v>69</v>
      </c>
      <c r="C115" s="88" t="s">
        <v>39</v>
      </c>
      <c r="D115" s="87" t="s">
        <v>40</v>
      </c>
      <c r="E115" s="90">
        <v>251</v>
      </c>
      <c r="F115" s="88" t="s">
        <v>41</v>
      </c>
    </row>
    <row r="116" spans="1:6" ht="14.25" customHeight="1" x14ac:dyDescent="0.3">
      <c r="A116" s="102">
        <v>46199</v>
      </c>
      <c r="B116" s="95" t="s">
        <v>70</v>
      </c>
      <c r="C116" s="95" t="s">
        <v>39</v>
      </c>
      <c r="D116" s="94" t="s">
        <v>40</v>
      </c>
      <c r="E116" s="97">
        <v>313</v>
      </c>
      <c r="F116" s="95" t="s">
        <v>41</v>
      </c>
    </row>
    <row r="117" spans="1:6" ht="14.25" customHeight="1" x14ac:dyDescent="0.3">
      <c r="A117" s="101">
        <v>46199</v>
      </c>
      <c r="B117" s="88" t="s">
        <v>71</v>
      </c>
      <c r="C117" s="88" t="s">
        <v>39</v>
      </c>
      <c r="D117" s="87" t="s">
        <v>40</v>
      </c>
      <c r="E117" s="90">
        <v>202</v>
      </c>
      <c r="F117" s="88" t="s">
        <v>41</v>
      </c>
    </row>
    <row r="118" spans="1:6" ht="14.25" customHeight="1" x14ac:dyDescent="0.3">
      <c r="A118" s="102">
        <v>46199</v>
      </c>
      <c r="B118" s="95" t="s">
        <v>72</v>
      </c>
      <c r="C118" s="95" t="s">
        <v>39</v>
      </c>
      <c r="D118" s="94" t="s">
        <v>40</v>
      </c>
      <c r="E118" s="97">
        <v>240</v>
      </c>
      <c r="F118" s="95" t="s">
        <v>41</v>
      </c>
    </row>
    <row r="119" spans="1:6" ht="14.25" customHeight="1" x14ac:dyDescent="0.3">
      <c r="A119" s="101">
        <v>46199</v>
      </c>
      <c r="B119" s="88" t="s">
        <v>73</v>
      </c>
      <c r="C119" s="88" t="s">
        <v>39</v>
      </c>
      <c r="D119" s="87" t="s">
        <v>40</v>
      </c>
      <c r="E119" s="90">
        <v>254</v>
      </c>
      <c r="F119" s="88" t="s">
        <v>41</v>
      </c>
    </row>
    <row r="120" spans="1:6" ht="14.25" customHeight="1" x14ac:dyDescent="0.3">
      <c r="A120" s="102">
        <v>46199</v>
      </c>
      <c r="B120" s="95" t="s">
        <v>74</v>
      </c>
      <c r="C120" s="95" t="s">
        <v>39</v>
      </c>
      <c r="D120" s="94" t="s">
        <v>40</v>
      </c>
      <c r="E120" s="97">
        <v>254</v>
      </c>
      <c r="F120" s="95" t="s">
        <v>41</v>
      </c>
    </row>
    <row r="121" spans="1:6" ht="14.25" customHeight="1" x14ac:dyDescent="0.3">
      <c r="A121" s="101">
        <v>46199</v>
      </c>
      <c r="B121" s="88" t="s">
        <v>75</v>
      </c>
      <c r="C121" s="88" t="s">
        <v>39</v>
      </c>
      <c r="D121" s="87" t="s">
        <v>40</v>
      </c>
      <c r="E121" s="90">
        <v>228</v>
      </c>
      <c r="F121" s="88" t="s">
        <v>41</v>
      </c>
    </row>
    <row r="122" spans="1:6" ht="14.25" customHeight="1" x14ac:dyDescent="0.3">
      <c r="A122" s="102">
        <v>46199</v>
      </c>
      <c r="B122" s="95" t="s">
        <v>76</v>
      </c>
      <c r="C122" s="95" t="s">
        <v>39</v>
      </c>
      <c r="D122" s="94" t="s">
        <v>40</v>
      </c>
      <c r="E122" s="97">
        <v>286</v>
      </c>
      <c r="F122" s="95" t="s">
        <v>41</v>
      </c>
    </row>
    <row r="123" spans="1:6" ht="14.25" customHeight="1" x14ac:dyDescent="0.3">
      <c r="A123" s="101">
        <v>46199</v>
      </c>
      <c r="B123" s="88" t="s">
        <v>77</v>
      </c>
      <c r="C123" s="88" t="s">
        <v>39</v>
      </c>
      <c r="D123" s="87" t="s">
        <v>40</v>
      </c>
      <c r="E123" s="90">
        <v>210</v>
      </c>
      <c r="F123" s="88" t="s">
        <v>41</v>
      </c>
    </row>
    <row r="124" spans="1:6" ht="14.25" customHeight="1" x14ac:dyDescent="0.3">
      <c r="A124" s="102">
        <v>46199</v>
      </c>
      <c r="B124" s="95" t="s">
        <v>78</v>
      </c>
      <c r="C124" s="95" t="s">
        <v>39</v>
      </c>
      <c r="D124" s="94" t="s">
        <v>40</v>
      </c>
      <c r="E124" s="97">
        <v>237</v>
      </c>
      <c r="F124" s="95" t="s">
        <v>41</v>
      </c>
    </row>
    <row r="125" spans="1:6" ht="14.25" customHeight="1" x14ac:dyDescent="0.3">
      <c r="A125" s="101">
        <v>46199</v>
      </c>
      <c r="B125" s="88" t="s">
        <v>79</v>
      </c>
      <c r="C125" s="88" t="s">
        <v>39</v>
      </c>
      <c r="D125" s="87" t="s">
        <v>40</v>
      </c>
      <c r="E125" s="90">
        <v>275</v>
      </c>
      <c r="F125" s="88" t="s">
        <v>41</v>
      </c>
    </row>
    <row r="126" spans="1:6" ht="14.25" customHeight="1" x14ac:dyDescent="0.3">
      <c r="A126" s="102">
        <v>46199</v>
      </c>
      <c r="B126" s="95" t="s">
        <v>80</v>
      </c>
      <c r="C126" s="95" t="s">
        <v>39</v>
      </c>
      <c r="D126" s="94" t="s">
        <v>40</v>
      </c>
      <c r="E126" s="97">
        <v>239</v>
      </c>
      <c r="F126" s="95" t="s">
        <v>41</v>
      </c>
    </row>
    <row r="127" spans="1:6" ht="14.25" customHeight="1" x14ac:dyDescent="0.3">
      <c r="A127" s="101">
        <v>46199</v>
      </c>
      <c r="B127" s="88" t="s">
        <v>81</v>
      </c>
      <c r="C127" s="88" t="s">
        <v>39</v>
      </c>
      <c r="D127" s="87" t="s">
        <v>40</v>
      </c>
      <c r="E127" s="90">
        <v>233</v>
      </c>
      <c r="F127" s="88" t="s">
        <v>41</v>
      </c>
    </row>
    <row r="128" spans="1:6" ht="14.25" customHeight="1" x14ac:dyDescent="0.3">
      <c r="A128" s="102">
        <v>46199</v>
      </c>
      <c r="B128" s="95" t="s">
        <v>82</v>
      </c>
      <c r="C128" s="95" t="s">
        <v>39</v>
      </c>
      <c r="D128" s="94" t="s">
        <v>40</v>
      </c>
      <c r="E128" s="97">
        <v>185</v>
      </c>
      <c r="F128" s="95" t="s">
        <v>41</v>
      </c>
    </row>
    <row r="129" spans="1:6" ht="14.25" customHeight="1" x14ac:dyDescent="0.3">
      <c r="A129" s="101">
        <v>46199</v>
      </c>
      <c r="B129" s="88" t="s">
        <v>83</v>
      </c>
      <c r="C129" s="88" t="s">
        <v>39</v>
      </c>
      <c r="D129" s="87" t="s">
        <v>40</v>
      </c>
      <c r="E129" s="90">
        <v>245</v>
      </c>
      <c r="F129" s="88" t="s">
        <v>41</v>
      </c>
    </row>
    <row r="130" spans="1:6" ht="14.25" customHeight="1" x14ac:dyDescent="0.3">
      <c r="A130" s="102">
        <v>46199</v>
      </c>
      <c r="B130" s="95" t="s">
        <v>84</v>
      </c>
      <c r="C130" s="95" t="s">
        <v>39</v>
      </c>
      <c r="D130" s="94" t="s">
        <v>40</v>
      </c>
      <c r="E130" s="97">
        <v>255</v>
      </c>
      <c r="F130" s="95" t="s">
        <v>41</v>
      </c>
    </row>
    <row r="131" spans="1:6" ht="14.25" customHeight="1" x14ac:dyDescent="0.3">
      <c r="A131" s="101">
        <v>46199</v>
      </c>
      <c r="B131" s="88" t="s">
        <v>85</v>
      </c>
      <c r="C131" s="88" t="s">
        <v>39</v>
      </c>
      <c r="D131" s="87" t="s">
        <v>40</v>
      </c>
      <c r="E131" s="90">
        <v>194</v>
      </c>
      <c r="F131" s="88" t="s">
        <v>41</v>
      </c>
    </row>
    <row r="132" spans="1:6" ht="14.25" customHeight="1" x14ac:dyDescent="0.3">
      <c r="A132" s="102">
        <v>46199</v>
      </c>
      <c r="B132" s="95" t="s">
        <v>86</v>
      </c>
      <c r="C132" s="95" t="s">
        <v>39</v>
      </c>
      <c r="D132" s="94" t="s">
        <v>40</v>
      </c>
      <c r="E132" s="97">
        <v>186</v>
      </c>
      <c r="F132" s="95" t="s">
        <v>41</v>
      </c>
    </row>
    <row r="133" spans="1:6" ht="14.25" customHeight="1" x14ac:dyDescent="0.3">
      <c r="A133" s="101">
        <v>46199</v>
      </c>
      <c r="B133" s="88" t="s">
        <v>87</v>
      </c>
      <c r="C133" s="88" t="s">
        <v>39</v>
      </c>
      <c r="D133" s="87" t="s">
        <v>40</v>
      </c>
      <c r="E133" s="90">
        <v>209</v>
      </c>
      <c r="F133" s="88" t="s">
        <v>41</v>
      </c>
    </row>
    <row r="134" spans="1:6" ht="14.25" customHeight="1" x14ac:dyDescent="0.3">
      <c r="A134" s="102">
        <v>46199</v>
      </c>
      <c r="B134" s="95" t="s">
        <v>88</v>
      </c>
      <c r="C134" s="95" t="s">
        <v>39</v>
      </c>
      <c r="D134" s="94" t="s">
        <v>40</v>
      </c>
      <c r="E134" s="97">
        <v>265</v>
      </c>
      <c r="F134" s="95" t="s">
        <v>41</v>
      </c>
    </row>
    <row r="135" spans="1:6" ht="14.25" customHeight="1" x14ac:dyDescent="0.3">
      <c r="A135" s="101">
        <v>46199</v>
      </c>
      <c r="B135" s="88" t="s">
        <v>89</v>
      </c>
      <c r="C135" s="88" t="s">
        <v>39</v>
      </c>
      <c r="D135" s="87" t="s">
        <v>40</v>
      </c>
      <c r="E135" s="90">
        <v>200</v>
      </c>
      <c r="F135" s="88" t="s">
        <v>41</v>
      </c>
    </row>
    <row r="136" spans="1:6" ht="14.25" customHeight="1" x14ac:dyDescent="0.3">
      <c r="A136" s="102">
        <v>46199</v>
      </c>
      <c r="B136" s="95" t="s">
        <v>90</v>
      </c>
      <c r="C136" s="95" t="s">
        <v>39</v>
      </c>
      <c r="D136" s="94" t="s">
        <v>40</v>
      </c>
      <c r="E136" s="97">
        <v>294</v>
      </c>
      <c r="F136" s="95" t="s">
        <v>41</v>
      </c>
    </row>
    <row r="137" spans="1:6" ht="14.25" customHeight="1" x14ac:dyDescent="0.3">
      <c r="A137" s="101">
        <v>46199</v>
      </c>
      <c r="B137" s="88" t="s">
        <v>91</v>
      </c>
      <c r="C137" s="88" t="s">
        <v>39</v>
      </c>
      <c r="D137" s="87" t="s">
        <v>40</v>
      </c>
      <c r="E137" s="90">
        <v>238</v>
      </c>
      <c r="F137" s="88" t="s">
        <v>41</v>
      </c>
    </row>
    <row r="138" spans="1:6" ht="14.25" customHeight="1" x14ac:dyDescent="0.3">
      <c r="A138" s="102">
        <v>46199</v>
      </c>
      <c r="B138" s="95" t="s">
        <v>92</v>
      </c>
      <c r="C138" s="95" t="s">
        <v>39</v>
      </c>
      <c r="D138" s="94" t="s">
        <v>40</v>
      </c>
      <c r="E138" s="97">
        <v>132</v>
      </c>
      <c r="F138" s="95" t="s">
        <v>41</v>
      </c>
    </row>
    <row r="139" spans="1:6" ht="14.25" customHeight="1" x14ac:dyDescent="0.3">
      <c r="A139" s="101">
        <v>46199</v>
      </c>
      <c r="B139" s="88" t="s">
        <v>93</v>
      </c>
      <c r="C139" s="88" t="s">
        <v>39</v>
      </c>
      <c r="D139" s="87" t="s">
        <v>40</v>
      </c>
      <c r="E139" s="90">
        <v>254</v>
      </c>
      <c r="F139" s="88" t="s">
        <v>41</v>
      </c>
    </row>
    <row r="140" spans="1:6" ht="14.25" customHeight="1" x14ac:dyDescent="0.3">
      <c r="A140" s="102">
        <v>46199</v>
      </c>
      <c r="B140" s="95" t="s">
        <v>94</v>
      </c>
      <c r="C140" s="95" t="s">
        <v>39</v>
      </c>
      <c r="D140" s="94" t="s">
        <v>40</v>
      </c>
      <c r="E140" s="97">
        <v>214</v>
      </c>
      <c r="F140" s="95" t="s">
        <v>41</v>
      </c>
    </row>
    <row r="141" spans="1:6" ht="14.25" customHeight="1" x14ac:dyDescent="0.3">
      <c r="A141" s="101">
        <v>46199</v>
      </c>
      <c r="B141" s="88" t="s">
        <v>95</v>
      </c>
      <c r="C141" s="88" t="s">
        <v>39</v>
      </c>
      <c r="D141" s="87" t="s">
        <v>40</v>
      </c>
      <c r="E141" s="90">
        <v>205</v>
      </c>
      <c r="F141" s="88" t="s">
        <v>41</v>
      </c>
    </row>
    <row r="142" spans="1:6" ht="14.25" customHeight="1" x14ac:dyDescent="0.3">
      <c r="A142" s="102">
        <v>46199</v>
      </c>
      <c r="B142" s="95" t="s">
        <v>96</v>
      </c>
      <c r="C142" s="95" t="s">
        <v>39</v>
      </c>
      <c r="D142" s="94" t="s">
        <v>40</v>
      </c>
      <c r="E142" s="97">
        <v>265</v>
      </c>
      <c r="F142" s="95" t="s">
        <v>41</v>
      </c>
    </row>
    <row r="143" spans="1:6" ht="14.25" customHeight="1" x14ac:dyDescent="0.3">
      <c r="A143" s="101">
        <v>46199</v>
      </c>
      <c r="B143" s="88" t="s">
        <v>97</v>
      </c>
      <c r="C143" s="88" t="s">
        <v>39</v>
      </c>
      <c r="D143" s="87" t="s">
        <v>40</v>
      </c>
      <c r="E143" s="90">
        <v>244</v>
      </c>
      <c r="F143" s="88" t="s">
        <v>41</v>
      </c>
    </row>
    <row r="144" spans="1:6" ht="14.25" customHeight="1" x14ac:dyDescent="0.3">
      <c r="A144" s="102">
        <v>46199</v>
      </c>
      <c r="B144" s="95" t="s">
        <v>98</v>
      </c>
      <c r="C144" s="95" t="s">
        <v>39</v>
      </c>
      <c r="D144" s="94" t="s">
        <v>40</v>
      </c>
      <c r="E144" s="97">
        <v>186</v>
      </c>
      <c r="F144" s="95" t="s">
        <v>41</v>
      </c>
    </row>
    <row r="145" spans="1:6" ht="14.25" customHeight="1" x14ac:dyDescent="0.3">
      <c r="A145" s="101">
        <v>46199</v>
      </c>
      <c r="B145" s="88" t="s">
        <v>99</v>
      </c>
      <c r="C145" s="88" t="s">
        <v>39</v>
      </c>
      <c r="D145" s="87" t="s">
        <v>40</v>
      </c>
      <c r="E145" s="90">
        <v>249</v>
      </c>
      <c r="F145" s="88" t="s">
        <v>41</v>
      </c>
    </row>
    <row r="146" spans="1:6" ht="14.25" customHeight="1" x14ac:dyDescent="0.3">
      <c r="A146" s="102">
        <v>46199</v>
      </c>
      <c r="B146" s="95" t="s">
        <v>100</v>
      </c>
      <c r="C146" s="95" t="s">
        <v>39</v>
      </c>
      <c r="D146" s="94" t="s">
        <v>40</v>
      </c>
      <c r="E146" s="97">
        <v>237</v>
      </c>
      <c r="F146" s="95" t="s">
        <v>41</v>
      </c>
    </row>
    <row r="147" spans="1:6" ht="14.25" customHeight="1" x14ac:dyDescent="0.3">
      <c r="A147" s="101">
        <v>46199</v>
      </c>
      <c r="B147" s="88" t="s">
        <v>101</v>
      </c>
      <c r="C147" s="88" t="s">
        <v>39</v>
      </c>
      <c r="D147" s="87" t="s">
        <v>40</v>
      </c>
      <c r="E147" s="90">
        <v>261</v>
      </c>
      <c r="F147" s="88" t="s">
        <v>41</v>
      </c>
    </row>
    <row r="148" spans="1:6" ht="14.25" customHeight="1" x14ac:dyDescent="0.3">
      <c r="A148" s="102">
        <v>46199</v>
      </c>
      <c r="B148" s="95" t="s">
        <v>102</v>
      </c>
      <c r="C148" s="95" t="s">
        <v>39</v>
      </c>
      <c r="D148" s="94" t="s">
        <v>40</v>
      </c>
      <c r="E148" s="97">
        <v>243</v>
      </c>
      <c r="F148" s="95" t="s">
        <v>41</v>
      </c>
    </row>
    <row r="149" spans="1:6" ht="14.25" customHeight="1" x14ac:dyDescent="0.3">
      <c r="A149" s="101">
        <v>46199</v>
      </c>
      <c r="B149" s="88" t="s">
        <v>103</v>
      </c>
      <c r="C149" s="88" t="s">
        <v>39</v>
      </c>
      <c r="D149" s="87" t="s">
        <v>40</v>
      </c>
      <c r="E149" s="90">
        <v>230</v>
      </c>
      <c r="F149" s="88" t="s">
        <v>41</v>
      </c>
    </row>
    <row r="150" spans="1:6" ht="14.25" customHeight="1" x14ac:dyDescent="0.3">
      <c r="A150" s="102">
        <v>46199</v>
      </c>
      <c r="B150" s="95" t="s">
        <v>104</v>
      </c>
      <c r="C150" s="95" t="s">
        <v>39</v>
      </c>
      <c r="D150" s="94" t="s">
        <v>40</v>
      </c>
      <c r="E150" s="97">
        <v>204</v>
      </c>
      <c r="F150" s="95" t="s">
        <v>41</v>
      </c>
    </row>
    <row r="151" spans="1:6" ht="14.25" customHeight="1" x14ac:dyDescent="0.3">
      <c r="A151" s="101">
        <v>46199</v>
      </c>
      <c r="B151" s="88" t="s">
        <v>105</v>
      </c>
      <c r="C151" s="88" t="s">
        <v>39</v>
      </c>
      <c r="D151" s="87" t="s">
        <v>40</v>
      </c>
      <c r="E151" s="90">
        <v>226</v>
      </c>
      <c r="F151" s="88" t="s">
        <v>41</v>
      </c>
    </row>
    <row r="152" spans="1:6" ht="14.25" customHeight="1" x14ac:dyDescent="0.3">
      <c r="A152" s="102">
        <v>46199</v>
      </c>
      <c r="B152" s="95" t="s">
        <v>106</v>
      </c>
      <c r="C152" s="95" t="s">
        <v>39</v>
      </c>
      <c r="D152" s="94" t="s">
        <v>40</v>
      </c>
      <c r="E152" s="97">
        <v>248</v>
      </c>
      <c r="F152" s="95" t="s">
        <v>41</v>
      </c>
    </row>
    <row r="153" spans="1:6" ht="14.25" customHeight="1" x14ac:dyDescent="0.3">
      <c r="A153" s="101">
        <v>46199</v>
      </c>
      <c r="B153" s="88" t="s">
        <v>107</v>
      </c>
      <c r="C153" s="88" t="s">
        <v>39</v>
      </c>
      <c r="D153" s="87" t="s">
        <v>40</v>
      </c>
      <c r="E153" s="90">
        <v>251</v>
      </c>
      <c r="F153" s="88" t="s">
        <v>41</v>
      </c>
    </row>
    <row r="154" spans="1:6" ht="14.25" customHeight="1" x14ac:dyDescent="0.3">
      <c r="A154" s="102">
        <v>46199</v>
      </c>
      <c r="B154" s="95" t="s">
        <v>108</v>
      </c>
      <c r="C154" s="95" t="s">
        <v>39</v>
      </c>
      <c r="D154" s="94" t="s">
        <v>40</v>
      </c>
      <c r="E154" s="97">
        <v>218</v>
      </c>
      <c r="F154" s="95" t="s">
        <v>41</v>
      </c>
    </row>
    <row r="155" spans="1:6" ht="14.25" customHeight="1" x14ac:dyDescent="0.3">
      <c r="A155" s="101">
        <v>46199</v>
      </c>
      <c r="B155" s="88" t="s">
        <v>109</v>
      </c>
      <c r="C155" s="88" t="s">
        <v>39</v>
      </c>
      <c r="D155" s="87" t="s">
        <v>40</v>
      </c>
      <c r="E155" s="90">
        <v>194</v>
      </c>
      <c r="F155" s="88" t="s">
        <v>41</v>
      </c>
    </row>
    <row r="156" spans="1:6" ht="14.25" customHeight="1" x14ac:dyDescent="0.3">
      <c r="A156" s="102">
        <v>46199</v>
      </c>
      <c r="B156" s="95" t="s">
        <v>110</v>
      </c>
      <c r="C156" s="95" t="s">
        <v>39</v>
      </c>
      <c r="D156" s="94" t="s">
        <v>40</v>
      </c>
      <c r="E156" s="97">
        <v>226</v>
      </c>
      <c r="F156" s="95" t="s">
        <v>41</v>
      </c>
    </row>
    <row r="157" spans="1:6" ht="14.25" customHeight="1" x14ac:dyDescent="0.3">
      <c r="A157" s="101">
        <v>46199</v>
      </c>
      <c r="B157" s="88" t="s">
        <v>111</v>
      </c>
      <c r="C157" s="88" t="s">
        <v>39</v>
      </c>
      <c r="D157" s="87" t="s">
        <v>40</v>
      </c>
      <c r="E157" s="90">
        <v>246</v>
      </c>
      <c r="F157" s="88" t="s">
        <v>41</v>
      </c>
    </row>
    <row r="158" spans="1:6" ht="14.25" customHeight="1" x14ac:dyDescent="0.3">
      <c r="A158" s="102">
        <v>46199</v>
      </c>
      <c r="B158" s="95" t="s">
        <v>112</v>
      </c>
      <c r="C158" s="95" t="s">
        <v>39</v>
      </c>
      <c r="D158" s="94" t="s">
        <v>40</v>
      </c>
      <c r="E158" s="97">
        <v>203</v>
      </c>
      <c r="F158" s="95" t="s">
        <v>41</v>
      </c>
    </row>
    <row r="159" spans="1:6" ht="14.25" customHeight="1" x14ac:dyDescent="0.3">
      <c r="A159" s="101">
        <v>46199</v>
      </c>
      <c r="B159" s="88" t="s">
        <v>113</v>
      </c>
      <c r="C159" s="88" t="s">
        <v>39</v>
      </c>
      <c r="D159" s="87" t="s">
        <v>40</v>
      </c>
      <c r="E159" s="90">
        <v>201</v>
      </c>
      <c r="F159" s="88" t="s">
        <v>41</v>
      </c>
    </row>
    <row r="160" spans="1:6" ht="14.25" customHeight="1" x14ac:dyDescent="0.3">
      <c r="A160" s="102">
        <v>46199</v>
      </c>
      <c r="B160" s="95" t="s">
        <v>114</v>
      </c>
      <c r="C160" s="95" t="s">
        <v>39</v>
      </c>
      <c r="D160" s="94" t="s">
        <v>40</v>
      </c>
      <c r="E160" s="97">
        <v>289</v>
      </c>
      <c r="F160" s="95" t="s">
        <v>41</v>
      </c>
    </row>
    <row r="161" spans="1:6" ht="14.25" customHeight="1" x14ac:dyDescent="0.3">
      <c r="A161" s="101">
        <v>46199</v>
      </c>
      <c r="B161" s="88" t="s">
        <v>115</v>
      </c>
      <c r="C161" s="88" t="s">
        <v>39</v>
      </c>
      <c r="D161" s="87" t="s">
        <v>40</v>
      </c>
      <c r="E161" s="90">
        <v>210</v>
      </c>
      <c r="F161" s="88" t="s">
        <v>41</v>
      </c>
    </row>
    <row r="162" spans="1:6" ht="14.25" customHeight="1" x14ac:dyDescent="0.3">
      <c r="A162" s="102">
        <v>46199</v>
      </c>
      <c r="B162" s="95" t="s">
        <v>116</v>
      </c>
      <c r="C162" s="95" t="s">
        <v>39</v>
      </c>
      <c r="D162" s="94" t="s">
        <v>40</v>
      </c>
      <c r="E162" s="97">
        <v>192</v>
      </c>
      <c r="F162" s="95" t="s">
        <v>41</v>
      </c>
    </row>
    <row r="163" spans="1:6" ht="14.25" customHeight="1" x14ac:dyDescent="0.3">
      <c r="A163" s="101">
        <v>46199</v>
      </c>
      <c r="B163" s="88" t="s">
        <v>117</v>
      </c>
      <c r="C163" s="88" t="s">
        <v>39</v>
      </c>
      <c r="D163" s="87" t="s">
        <v>40</v>
      </c>
      <c r="E163" s="90">
        <v>242</v>
      </c>
      <c r="F163" s="88" t="s">
        <v>41</v>
      </c>
    </row>
    <row r="164" spans="1:6" ht="14.25" customHeight="1" x14ac:dyDescent="0.3">
      <c r="A164" s="102">
        <v>46199</v>
      </c>
      <c r="B164" s="95" t="s">
        <v>118</v>
      </c>
      <c r="C164" s="95" t="s">
        <v>39</v>
      </c>
      <c r="D164" s="94" t="s">
        <v>40</v>
      </c>
      <c r="E164" s="97">
        <v>205</v>
      </c>
      <c r="F164" s="95" t="s">
        <v>41</v>
      </c>
    </row>
    <row r="165" spans="1:6" ht="14.25" customHeight="1" x14ac:dyDescent="0.3">
      <c r="A165" s="101">
        <v>46199</v>
      </c>
      <c r="B165" s="88" t="s">
        <v>119</v>
      </c>
      <c r="C165" s="88" t="s">
        <v>39</v>
      </c>
      <c r="D165" s="87" t="s">
        <v>40</v>
      </c>
      <c r="E165" s="90">
        <v>236</v>
      </c>
      <c r="F165" s="88" t="s">
        <v>41</v>
      </c>
    </row>
    <row r="166" spans="1:6" ht="14.25" customHeight="1" x14ac:dyDescent="0.3">
      <c r="A166" s="102">
        <v>46199</v>
      </c>
      <c r="B166" s="95" t="s">
        <v>120</v>
      </c>
      <c r="C166" s="95" t="s">
        <v>39</v>
      </c>
      <c r="D166" s="94" t="s">
        <v>40</v>
      </c>
      <c r="E166" s="97">
        <v>193</v>
      </c>
      <c r="F166" s="95" t="s">
        <v>41</v>
      </c>
    </row>
    <row r="167" spans="1:6" ht="14.25" customHeight="1" x14ac:dyDescent="0.3">
      <c r="A167" s="101">
        <v>46199</v>
      </c>
      <c r="B167" s="88" t="s">
        <v>121</v>
      </c>
      <c r="C167" s="88" t="s">
        <v>39</v>
      </c>
      <c r="D167" s="87" t="s">
        <v>40</v>
      </c>
      <c r="E167" s="90">
        <v>257</v>
      </c>
      <c r="F167" s="88" t="s">
        <v>41</v>
      </c>
    </row>
    <row r="168" spans="1:6" ht="14.25" customHeight="1" x14ac:dyDescent="0.3">
      <c r="A168" s="102">
        <v>46199</v>
      </c>
      <c r="B168" s="95" t="s">
        <v>122</v>
      </c>
      <c r="C168" s="95" t="s">
        <v>39</v>
      </c>
      <c r="D168" s="94" t="s">
        <v>40</v>
      </c>
      <c r="E168" s="97">
        <v>180</v>
      </c>
      <c r="F168" s="95" t="s">
        <v>41</v>
      </c>
    </row>
    <row r="169" spans="1:6" ht="14.25" customHeight="1" x14ac:dyDescent="0.3">
      <c r="A169" s="101">
        <v>46199</v>
      </c>
      <c r="B169" s="88" t="s">
        <v>123</v>
      </c>
      <c r="C169" s="88" t="s">
        <v>39</v>
      </c>
      <c r="D169" s="87" t="s">
        <v>40</v>
      </c>
      <c r="E169" s="90">
        <v>185</v>
      </c>
      <c r="F169" s="88" t="s">
        <v>41</v>
      </c>
    </row>
    <row r="170" spans="1:6" ht="14.25" customHeight="1" x14ac:dyDescent="0.3">
      <c r="A170" s="102">
        <v>46199</v>
      </c>
      <c r="B170" s="95" t="s">
        <v>124</v>
      </c>
      <c r="C170" s="95" t="s">
        <v>39</v>
      </c>
      <c r="D170" s="94" t="s">
        <v>40</v>
      </c>
      <c r="E170" s="97">
        <v>215</v>
      </c>
      <c r="F170" s="95" t="s">
        <v>41</v>
      </c>
    </row>
    <row r="171" spans="1:6" ht="14.25" customHeight="1" x14ac:dyDescent="0.3">
      <c r="A171" s="101">
        <v>46199</v>
      </c>
      <c r="B171" s="88" t="s">
        <v>125</v>
      </c>
      <c r="C171" s="88" t="s">
        <v>39</v>
      </c>
      <c r="D171" s="87" t="s">
        <v>40</v>
      </c>
      <c r="E171" s="90">
        <v>227</v>
      </c>
      <c r="F171" s="88" t="s">
        <v>41</v>
      </c>
    </row>
    <row r="172" spans="1:6" ht="14.25" customHeight="1" x14ac:dyDescent="0.3">
      <c r="A172" s="102">
        <v>46199</v>
      </c>
      <c r="B172" s="95" t="s">
        <v>126</v>
      </c>
      <c r="C172" s="95" t="s">
        <v>39</v>
      </c>
      <c r="D172" s="94" t="s">
        <v>40</v>
      </c>
      <c r="E172" s="97">
        <v>224</v>
      </c>
      <c r="F172" s="95" t="s">
        <v>41</v>
      </c>
    </row>
    <row r="173" spans="1:6" ht="14.25" customHeight="1" x14ac:dyDescent="0.3">
      <c r="A173" s="101">
        <v>46199</v>
      </c>
      <c r="B173" s="88" t="s">
        <v>127</v>
      </c>
      <c r="C173" s="88" t="s">
        <v>39</v>
      </c>
      <c r="D173" s="87" t="s">
        <v>40</v>
      </c>
      <c r="E173" s="90">
        <v>247</v>
      </c>
      <c r="F173" s="88" t="s">
        <v>41</v>
      </c>
    </row>
    <row r="174" spans="1:6" ht="14.25" customHeight="1" x14ac:dyDescent="0.3">
      <c r="A174" s="102">
        <v>46199</v>
      </c>
      <c r="B174" s="95" t="s">
        <v>128</v>
      </c>
      <c r="C174" s="95" t="s">
        <v>39</v>
      </c>
      <c r="D174" s="94" t="s">
        <v>40</v>
      </c>
      <c r="E174" s="97">
        <v>240</v>
      </c>
      <c r="F174" s="95" t="s">
        <v>41</v>
      </c>
    </row>
    <row r="175" spans="1:6" ht="14.25" customHeight="1" x14ac:dyDescent="0.3">
      <c r="A175" s="101">
        <v>46199</v>
      </c>
      <c r="B175" s="88" t="s">
        <v>129</v>
      </c>
      <c r="C175" s="88" t="s">
        <v>39</v>
      </c>
      <c r="D175" s="87" t="s">
        <v>40</v>
      </c>
      <c r="E175" s="90">
        <v>229</v>
      </c>
      <c r="F175" s="88" t="s">
        <v>41</v>
      </c>
    </row>
    <row r="176" spans="1:6" ht="14.25" customHeight="1" x14ac:dyDescent="0.3">
      <c r="A176" s="102">
        <v>46199</v>
      </c>
      <c r="B176" s="95" t="s">
        <v>130</v>
      </c>
      <c r="C176" s="95" t="s">
        <v>39</v>
      </c>
      <c r="D176" s="94" t="s">
        <v>40</v>
      </c>
      <c r="E176" s="97">
        <v>252</v>
      </c>
      <c r="F176" s="95" t="s">
        <v>41</v>
      </c>
    </row>
    <row r="177" spans="1:6" ht="14.25" customHeight="1" x14ac:dyDescent="0.3">
      <c r="A177" s="101">
        <v>46199</v>
      </c>
      <c r="B177" s="88" t="s">
        <v>131</v>
      </c>
      <c r="C177" s="88" t="s">
        <v>39</v>
      </c>
      <c r="D177" s="87" t="s">
        <v>40</v>
      </c>
      <c r="E177" s="90">
        <v>157</v>
      </c>
      <c r="F177" s="88" t="s">
        <v>41</v>
      </c>
    </row>
    <row r="178" spans="1:6" ht="14.25" customHeight="1" x14ac:dyDescent="0.3">
      <c r="A178" s="102">
        <v>46199</v>
      </c>
      <c r="B178" s="95" t="s">
        <v>132</v>
      </c>
      <c r="C178" s="95" t="s">
        <v>39</v>
      </c>
      <c r="D178" s="94" t="s">
        <v>40</v>
      </c>
      <c r="E178" s="97">
        <v>280</v>
      </c>
      <c r="F178" s="95" t="s">
        <v>41</v>
      </c>
    </row>
    <row r="179" spans="1:6" ht="14.25" customHeight="1" x14ac:dyDescent="0.3">
      <c r="A179" s="101">
        <v>46199</v>
      </c>
      <c r="B179" s="88" t="s">
        <v>133</v>
      </c>
      <c r="C179" s="88" t="s">
        <v>39</v>
      </c>
      <c r="D179" s="87" t="s">
        <v>40</v>
      </c>
      <c r="E179" s="90">
        <v>216</v>
      </c>
      <c r="F179" s="88" t="s">
        <v>41</v>
      </c>
    </row>
    <row r="180" spans="1:6" ht="14.25" customHeight="1" x14ac:dyDescent="0.3">
      <c r="A180" s="102">
        <v>46199</v>
      </c>
      <c r="B180" s="95" t="s">
        <v>134</v>
      </c>
      <c r="C180" s="95" t="s">
        <v>39</v>
      </c>
      <c r="D180" s="94" t="s">
        <v>40</v>
      </c>
      <c r="E180" s="97">
        <v>220</v>
      </c>
      <c r="F180" s="95" t="s">
        <v>41</v>
      </c>
    </row>
    <row r="181" spans="1:6" ht="14.25" customHeight="1" x14ac:dyDescent="0.3">
      <c r="A181" s="101">
        <v>46199</v>
      </c>
      <c r="B181" s="88" t="s">
        <v>135</v>
      </c>
      <c r="C181" s="88" t="s">
        <v>39</v>
      </c>
      <c r="D181" s="87" t="s">
        <v>40</v>
      </c>
      <c r="E181" s="90">
        <v>181</v>
      </c>
      <c r="F181" s="88" t="s">
        <v>41</v>
      </c>
    </row>
    <row r="182" spans="1:6" ht="14.25" customHeight="1" x14ac:dyDescent="0.3">
      <c r="A182" s="102">
        <v>46199</v>
      </c>
      <c r="B182" s="95" t="s">
        <v>136</v>
      </c>
      <c r="C182" s="95" t="s">
        <v>39</v>
      </c>
      <c r="D182" s="94" t="s">
        <v>40</v>
      </c>
      <c r="E182" s="97">
        <v>215</v>
      </c>
      <c r="F182" s="95" t="s">
        <v>41</v>
      </c>
    </row>
    <row r="183" spans="1:6" ht="14.25" customHeight="1" x14ac:dyDescent="0.3">
      <c r="A183" s="101">
        <v>46199</v>
      </c>
      <c r="B183" s="88" t="s">
        <v>137</v>
      </c>
      <c r="C183" s="88" t="s">
        <v>39</v>
      </c>
      <c r="D183" s="87" t="s">
        <v>40</v>
      </c>
      <c r="E183" s="90">
        <v>194</v>
      </c>
      <c r="F183" s="88" t="s">
        <v>41</v>
      </c>
    </row>
    <row r="184" spans="1:6" ht="14.25" customHeight="1" x14ac:dyDescent="0.3">
      <c r="A184" s="102">
        <v>46199</v>
      </c>
      <c r="B184" s="95" t="s">
        <v>138</v>
      </c>
      <c r="C184" s="95" t="s">
        <v>39</v>
      </c>
      <c r="D184" s="94" t="s">
        <v>40</v>
      </c>
      <c r="E184" s="97">
        <v>198</v>
      </c>
      <c r="F184" s="95" t="s">
        <v>41</v>
      </c>
    </row>
    <row r="185" spans="1:6" ht="14.25" customHeight="1" x14ac:dyDescent="0.3">
      <c r="A185" s="101">
        <v>46199</v>
      </c>
      <c r="B185" s="88" t="s">
        <v>139</v>
      </c>
      <c r="C185" s="88" t="s">
        <v>39</v>
      </c>
      <c r="D185" s="87" t="s">
        <v>40</v>
      </c>
      <c r="E185" s="90">
        <v>193</v>
      </c>
      <c r="F185" s="88" t="s">
        <v>41</v>
      </c>
    </row>
    <row r="186" spans="1:6" ht="14.25" customHeight="1" x14ac:dyDescent="0.3">
      <c r="A186" s="102">
        <v>46199</v>
      </c>
      <c r="B186" s="95" t="s">
        <v>140</v>
      </c>
      <c r="C186" s="95" t="s">
        <v>39</v>
      </c>
      <c r="D186" s="94" t="s">
        <v>40</v>
      </c>
      <c r="E186" s="97">
        <v>214</v>
      </c>
      <c r="F186" s="95" t="s">
        <v>41</v>
      </c>
    </row>
    <row r="187" spans="1:6" ht="14.25" customHeight="1" x14ac:dyDescent="0.3">
      <c r="A187" s="101">
        <v>46199</v>
      </c>
      <c r="B187" s="88" t="s">
        <v>141</v>
      </c>
      <c r="C187" s="88" t="s">
        <v>39</v>
      </c>
      <c r="D187" s="87" t="s">
        <v>40</v>
      </c>
      <c r="E187" s="90">
        <v>212</v>
      </c>
      <c r="F187" s="88" t="s">
        <v>41</v>
      </c>
    </row>
    <row r="188" spans="1:6" ht="14.25" customHeight="1" x14ac:dyDescent="0.3">
      <c r="A188" s="102">
        <v>46199</v>
      </c>
      <c r="B188" s="95" t="s">
        <v>142</v>
      </c>
      <c r="C188" s="95" t="s">
        <v>39</v>
      </c>
      <c r="D188" s="94" t="s">
        <v>40</v>
      </c>
      <c r="E188" s="97">
        <v>230</v>
      </c>
      <c r="F188" s="95" t="s">
        <v>41</v>
      </c>
    </row>
    <row r="189" spans="1:6" ht="14.25" customHeight="1" x14ac:dyDescent="0.3">
      <c r="A189" s="101">
        <v>46199</v>
      </c>
      <c r="B189" s="88" t="s">
        <v>143</v>
      </c>
      <c r="C189" s="88" t="s">
        <v>39</v>
      </c>
      <c r="D189" s="87" t="s">
        <v>40</v>
      </c>
      <c r="E189" s="90">
        <v>233</v>
      </c>
      <c r="F189" s="88" t="s">
        <v>41</v>
      </c>
    </row>
    <row r="190" spans="1:6" ht="14.25" customHeight="1" x14ac:dyDescent="0.3">
      <c r="A190" s="102">
        <v>46199</v>
      </c>
      <c r="B190" s="95" t="s">
        <v>144</v>
      </c>
      <c r="C190" s="95" t="s">
        <v>39</v>
      </c>
      <c r="D190" s="94" t="s">
        <v>40</v>
      </c>
      <c r="E190" s="97">
        <v>218</v>
      </c>
      <c r="F190" s="95" t="s">
        <v>41</v>
      </c>
    </row>
    <row r="191" spans="1:6" ht="14.25" customHeight="1" x14ac:dyDescent="0.3">
      <c r="A191" s="101">
        <v>46199</v>
      </c>
      <c r="B191" s="88" t="s">
        <v>145</v>
      </c>
      <c r="C191" s="88" t="s">
        <v>39</v>
      </c>
      <c r="D191" s="87" t="s">
        <v>40</v>
      </c>
      <c r="E191" s="90">
        <v>200</v>
      </c>
      <c r="F191" s="88" t="s">
        <v>41</v>
      </c>
    </row>
    <row r="192" spans="1:6" ht="14.25" customHeight="1" x14ac:dyDescent="0.3">
      <c r="A192" s="102">
        <v>46199</v>
      </c>
      <c r="B192" s="95" t="s">
        <v>146</v>
      </c>
      <c r="C192" s="95" t="s">
        <v>39</v>
      </c>
      <c r="D192" s="94" t="s">
        <v>40</v>
      </c>
      <c r="E192" s="97">
        <v>195</v>
      </c>
      <c r="F192" s="95" t="s">
        <v>41</v>
      </c>
    </row>
    <row r="193" spans="1:6" ht="14.25" customHeight="1" x14ac:dyDescent="0.3">
      <c r="A193" s="101">
        <v>46199</v>
      </c>
      <c r="B193" s="88" t="s">
        <v>147</v>
      </c>
      <c r="C193" s="88" t="s">
        <v>39</v>
      </c>
      <c r="D193" s="87" t="s">
        <v>40</v>
      </c>
      <c r="E193" s="90">
        <v>149</v>
      </c>
      <c r="F193" s="88" t="s">
        <v>41</v>
      </c>
    </row>
    <row r="194" spans="1:6" ht="14.25" customHeight="1" x14ac:dyDescent="0.3">
      <c r="A194" s="102">
        <v>46199</v>
      </c>
      <c r="B194" s="95" t="s">
        <v>148</v>
      </c>
      <c r="C194" s="95" t="s">
        <v>39</v>
      </c>
      <c r="D194" s="94" t="s">
        <v>40</v>
      </c>
      <c r="E194" s="97">
        <v>192</v>
      </c>
      <c r="F194" s="95" t="s">
        <v>41</v>
      </c>
    </row>
    <row r="195" spans="1:6" ht="14.25" customHeight="1" x14ac:dyDescent="0.3">
      <c r="A195" s="101">
        <v>46199</v>
      </c>
      <c r="B195" s="88" t="s">
        <v>149</v>
      </c>
      <c r="C195" s="88" t="s">
        <v>39</v>
      </c>
      <c r="D195" s="87" t="s">
        <v>40</v>
      </c>
      <c r="E195" s="90">
        <v>163</v>
      </c>
      <c r="F195" s="88" t="s">
        <v>41</v>
      </c>
    </row>
    <row r="196" spans="1:6" ht="14.25" customHeight="1" x14ac:dyDescent="0.3">
      <c r="A196" s="102">
        <v>46199</v>
      </c>
      <c r="B196" s="95" t="s">
        <v>150</v>
      </c>
      <c r="C196" s="95" t="s">
        <v>39</v>
      </c>
      <c r="D196" s="94" t="s">
        <v>40</v>
      </c>
      <c r="E196" s="97">
        <v>195</v>
      </c>
      <c r="F196" s="95" t="s">
        <v>41</v>
      </c>
    </row>
    <row r="197" spans="1:6" ht="14.25" customHeight="1" x14ac:dyDescent="0.3">
      <c r="A197" s="101">
        <v>46199</v>
      </c>
      <c r="B197" s="88" t="s">
        <v>151</v>
      </c>
      <c r="C197" s="88" t="s">
        <v>39</v>
      </c>
      <c r="D197" s="87" t="s">
        <v>40</v>
      </c>
      <c r="E197" s="90">
        <v>218</v>
      </c>
      <c r="F197" s="88" t="s">
        <v>41</v>
      </c>
    </row>
    <row r="198" spans="1:6" ht="14.25" customHeight="1" x14ac:dyDescent="0.3">
      <c r="A198" s="102">
        <v>46199</v>
      </c>
      <c r="B198" s="95" t="s">
        <v>152</v>
      </c>
      <c r="C198" s="95" t="s">
        <v>39</v>
      </c>
      <c r="D198" s="94" t="s">
        <v>40</v>
      </c>
      <c r="E198" s="97">
        <v>204</v>
      </c>
      <c r="F198" s="95" t="s">
        <v>41</v>
      </c>
    </row>
    <row r="199" spans="1:6" ht="14.25" customHeight="1" x14ac:dyDescent="0.3">
      <c r="A199" s="101">
        <v>46199</v>
      </c>
      <c r="B199" s="88" t="s">
        <v>153</v>
      </c>
      <c r="C199" s="88" t="s">
        <v>39</v>
      </c>
      <c r="D199" s="87" t="s">
        <v>40</v>
      </c>
      <c r="E199" s="90">
        <v>165</v>
      </c>
      <c r="F199" s="88" t="s">
        <v>41</v>
      </c>
    </row>
    <row r="200" spans="1:6" ht="14.25" customHeight="1" x14ac:dyDescent="0.3">
      <c r="A200" s="102">
        <v>46199</v>
      </c>
      <c r="B200" s="95" t="s">
        <v>154</v>
      </c>
      <c r="C200" s="95" t="s">
        <v>39</v>
      </c>
      <c r="D200" s="94" t="s">
        <v>40</v>
      </c>
      <c r="E200" s="97">
        <v>243</v>
      </c>
      <c r="F200" s="95" t="s">
        <v>41</v>
      </c>
    </row>
    <row r="201" spans="1:6" ht="14.25" customHeight="1" x14ac:dyDescent="0.3">
      <c r="A201" s="101">
        <v>46199</v>
      </c>
      <c r="B201" s="88" t="s">
        <v>155</v>
      </c>
      <c r="C201" s="88" t="s">
        <v>39</v>
      </c>
      <c r="D201" s="87" t="s">
        <v>40</v>
      </c>
      <c r="E201" s="90">
        <v>206</v>
      </c>
      <c r="F201" s="88" t="s">
        <v>41</v>
      </c>
    </row>
    <row r="202" spans="1:6" ht="14.25" customHeight="1" x14ac:dyDescent="0.3">
      <c r="A202" s="102">
        <v>46199</v>
      </c>
      <c r="B202" s="95" t="s">
        <v>156</v>
      </c>
      <c r="C202" s="95" t="s">
        <v>39</v>
      </c>
      <c r="D202" s="94" t="s">
        <v>40</v>
      </c>
      <c r="E202" s="97">
        <v>306</v>
      </c>
      <c r="F202" s="95" t="s">
        <v>41</v>
      </c>
    </row>
    <row r="203" spans="1:6" ht="14.25" customHeight="1" x14ac:dyDescent="0.3">
      <c r="A203" s="101">
        <v>46199</v>
      </c>
      <c r="B203" s="88" t="s">
        <v>157</v>
      </c>
      <c r="C203" s="88" t="s">
        <v>39</v>
      </c>
      <c r="D203" s="87" t="s">
        <v>40</v>
      </c>
      <c r="E203" s="90">
        <v>229</v>
      </c>
      <c r="F203" s="88" t="s">
        <v>41</v>
      </c>
    </row>
    <row r="204" spans="1:6" ht="14.25" customHeight="1" x14ac:dyDescent="0.3">
      <c r="A204" s="102">
        <v>46199</v>
      </c>
      <c r="B204" s="95" t="s">
        <v>158</v>
      </c>
      <c r="C204" s="95" t="s">
        <v>39</v>
      </c>
      <c r="D204" s="94" t="s">
        <v>40</v>
      </c>
      <c r="E204" s="97">
        <v>239</v>
      </c>
      <c r="F204" s="95" t="s">
        <v>41</v>
      </c>
    </row>
    <row r="205" spans="1:6" ht="14.25" customHeight="1" x14ac:dyDescent="0.3">
      <c r="A205" s="101">
        <v>46199</v>
      </c>
      <c r="B205" s="88" t="s">
        <v>159</v>
      </c>
      <c r="C205" s="88" t="s">
        <v>39</v>
      </c>
      <c r="D205" s="87" t="s">
        <v>40</v>
      </c>
      <c r="E205" s="90">
        <v>199</v>
      </c>
      <c r="F205" s="88" t="s">
        <v>41</v>
      </c>
    </row>
    <row r="206" spans="1:6" ht="14.25" customHeight="1" x14ac:dyDescent="0.3">
      <c r="A206" s="102">
        <v>46199</v>
      </c>
      <c r="B206" s="95" t="s">
        <v>160</v>
      </c>
      <c r="C206" s="95" t="s">
        <v>39</v>
      </c>
      <c r="D206" s="94" t="s">
        <v>40</v>
      </c>
      <c r="E206" s="97">
        <v>289</v>
      </c>
      <c r="F206" s="95" t="s">
        <v>41</v>
      </c>
    </row>
    <row r="207" spans="1:6" ht="14.25" customHeight="1" x14ac:dyDescent="0.3">
      <c r="A207" s="101">
        <v>46199</v>
      </c>
      <c r="B207" s="88" t="s">
        <v>161</v>
      </c>
      <c r="C207" s="88" t="s">
        <v>39</v>
      </c>
      <c r="D207" s="87" t="s">
        <v>40</v>
      </c>
      <c r="E207" s="90">
        <v>245</v>
      </c>
      <c r="F207" s="88" t="s">
        <v>41</v>
      </c>
    </row>
    <row r="208" spans="1:6" ht="14.25" customHeight="1" x14ac:dyDescent="0.3">
      <c r="A208" s="102">
        <v>46199</v>
      </c>
      <c r="B208" s="95" t="s">
        <v>162</v>
      </c>
      <c r="C208" s="95" t="s">
        <v>39</v>
      </c>
      <c r="D208" s="94" t="s">
        <v>40</v>
      </c>
      <c r="E208" s="97">
        <v>222</v>
      </c>
      <c r="F208" s="95" t="s">
        <v>41</v>
      </c>
    </row>
    <row r="209" spans="1:6" ht="14.25" customHeight="1" x14ac:dyDescent="0.3">
      <c r="A209" s="101">
        <v>46199</v>
      </c>
      <c r="B209" s="88" t="s">
        <v>163</v>
      </c>
      <c r="C209" s="88" t="s">
        <v>39</v>
      </c>
      <c r="D209" s="87" t="s">
        <v>40</v>
      </c>
      <c r="E209" s="90">
        <v>208</v>
      </c>
      <c r="F209" s="88" t="s">
        <v>41</v>
      </c>
    </row>
    <row r="210" spans="1:6" ht="14.25" customHeight="1" x14ac:dyDescent="0.3">
      <c r="A210" s="102">
        <v>46199</v>
      </c>
      <c r="B210" s="95" t="s">
        <v>164</v>
      </c>
      <c r="C210" s="95" t="s">
        <v>39</v>
      </c>
      <c r="D210" s="94" t="s">
        <v>40</v>
      </c>
      <c r="E210" s="97">
        <v>220</v>
      </c>
      <c r="F210" s="95" t="s">
        <v>41</v>
      </c>
    </row>
    <row r="211" spans="1:6" ht="14.25" customHeight="1" x14ac:dyDescent="0.3">
      <c r="A211" s="101">
        <v>46199</v>
      </c>
      <c r="B211" s="88" t="s">
        <v>165</v>
      </c>
      <c r="C211" s="88" t="s">
        <v>39</v>
      </c>
      <c r="D211" s="87" t="s">
        <v>40</v>
      </c>
      <c r="E211" s="90">
        <v>161</v>
      </c>
      <c r="F211" s="88" t="s">
        <v>41</v>
      </c>
    </row>
    <row r="212" spans="1:6" ht="14.25" customHeight="1" x14ac:dyDescent="0.3">
      <c r="A212" s="102">
        <v>46199</v>
      </c>
      <c r="B212" s="95" t="s">
        <v>166</v>
      </c>
      <c r="C212" s="95" t="s">
        <v>39</v>
      </c>
      <c r="D212" s="94" t="s">
        <v>40</v>
      </c>
      <c r="E212" s="97">
        <v>221</v>
      </c>
      <c r="F212" s="95" t="s">
        <v>41</v>
      </c>
    </row>
    <row r="213" spans="1:6" ht="14.25" customHeight="1" x14ac:dyDescent="0.3">
      <c r="A213" s="101">
        <v>46199</v>
      </c>
      <c r="B213" s="88" t="s">
        <v>167</v>
      </c>
      <c r="C213" s="88" t="s">
        <v>39</v>
      </c>
      <c r="D213" s="87" t="s">
        <v>40</v>
      </c>
      <c r="E213" s="90">
        <v>190</v>
      </c>
      <c r="F213" s="88" t="s">
        <v>41</v>
      </c>
    </row>
    <row r="214" spans="1:6" ht="14.25" customHeight="1" x14ac:dyDescent="0.3">
      <c r="A214" s="102">
        <v>46199</v>
      </c>
      <c r="B214" s="95" t="s">
        <v>168</v>
      </c>
      <c r="C214" s="95" t="s">
        <v>39</v>
      </c>
      <c r="D214" s="94" t="s">
        <v>40</v>
      </c>
      <c r="E214" s="97">
        <v>202</v>
      </c>
      <c r="F214" s="95" t="s">
        <v>41</v>
      </c>
    </row>
    <row r="215" spans="1:6" ht="14.25" customHeight="1" x14ac:dyDescent="0.3">
      <c r="A215" s="101">
        <v>46199</v>
      </c>
      <c r="B215" s="88" t="s">
        <v>169</v>
      </c>
      <c r="C215" s="88" t="s">
        <v>39</v>
      </c>
      <c r="D215" s="87" t="s">
        <v>40</v>
      </c>
      <c r="E215" s="90">
        <v>218</v>
      </c>
      <c r="F215" s="88" t="s">
        <v>41</v>
      </c>
    </row>
    <row r="216" spans="1:6" ht="14.25" customHeight="1" x14ac:dyDescent="0.3">
      <c r="A216" s="102">
        <v>46199</v>
      </c>
      <c r="B216" s="95" t="s">
        <v>170</v>
      </c>
      <c r="C216" s="95" t="s">
        <v>39</v>
      </c>
      <c r="D216" s="94" t="s">
        <v>40</v>
      </c>
      <c r="E216" s="97">
        <v>161</v>
      </c>
      <c r="F216" s="95" t="s">
        <v>41</v>
      </c>
    </row>
    <row r="217" spans="1:6" ht="14.25" customHeight="1" x14ac:dyDescent="0.3">
      <c r="A217" s="101">
        <v>46199</v>
      </c>
      <c r="B217" s="88" t="s">
        <v>171</v>
      </c>
      <c r="C217" s="88" t="s">
        <v>39</v>
      </c>
      <c r="D217" s="87" t="s">
        <v>40</v>
      </c>
      <c r="E217" s="90">
        <v>221</v>
      </c>
      <c r="F217" s="88" t="s">
        <v>41</v>
      </c>
    </row>
    <row r="218" spans="1:6" ht="14.25" customHeight="1" x14ac:dyDescent="0.3">
      <c r="A218" s="102">
        <v>46199</v>
      </c>
      <c r="B218" s="95" t="s">
        <v>172</v>
      </c>
      <c r="C218" s="95" t="s">
        <v>39</v>
      </c>
      <c r="D218" s="94" t="s">
        <v>40</v>
      </c>
      <c r="E218" s="97">
        <v>230</v>
      </c>
      <c r="F218" s="95" t="s">
        <v>41</v>
      </c>
    </row>
    <row r="219" spans="1:6" ht="14.25" customHeight="1" x14ac:dyDescent="0.3">
      <c r="A219" s="101">
        <v>46199</v>
      </c>
      <c r="B219" s="88" t="s">
        <v>173</v>
      </c>
      <c r="C219" s="88" t="s">
        <v>39</v>
      </c>
      <c r="D219" s="87" t="s">
        <v>40</v>
      </c>
      <c r="E219" s="90">
        <v>230</v>
      </c>
      <c r="F219" s="88" t="s">
        <v>41</v>
      </c>
    </row>
    <row r="220" spans="1:6" ht="14.25" customHeight="1" x14ac:dyDescent="0.3">
      <c r="A220" s="102">
        <v>46199</v>
      </c>
      <c r="B220" s="95" t="s">
        <v>174</v>
      </c>
      <c r="C220" s="95" t="s">
        <v>39</v>
      </c>
      <c r="D220" s="94" t="s">
        <v>40</v>
      </c>
      <c r="E220" s="97">
        <v>224</v>
      </c>
      <c r="F220" s="95" t="s">
        <v>41</v>
      </c>
    </row>
    <row r="221" spans="1:6" ht="14.25" customHeight="1" x14ac:dyDescent="0.3">
      <c r="A221" s="101">
        <v>46199</v>
      </c>
      <c r="B221" s="88" t="s">
        <v>175</v>
      </c>
      <c r="C221" s="88" t="s">
        <v>39</v>
      </c>
      <c r="D221" s="87" t="s">
        <v>40</v>
      </c>
      <c r="E221" s="90">
        <v>249</v>
      </c>
      <c r="F221" s="88" t="s">
        <v>41</v>
      </c>
    </row>
    <row r="222" spans="1:6" ht="14.25" customHeight="1" x14ac:dyDescent="0.3">
      <c r="A222" s="102">
        <v>46199</v>
      </c>
      <c r="B222" s="95" t="s">
        <v>176</v>
      </c>
      <c r="C222" s="95" t="s">
        <v>39</v>
      </c>
      <c r="D222" s="94" t="s">
        <v>40</v>
      </c>
      <c r="E222" s="97">
        <v>224</v>
      </c>
      <c r="F222" s="95" t="s">
        <v>41</v>
      </c>
    </row>
    <row r="223" spans="1:6" ht="14.25" customHeight="1" x14ac:dyDescent="0.3">
      <c r="A223" s="101">
        <v>46199</v>
      </c>
      <c r="B223" s="88" t="s">
        <v>177</v>
      </c>
      <c r="C223" s="88" t="s">
        <v>39</v>
      </c>
      <c r="D223" s="87" t="s">
        <v>40</v>
      </c>
      <c r="E223" s="90">
        <v>250</v>
      </c>
      <c r="F223" s="88" t="s">
        <v>41</v>
      </c>
    </row>
    <row r="224" spans="1:6" ht="14.25" customHeight="1" x14ac:dyDescent="0.3">
      <c r="A224" s="102">
        <v>46199</v>
      </c>
      <c r="B224" s="95" t="s">
        <v>178</v>
      </c>
      <c r="C224" s="95" t="s">
        <v>39</v>
      </c>
      <c r="D224" s="94" t="s">
        <v>40</v>
      </c>
      <c r="E224" s="97">
        <v>189</v>
      </c>
      <c r="F224" s="95" t="s">
        <v>41</v>
      </c>
    </row>
    <row r="225" spans="1:6" ht="14.25" customHeight="1" x14ac:dyDescent="0.3">
      <c r="A225" s="101">
        <v>46199</v>
      </c>
      <c r="B225" s="88" t="s">
        <v>179</v>
      </c>
      <c r="C225" s="88" t="s">
        <v>39</v>
      </c>
      <c r="D225" s="87" t="s">
        <v>40</v>
      </c>
      <c r="E225" s="90">
        <v>242</v>
      </c>
      <c r="F225" s="88" t="s">
        <v>41</v>
      </c>
    </row>
    <row r="226" spans="1:6" ht="14.25" customHeight="1" x14ac:dyDescent="0.3">
      <c r="A226" s="102">
        <v>46199</v>
      </c>
      <c r="B226" s="95" t="s">
        <v>180</v>
      </c>
      <c r="C226" s="95" t="s">
        <v>39</v>
      </c>
      <c r="D226" s="94" t="s">
        <v>40</v>
      </c>
      <c r="E226" s="97">
        <v>207</v>
      </c>
      <c r="F226" s="95" t="s">
        <v>41</v>
      </c>
    </row>
    <row r="227" spans="1:6" ht="14.25" customHeight="1" x14ac:dyDescent="0.3">
      <c r="A227" s="101">
        <v>46199</v>
      </c>
      <c r="B227" s="88" t="s">
        <v>181</v>
      </c>
      <c r="C227" s="88" t="s">
        <v>39</v>
      </c>
      <c r="D227" s="87" t="s">
        <v>40</v>
      </c>
      <c r="E227" s="90">
        <v>200</v>
      </c>
      <c r="F227" s="88" t="s">
        <v>41</v>
      </c>
    </row>
    <row r="228" spans="1:6" ht="14.25" customHeight="1" x14ac:dyDescent="0.3">
      <c r="A228" s="102">
        <v>46199</v>
      </c>
      <c r="B228" s="95" t="s">
        <v>182</v>
      </c>
      <c r="C228" s="95" t="s">
        <v>39</v>
      </c>
      <c r="D228" s="94" t="s">
        <v>40</v>
      </c>
      <c r="E228" s="97">
        <v>189</v>
      </c>
      <c r="F228" s="95" t="s">
        <v>41</v>
      </c>
    </row>
    <row r="229" spans="1:6" ht="14.25" customHeight="1" x14ac:dyDescent="0.3">
      <c r="A229" s="101">
        <v>46199</v>
      </c>
      <c r="B229" s="88" t="s">
        <v>183</v>
      </c>
      <c r="C229" s="88" t="s">
        <v>39</v>
      </c>
      <c r="D229" s="87" t="s">
        <v>40</v>
      </c>
      <c r="E229" s="90">
        <v>263</v>
      </c>
      <c r="F229" s="88" t="s">
        <v>41</v>
      </c>
    </row>
    <row r="230" spans="1:6" ht="14.25" customHeight="1" x14ac:dyDescent="0.3">
      <c r="A230" s="102">
        <v>46199</v>
      </c>
      <c r="B230" s="95" t="s">
        <v>184</v>
      </c>
      <c r="C230" s="95" t="s">
        <v>39</v>
      </c>
      <c r="D230" s="94" t="s">
        <v>40</v>
      </c>
      <c r="E230" s="97">
        <v>262</v>
      </c>
      <c r="F230" s="95" t="s">
        <v>41</v>
      </c>
    </row>
    <row r="231" spans="1:6" ht="14.25" customHeight="1" x14ac:dyDescent="0.3">
      <c r="A231" s="101">
        <v>46199</v>
      </c>
      <c r="B231" s="88" t="s">
        <v>185</v>
      </c>
      <c r="C231" s="88" t="s">
        <v>39</v>
      </c>
      <c r="D231" s="87" t="s">
        <v>40</v>
      </c>
      <c r="E231" s="90">
        <v>245</v>
      </c>
      <c r="F231" s="88" t="s">
        <v>41</v>
      </c>
    </row>
    <row r="232" spans="1:6" ht="14.25" customHeight="1" x14ac:dyDescent="0.3">
      <c r="A232" s="102">
        <v>46199</v>
      </c>
      <c r="B232" s="95" t="s">
        <v>186</v>
      </c>
      <c r="C232" s="95" t="s">
        <v>39</v>
      </c>
      <c r="D232" s="94" t="s">
        <v>40</v>
      </c>
      <c r="E232" s="97">
        <v>201</v>
      </c>
      <c r="F232" s="95" t="s">
        <v>41</v>
      </c>
    </row>
    <row r="233" spans="1:6" ht="14.25" customHeight="1" x14ac:dyDescent="0.3">
      <c r="A233" s="101">
        <v>46199</v>
      </c>
      <c r="B233" s="88" t="s">
        <v>187</v>
      </c>
      <c r="C233" s="88" t="s">
        <v>39</v>
      </c>
      <c r="D233" s="87" t="s">
        <v>40</v>
      </c>
      <c r="E233" s="90">
        <v>237</v>
      </c>
      <c r="F233" s="88" t="s">
        <v>41</v>
      </c>
    </row>
    <row r="234" spans="1:6" ht="14.25" customHeight="1" x14ac:dyDescent="0.3">
      <c r="A234" s="102">
        <v>46199</v>
      </c>
      <c r="B234" s="95" t="s">
        <v>188</v>
      </c>
      <c r="C234" s="95" t="s">
        <v>39</v>
      </c>
      <c r="D234" s="94" t="s">
        <v>40</v>
      </c>
      <c r="E234" s="97">
        <v>195</v>
      </c>
      <c r="F234" s="95" t="s">
        <v>41</v>
      </c>
    </row>
    <row r="235" spans="1:6" ht="14.25" customHeight="1" x14ac:dyDescent="0.3">
      <c r="A235" s="101">
        <v>46199</v>
      </c>
      <c r="B235" s="88" t="s">
        <v>189</v>
      </c>
      <c r="C235" s="88" t="s">
        <v>39</v>
      </c>
      <c r="D235" s="87" t="s">
        <v>40</v>
      </c>
      <c r="E235" s="90">
        <v>178</v>
      </c>
      <c r="F235" s="88" t="s">
        <v>41</v>
      </c>
    </row>
    <row r="236" spans="1:6" ht="14.25" customHeight="1" x14ac:dyDescent="0.3">
      <c r="A236" s="102">
        <v>46199</v>
      </c>
      <c r="B236" s="95" t="s">
        <v>190</v>
      </c>
      <c r="C236" s="95" t="s">
        <v>39</v>
      </c>
      <c r="D236" s="94" t="s">
        <v>40</v>
      </c>
      <c r="E236" s="97">
        <v>152</v>
      </c>
      <c r="F236" s="95" t="s">
        <v>41</v>
      </c>
    </row>
    <row r="237" spans="1:6" ht="14.25" customHeight="1" x14ac:dyDescent="0.3">
      <c r="A237" s="101">
        <v>46199</v>
      </c>
      <c r="B237" s="88" t="s">
        <v>191</v>
      </c>
      <c r="C237" s="88" t="s">
        <v>39</v>
      </c>
      <c r="D237" s="87" t="s">
        <v>40</v>
      </c>
      <c r="E237" s="90">
        <v>208</v>
      </c>
      <c r="F237" s="88" t="s">
        <v>41</v>
      </c>
    </row>
    <row r="238" spans="1:6" ht="14.25" customHeight="1" x14ac:dyDescent="0.3">
      <c r="A238" s="102">
        <v>46199</v>
      </c>
      <c r="B238" s="95" t="s">
        <v>192</v>
      </c>
      <c r="C238" s="95" t="s">
        <v>39</v>
      </c>
      <c r="D238" s="94" t="s">
        <v>40</v>
      </c>
      <c r="E238" s="97">
        <v>175</v>
      </c>
      <c r="F238" s="95" t="s">
        <v>41</v>
      </c>
    </row>
    <row r="239" spans="1:6" ht="14.25" customHeight="1" x14ac:dyDescent="0.3">
      <c r="A239" s="101">
        <v>46199</v>
      </c>
      <c r="B239" s="88" t="s">
        <v>193</v>
      </c>
      <c r="C239" s="88" t="s">
        <v>39</v>
      </c>
      <c r="D239" s="87" t="s">
        <v>40</v>
      </c>
      <c r="E239" s="90">
        <v>156</v>
      </c>
      <c r="F239" s="88" t="s">
        <v>41</v>
      </c>
    </row>
    <row r="240" spans="1:6" ht="14.25" customHeight="1" x14ac:dyDescent="0.3">
      <c r="A240" s="102">
        <v>46199</v>
      </c>
      <c r="B240" s="95" t="s">
        <v>194</v>
      </c>
      <c r="C240" s="95" t="s">
        <v>39</v>
      </c>
      <c r="D240" s="94" t="s">
        <v>40</v>
      </c>
      <c r="E240" s="97">
        <v>151</v>
      </c>
      <c r="F240" s="95" t="s">
        <v>41</v>
      </c>
    </row>
    <row r="241" spans="1:6" ht="14.25" customHeight="1" x14ac:dyDescent="0.3">
      <c r="A241" s="101">
        <v>46199</v>
      </c>
      <c r="B241" s="88" t="s">
        <v>195</v>
      </c>
      <c r="C241" s="88" t="s">
        <v>39</v>
      </c>
      <c r="D241" s="87" t="s">
        <v>40</v>
      </c>
      <c r="E241" s="90">
        <v>200</v>
      </c>
      <c r="F241" s="88" t="s">
        <v>41</v>
      </c>
    </row>
    <row r="242" spans="1:6" ht="14.25" customHeight="1" x14ac:dyDescent="0.3">
      <c r="A242" s="102">
        <v>46199</v>
      </c>
      <c r="B242" s="95" t="s">
        <v>196</v>
      </c>
      <c r="C242" s="95" t="s">
        <v>39</v>
      </c>
      <c r="D242" s="94" t="s">
        <v>40</v>
      </c>
      <c r="E242" s="97">
        <v>146</v>
      </c>
      <c r="F242" s="95" t="s">
        <v>41</v>
      </c>
    </row>
    <row r="243" spans="1:6" ht="14.25" customHeight="1" x14ac:dyDescent="0.3">
      <c r="A243" s="101">
        <v>46199</v>
      </c>
      <c r="B243" s="88" t="s">
        <v>197</v>
      </c>
      <c r="C243" s="88" t="s">
        <v>39</v>
      </c>
      <c r="D243" s="87" t="s">
        <v>40</v>
      </c>
      <c r="E243" s="90">
        <v>182</v>
      </c>
      <c r="F243" s="88" t="s">
        <v>41</v>
      </c>
    </row>
    <row r="244" spans="1:6" ht="14.25" customHeight="1" x14ac:dyDescent="0.3">
      <c r="A244" s="102">
        <v>46199</v>
      </c>
      <c r="B244" s="95" t="s">
        <v>198</v>
      </c>
      <c r="C244" s="95" t="s">
        <v>39</v>
      </c>
      <c r="D244" s="94" t="s">
        <v>40</v>
      </c>
      <c r="E244" s="97">
        <v>210</v>
      </c>
      <c r="F244" s="95" t="s">
        <v>41</v>
      </c>
    </row>
    <row r="245" spans="1:6" ht="14.25" customHeight="1" x14ac:dyDescent="0.3">
      <c r="A245" s="101">
        <v>46199</v>
      </c>
      <c r="B245" s="88" t="s">
        <v>199</v>
      </c>
      <c r="C245" s="88" t="s">
        <v>39</v>
      </c>
      <c r="D245" s="87" t="s">
        <v>40</v>
      </c>
      <c r="E245" s="90">
        <v>188</v>
      </c>
      <c r="F245" s="88" t="s">
        <v>41</v>
      </c>
    </row>
    <row r="246" spans="1:6" ht="14.25" customHeight="1" x14ac:dyDescent="0.3">
      <c r="A246" s="102">
        <v>46199</v>
      </c>
      <c r="B246" s="95" t="s">
        <v>200</v>
      </c>
      <c r="C246" s="95" t="s">
        <v>39</v>
      </c>
      <c r="D246" s="94" t="s">
        <v>40</v>
      </c>
      <c r="E246" s="97">
        <v>220</v>
      </c>
      <c r="F246" s="95" t="s">
        <v>41</v>
      </c>
    </row>
    <row r="247" spans="1:6" ht="14.25" customHeight="1" x14ac:dyDescent="0.3">
      <c r="A247" s="101">
        <v>46199</v>
      </c>
      <c r="B247" s="88" t="s">
        <v>201</v>
      </c>
      <c r="C247" s="88" t="s">
        <v>39</v>
      </c>
      <c r="D247" s="87" t="s">
        <v>40</v>
      </c>
      <c r="E247" s="90">
        <v>167</v>
      </c>
      <c r="F247" s="88" t="s">
        <v>41</v>
      </c>
    </row>
    <row r="248" spans="1:6" ht="14.25" customHeight="1" x14ac:dyDescent="0.3">
      <c r="A248" s="102">
        <v>46199</v>
      </c>
      <c r="B248" s="95" t="s">
        <v>202</v>
      </c>
      <c r="C248" s="95" t="s">
        <v>39</v>
      </c>
      <c r="D248" s="94" t="s">
        <v>40</v>
      </c>
      <c r="E248" s="97">
        <v>192</v>
      </c>
      <c r="F248" s="95" t="s">
        <v>41</v>
      </c>
    </row>
    <row r="249" spans="1:6" ht="14.25" customHeight="1" x14ac:dyDescent="0.3">
      <c r="A249" s="101">
        <v>46199</v>
      </c>
      <c r="B249" s="88" t="s">
        <v>203</v>
      </c>
      <c r="C249" s="88" t="s">
        <v>39</v>
      </c>
      <c r="D249" s="87" t="s">
        <v>40</v>
      </c>
      <c r="E249" s="90">
        <v>150</v>
      </c>
      <c r="F249" s="88" t="s">
        <v>41</v>
      </c>
    </row>
    <row r="250" spans="1:6" ht="14.25" customHeight="1" x14ac:dyDescent="0.3">
      <c r="A250" s="102">
        <v>46199</v>
      </c>
      <c r="B250" s="95" t="s">
        <v>204</v>
      </c>
      <c r="C250" s="95" t="s">
        <v>39</v>
      </c>
      <c r="D250" s="94" t="s">
        <v>40</v>
      </c>
      <c r="E250" s="97">
        <v>253</v>
      </c>
      <c r="F250" s="95" t="s">
        <v>41</v>
      </c>
    </row>
    <row r="251" spans="1:6" ht="14.25" customHeight="1" x14ac:dyDescent="0.3">
      <c r="A251" s="101">
        <v>46203</v>
      </c>
      <c r="B251" s="88" t="s">
        <v>205</v>
      </c>
      <c r="C251" s="88" t="s">
        <v>206</v>
      </c>
      <c r="D251" s="87" t="s">
        <v>207</v>
      </c>
      <c r="E251" s="90">
        <v>516</v>
      </c>
      <c r="F251" s="88" t="s">
        <v>208</v>
      </c>
    </row>
    <row r="252" spans="1:6" ht="14.25" customHeight="1" x14ac:dyDescent="0.3">
      <c r="A252" s="102">
        <v>46203</v>
      </c>
      <c r="B252" s="95" t="s">
        <v>209</v>
      </c>
      <c r="C252" s="95" t="s">
        <v>206</v>
      </c>
      <c r="D252" s="94" t="s">
        <v>207</v>
      </c>
      <c r="E252" s="97">
        <v>533</v>
      </c>
      <c r="F252" s="95" t="s">
        <v>208</v>
      </c>
    </row>
    <row r="253" spans="1:6" ht="14.25" customHeight="1" x14ac:dyDescent="0.3">
      <c r="A253" s="101">
        <v>46203</v>
      </c>
      <c r="B253" s="88" t="s">
        <v>210</v>
      </c>
      <c r="C253" s="88" t="s">
        <v>206</v>
      </c>
      <c r="D253" s="87" t="s">
        <v>207</v>
      </c>
      <c r="E253" s="90">
        <v>586</v>
      </c>
      <c r="F253" s="88" t="s">
        <v>208</v>
      </c>
    </row>
    <row r="254" spans="1:6" ht="14.25" customHeight="1" x14ac:dyDescent="0.3">
      <c r="A254" s="102">
        <v>46203</v>
      </c>
      <c r="B254" s="95" t="s">
        <v>211</v>
      </c>
      <c r="C254" s="95" t="s">
        <v>206</v>
      </c>
      <c r="D254" s="94" t="s">
        <v>207</v>
      </c>
      <c r="E254" s="97">
        <v>553</v>
      </c>
      <c r="F254" s="95" t="s">
        <v>208</v>
      </c>
    </row>
    <row r="255" spans="1:6" ht="14.25" customHeight="1" x14ac:dyDescent="0.3">
      <c r="A255" s="101">
        <v>46203</v>
      </c>
      <c r="B255" s="88" t="s">
        <v>212</v>
      </c>
      <c r="C255" s="88" t="s">
        <v>206</v>
      </c>
      <c r="D255" s="87" t="s">
        <v>213</v>
      </c>
      <c r="E255" s="90">
        <v>434</v>
      </c>
      <c r="F255" s="88" t="s">
        <v>214</v>
      </c>
    </row>
    <row r="256" spans="1:6" ht="14.25" customHeight="1" x14ac:dyDescent="0.3">
      <c r="A256" s="102">
        <v>46203</v>
      </c>
      <c r="B256" s="95" t="s">
        <v>215</v>
      </c>
      <c r="C256" s="95" t="s">
        <v>206</v>
      </c>
      <c r="D256" s="94" t="s">
        <v>207</v>
      </c>
      <c r="E256" s="97">
        <v>566</v>
      </c>
      <c r="F256" s="95" t="s">
        <v>208</v>
      </c>
    </row>
    <row r="257" spans="1:6" ht="14.25" customHeight="1" x14ac:dyDescent="0.3">
      <c r="A257" s="101">
        <v>46203</v>
      </c>
      <c r="B257" s="88" t="s">
        <v>216</v>
      </c>
      <c r="C257" s="88" t="s">
        <v>206</v>
      </c>
      <c r="D257" s="87" t="s">
        <v>207</v>
      </c>
      <c r="E257" s="90">
        <v>518</v>
      </c>
      <c r="F257" s="88" t="s">
        <v>208</v>
      </c>
    </row>
    <row r="258" spans="1:6" ht="14.25" customHeight="1" x14ac:dyDescent="0.3">
      <c r="A258" s="102">
        <v>46203</v>
      </c>
      <c r="B258" s="95" t="s">
        <v>7</v>
      </c>
      <c r="C258" s="95" t="s">
        <v>8</v>
      </c>
      <c r="D258" s="94" t="s">
        <v>9</v>
      </c>
      <c r="E258" s="97">
        <v>444</v>
      </c>
      <c r="F258" s="95" t="s">
        <v>217</v>
      </c>
    </row>
    <row r="259" spans="1:6" ht="14.25" customHeight="1" x14ac:dyDescent="0.3">
      <c r="A259" s="101">
        <v>46203</v>
      </c>
      <c r="B259" s="88" t="s">
        <v>11</v>
      </c>
      <c r="C259" s="88" t="s">
        <v>8</v>
      </c>
      <c r="D259" s="87" t="s">
        <v>9</v>
      </c>
      <c r="E259" s="90">
        <v>437</v>
      </c>
      <c r="F259" s="88" t="s">
        <v>217</v>
      </c>
    </row>
    <row r="260" spans="1:6" ht="14.25" customHeight="1" x14ac:dyDescent="0.3">
      <c r="A260" s="102">
        <v>46203</v>
      </c>
      <c r="B260" s="95" t="s">
        <v>12</v>
      </c>
      <c r="C260" s="95" t="s">
        <v>8</v>
      </c>
      <c r="D260" s="94" t="s">
        <v>9</v>
      </c>
      <c r="E260" s="97">
        <v>480</v>
      </c>
      <c r="F260" s="95" t="s">
        <v>217</v>
      </c>
    </row>
    <row r="261" spans="1:6" ht="14.25" customHeight="1" x14ac:dyDescent="0.3">
      <c r="A261" s="101">
        <v>46203</v>
      </c>
      <c r="B261" s="88" t="s">
        <v>13</v>
      </c>
      <c r="C261" s="88" t="s">
        <v>8</v>
      </c>
      <c r="D261" s="87" t="s">
        <v>9</v>
      </c>
      <c r="E261" s="90">
        <v>431</v>
      </c>
      <c r="F261" s="88" t="s">
        <v>217</v>
      </c>
    </row>
    <row r="262" spans="1:6" ht="14.25" customHeight="1" x14ac:dyDescent="0.3">
      <c r="A262" s="102">
        <v>46203</v>
      </c>
      <c r="B262" s="95" t="s">
        <v>14</v>
      </c>
      <c r="C262" s="95" t="s">
        <v>8</v>
      </c>
      <c r="D262" s="94" t="s">
        <v>9</v>
      </c>
      <c r="E262" s="97">
        <v>437</v>
      </c>
      <c r="F262" s="95" t="s">
        <v>217</v>
      </c>
    </row>
    <row r="263" spans="1:6" ht="14.25" customHeight="1" x14ac:dyDescent="0.3">
      <c r="A263" s="101">
        <v>46203</v>
      </c>
      <c r="B263" s="88" t="s">
        <v>15</v>
      </c>
      <c r="C263" s="88" t="s">
        <v>8</v>
      </c>
      <c r="D263" s="87" t="s">
        <v>9</v>
      </c>
      <c r="E263" s="90">
        <v>478</v>
      </c>
      <c r="F263" s="88" t="s">
        <v>217</v>
      </c>
    </row>
    <row r="264" spans="1:6" ht="14.25" customHeight="1" x14ac:dyDescent="0.3">
      <c r="A264" s="102">
        <v>46203</v>
      </c>
      <c r="B264" s="95" t="s">
        <v>16</v>
      </c>
      <c r="C264" s="95" t="s">
        <v>8</v>
      </c>
      <c r="D264" s="94" t="s">
        <v>9</v>
      </c>
      <c r="E264" s="97">
        <v>485</v>
      </c>
      <c r="F264" s="95" t="s">
        <v>217</v>
      </c>
    </row>
    <row r="265" spans="1:6" ht="14.25" customHeight="1" x14ac:dyDescent="0.3">
      <c r="A265" s="101">
        <v>46203</v>
      </c>
      <c r="B265" s="88" t="s">
        <v>17</v>
      </c>
      <c r="C265" s="88" t="s">
        <v>8</v>
      </c>
      <c r="D265" s="87" t="s">
        <v>9</v>
      </c>
      <c r="E265" s="90">
        <v>461</v>
      </c>
      <c r="F265" s="88" t="s">
        <v>217</v>
      </c>
    </row>
    <row r="266" spans="1:6" ht="14.25" customHeight="1" x14ac:dyDescent="0.3">
      <c r="A266" s="102">
        <v>46203</v>
      </c>
      <c r="B266" s="95" t="s">
        <v>18</v>
      </c>
      <c r="C266" s="95" t="s">
        <v>8</v>
      </c>
      <c r="D266" s="94" t="s">
        <v>9</v>
      </c>
      <c r="E266" s="97">
        <v>460</v>
      </c>
      <c r="F266" s="95" t="s">
        <v>217</v>
      </c>
    </row>
    <row r="267" spans="1:6" ht="14.25" customHeight="1" x14ac:dyDescent="0.3">
      <c r="A267" s="101">
        <v>46203</v>
      </c>
      <c r="B267" s="88" t="s">
        <v>19</v>
      </c>
      <c r="C267" s="88" t="s">
        <v>8</v>
      </c>
      <c r="D267" s="87" t="s">
        <v>9</v>
      </c>
      <c r="E267" s="90">
        <v>482</v>
      </c>
      <c r="F267" s="88" t="s">
        <v>217</v>
      </c>
    </row>
    <row r="268" spans="1:6" ht="14.25" customHeight="1" x14ac:dyDescent="0.3">
      <c r="A268" s="102">
        <v>46203</v>
      </c>
      <c r="B268" s="95" t="s">
        <v>20</v>
      </c>
      <c r="C268" s="95" t="s">
        <v>8</v>
      </c>
      <c r="D268" s="94" t="s">
        <v>9</v>
      </c>
      <c r="E268" s="97">
        <v>460</v>
      </c>
      <c r="F268" s="95" t="s">
        <v>217</v>
      </c>
    </row>
    <row r="269" spans="1:6" ht="14.25" customHeight="1" x14ac:dyDescent="0.3">
      <c r="A269" s="101">
        <v>46203</v>
      </c>
      <c r="B269" s="88" t="s">
        <v>21</v>
      </c>
      <c r="C269" s="88" t="s">
        <v>8</v>
      </c>
      <c r="D269" s="87" t="s">
        <v>9</v>
      </c>
      <c r="E269" s="90">
        <v>485</v>
      </c>
      <c r="F269" s="88" t="s">
        <v>217</v>
      </c>
    </row>
    <row r="270" spans="1:6" ht="14.25" customHeight="1" x14ac:dyDescent="0.3">
      <c r="A270" s="102">
        <v>46203</v>
      </c>
      <c r="B270" s="95" t="s">
        <v>22</v>
      </c>
      <c r="C270" s="95" t="s">
        <v>8</v>
      </c>
      <c r="D270" s="94" t="s">
        <v>9</v>
      </c>
      <c r="E270" s="97">
        <v>422</v>
      </c>
      <c r="F270" s="95" t="s">
        <v>217</v>
      </c>
    </row>
    <row r="271" spans="1:6" ht="14.25" customHeight="1" x14ac:dyDescent="0.3">
      <c r="A271" s="101">
        <v>46203</v>
      </c>
      <c r="B271" s="88" t="s">
        <v>23</v>
      </c>
      <c r="C271" s="88" t="s">
        <v>8</v>
      </c>
      <c r="D271" s="87" t="s">
        <v>9</v>
      </c>
      <c r="E271" s="90">
        <v>488</v>
      </c>
      <c r="F271" s="88" t="s">
        <v>217</v>
      </c>
    </row>
    <row r="272" spans="1:6" ht="14.25" customHeight="1" x14ac:dyDescent="0.3">
      <c r="A272" s="102">
        <v>46203</v>
      </c>
      <c r="B272" s="95" t="s">
        <v>24</v>
      </c>
      <c r="C272" s="95" t="s">
        <v>8</v>
      </c>
      <c r="D272" s="94" t="s">
        <v>9</v>
      </c>
      <c r="E272" s="97">
        <v>490</v>
      </c>
      <c r="F272" s="95" t="s">
        <v>217</v>
      </c>
    </row>
    <row r="273" spans="1:6" ht="14.25" customHeight="1" x14ac:dyDescent="0.3">
      <c r="A273" s="101">
        <v>46203</v>
      </c>
      <c r="B273" s="88" t="s">
        <v>25</v>
      </c>
      <c r="C273" s="88" t="s">
        <v>8</v>
      </c>
      <c r="D273" s="87" t="s">
        <v>9</v>
      </c>
      <c r="E273" s="90">
        <v>463</v>
      </c>
      <c r="F273" s="88" t="s">
        <v>217</v>
      </c>
    </row>
    <row r="274" spans="1:6" ht="14.25" customHeight="1" x14ac:dyDescent="0.3">
      <c r="A274" s="102">
        <v>46203</v>
      </c>
      <c r="B274" s="95" t="s">
        <v>26</v>
      </c>
      <c r="C274" s="95" t="s">
        <v>8</v>
      </c>
      <c r="D274" s="94" t="s">
        <v>9</v>
      </c>
      <c r="E274" s="97">
        <v>452</v>
      </c>
      <c r="F274" s="95" t="s">
        <v>217</v>
      </c>
    </row>
    <row r="275" spans="1:6" ht="14.25" customHeight="1" x14ac:dyDescent="0.3">
      <c r="A275" s="101">
        <v>46203</v>
      </c>
      <c r="B275" s="88" t="s">
        <v>27</v>
      </c>
      <c r="C275" s="88" t="s">
        <v>8</v>
      </c>
      <c r="D275" s="87" t="s">
        <v>9</v>
      </c>
      <c r="E275" s="90">
        <v>437</v>
      </c>
      <c r="F275" s="88" t="s">
        <v>217</v>
      </c>
    </row>
    <row r="276" spans="1:6" ht="14.25" customHeight="1" x14ac:dyDescent="0.3">
      <c r="A276" s="102">
        <v>46203</v>
      </c>
      <c r="B276" s="95" t="s">
        <v>28</v>
      </c>
      <c r="C276" s="95" t="s">
        <v>8</v>
      </c>
      <c r="D276" s="94" t="s">
        <v>9</v>
      </c>
      <c r="E276" s="97">
        <v>443</v>
      </c>
      <c r="F276" s="95" t="s">
        <v>217</v>
      </c>
    </row>
    <row r="277" spans="1:6" ht="14.25" customHeight="1" x14ac:dyDescent="0.3">
      <c r="A277" s="101">
        <v>46203</v>
      </c>
      <c r="B277" s="88" t="s">
        <v>29</v>
      </c>
      <c r="C277" s="88" t="s">
        <v>8</v>
      </c>
      <c r="D277" s="87" t="s">
        <v>9</v>
      </c>
      <c r="E277" s="90">
        <v>471</v>
      </c>
      <c r="F277" s="88" t="s">
        <v>217</v>
      </c>
    </row>
    <row r="278" spans="1:6" ht="14.25" customHeight="1" x14ac:dyDescent="0.3">
      <c r="A278" s="102">
        <v>46203</v>
      </c>
      <c r="B278" s="95" t="s">
        <v>30</v>
      </c>
      <c r="C278" s="95" t="s">
        <v>8</v>
      </c>
      <c r="D278" s="94" t="s">
        <v>9</v>
      </c>
      <c r="E278" s="97">
        <v>455</v>
      </c>
      <c r="F278" s="95" t="s">
        <v>217</v>
      </c>
    </row>
    <row r="279" spans="1:6" ht="14.25" customHeight="1" x14ac:dyDescent="0.3">
      <c r="A279" s="101">
        <v>46203</v>
      </c>
      <c r="B279" s="88" t="s">
        <v>31</v>
      </c>
      <c r="C279" s="88" t="s">
        <v>8</v>
      </c>
      <c r="D279" s="87" t="s">
        <v>9</v>
      </c>
      <c r="E279" s="90">
        <v>427</v>
      </c>
      <c r="F279" s="88" t="s">
        <v>217</v>
      </c>
    </row>
    <row r="280" spans="1:6" ht="14.25" customHeight="1" x14ac:dyDescent="0.3">
      <c r="A280" s="102">
        <v>46203</v>
      </c>
      <c r="B280" s="95" t="s">
        <v>32</v>
      </c>
      <c r="C280" s="95" t="s">
        <v>8</v>
      </c>
      <c r="D280" s="94" t="s">
        <v>9</v>
      </c>
      <c r="E280" s="97">
        <v>409</v>
      </c>
      <c r="F280" s="95" t="s">
        <v>217</v>
      </c>
    </row>
    <row r="281" spans="1:6" ht="14.25" customHeight="1" x14ac:dyDescent="0.3">
      <c r="A281" s="101">
        <v>46203</v>
      </c>
      <c r="B281" s="88" t="s">
        <v>33</v>
      </c>
      <c r="C281" s="88" t="s">
        <v>8</v>
      </c>
      <c r="D281" s="87" t="s">
        <v>9</v>
      </c>
      <c r="E281" s="90">
        <v>470</v>
      </c>
      <c r="F281" s="88" t="s">
        <v>217</v>
      </c>
    </row>
    <row r="282" spans="1:6" ht="14.25" customHeight="1" x14ac:dyDescent="0.3">
      <c r="A282" s="102">
        <v>46203</v>
      </c>
      <c r="B282" s="95" t="s">
        <v>34</v>
      </c>
      <c r="C282" s="95" t="s">
        <v>8</v>
      </c>
      <c r="D282" s="94" t="s">
        <v>9</v>
      </c>
      <c r="E282" s="97">
        <v>480</v>
      </c>
      <c r="F282" s="95" t="s">
        <v>217</v>
      </c>
    </row>
    <row r="283" spans="1:6" ht="14.25" customHeight="1" x14ac:dyDescent="0.3">
      <c r="A283" s="101">
        <v>46203</v>
      </c>
      <c r="B283" s="88" t="s">
        <v>35</v>
      </c>
      <c r="C283" s="88" t="s">
        <v>8</v>
      </c>
      <c r="D283" s="87" t="s">
        <v>9</v>
      </c>
      <c r="E283" s="90">
        <v>473</v>
      </c>
      <c r="F283" s="88" t="s">
        <v>217</v>
      </c>
    </row>
    <row r="284" spans="1:6" ht="14.25" customHeight="1" x14ac:dyDescent="0.3">
      <c r="A284" s="102">
        <v>46203</v>
      </c>
      <c r="B284" s="95" t="s">
        <v>36</v>
      </c>
      <c r="C284" s="95" t="s">
        <v>8</v>
      </c>
      <c r="D284" s="94" t="s">
        <v>9</v>
      </c>
      <c r="E284" s="97">
        <v>485</v>
      </c>
      <c r="F284" s="95" t="s">
        <v>217</v>
      </c>
    </row>
    <row r="285" spans="1:6" ht="14.25" customHeight="1" x14ac:dyDescent="0.3">
      <c r="A285" s="101">
        <v>46203</v>
      </c>
      <c r="B285" s="88" t="s">
        <v>37</v>
      </c>
      <c r="C285" s="88" t="s">
        <v>8</v>
      </c>
      <c r="D285" s="87" t="s">
        <v>9</v>
      </c>
      <c r="E285" s="90">
        <v>480</v>
      </c>
      <c r="F285" s="88" t="s">
        <v>217</v>
      </c>
    </row>
    <row r="286" spans="1:6" ht="14.25" customHeight="1" x14ac:dyDescent="0.3">
      <c r="A286" s="102">
        <v>46203</v>
      </c>
      <c r="B286" s="95" t="s">
        <v>218</v>
      </c>
      <c r="C286" s="95" t="s">
        <v>206</v>
      </c>
      <c r="D286" s="94" t="s">
        <v>213</v>
      </c>
      <c r="E286" s="97">
        <v>358</v>
      </c>
      <c r="F286" s="95" t="s">
        <v>214</v>
      </c>
    </row>
    <row r="287" spans="1:6" ht="14.25" customHeight="1" x14ac:dyDescent="0.3">
      <c r="A287" s="101">
        <v>46203</v>
      </c>
      <c r="B287" s="88" t="s">
        <v>219</v>
      </c>
      <c r="C287" s="88" t="s">
        <v>206</v>
      </c>
      <c r="D287" s="87" t="s">
        <v>207</v>
      </c>
      <c r="E287" s="90">
        <v>550</v>
      </c>
      <c r="F287" s="88" t="s">
        <v>208</v>
      </c>
    </row>
    <row r="288" spans="1:6" ht="14.25" customHeight="1" x14ac:dyDescent="0.3">
      <c r="A288" s="102">
        <v>46203</v>
      </c>
      <c r="B288" s="95" t="s">
        <v>220</v>
      </c>
      <c r="C288" s="95" t="s">
        <v>206</v>
      </c>
      <c r="D288" s="94" t="s">
        <v>207</v>
      </c>
      <c r="E288" s="97">
        <v>564</v>
      </c>
      <c r="F288" s="95" t="s">
        <v>208</v>
      </c>
    </row>
    <row r="289" spans="1:6" ht="14.25" customHeight="1" x14ac:dyDescent="0.3">
      <c r="A289" s="101">
        <v>46203</v>
      </c>
      <c r="B289" s="88" t="s">
        <v>221</v>
      </c>
      <c r="C289" s="88" t="s">
        <v>206</v>
      </c>
      <c r="D289" s="87" t="s">
        <v>213</v>
      </c>
      <c r="E289" s="90">
        <v>428</v>
      </c>
      <c r="F289" s="88" t="s">
        <v>214</v>
      </c>
    </row>
    <row r="290" spans="1:6" ht="14.25" customHeight="1" x14ac:dyDescent="0.3">
      <c r="A290" s="102">
        <v>46203</v>
      </c>
      <c r="B290" s="95" t="s">
        <v>222</v>
      </c>
      <c r="C290" s="95" t="s">
        <v>206</v>
      </c>
      <c r="D290" s="94" t="s">
        <v>213</v>
      </c>
      <c r="E290" s="97">
        <v>469</v>
      </c>
      <c r="F290" s="95" t="s">
        <v>214</v>
      </c>
    </row>
    <row r="291" spans="1:6" ht="14.25" customHeight="1" x14ac:dyDescent="0.3">
      <c r="A291" s="101">
        <v>46203</v>
      </c>
      <c r="B291" s="88" t="s">
        <v>223</v>
      </c>
      <c r="C291" s="88" t="s">
        <v>206</v>
      </c>
      <c r="D291" s="87" t="s">
        <v>207</v>
      </c>
      <c r="E291" s="90">
        <v>670</v>
      </c>
      <c r="F291" s="88" t="s">
        <v>208</v>
      </c>
    </row>
    <row r="292" spans="1:6" ht="14.25" customHeight="1" x14ac:dyDescent="0.3">
      <c r="A292" s="102">
        <v>46203</v>
      </c>
      <c r="B292" s="95" t="s">
        <v>224</v>
      </c>
      <c r="C292" s="95" t="s">
        <v>206</v>
      </c>
      <c r="D292" s="94" t="s">
        <v>213</v>
      </c>
      <c r="E292" s="97">
        <v>472</v>
      </c>
      <c r="F292" s="95" t="s">
        <v>214</v>
      </c>
    </row>
    <row r="293" spans="1:6" ht="14.25" customHeight="1" x14ac:dyDescent="0.3">
      <c r="A293" s="101">
        <v>46203</v>
      </c>
      <c r="B293" s="88" t="s">
        <v>225</v>
      </c>
      <c r="C293" s="88" t="s">
        <v>206</v>
      </c>
      <c r="D293" s="87" t="s">
        <v>213</v>
      </c>
      <c r="E293" s="90">
        <v>469</v>
      </c>
      <c r="F293" s="88" t="s">
        <v>214</v>
      </c>
    </row>
    <row r="294" spans="1:6" ht="14.25" customHeight="1" x14ac:dyDescent="0.3">
      <c r="A294" s="102">
        <v>46203</v>
      </c>
      <c r="B294" s="95" t="s">
        <v>226</v>
      </c>
      <c r="C294" s="95" t="s">
        <v>206</v>
      </c>
      <c r="D294" s="94" t="s">
        <v>207</v>
      </c>
      <c r="E294" s="97">
        <v>577</v>
      </c>
      <c r="F294" s="95" t="s">
        <v>208</v>
      </c>
    </row>
    <row r="295" spans="1:6" ht="14.25" customHeight="1" x14ac:dyDescent="0.3">
      <c r="A295" s="101">
        <v>46203</v>
      </c>
      <c r="B295" s="88" t="s">
        <v>227</v>
      </c>
      <c r="C295" s="88" t="s">
        <v>206</v>
      </c>
      <c r="D295" s="87" t="s">
        <v>207</v>
      </c>
      <c r="E295" s="90">
        <v>548</v>
      </c>
      <c r="F295" s="88" t="s">
        <v>208</v>
      </c>
    </row>
    <row r="296" spans="1:6" ht="14.25" customHeight="1" x14ac:dyDescent="0.3">
      <c r="A296" s="102">
        <v>46203</v>
      </c>
      <c r="B296" s="95" t="s">
        <v>228</v>
      </c>
      <c r="C296" s="95" t="s">
        <v>206</v>
      </c>
      <c r="D296" s="94" t="s">
        <v>207</v>
      </c>
      <c r="E296" s="97">
        <v>508</v>
      </c>
      <c r="F296" s="95" t="s">
        <v>208</v>
      </c>
    </row>
    <row r="297" spans="1:6" ht="14.25" customHeight="1" x14ac:dyDescent="0.3">
      <c r="A297" s="101">
        <v>46203</v>
      </c>
      <c r="B297" s="88" t="s">
        <v>229</v>
      </c>
      <c r="C297" s="88" t="s">
        <v>206</v>
      </c>
      <c r="D297" s="87" t="s">
        <v>213</v>
      </c>
      <c r="E297" s="90">
        <v>413</v>
      </c>
      <c r="F297" s="88" t="s">
        <v>214</v>
      </c>
    </row>
    <row r="298" spans="1:6" ht="14.25" customHeight="1" x14ac:dyDescent="0.3">
      <c r="A298" s="102">
        <v>46203</v>
      </c>
      <c r="B298" s="95" t="s">
        <v>230</v>
      </c>
      <c r="C298" s="95" t="s">
        <v>206</v>
      </c>
      <c r="D298" s="94" t="s">
        <v>207</v>
      </c>
      <c r="E298" s="97">
        <v>584</v>
      </c>
      <c r="F298" s="95" t="s">
        <v>208</v>
      </c>
    </row>
    <row r="299" spans="1:6" ht="14.25" customHeight="1" x14ac:dyDescent="0.3">
      <c r="A299" s="101">
        <v>46203</v>
      </c>
      <c r="B299" s="88" t="s">
        <v>231</v>
      </c>
      <c r="C299" s="88" t="s">
        <v>206</v>
      </c>
      <c r="D299" s="87" t="s">
        <v>207</v>
      </c>
      <c r="E299" s="90">
        <v>501</v>
      </c>
      <c r="F299" s="88" t="s">
        <v>208</v>
      </c>
    </row>
    <row r="300" spans="1:6" ht="14.25" customHeight="1" x14ac:dyDescent="0.3">
      <c r="A300" s="102">
        <v>46203</v>
      </c>
      <c r="B300" s="95" t="s">
        <v>232</v>
      </c>
      <c r="C300" s="95" t="s">
        <v>206</v>
      </c>
      <c r="D300" s="94" t="s">
        <v>213</v>
      </c>
      <c r="E300" s="97">
        <v>474</v>
      </c>
      <c r="F300" s="95" t="s">
        <v>214</v>
      </c>
    </row>
    <row r="301" spans="1:6" ht="14.25" customHeight="1" x14ac:dyDescent="0.3">
      <c r="A301" s="101">
        <v>46203</v>
      </c>
      <c r="B301" s="88" t="s">
        <v>233</v>
      </c>
      <c r="C301" s="88" t="s">
        <v>206</v>
      </c>
      <c r="D301" s="87" t="s">
        <v>207</v>
      </c>
      <c r="E301" s="90">
        <v>546</v>
      </c>
      <c r="F301" s="88" t="s">
        <v>208</v>
      </c>
    </row>
    <row r="302" spans="1:6" ht="14.25" customHeight="1" x14ac:dyDescent="0.3">
      <c r="A302" s="102">
        <v>46203</v>
      </c>
      <c r="B302" s="95" t="s">
        <v>234</v>
      </c>
      <c r="C302" s="95" t="s">
        <v>206</v>
      </c>
      <c r="D302" s="94" t="s">
        <v>207</v>
      </c>
      <c r="E302" s="97">
        <v>519</v>
      </c>
      <c r="F302" s="95" t="s">
        <v>208</v>
      </c>
    </row>
    <row r="303" spans="1:6" ht="14.25" customHeight="1" x14ac:dyDescent="0.3">
      <c r="A303" s="101">
        <v>46203</v>
      </c>
      <c r="B303" s="88" t="s">
        <v>235</v>
      </c>
      <c r="C303" s="88" t="s">
        <v>206</v>
      </c>
      <c r="D303" s="87" t="s">
        <v>213</v>
      </c>
      <c r="E303" s="90">
        <v>468</v>
      </c>
      <c r="F303" s="88" t="s">
        <v>214</v>
      </c>
    </row>
    <row r="304" spans="1:6" ht="14.25" customHeight="1" x14ac:dyDescent="0.3">
      <c r="A304" s="102">
        <v>46203</v>
      </c>
      <c r="B304" s="95" t="s">
        <v>236</v>
      </c>
      <c r="C304" s="95" t="s">
        <v>206</v>
      </c>
      <c r="D304" s="94" t="s">
        <v>207</v>
      </c>
      <c r="E304" s="97">
        <v>555</v>
      </c>
      <c r="F304" s="95" t="s">
        <v>208</v>
      </c>
    </row>
    <row r="305" spans="1:6" ht="14.25" customHeight="1" x14ac:dyDescent="0.3">
      <c r="A305" s="101">
        <v>46203</v>
      </c>
      <c r="B305" s="88" t="s">
        <v>237</v>
      </c>
      <c r="C305" s="88" t="s">
        <v>206</v>
      </c>
      <c r="D305" s="87" t="s">
        <v>207</v>
      </c>
      <c r="E305" s="90">
        <v>551</v>
      </c>
      <c r="F305" s="88" t="s">
        <v>208</v>
      </c>
    </row>
    <row r="306" spans="1:6" ht="14.25" customHeight="1" x14ac:dyDescent="0.3">
      <c r="A306" s="102">
        <v>46203</v>
      </c>
      <c r="B306" s="95" t="s">
        <v>238</v>
      </c>
      <c r="C306" s="95" t="s">
        <v>206</v>
      </c>
      <c r="D306" s="94" t="s">
        <v>207</v>
      </c>
      <c r="E306" s="97">
        <v>506</v>
      </c>
      <c r="F306" s="95" t="s">
        <v>208</v>
      </c>
    </row>
    <row r="307" spans="1:6" ht="14.25" customHeight="1" x14ac:dyDescent="0.3">
      <c r="A307" s="101">
        <v>46203</v>
      </c>
      <c r="B307" s="88" t="s">
        <v>239</v>
      </c>
      <c r="C307" s="88" t="s">
        <v>206</v>
      </c>
      <c r="D307" s="87" t="s">
        <v>213</v>
      </c>
      <c r="E307" s="90">
        <v>415</v>
      </c>
      <c r="F307" s="88" t="s">
        <v>214</v>
      </c>
    </row>
    <row r="308" spans="1:6" ht="14.25" customHeight="1" x14ac:dyDescent="0.3">
      <c r="A308" s="102">
        <v>46203</v>
      </c>
      <c r="B308" s="95" t="s">
        <v>240</v>
      </c>
      <c r="C308" s="95" t="s">
        <v>206</v>
      </c>
      <c r="D308" s="94" t="s">
        <v>207</v>
      </c>
      <c r="E308" s="97">
        <v>554</v>
      </c>
      <c r="F308" s="95" t="s">
        <v>208</v>
      </c>
    </row>
    <row r="309" spans="1:6" ht="14.25" customHeight="1" x14ac:dyDescent="0.3">
      <c r="A309" s="101">
        <v>46203</v>
      </c>
      <c r="B309" s="88" t="s">
        <v>241</v>
      </c>
      <c r="C309" s="88" t="s">
        <v>206</v>
      </c>
      <c r="D309" s="87" t="s">
        <v>207</v>
      </c>
      <c r="E309" s="90">
        <v>535</v>
      </c>
      <c r="F309" s="88" t="s">
        <v>208</v>
      </c>
    </row>
    <row r="310" spans="1:6" ht="14.25" customHeight="1" x14ac:dyDescent="0.3">
      <c r="A310" s="102">
        <v>46203</v>
      </c>
      <c r="B310" s="95" t="s">
        <v>242</v>
      </c>
      <c r="C310" s="95" t="s">
        <v>206</v>
      </c>
      <c r="D310" s="94" t="s">
        <v>213</v>
      </c>
      <c r="E310" s="97">
        <v>460</v>
      </c>
      <c r="F310" s="95" t="s">
        <v>214</v>
      </c>
    </row>
    <row r="311" spans="1:6" ht="14.25" customHeight="1" x14ac:dyDescent="0.3">
      <c r="A311" s="101">
        <v>46203</v>
      </c>
      <c r="B311" s="88" t="s">
        <v>243</v>
      </c>
      <c r="C311" s="88" t="s">
        <v>206</v>
      </c>
      <c r="D311" s="87" t="s">
        <v>213</v>
      </c>
      <c r="E311" s="90">
        <v>475</v>
      </c>
      <c r="F311" s="88" t="s">
        <v>214</v>
      </c>
    </row>
    <row r="312" spans="1:6" ht="14.25" customHeight="1" x14ac:dyDescent="0.3">
      <c r="A312" s="102">
        <v>46203</v>
      </c>
      <c r="B312" s="95" t="s">
        <v>244</v>
      </c>
      <c r="C312" s="95" t="s">
        <v>206</v>
      </c>
      <c r="D312" s="94" t="s">
        <v>207</v>
      </c>
      <c r="E312" s="97">
        <v>575</v>
      </c>
      <c r="F312" s="95" t="s">
        <v>208</v>
      </c>
    </row>
    <row r="313" spans="1:6" ht="14.25" customHeight="1" x14ac:dyDescent="0.3">
      <c r="A313" s="101">
        <v>46203</v>
      </c>
      <c r="B313" s="88" t="s">
        <v>245</v>
      </c>
      <c r="C313" s="88" t="s">
        <v>206</v>
      </c>
      <c r="D313" s="87" t="s">
        <v>207</v>
      </c>
      <c r="E313" s="90">
        <v>555</v>
      </c>
      <c r="F313" s="88" t="s">
        <v>208</v>
      </c>
    </row>
    <row r="314" spans="1:6" ht="14.25" customHeight="1" x14ac:dyDescent="0.3">
      <c r="A314" s="102">
        <v>46203</v>
      </c>
      <c r="B314" s="95" t="s">
        <v>246</v>
      </c>
      <c r="C314" s="95" t="s">
        <v>206</v>
      </c>
      <c r="D314" s="94" t="s">
        <v>213</v>
      </c>
      <c r="E314" s="97">
        <v>385</v>
      </c>
      <c r="F314" s="95" t="s">
        <v>214</v>
      </c>
    </row>
    <row r="315" spans="1:6" ht="14.25" customHeight="1" x14ac:dyDescent="0.3">
      <c r="A315" s="101">
        <v>46203</v>
      </c>
      <c r="B315" s="88" t="s">
        <v>247</v>
      </c>
      <c r="C315" s="88" t="s">
        <v>206</v>
      </c>
      <c r="D315" s="87" t="s">
        <v>207</v>
      </c>
      <c r="E315" s="90">
        <v>523</v>
      </c>
      <c r="F315" s="88" t="s">
        <v>208</v>
      </c>
    </row>
    <row r="316" spans="1:6" ht="14.25" customHeight="1" x14ac:dyDescent="0.3">
      <c r="A316" s="102">
        <v>46203</v>
      </c>
      <c r="B316" s="95" t="s">
        <v>248</v>
      </c>
      <c r="C316" s="95" t="s">
        <v>206</v>
      </c>
      <c r="D316" s="94" t="s">
        <v>207</v>
      </c>
      <c r="E316" s="97">
        <v>556</v>
      </c>
      <c r="F316" s="95" t="s">
        <v>208</v>
      </c>
    </row>
    <row r="317" spans="1:6" ht="14.25" customHeight="1" x14ac:dyDescent="0.3">
      <c r="A317" s="101">
        <v>46203</v>
      </c>
      <c r="B317" s="88" t="s">
        <v>249</v>
      </c>
      <c r="C317" s="88" t="s">
        <v>206</v>
      </c>
      <c r="D317" s="87" t="s">
        <v>213</v>
      </c>
      <c r="E317" s="90">
        <v>450</v>
      </c>
      <c r="F317" s="88" t="s">
        <v>214</v>
      </c>
    </row>
    <row r="318" spans="1:6" ht="14.25" customHeight="1" x14ac:dyDescent="0.3">
      <c r="A318" s="102">
        <v>46203</v>
      </c>
      <c r="B318" s="95" t="s">
        <v>250</v>
      </c>
      <c r="C318" s="95" t="s">
        <v>206</v>
      </c>
      <c r="D318" s="94" t="s">
        <v>207</v>
      </c>
      <c r="E318" s="97">
        <v>532</v>
      </c>
      <c r="F318" s="95" t="s">
        <v>208</v>
      </c>
    </row>
    <row r="319" spans="1:6" ht="14.25" customHeight="1" x14ac:dyDescent="0.3">
      <c r="A319" s="101">
        <v>46203</v>
      </c>
      <c r="B319" s="88" t="s">
        <v>251</v>
      </c>
      <c r="C319" s="88" t="s">
        <v>206</v>
      </c>
      <c r="D319" s="87" t="s">
        <v>213</v>
      </c>
      <c r="E319" s="90">
        <v>485</v>
      </c>
      <c r="F319" s="88" t="s">
        <v>214</v>
      </c>
    </row>
    <row r="320" spans="1:6" ht="14.25" customHeight="1" x14ac:dyDescent="0.3">
      <c r="A320" s="102">
        <v>46203</v>
      </c>
      <c r="B320" s="95" t="s">
        <v>252</v>
      </c>
      <c r="C320" s="95" t="s">
        <v>206</v>
      </c>
      <c r="D320" s="94" t="s">
        <v>213</v>
      </c>
      <c r="E320" s="97">
        <v>463</v>
      </c>
      <c r="F320" s="95" t="s">
        <v>214</v>
      </c>
    </row>
    <row r="321" spans="1:6" ht="14.25" customHeight="1" x14ac:dyDescent="0.3">
      <c r="A321" s="101">
        <v>46203</v>
      </c>
      <c r="B321" s="88" t="s">
        <v>253</v>
      </c>
      <c r="C321" s="88" t="s">
        <v>206</v>
      </c>
      <c r="D321" s="87" t="s">
        <v>207</v>
      </c>
      <c r="E321" s="90">
        <v>571</v>
      </c>
      <c r="F321" s="88" t="s">
        <v>208</v>
      </c>
    </row>
    <row r="322" spans="1:6" ht="14.25" customHeight="1" x14ac:dyDescent="0.3">
      <c r="A322" s="102">
        <v>46203</v>
      </c>
      <c r="B322" s="95" t="s">
        <v>254</v>
      </c>
      <c r="C322" s="95" t="s">
        <v>206</v>
      </c>
      <c r="D322" s="94" t="s">
        <v>207</v>
      </c>
      <c r="E322" s="97">
        <v>526</v>
      </c>
      <c r="F322" s="95" t="s">
        <v>208</v>
      </c>
    </row>
    <row r="323" spans="1:6" ht="14.25" customHeight="1" x14ac:dyDescent="0.3">
      <c r="A323" s="101">
        <v>46203</v>
      </c>
      <c r="B323" s="88" t="s">
        <v>255</v>
      </c>
      <c r="C323" s="88" t="s">
        <v>206</v>
      </c>
      <c r="D323" s="87" t="s">
        <v>213</v>
      </c>
      <c r="E323" s="90">
        <v>504</v>
      </c>
      <c r="F323" s="88" t="s">
        <v>214</v>
      </c>
    </row>
    <row r="324" spans="1:6" ht="14.25" customHeight="1" x14ac:dyDescent="0.3">
      <c r="A324" s="102">
        <v>46203</v>
      </c>
      <c r="B324" s="95" t="s">
        <v>256</v>
      </c>
      <c r="C324" s="95" t="s">
        <v>206</v>
      </c>
      <c r="D324" s="94" t="s">
        <v>213</v>
      </c>
      <c r="E324" s="97">
        <v>487</v>
      </c>
      <c r="F324" s="95" t="s">
        <v>214</v>
      </c>
    </row>
    <row r="325" spans="1:6" ht="14.25" customHeight="1" x14ac:dyDescent="0.3">
      <c r="A325" s="101">
        <v>46203</v>
      </c>
      <c r="B325" s="88" t="s">
        <v>257</v>
      </c>
      <c r="C325" s="88" t="s">
        <v>206</v>
      </c>
      <c r="D325" s="87" t="s">
        <v>213</v>
      </c>
      <c r="E325" s="90">
        <v>470</v>
      </c>
      <c r="F325" s="88" t="s">
        <v>214</v>
      </c>
    </row>
    <row r="326" spans="1:6" ht="14.25" customHeight="1" x14ac:dyDescent="0.3">
      <c r="A326" s="102">
        <v>46203</v>
      </c>
      <c r="B326" s="95" t="s">
        <v>258</v>
      </c>
      <c r="C326" s="95" t="s">
        <v>206</v>
      </c>
      <c r="D326" s="94" t="s">
        <v>213</v>
      </c>
      <c r="E326" s="97">
        <v>488</v>
      </c>
      <c r="F326" s="95" t="s">
        <v>214</v>
      </c>
    </row>
    <row r="327" spans="1:6" ht="14.25" customHeight="1" x14ac:dyDescent="0.3">
      <c r="A327" s="101">
        <v>46203</v>
      </c>
      <c r="B327" s="88" t="s">
        <v>259</v>
      </c>
      <c r="C327" s="88" t="s">
        <v>206</v>
      </c>
      <c r="D327" s="87" t="s">
        <v>213</v>
      </c>
      <c r="E327" s="90">
        <v>478</v>
      </c>
      <c r="F327" s="88" t="s">
        <v>214</v>
      </c>
    </row>
    <row r="328" spans="1:6" ht="14.25" customHeight="1" x14ac:dyDescent="0.3">
      <c r="A328" s="102">
        <v>46203</v>
      </c>
      <c r="B328" s="95" t="s">
        <v>260</v>
      </c>
      <c r="C328" s="95" t="s">
        <v>206</v>
      </c>
      <c r="D328" s="94" t="s">
        <v>207</v>
      </c>
      <c r="E328" s="97">
        <v>549</v>
      </c>
      <c r="F328" s="95" t="s">
        <v>208</v>
      </c>
    </row>
    <row r="329" spans="1:6" ht="14.25" customHeight="1" x14ac:dyDescent="0.3">
      <c r="A329" s="101">
        <v>46203</v>
      </c>
      <c r="B329" s="88" t="s">
        <v>261</v>
      </c>
      <c r="C329" s="88" t="s">
        <v>206</v>
      </c>
      <c r="D329" s="87" t="s">
        <v>207</v>
      </c>
      <c r="E329" s="90">
        <v>533</v>
      </c>
      <c r="F329" s="88" t="s">
        <v>208</v>
      </c>
    </row>
    <row r="330" spans="1:6" ht="14.25" customHeight="1" x14ac:dyDescent="0.3">
      <c r="A330" s="102">
        <v>46203</v>
      </c>
      <c r="B330" s="95" t="s">
        <v>262</v>
      </c>
      <c r="C330" s="95" t="s">
        <v>206</v>
      </c>
      <c r="D330" s="94" t="s">
        <v>207</v>
      </c>
      <c r="E330" s="97">
        <v>545</v>
      </c>
      <c r="F330" s="95" t="s">
        <v>208</v>
      </c>
    </row>
    <row r="331" spans="1:6" ht="14.25" customHeight="1" x14ac:dyDescent="0.3">
      <c r="A331" s="101">
        <v>46203</v>
      </c>
      <c r="B331" s="88" t="s">
        <v>263</v>
      </c>
      <c r="C331" s="88" t="s">
        <v>206</v>
      </c>
      <c r="D331" s="87" t="s">
        <v>207</v>
      </c>
      <c r="E331" s="90">
        <v>511</v>
      </c>
      <c r="F331" s="88" t="s">
        <v>208</v>
      </c>
    </row>
    <row r="332" spans="1:6" ht="14.25" customHeight="1" x14ac:dyDescent="0.3">
      <c r="A332" s="102">
        <v>46203</v>
      </c>
      <c r="B332" s="95" t="s">
        <v>264</v>
      </c>
      <c r="C332" s="95" t="s">
        <v>206</v>
      </c>
      <c r="D332" s="94" t="s">
        <v>213</v>
      </c>
      <c r="E332" s="97">
        <v>468</v>
      </c>
      <c r="F332" s="95" t="s">
        <v>214</v>
      </c>
    </row>
    <row r="333" spans="1:6" ht="14.25" customHeight="1" x14ac:dyDescent="0.3">
      <c r="A333" s="101">
        <v>46203</v>
      </c>
      <c r="B333" s="88" t="s">
        <v>265</v>
      </c>
      <c r="C333" s="88" t="s">
        <v>206</v>
      </c>
      <c r="D333" s="87" t="s">
        <v>213</v>
      </c>
      <c r="E333" s="90">
        <v>432</v>
      </c>
      <c r="F333" s="88" t="s">
        <v>214</v>
      </c>
    </row>
    <row r="334" spans="1:6" ht="14.25" customHeight="1" x14ac:dyDescent="0.3">
      <c r="A334" s="102">
        <v>46203</v>
      </c>
      <c r="B334" s="95" t="s">
        <v>266</v>
      </c>
      <c r="C334" s="95" t="s">
        <v>206</v>
      </c>
      <c r="D334" s="94" t="s">
        <v>213</v>
      </c>
      <c r="E334" s="97">
        <v>474</v>
      </c>
      <c r="F334" s="95" t="s">
        <v>214</v>
      </c>
    </row>
    <row r="335" spans="1:6" ht="14.25" customHeight="1" x14ac:dyDescent="0.3">
      <c r="A335" s="101">
        <v>46203</v>
      </c>
      <c r="B335" s="88" t="s">
        <v>267</v>
      </c>
      <c r="C335" s="88" t="s">
        <v>206</v>
      </c>
      <c r="D335" s="87" t="s">
        <v>213</v>
      </c>
      <c r="E335" s="90">
        <v>476</v>
      </c>
      <c r="F335" s="88" t="s">
        <v>214</v>
      </c>
    </row>
    <row r="336" spans="1:6" ht="14.25" customHeight="1" x14ac:dyDescent="0.3">
      <c r="A336" s="102">
        <v>46203</v>
      </c>
      <c r="B336" s="95" t="s">
        <v>268</v>
      </c>
      <c r="C336" s="95" t="s">
        <v>206</v>
      </c>
      <c r="D336" s="94" t="s">
        <v>213</v>
      </c>
      <c r="E336" s="97">
        <v>450</v>
      </c>
      <c r="F336" s="95" t="s">
        <v>214</v>
      </c>
    </row>
    <row r="337" spans="1:6" ht="14.25" customHeight="1" x14ac:dyDescent="0.3">
      <c r="A337" s="101">
        <v>46203</v>
      </c>
      <c r="B337" s="88" t="s">
        <v>269</v>
      </c>
      <c r="C337" s="88" t="s">
        <v>206</v>
      </c>
      <c r="D337" s="87" t="s">
        <v>213</v>
      </c>
      <c r="E337" s="90">
        <v>407</v>
      </c>
      <c r="F337" s="88" t="s">
        <v>214</v>
      </c>
    </row>
    <row r="338" spans="1:6" ht="14.25" customHeight="1" x14ac:dyDescent="0.3">
      <c r="A338" s="102">
        <v>46203</v>
      </c>
      <c r="B338" s="95" t="s">
        <v>270</v>
      </c>
      <c r="C338" s="95" t="s">
        <v>206</v>
      </c>
      <c r="D338" s="94" t="s">
        <v>207</v>
      </c>
      <c r="E338" s="97">
        <v>542</v>
      </c>
      <c r="F338" s="95" t="s">
        <v>208</v>
      </c>
    </row>
    <row r="339" spans="1:6" ht="14.25" customHeight="1" x14ac:dyDescent="0.3">
      <c r="A339" s="101">
        <v>46203</v>
      </c>
      <c r="B339" s="88" t="s">
        <v>271</v>
      </c>
      <c r="C339" s="88" t="s">
        <v>206</v>
      </c>
      <c r="D339" s="87" t="s">
        <v>213</v>
      </c>
      <c r="E339" s="90">
        <v>461</v>
      </c>
      <c r="F339" s="88" t="s">
        <v>214</v>
      </c>
    </row>
    <row r="340" spans="1:6" ht="14.25" customHeight="1" x14ac:dyDescent="0.3">
      <c r="A340" s="102">
        <v>46203</v>
      </c>
      <c r="B340" s="95" t="s">
        <v>272</v>
      </c>
      <c r="C340" s="95" t="s">
        <v>206</v>
      </c>
      <c r="D340" s="94" t="s">
        <v>213</v>
      </c>
      <c r="E340" s="97">
        <v>439</v>
      </c>
      <c r="F340" s="95" t="s">
        <v>214</v>
      </c>
    </row>
    <row r="341" spans="1:6" ht="14.25" customHeight="1" x14ac:dyDescent="0.3">
      <c r="A341" s="101">
        <v>46203</v>
      </c>
      <c r="B341" s="88" t="s">
        <v>273</v>
      </c>
      <c r="C341" s="88" t="s">
        <v>206</v>
      </c>
      <c r="D341" s="87" t="s">
        <v>213</v>
      </c>
      <c r="E341" s="90">
        <v>497</v>
      </c>
      <c r="F341" s="88" t="s">
        <v>214</v>
      </c>
    </row>
    <row r="342" spans="1:6" ht="14.25" customHeight="1" x14ac:dyDescent="0.3">
      <c r="A342" s="102">
        <v>46203</v>
      </c>
      <c r="B342" s="95" t="s">
        <v>274</v>
      </c>
      <c r="C342" s="95" t="s">
        <v>206</v>
      </c>
      <c r="D342" s="94" t="s">
        <v>213</v>
      </c>
      <c r="E342" s="97">
        <v>388</v>
      </c>
      <c r="F342" s="95" t="s">
        <v>214</v>
      </c>
    </row>
    <row r="343" spans="1:6" ht="14.25" customHeight="1" x14ac:dyDescent="0.3">
      <c r="A343" s="101">
        <v>46203</v>
      </c>
      <c r="B343" s="88" t="s">
        <v>275</v>
      </c>
      <c r="C343" s="88" t="s">
        <v>206</v>
      </c>
      <c r="D343" s="87" t="s">
        <v>213</v>
      </c>
      <c r="E343" s="90">
        <v>451</v>
      </c>
      <c r="F343" s="88" t="s">
        <v>214</v>
      </c>
    </row>
    <row r="344" spans="1:6" ht="14.25" customHeight="1" x14ac:dyDescent="0.3">
      <c r="A344" s="102">
        <v>46203</v>
      </c>
      <c r="B344" s="95" t="s">
        <v>276</v>
      </c>
      <c r="C344" s="95" t="s">
        <v>206</v>
      </c>
      <c r="D344" s="94" t="s">
        <v>213</v>
      </c>
      <c r="E344" s="97">
        <v>456</v>
      </c>
      <c r="F344" s="95" t="s">
        <v>214</v>
      </c>
    </row>
    <row r="345" spans="1:6" ht="14.25" customHeight="1" x14ac:dyDescent="0.3">
      <c r="A345" s="101">
        <v>46203</v>
      </c>
      <c r="B345" s="88" t="s">
        <v>277</v>
      </c>
      <c r="C345" s="88" t="s">
        <v>206</v>
      </c>
      <c r="D345" s="87" t="s">
        <v>213</v>
      </c>
      <c r="E345" s="90">
        <v>461</v>
      </c>
      <c r="F345" s="88" t="s">
        <v>214</v>
      </c>
    </row>
    <row r="346" spans="1:6" ht="14.25" customHeight="1" x14ac:dyDescent="0.3">
      <c r="A346" s="102">
        <v>46203</v>
      </c>
      <c r="B346" s="95" t="s">
        <v>278</v>
      </c>
      <c r="C346" s="95" t="s">
        <v>206</v>
      </c>
      <c r="D346" s="94" t="s">
        <v>213</v>
      </c>
      <c r="E346" s="97">
        <v>478</v>
      </c>
      <c r="F346" s="95" t="s">
        <v>214</v>
      </c>
    </row>
    <row r="347" spans="1:6" ht="14.25" customHeight="1" x14ac:dyDescent="0.3">
      <c r="A347" s="101">
        <v>46203</v>
      </c>
      <c r="B347" s="88" t="s">
        <v>279</v>
      </c>
      <c r="C347" s="88" t="s">
        <v>206</v>
      </c>
      <c r="D347" s="87" t="s">
        <v>213</v>
      </c>
      <c r="E347" s="90">
        <v>457</v>
      </c>
      <c r="F347" s="88" t="s">
        <v>214</v>
      </c>
    </row>
    <row r="348" spans="1:6" ht="14.25" customHeight="1" x14ac:dyDescent="0.3">
      <c r="A348" s="102">
        <v>46203</v>
      </c>
      <c r="B348" s="95" t="s">
        <v>280</v>
      </c>
      <c r="C348" s="95" t="s">
        <v>206</v>
      </c>
      <c r="D348" s="94" t="s">
        <v>213</v>
      </c>
      <c r="E348" s="97">
        <v>472</v>
      </c>
      <c r="F348" s="95" t="s">
        <v>214</v>
      </c>
    </row>
    <row r="349" spans="1:6" ht="14.25" customHeight="1" x14ac:dyDescent="0.3">
      <c r="A349" s="101">
        <v>46203</v>
      </c>
      <c r="B349" s="88" t="s">
        <v>281</v>
      </c>
      <c r="C349" s="88" t="s">
        <v>206</v>
      </c>
      <c r="D349" s="87" t="s">
        <v>213</v>
      </c>
      <c r="E349" s="90">
        <v>405</v>
      </c>
      <c r="F349" s="88" t="s">
        <v>214</v>
      </c>
    </row>
    <row r="350" spans="1:6" ht="14.25" customHeight="1" x14ac:dyDescent="0.3">
      <c r="A350" s="102">
        <v>46203</v>
      </c>
      <c r="B350" s="95" t="s">
        <v>282</v>
      </c>
      <c r="C350" s="95" t="s">
        <v>206</v>
      </c>
      <c r="D350" s="94" t="s">
        <v>207</v>
      </c>
      <c r="E350" s="97">
        <v>530</v>
      </c>
      <c r="F350" s="95" t="s">
        <v>208</v>
      </c>
    </row>
    <row r="351" spans="1:6" ht="14.25" customHeight="1" x14ac:dyDescent="0.3">
      <c r="A351" s="101">
        <v>46203</v>
      </c>
      <c r="B351" s="88" t="s">
        <v>283</v>
      </c>
      <c r="C351" s="88" t="s">
        <v>206</v>
      </c>
      <c r="D351" s="87" t="s">
        <v>213</v>
      </c>
      <c r="E351" s="90">
        <v>457</v>
      </c>
      <c r="F351" s="88" t="s">
        <v>214</v>
      </c>
    </row>
    <row r="352" spans="1:6" ht="14.25" customHeight="1" x14ac:dyDescent="0.3">
      <c r="A352" s="102">
        <v>46203</v>
      </c>
      <c r="B352" s="95" t="s">
        <v>284</v>
      </c>
      <c r="C352" s="95" t="s">
        <v>206</v>
      </c>
      <c r="D352" s="94" t="s">
        <v>213</v>
      </c>
      <c r="E352" s="97">
        <v>483</v>
      </c>
      <c r="F352" s="95" t="s">
        <v>214</v>
      </c>
    </row>
    <row r="353" spans="1:6" ht="14.25" customHeight="1" x14ac:dyDescent="0.3">
      <c r="A353" s="101">
        <v>46203</v>
      </c>
      <c r="B353" s="88" t="s">
        <v>285</v>
      </c>
      <c r="C353" s="88" t="s">
        <v>206</v>
      </c>
      <c r="D353" s="87" t="s">
        <v>213</v>
      </c>
      <c r="E353" s="90">
        <v>369</v>
      </c>
      <c r="F353" s="88" t="s">
        <v>214</v>
      </c>
    </row>
    <row r="354" spans="1:6" ht="14.25" customHeight="1" x14ac:dyDescent="0.3">
      <c r="A354" s="102">
        <v>46203</v>
      </c>
      <c r="B354" s="95" t="s">
        <v>286</v>
      </c>
      <c r="C354" s="95" t="s">
        <v>206</v>
      </c>
      <c r="D354" s="94" t="s">
        <v>207</v>
      </c>
      <c r="E354" s="97">
        <v>563</v>
      </c>
      <c r="F354" s="95" t="s">
        <v>208</v>
      </c>
    </row>
    <row r="355" spans="1:6" ht="14.25" customHeight="1" x14ac:dyDescent="0.3">
      <c r="A355" s="101">
        <v>46203</v>
      </c>
      <c r="B355" s="88" t="s">
        <v>287</v>
      </c>
      <c r="C355" s="88" t="s">
        <v>206</v>
      </c>
      <c r="D355" s="87" t="s">
        <v>213</v>
      </c>
      <c r="E355" s="90">
        <v>495</v>
      </c>
      <c r="F355" s="88" t="s">
        <v>214</v>
      </c>
    </row>
    <row r="356" spans="1:6" ht="14.25" customHeight="1" x14ac:dyDescent="0.3">
      <c r="A356" s="102">
        <v>46203</v>
      </c>
      <c r="B356" s="95" t="s">
        <v>288</v>
      </c>
      <c r="C356" s="95" t="s">
        <v>206</v>
      </c>
      <c r="D356" s="94" t="s">
        <v>213</v>
      </c>
      <c r="E356" s="97">
        <v>465</v>
      </c>
      <c r="F356" s="95" t="s">
        <v>214</v>
      </c>
    </row>
    <row r="357" spans="1:6" ht="14.25" customHeight="1" x14ac:dyDescent="0.3">
      <c r="A357" s="101">
        <v>46203</v>
      </c>
      <c r="B357" s="88" t="s">
        <v>289</v>
      </c>
      <c r="C357" s="88" t="s">
        <v>206</v>
      </c>
      <c r="D357" s="87" t="s">
        <v>207</v>
      </c>
      <c r="E357" s="90">
        <v>682</v>
      </c>
      <c r="F357" s="88" t="s">
        <v>208</v>
      </c>
    </row>
    <row r="358" spans="1:6" ht="14.25" customHeight="1" x14ac:dyDescent="0.3">
      <c r="A358" s="102">
        <v>46203</v>
      </c>
      <c r="B358" s="95" t="s">
        <v>290</v>
      </c>
      <c r="C358" s="95" t="s">
        <v>206</v>
      </c>
      <c r="D358" s="94" t="s">
        <v>207</v>
      </c>
      <c r="E358" s="97">
        <v>597</v>
      </c>
      <c r="F358" s="95" t="s">
        <v>208</v>
      </c>
    </row>
    <row r="359" spans="1:6" ht="14.25" customHeight="1" x14ac:dyDescent="0.3">
      <c r="A359" s="101">
        <v>46203</v>
      </c>
      <c r="B359" s="88" t="s">
        <v>291</v>
      </c>
      <c r="C359" s="88" t="s">
        <v>206</v>
      </c>
      <c r="D359" s="87" t="s">
        <v>213</v>
      </c>
      <c r="E359" s="90">
        <v>402</v>
      </c>
      <c r="F359" s="88" t="s">
        <v>214</v>
      </c>
    </row>
    <row r="360" spans="1:6" ht="14.25" customHeight="1" x14ac:dyDescent="0.3">
      <c r="A360" s="102">
        <v>46203</v>
      </c>
      <c r="B360" s="95" t="s">
        <v>292</v>
      </c>
      <c r="C360" s="95" t="s">
        <v>206</v>
      </c>
      <c r="D360" s="94" t="s">
        <v>207</v>
      </c>
      <c r="E360" s="97">
        <v>540</v>
      </c>
      <c r="F360" s="95" t="s">
        <v>208</v>
      </c>
    </row>
    <row r="361" spans="1:6" ht="14.25" customHeight="1" x14ac:dyDescent="0.3">
      <c r="A361" s="101">
        <v>46203</v>
      </c>
      <c r="B361" s="88" t="s">
        <v>293</v>
      </c>
      <c r="C361" s="88" t="s">
        <v>206</v>
      </c>
      <c r="D361" s="87" t="s">
        <v>213</v>
      </c>
      <c r="E361" s="90">
        <v>407</v>
      </c>
      <c r="F361" s="88" t="s">
        <v>214</v>
      </c>
    </row>
    <row r="362" spans="1:6" ht="14.25" customHeight="1" x14ac:dyDescent="0.3">
      <c r="A362" s="102">
        <v>46203</v>
      </c>
      <c r="B362" s="95" t="s">
        <v>294</v>
      </c>
      <c r="C362" s="95" t="s">
        <v>206</v>
      </c>
      <c r="D362" s="94" t="s">
        <v>213</v>
      </c>
      <c r="E362" s="97">
        <v>415</v>
      </c>
      <c r="F362" s="95" t="s">
        <v>214</v>
      </c>
    </row>
    <row r="363" spans="1:6" ht="14.25" customHeight="1" x14ac:dyDescent="0.3">
      <c r="A363" s="101">
        <v>46204</v>
      </c>
      <c r="B363" s="88" t="s">
        <v>38</v>
      </c>
      <c r="C363" s="88" t="s">
        <v>39</v>
      </c>
      <c r="D363" s="87" t="s">
        <v>40</v>
      </c>
      <c r="E363" s="90">
        <v>305</v>
      </c>
      <c r="F363" s="88" t="s">
        <v>295</v>
      </c>
    </row>
    <row r="364" spans="1:6" ht="14.25" customHeight="1" x14ac:dyDescent="0.3">
      <c r="A364" s="102">
        <v>46204</v>
      </c>
      <c r="B364" s="95" t="s">
        <v>42</v>
      </c>
      <c r="C364" s="95" t="s">
        <v>39</v>
      </c>
      <c r="D364" s="94" t="s">
        <v>40</v>
      </c>
      <c r="E364" s="97">
        <v>297</v>
      </c>
      <c r="F364" s="95" t="s">
        <v>295</v>
      </c>
    </row>
    <row r="365" spans="1:6" ht="14.25" customHeight="1" x14ac:dyDescent="0.3">
      <c r="A365" s="101">
        <v>46204</v>
      </c>
      <c r="B365" s="88" t="s">
        <v>44</v>
      </c>
      <c r="C365" s="88" t="s">
        <v>39</v>
      </c>
      <c r="D365" s="87" t="s">
        <v>40</v>
      </c>
      <c r="E365" s="90">
        <v>254</v>
      </c>
      <c r="F365" s="88" t="s">
        <v>295</v>
      </c>
    </row>
    <row r="366" spans="1:6" ht="14.25" customHeight="1" x14ac:dyDescent="0.3">
      <c r="A366" s="102">
        <v>46204</v>
      </c>
      <c r="B366" s="95" t="s">
        <v>45</v>
      </c>
      <c r="C366" s="95" t="s">
        <v>39</v>
      </c>
      <c r="D366" s="94" t="s">
        <v>40</v>
      </c>
      <c r="E366" s="97">
        <v>236</v>
      </c>
      <c r="F366" s="95" t="s">
        <v>295</v>
      </c>
    </row>
    <row r="367" spans="1:6" ht="14.25" customHeight="1" x14ac:dyDescent="0.3">
      <c r="A367" s="101">
        <v>46204</v>
      </c>
      <c r="B367" s="88" t="s">
        <v>46</v>
      </c>
      <c r="C367" s="88" t="s">
        <v>39</v>
      </c>
      <c r="D367" s="87" t="s">
        <v>40</v>
      </c>
      <c r="E367" s="90">
        <v>192</v>
      </c>
      <c r="F367" s="88" t="s">
        <v>295</v>
      </c>
    </row>
    <row r="368" spans="1:6" ht="14.25" customHeight="1" x14ac:dyDescent="0.3">
      <c r="A368" s="102">
        <v>46204</v>
      </c>
      <c r="B368" s="95" t="s">
        <v>47</v>
      </c>
      <c r="C368" s="95" t="s">
        <v>39</v>
      </c>
      <c r="D368" s="94" t="s">
        <v>40</v>
      </c>
      <c r="E368" s="97">
        <v>241</v>
      </c>
      <c r="F368" s="95" t="s">
        <v>295</v>
      </c>
    </row>
    <row r="369" spans="1:6" ht="14.25" customHeight="1" x14ac:dyDescent="0.3">
      <c r="A369" s="101">
        <v>46204</v>
      </c>
      <c r="B369" s="88" t="s">
        <v>48</v>
      </c>
      <c r="C369" s="88" t="s">
        <v>39</v>
      </c>
      <c r="D369" s="87" t="s">
        <v>40</v>
      </c>
      <c r="E369" s="90">
        <v>271</v>
      </c>
      <c r="F369" s="88" t="s">
        <v>295</v>
      </c>
    </row>
    <row r="370" spans="1:6" ht="14.25" customHeight="1" x14ac:dyDescent="0.3">
      <c r="A370" s="102">
        <v>46204</v>
      </c>
      <c r="B370" s="95" t="s">
        <v>49</v>
      </c>
      <c r="C370" s="95" t="s">
        <v>39</v>
      </c>
      <c r="D370" s="94" t="s">
        <v>40</v>
      </c>
      <c r="E370" s="97">
        <v>233</v>
      </c>
      <c r="F370" s="95" t="s">
        <v>295</v>
      </c>
    </row>
    <row r="371" spans="1:6" ht="14.25" customHeight="1" x14ac:dyDescent="0.3">
      <c r="A371" s="101">
        <v>46204</v>
      </c>
      <c r="B371" s="88" t="s">
        <v>50</v>
      </c>
      <c r="C371" s="88" t="s">
        <v>39</v>
      </c>
      <c r="D371" s="87" t="s">
        <v>40</v>
      </c>
      <c r="E371" s="90">
        <v>247</v>
      </c>
      <c r="F371" s="88" t="s">
        <v>295</v>
      </c>
    </row>
    <row r="372" spans="1:6" ht="14.25" customHeight="1" x14ac:dyDescent="0.3">
      <c r="A372" s="102">
        <v>46204</v>
      </c>
      <c r="B372" s="95" t="s">
        <v>51</v>
      </c>
      <c r="C372" s="95" t="s">
        <v>39</v>
      </c>
      <c r="D372" s="94" t="s">
        <v>40</v>
      </c>
      <c r="E372" s="97">
        <v>250</v>
      </c>
      <c r="F372" s="95" t="s">
        <v>295</v>
      </c>
    </row>
    <row r="373" spans="1:6" ht="14.25" customHeight="1" x14ac:dyDescent="0.3">
      <c r="A373" s="101">
        <v>46204</v>
      </c>
      <c r="B373" s="88" t="s">
        <v>52</v>
      </c>
      <c r="C373" s="88" t="s">
        <v>39</v>
      </c>
      <c r="D373" s="87" t="s">
        <v>40</v>
      </c>
      <c r="E373" s="90">
        <v>191</v>
      </c>
      <c r="F373" s="88" t="s">
        <v>295</v>
      </c>
    </row>
    <row r="374" spans="1:6" ht="14.25" customHeight="1" x14ac:dyDescent="0.3">
      <c r="A374" s="102">
        <v>46204</v>
      </c>
      <c r="B374" s="95" t="s">
        <v>53</v>
      </c>
      <c r="C374" s="95" t="s">
        <v>39</v>
      </c>
      <c r="D374" s="94" t="s">
        <v>40</v>
      </c>
      <c r="E374" s="97">
        <v>229</v>
      </c>
      <c r="F374" s="95" t="s">
        <v>295</v>
      </c>
    </row>
    <row r="375" spans="1:6" ht="14.25" customHeight="1" x14ac:dyDescent="0.3">
      <c r="A375" s="101">
        <v>46204</v>
      </c>
      <c r="B375" s="88" t="s">
        <v>54</v>
      </c>
      <c r="C375" s="88" t="s">
        <v>39</v>
      </c>
      <c r="D375" s="87" t="s">
        <v>40</v>
      </c>
      <c r="E375" s="90">
        <v>158</v>
      </c>
      <c r="F375" s="88" t="s">
        <v>295</v>
      </c>
    </row>
    <row r="376" spans="1:6" ht="14.25" customHeight="1" x14ac:dyDescent="0.3">
      <c r="A376" s="102">
        <v>46204</v>
      </c>
      <c r="B376" s="95" t="s">
        <v>55</v>
      </c>
      <c r="C376" s="95" t="s">
        <v>39</v>
      </c>
      <c r="D376" s="94" t="s">
        <v>40</v>
      </c>
      <c r="E376" s="97">
        <v>255</v>
      </c>
      <c r="F376" s="95" t="s">
        <v>295</v>
      </c>
    </row>
    <row r="377" spans="1:6" ht="14.25" customHeight="1" x14ac:dyDescent="0.3">
      <c r="A377" s="101">
        <v>46204</v>
      </c>
      <c r="B377" s="88" t="s">
        <v>56</v>
      </c>
      <c r="C377" s="88" t="s">
        <v>39</v>
      </c>
      <c r="D377" s="87" t="s">
        <v>40</v>
      </c>
      <c r="E377" s="90">
        <v>235</v>
      </c>
      <c r="F377" s="88" t="s">
        <v>295</v>
      </c>
    </row>
    <row r="378" spans="1:6" ht="14.25" customHeight="1" x14ac:dyDescent="0.3">
      <c r="A378" s="102">
        <v>46204</v>
      </c>
      <c r="B378" s="95" t="s">
        <v>57</v>
      </c>
      <c r="C378" s="95" t="s">
        <v>39</v>
      </c>
      <c r="D378" s="94" t="s">
        <v>40</v>
      </c>
      <c r="E378" s="97">
        <v>211</v>
      </c>
      <c r="F378" s="95" t="s">
        <v>295</v>
      </c>
    </row>
    <row r="379" spans="1:6" ht="14.25" customHeight="1" x14ac:dyDescent="0.3">
      <c r="A379" s="101">
        <v>46204</v>
      </c>
      <c r="B379" s="88" t="s">
        <v>58</v>
      </c>
      <c r="C379" s="88" t="s">
        <v>39</v>
      </c>
      <c r="D379" s="87" t="s">
        <v>40</v>
      </c>
      <c r="E379" s="90">
        <v>259</v>
      </c>
      <c r="F379" s="88" t="s">
        <v>295</v>
      </c>
    </row>
    <row r="380" spans="1:6" ht="14.25" customHeight="1" x14ac:dyDescent="0.3">
      <c r="A380" s="102">
        <v>46204</v>
      </c>
      <c r="B380" s="95" t="s">
        <v>59</v>
      </c>
      <c r="C380" s="95" t="s">
        <v>39</v>
      </c>
      <c r="D380" s="94" t="s">
        <v>40</v>
      </c>
      <c r="E380" s="97">
        <v>235</v>
      </c>
      <c r="F380" s="95" t="s">
        <v>295</v>
      </c>
    </row>
    <row r="381" spans="1:6" ht="14.25" customHeight="1" x14ac:dyDescent="0.3">
      <c r="A381" s="101">
        <v>46204</v>
      </c>
      <c r="B381" s="88" t="s">
        <v>60</v>
      </c>
      <c r="C381" s="88" t="s">
        <v>39</v>
      </c>
      <c r="D381" s="87" t="s">
        <v>40</v>
      </c>
      <c r="E381" s="90">
        <v>336</v>
      </c>
      <c r="F381" s="88" t="s">
        <v>295</v>
      </c>
    </row>
    <row r="382" spans="1:6" ht="14.25" customHeight="1" x14ac:dyDescent="0.3">
      <c r="A382" s="102">
        <v>46204</v>
      </c>
      <c r="B382" s="95" t="s">
        <v>61</v>
      </c>
      <c r="C382" s="95" t="s">
        <v>39</v>
      </c>
      <c r="D382" s="94" t="s">
        <v>40</v>
      </c>
      <c r="E382" s="97">
        <v>280</v>
      </c>
      <c r="F382" s="95" t="s">
        <v>295</v>
      </c>
    </row>
    <row r="383" spans="1:6" ht="14.25" customHeight="1" x14ac:dyDescent="0.3">
      <c r="A383" s="101">
        <v>46204</v>
      </c>
      <c r="B383" s="88" t="s">
        <v>62</v>
      </c>
      <c r="C383" s="88" t="s">
        <v>39</v>
      </c>
      <c r="D383" s="87" t="s">
        <v>40</v>
      </c>
      <c r="E383" s="90">
        <v>196</v>
      </c>
      <c r="F383" s="88" t="s">
        <v>295</v>
      </c>
    </row>
    <row r="384" spans="1:6" ht="14.25" customHeight="1" x14ac:dyDescent="0.3">
      <c r="A384" s="102">
        <v>46204</v>
      </c>
      <c r="B384" s="95" t="s">
        <v>63</v>
      </c>
      <c r="C384" s="95" t="s">
        <v>39</v>
      </c>
      <c r="D384" s="94" t="s">
        <v>40</v>
      </c>
      <c r="E384" s="97">
        <v>295</v>
      </c>
      <c r="F384" s="95" t="s">
        <v>295</v>
      </c>
    </row>
    <row r="385" spans="1:6" ht="14.25" customHeight="1" x14ac:dyDescent="0.3">
      <c r="A385" s="101">
        <v>46204</v>
      </c>
      <c r="B385" s="88" t="s">
        <v>64</v>
      </c>
      <c r="C385" s="88" t="s">
        <v>39</v>
      </c>
      <c r="D385" s="87" t="s">
        <v>40</v>
      </c>
      <c r="E385" s="90">
        <v>250</v>
      </c>
      <c r="F385" s="88" t="s">
        <v>295</v>
      </c>
    </row>
    <row r="386" spans="1:6" ht="14.25" customHeight="1" x14ac:dyDescent="0.3">
      <c r="A386" s="102">
        <v>46204</v>
      </c>
      <c r="B386" s="95" t="s">
        <v>65</v>
      </c>
      <c r="C386" s="95" t="s">
        <v>39</v>
      </c>
      <c r="D386" s="94" t="s">
        <v>40</v>
      </c>
      <c r="E386" s="97">
        <v>271</v>
      </c>
      <c r="F386" s="95" t="s">
        <v>295</v>
      </c>
    </row>
    <row r="387" spans="1:6" ht="14.25" customHeight="1" x14ac:dyDescent="0.3">
      <c r="A387" s="101">
        <v>46204</v>
      </c>
      <c r="B387" s="88" t="s">
        <v>66</v>
      </c>
      <c r="C387" s="88" t="s">
        <v>39</v>
      </c>
      <c r="D387" s="87" t="s">
        <v>40</v>
      </c>
      <c r="E387" s="90">
        <v>214</v>
      </c>
      <c r="F387" s="88" t="s">
        <v>295</v>
      </c>
    </row>
    <row r="388" spans="1:6" ht="14.25" customHeight="1" x14ac:dyDescent="0.3">
      <c r="A388" s="102">
        <v>46204</v>
      </c>
      <c r="B388" s="95" t="s">
        <v>68</v>
      </c>
      <c r="C388" s="95" t="s">
        <v>39</v>
      </c>
      <c r="D388" s="94" t="s">
        <v>40</v>
      </c>
      <c r="E388" s="97">
        <v>247</v>
      </c>
      <c r="F388" s="95" t="s">
        <v>295</v>
      </c>
    </row>
    <row r="389" spans="1:6" ht="14.25" customHeight="1" x14ac:dyDescent="0.3">
      <c r="A389" s="101">
        <v>46204</v>
      </c>
      <c r="B389" s="88" t="s">
        <v>69</v>
      </c>
      <c r="C389" s="88" t="s">
        <v>39</v>
      </c>
      <c r="D389" s="87" t="s">
        <v>40</v>
      </c>
      <c r="E389" s="90">
        <v>248</v>
      </c>
      <c r="F389" s="88" t="s">
        <v>295</v>
      </c>
    </row>
    <row r="390" spans="1:6" ht="14.25" customHeight="1" x14ac:dyDescent="0.3">
      <c r="A390" s="102">
        <v>46204</v>
      </c>
      <c r="B390" s="95" t="s">
        <v>71</v>
      </c>
      <c r="C390" s="95" t="s">
        <v>39</v>
      </c>
      <c r="D390" s="94" t="s">
        <v>40</v>
      </c>
      <c r="E390" s="97">
        <v>201</v>
      </c>
      <c r="F390" s="95" t="s">
        <v>295</v>
      </c>
    </row>
    <row r="391" spans="1:6" ht="14.25" customHeight="1" x14ac:dyDescent="0.3">
      <c r="A391" s="101">
        <v>46204</v>
      </c>
      <c r="B391" s="88" t="s">
        <v>72</v>
      </c>
      <c r="C391" s="88" t="s">
        <v>39</v>
      </c>
      <c r="D391" s="87" t="s">
        <v>40</v>
      </c>
      <c r="E391" s="90">
        <v>238</v>
      </c>
      <c r="F391" s="88" t="s">
        <v>295</v>
      </c>
    </row>
    <row r="392" spans="1:6" ht="14.25" customHeight="1" x14ac:dyDescent="0.3">
      <c r="A392" s="102">
        <v>46204</v>
      </c>
      <c r="B392" s="95" t="s">
        <v>73</v>
      </c>
      <c r="C392" s="95" t="s">
        <v>39</v>
      </c>
      <c r="D392" s="94" t="s">
        <v>40</v>
      </c>
      <c r="E392" s="97">
        <v>247</v>
      </c>
      <c r="F392" s="95" t="s">
        <v>295</v>
      </c>
    </row>
    <row r="393" spans="1:6" ht="14.25" customHeight="1" x14ac:dyDescent="0.3">
      <c r="A393" s="101">
        <v>46204</v>
      </c>
      <c r="B393" s="88" t="s">
        <v>74</v>
      </c>
      <c r="C393" s="88" t="s">
        <v>39</v>
      </c>
      <c r="D393" s="87" t="s">
        <v>40</v>
      </c>
      <c r="E393" s="90">
        <v>249</v>
      </c>
      <c r="F393" s="88" t="s">
        <v>295</v>
      </c>
    </row>
    <row r="394" spans="1:6" ht="14.25" customHeight="1" x14ac:dyDescent="0.3">
      <c r="A394" s="102">
        <v>46204</v>
      </c>
      <c r="B394" s="95" t="s">
        <v>75</v>
      </c>
      <c r="C394" s="95" t="s">
        <v>39</v>
      </c>
      <c r="D394" s="94" t="s">
        <v>40</v>
      </c>
      <c r="E394" s="97">
        <v>220</v>
      </c>
      <c r="F394" s="95" t="s">
        <v>295</v>
      </c>
    </row>
    <row r="395" spans="1:6" ht="14.25" customHeight="1" x14ac:dyDescent="0.3">
      <c r="A395" s="101">
        <v>46204</v>
      </c>
      <c r="B395" s="88" t="s">
        <v>76</v>
      </c>
      <c r="C395" s="88" t="s">
        <v>39</v>
      </c>
      <c r="D395" s="87" t="s">
        <v>40</v>
      </c>
      <c r="E395" s="90">
        <v>281</v>
      </c>
      <c r="F395" s="88" t="s">
        <v>295</v>
      </c>
    </row>
    <row r="396" spans="1:6" ht="14.25" customHeight="1" x14ac:dyDescent="0.3">
      <c r="A396" s="102">
        <v>46204</v>
      </c>
      <c r="B396" s="95" t="s">
        <v>77</v>
      </c>
      <c r="C396" s="95" t="s">
        <v>39</v>
      </c>
      <c r="D396" s="94" t="s">
        <v>40</v>
      </c>
      <c r="E396" s="97">
        <v>208</v>
      </c>
      <c r="F396" s="95" t="s">
        <v>295</v>
      </c>
    </row>
    <row r="397" spans="1:6" ht="14.25" customHeight="1" x14ac:dyDescent="0.3">
      <c r="A397" s="101">
        <v>46204</v>
      </c>
      <c r="B397" s="88" t="s">
        <v>78</v>
      </c>
      <c r="C397" s="88" t="s">
        <v>39</v>
      </c>
      <c r="D397" s="87" t="s">
        <v>40</v>
      </c>
      <c r="E397" s="90">
        <v>227</v>
      </c>
      <c r="F397" s="88" t="s">
        <v>295</v>
      </c>
    </row>
    <row r="398" spans="1:6" ht="14.25" customHeight="1" x14ac:dyDescent="0.3">
      <c r="A398" s="102">
        <v>46204</v>
      </c>
      <c r="B398" s="95" t="s">
        <v>79</v>
      </c>
      <c r="C398" s="95" t="s">
        <v>39</v>
      </c>
      <c r="D398" s="94" t="s">
        <v>40</v>
      </c>
      <c r="E398" s="97">
        <v>262</v>
      </c>
      <c r="F398" s="95" t="s">
        <v>295</v>
      </c>
    </row>
    <row r="399" spans="1:6" ht="14.25" customHeight="1" x14ac:dyDescent="0.3">
      <c r="A399" s="101">
        <v>46204</v>
      </c>
      <c r="B399" s="88" t="s">
        <v>80</v>
      </c>
      <c r="C399" s="88" t="s">
        <v>39</v>
      </c>
      <c r="D399" s="87" t="s">
        <v>40</v>
      </c>
      <c r="E399" s="90">
        <v>241</v>
      </c>
      <c r="F399" s="88" t="s">
        <v>295</v>
      </c>
    </row>
    <row r="400" spans="1:6" ht="14.25" customHeight="1" x14ac:dyDescent="0.3">
      <c r="A400" s="102">
        <v>46204</v>
      </c>
      <c r="B400" s="95" t="s">
        <v>81</v>
      </c>
      <c r="C400" s="95" t="s">
        <v>39</v>
      </c>
      <c r="D400" s="94" t="s">
        <v>40</v>
      </c>
      <c r="E400" s="97">
        <v>224</v>
      </c>
      <c r="F400" s="95" t="s">
        <v>295</v>
      </c>
    </row>
    <row r="401" spans="1:6" ht="14.25" customHeight="1" x14ac:dyDescent="0.3">
      <c r="A401" s="101">
        <v>46204</v>
      </c>
      <c r="B401" s="88" t="s">
        <v>82</v>
      </c>
      <c r="C401" s="88" t="s">
        <v>39</v>
      </c>
      <c r="D401" s="87" t="s">
        <v>40</v>
      </c>
      <c r="E401" s="90">
        <v>183</v>
      </c>
      <c r="F401" s="88" t="s">
        <v>295</v>
      </c>
    </row>
    <row r="402" spans="1:6" ht="14.25" customHeight="1" x14ac:dyDescent="0.3">
      <c r="A402" s="102">
        <v>46204</v>
      </c>
      <c r="B402" s="95" t="s">
        <v>83</v>
      </c>
      <c r="C402" s="95" t="s">
        <v>39</v>
      </c>
      <c r="D402" s="94" t="s">
        <v>40</v>
      </c>
      <c r="E402" s="97">
        <v>247</v>
      </c>
      <c r="F402" s="95" t="s">
        <v>295</v>
      </c>
    </row>
    <row r="403" spans="1:6" ht="14.25" customHeight="1" x14ac:dyDescent="0.3">
      <c r="A403" s="101">
        <v>46204</v>
      </c>
      <c r="B403" s="88" t="s">
        <v>84</v>
      </c>
      <c r="C403" s="88" t="s">
        <v>39</v>
      </c>
      <c r="D403" s="87" t="s">
        <v>40</v>
      </c>
      <c r="E403" s="90">
        <v>251</v>
      </c>
      <c r="F403" s="88" t="s">
        <v>295</v>
      </c>
    </row>
    <row r="404" spans="1:6" ht="14.25" customHeight="1" x14ac:dyDescent="0.3">
      <c r="A404" s="102">
        <v>46204</v>
      </c>
      <c r="B404" s="95" t="s">
        <v>85</v>
      </c>
      <c r="C404" s="95" t="s">
        <v>39</v>
      </c>
      <c r="D404" s="94" t="s">
        <v>40</v>
      </c>
      <c r="E404" s="97">
        <v>201</v>
      </c>
      <c r="F404" s="95" t="s">
        <v>295</v>
      </c>
    </row>
    <row r="405" spans="1:6" ht="14.25" customHeight="1" x14ac:dyDescent="0.3">
      <c r="A405" s="101">
        <v>46204</v>
      </c>
      <c r="B405" s="88" t="s">
        <v>86</v>
      </c>
      <c r="C405" s="88" t="s">
        <v>39</v>
      </c>
      <c r="D405" s="87" t="s">
        <v>40</v>
      </c>
      <c r="E405" s="90">
        <v>185</v>
      </c>
      <c r="F405" s="88" t="s">
        <v>295</v>
      </c>
    </row>
    <row r="406" spans="1:6" ht="14.25" customHeight="1" x14ac:dyDescent="0.3">
      <c r="A406" s="102">
        <v>46204</v>
      </c>
      <c r="B406" s="95" t="s">
        <v>87</v>
      </c>
      <c r="C406" s="95" t="s">
        <v>39</v>
      </c>
      <c r="D406" s="94" t="s">
        <v>40</v>
      </c>
      <c r="E406" s="97">
        <v>211</v>
      </c>
      <c r="F406" s="95" t="s">
        <v>295</v>
      </c>
    </row>
    <row r="407" spans="1:6" ht="14.25" customHeight="1" x14ac:dyDescent="0.3">
      <c r="A407" s="101">
        <v>46204</v>
      </c>
      <c r="B407" s="88" t="s">
        <v>88</v>
      </c>
      <c r="C407" s="88" t="s">
        <v>39</v>
      </c>
      <c r="D407" s="87" t="s">
        <v>40</v>
      </c>
      <c r="E407" s="90">
        <v>258</v>
      </c>
      <c r="F407" s="88" t="s">
        <v>295</v>
      </c>
    </row>
    <row r="408" spans="1:6" ht="14.25" customHeight="1" x14ac:dyDescent="0.3">
      <c r="A408" s="102">
        <v>46204</v>
      </c>
      <c r="B408" s="95" t="s">
        <v>89</v>
      </c>
      <c r="C408" s="95" t="s">
        <v>39</v>
      </c>
      <c r="D408" s="94" t="s">
        <v>40</v>
      </c>
      <c r="E408" s="97">
        <v>188</v>
      </c>
      <c r="F408" s="95" t="s">
        <v>295</v>
      </c>
    </row>
    <row r="409" spans="1:6" ht="14.25" customHeight="1" x14ac:dyDescent="0.3">
      <c r="A409" s="101">
        <v>46204</v>
      </c>
      <c r="B409" s="88" t="s">
        <v>90</v>
      </c>
      <c r="C409" s="88" t="s">
        <v>39</v>
      </c>
      <c r="D409" s="87" t="s">
        <v>40</v>
      </c>
      <c r="E409" s="90">
        <v>283</v>
      </c>
      <c r="F409" s="88" t="s">
        <v>295</v>
      </c>
    </row>
    <row r="410" spans="1:6" ht="14.25" customHeight="1" x14ac:dyDescent="0.3">
      <c r="A410" s="102">
        <v>46204</v>
      </c>
      <c r="B410" s="95" t="s">
        <v>91</v>
      </c>
      <c r="C410" s="95" t="s">
        <v>39</v>
      </c>
      <c r="D410" s="94" t="s">
        <v>40</v>
      </c>
      <c r="E410" s="97">
        <v>238</v>
      </c>
      <c r="F410" s="95" t="s">
        <v>295</v>
      </c>
    </row>
    <row r="411" spans="1:6" ht="14.25" customHeight="1" x14ac:dyDescent="0.3">
      <c r="A411" s="101">
        <v>46204</v>
      </c>
      <c r="B411" s="88" t="s">
        <v>92</v>
      </c>
      <c r="C411" s="88" t="s">
        <v>39</v>
      </c>
      <c r="D411" s="87" t="s">
        <v>40</v>
      </c>
      <c r="E411" s="90">
        <v>131</v>
      </c>
      <c r="F411" s="88" t="s">
        <v>295</v>
      </c>
    </row>
    <row r="412" spans="1:6" ht="14.25" customHeight="1" x14ac:dyDescent="0.3">
      <c r="A412" s="102">
        <v>46204</v>
      </c>
      <c r="B412" s="95" t="s">
        <v>93</v>
      </c>
      <c r="C412" s="95" t="s">
        <v>39</v>
      </c>
      <c r="D412" s="94" t="s">
        <v>40</v>
      </c>
      <c r="E412" s="97">
        <v>251</v>
      </c>
      <c r="F412" s="95" t="s">
        <v>295</v>
      </c>
    </row>
    <row r="413" spans="1:6" ht="14.25" customHeight="1" x14ac:dyDescent="0.3">
      <c r="A413" s="101">
        <v>46204</v>
      </c>
      <c r="B413" s="88" t="s">
        <v>94</v>
      </c>
      <c r="C413" s="88" t="s">
        <v>39</v>
      </c>
      <c r="D413" s="87" t="s">
        <v>40</v>
      </c>
      <c r="E413" s="90">
        <v>218</v>
      </c>
      <c r="F413" s="88" t="s">
        <v>295</v>
      </c>
    </row>
    <row r="414" spans="1:6" ht="14.25" customHeight="1" x14ac:dyDescent="0.3">
      <c r="A414" s="102">
        <v>46204</v>
      </c>
      <c r="B414" s="95" t="s">
        <v>95</v>
      </c>
      <c r="C414" s="95" t="s">
        <v>39</v>
      </c>
      <c r="D414" s="94" t="s">
        <v>40</v>
      </c>
      <c r="E414" s="97">
        <v>205</v>
      </c>
      <c r="F414" s="95" t="s">
        <v>295</v>
      </c>
    </row>
    <row r="415" spans="1:6" ht="14.25" customHeight="1" x14ac:dyDescent="0.3">
      <c r="A415" s="101">
        <v>46204</v>
      </c>
      <c r="B415" s="88" t="s">
        <v>96</v>
      </c>
      <c r="C415" s="88" t="s">
        <v>39</v>
      </c>
      <c r="D415" s="87" t="s">
        <v>40</v>
      </c>
      <c r="E415" s="90">
        <v>267</v>
      </c>
      <c r="F415" s="88" t="s">
        <v>295</v>
      </c>
    </row>
    <row r="416" spans="1:6" ht="14.25" customHeight="1" x14ac:dyDescent="0.3">
      <c r="A416" s="102">
        <v>46204</v>
      </c>
      <c r="B416" s="95" t="s">
        <v>97</v>
      </c>
      <c r="C416" s="95" t="s">
        <v>39</v>
      </c>
      <c r="D416" s="94" t="s">
        <v>40</v>
      </c>
      <c r="E416" s="97">
        <v>241</v>
      </c>
      <c r="F416" s="95" t="s">
        <v>295</v>
      </c>
    </row>
    <row r="417" spans="1:6" ht="14.25" customHeight="1" x14ac:dyDescent="0.3">
      <c r="A417" s="101">
        <v>46204</v>
      </c>
      <c r="B417" s="88" t="s">
        <v>98</v>
      </c>
      <c r="C417" s="88" t="s">
        <v>39</v>
      </c>
      <c r="D417" s="87" t="s">
        <v>40</v>
      </c>
      <c r="E417" s="90">
        <v>180</v>
      </c>
      <c r="F417" s="88" t="s">
        <v>295</v>
      </c>
    </row>
    <row r="418" spans="1:6" ht="14.25" customHeight="1" x14ac:dyDescent="0.3">
      <c r="A418" s="102">
        <v>46204</v>
      </c>
      <c r="B418" s="95" t="s">
        <v>99</v>
      </c>
      <c r="C418" s="95" t="s">
        <v>39</v>
      </c>
      <c r="D418" s="94" t="s">
        <v>40</v>
      </c>
      <c r="E418" s="97">
        <v>246</v>
      </c>
      <c r="F418" s="95" t="s">
        <v>295</v>
      </c>
    </row>
    <row r="419" spans="1:6" ht="14.25" customHeight="1" x14ac:dyDescent="0.3">
      <c r="A419" s="101">
        <v>46204</v>
      </c>
      <c r="B419" s="88" t="s">
        <v>101</v>
      </c>
      <c r="C419" s="88" t="s">
        <v>39</v>
      </c>
      <c r="D419" s="87" t="s">
        <v>40</v>
      </c>
      <c r="E419" s="90">
        <v>262</v>
      </c>
      <c r="F419" s="88" t="s">
        <v>295</v>
      </c>
    </row>
    <row r="420" spans="1:6" ht="14.25" customHeight="1" x14ac:dyDescent="0.3">
      <c r="A420" s="102">
        <v>46204</v>
      </c>
      <c r="B420" s="95" t="s">
        <v>102</v>
      </c>
      <c r="C420" s="95" t="s">
        <v>39</v>
      </c>
      <c r="D420" s="94" t="s">
        <v>40</v>
      </c>
      <c r="E420" s="97">
        <v>237</v>
      </c>
      <c r="F420" s="95" t="s">
        <v>295</v>
      </c>
    </row>
    <row r="421" spans="1:6" ht="14.25" customHeight="1" x14ac:dyDescent="0.3">
      <c r="A421" s="101">
        <v>46204</v>
      </c>
      <c r="B421" s="88" t="s">
        <v>103</v>
      </c>
      <c r="C421" s="88" t="s">
        <v>39</v>
      </c>
      <c r="D421" s="87" t="s">
        <v>40</v>
      </c>
      <c r="E421" s="90">
        <v>225</v>
      </c>
      <c r="F421" s="88" t="s">
        <v>295</v>
      </c>
    </row>
    <row r="422" spans="1:6" ht="14.25" customHeight="1" x14ac:dyDescent="0.3">
      <c r="A422" s="102">
        <v>46204</v>
      </c>
      <c r="B422" s="95" t="s">
        <v>104</v>
      </c>
      <c r="C422" s="95" t="s">
        <v>39</v>
      </c>
      <c r="D422" s="94" t="s">
        <v>40</v>
      </c>
      <c r="E422" s="97">
        <v>201</v>
      </c>
      <c r="F422" s="95" t="s">
        <v>295</v>
      </c>
    </row>
    <row r="423" spans="1:6" ht="14.25" customHeight="1" x14ac:dyDescent="0.3">
      <c r="A423" s="101">
        <v>46204</v>
      </c>
      <c r="B423" s="88" t="s">
        <v>105</v>
      </c>
      <c r="C423" s="88" t="s">
        <v>39</v>
      </c>
      <c r="D423" s="87" t="s">
        <v>40</v>
      </c>
      <c r="E423" s="90">
        <v>225</v>
      </c>
      <c r="F423" s="88" t="s">
        <v>295</v>
      </c>
    </row>
    <row r="424" spans="1:6" ht="14.25" customHeight="1" x14ac:dyDescent="0.3">
      <c r="A424" s="102">
        <v>46204</v>
      </c>
      <c r="B424" s="95" t="s">
        <v>106</v>
      </c>
      <c r="C424" s="95" t="s">
        <v>39</v>
      </c>
      <c r="D424" s="94" t="s">
        <v>40</v>
      </c>
      <c r="E424" s="97">
        <v>247</v>
      </c>
      <c r="F424" s="95" t="s">
        <v>295</v>
      </c>
    </row>
    <row r="425" spans="1:6" ht="14.25" customHeight="1" x14ac:dyDescent="0.3">
      <c r="A425" s="101">
        <v>46204</v>
      </c>
      <c r="B425" s="88" t="s">
        <v>107</v>
      </c>
      <c r="C425" s="88" t="s">
        <v>39</v>
      </c>
      <c r="D425" s="87" t="s">
        <v>40</v>
      </c>
      <c r="E425" s="90">
        <v>252</v>
      </c>
      <c r="F425" s="88" t="s">
        <v>295</v>
      </c>
    </row>
    <row r="426" spans="1:6" ht="14.25" customHeight="1" x14ac:dyDescent="0.3">
      <c r="A426" s="102">
        <v>46204</v>
      </c>
      <c r="B426" s="95" t="s">
        <v>108</v>
      </c>
      <c r="C426" s="95" t="s">
        <v>39</v>
      </c>
      <c r="D426" s="94" t="s">
        <v>40</v>
      </c>
      <c r="E426" s="97">
        <v>210</v>
      </c>
      <c r="F426" s="95" t="s">
        <v>295</v>
      </c>
    </row>
    <row r="427" spans="1:6" ht="14.25" customHeight="1" x14ac:dyDescent="0.3">
      <c r="A427" s="101">
        <v>46204</v>
      </c>
      <c r="B427" s="88" t="s">
        <v>109</v>
      </c>
      <c r="C427" s="88" t="s">
        <v>39</v>
      </c>
      <c r="D427" s="87" t="s">
        <v>40</v>
      </c>
      <c r="E427" s="90">
        <v>187</v>
      </c>
      <c r="F427" s="88" t="s">
        <v>295</v>
      </c>
    </row>
    <row r="428" spans="1:6" ht="14.25" customHeight="1" x14ac:dyDescent="0.3">
      <c r="A428" s="102">
        <v>46204</v>
      </c>
      <c r="B428" s="95" t="s">
        <v>110</v>
      </c>
      <c r="C428" s="95" t="s">
        <v>39</v>
      </c>
      <c r="D428" s="94" t="s">
        <v>40</v>
      </c>
      <c r="E428" s="97">
        <v>228</v>
      </c>
      <c r="F428" s="95" t="s">
        <v>295</v>
      </c>
    </row>
    <row r="429" spans="1:6" ht="14.25" customHeight="1" x14ac:dyDescent="0.3">
      <c r="A429" s="101">
        <v>46204</v>
      </c>
      <c r="B429" s="88" t="s">
        <v>111</v>
      </c>
      <c r="C429" s="88" t="s">
        <v>39</v>
      </c>
      <c r="D429" s="87" t="s">
        <v>40</v>
      </c>
      <c r="E429" s="90">
        <v>240</v>
      </c>
      <c r="F429" s="88" t="s">
        <v>295</v>
      </c>
    </row>
    <row r="430" spans="1:6" ht="14.25" customHeight="1" x14ac:dyDescent="0.3">
      <c r="A430" s="102">
        <v>46204</v>
      </c>
      <c r="B430" s="95" t="s">
        <v>112</v>
      </c>
      <c r="C430" s="95" t="s">
        <v>39</v>
      </c>
      <c r="D430" s="94" t="s">
        <v>40</v>
      </c>
      <c r="E430" s="97">
        <v>201</v>
      </c>
      <c r="F430" s="95" t="s">
        <v>295</v>
      </c>
    </row>
    <row r="431" spans="1:6" ht="14.25" customHeight="1" x14ac:dyDescent="0.3">
      <c r="A431" s="101">
        <v>46204</v>
      </c>
      <c r="B431" s="88" t="s">
        <v>113</v>
      </c>
      <c r="C431" s="88" t="s">
        <v>39</v>
      </c>
      <c r="D431" s="87" t="s">
        <v>40</v>
      </c>
      <c r="E431" s="90">
        <v>198</v>
      </c>
      <c r="F431" s="88" t="s">
        <v>295</v>
      </c>
    </row>
    <row r="432" spans="1:6" ht="14.25" customHeight="1" x14ac:dyDescent="0.3">
      <c r="A432" s="102">
        <v>46204</v>
      </c>
      <c r="B432" s="95" t="s">
        <v>114</v>
      </c>
      <c r="C432" s="95" t="s">
        <v>39</v>
      </c>
      <c r="D432" s="94" t="s">
        <v>40</v>
      </c>
      <c r="E432" s="97">
        <v>280</v>
      </c>
      <c r="F432" s="95" t="s">
        <v>295</v>
      </c>
    </row>
    <row r="433" spans="1:6" ht="14.25" customHeight="1" x14ac:dyDescent="0.3">
      <c r="A433" s="101">
        <v>46204</v>
      </c>
      <c r="B433" s="88" t="s">
        <v>115</v>
      </c>
      <c r="C433" s="88" t="s">
        <v>39</v>
      </c>
      <c r="D433" s="87" t="s">
        <v>40</v>
      </c>
      <c r="E433" s="90">
        <v>210</v>
      </c>
      <c r="F433" s="88" t="s">
        <v>295</v>
      </c>
    </row>
    <row r="434" spans="1:6" ht="14.25" customHeight="1" x14ac:dyDescent="0.3">
      <c r="A434" s="102">
        <v>46204</v>
      </c>
      <c r="B434" s="95" t="s">
        <v>116</v>
      </c>
      <c r="C434" s="95" t="s">
        <v>39</v>
      </c>
      <c r="D434" s="94" t="s">
        <v>40</v>
      </c>
      <c r="E434" s="97">
        <v>194</v>
      </c>
      <c r="F434" s="95" t="s">
        <v>295</v>
      </c>
    </row>
    <row r="435" spans="1:6" ht="14.25" customHeight="1" x14ac:dyDescent="0.3">
      <c r="A435" s="101">
        <v>46204</v>
      </c>
      <c r="B435" s="88" t="s">
        <v>117</v>
      </c>
      <c r="C435" s="88" t="s">
        <v>39</v>
      </c>
      <c r="D435" s="87" t="s">
        <v>40</v>
      </c>
      <c r="E435" s="90">
        <v>240</v>
      </c>
      <c r="F435" s="88" t="s">
        <v>295</v>
      </c>
    </row>
    <row r="436" spans="1:6" ht="14.25" customHeight="1" x14ac:dyDescent="0.3">
      <c r="A436" s="102">
        <v>46204</v>
      </c>
      <c r="B436" s="95" t="s">
        <v>118</v>
      </c>
      <c r="C436" s="95" t="s">
        <v>39</v>
      </c>
      <c r="D436" s="94" t="s">
        <v>40</v>
      </c>
      <c r="E436" s="97">
        <v>202</v>
      </c>
      <c r="F436" s="95" t="s">
        <v>295</v>
      </c>
    </row>
    <row r="437" spans="1:6" ht="14.25" customHeight="1" x14ac:dyDescent="0.3">
      <c r="A437" s="101">
        <v>46204</v>
      </c>
      <c r="B437" s="88" t="s">
        <v>119</v>
      </c>
      <c r="C437" s="88" t="s">
        <v>39</v>
      </c>
      <c r="D437" s="87" t="s">
        <v>40</v>
      </c>
      <c r="E437" s="90">
        <v>227</v>
      </c>
      <c r="F437" s="88" t="s">
        <v>295</v>
      </c>
    </row>
    <row r="438" spans="1:6" ht="14.25" customHeight="1" x14ac:dyDescent="0.3">
      <c r="A438" s="102">
        <v>46204</v>
      </c>
      <c r="B438" s="95" t="s">
        <v>120</v>
      </c>
      <c r="C438" s="95" t="s">
        <v>39</v>
      </c>
      <c r="D438" s="94" t="s">
        <v>40</v>
      </c>
      <c r="E438" s="97">
        <v>193</v>
      </c>
      <c r="F438" s="95" t="s">
        <v>295</v>
      </c>
    </row>
    <row r="439" spans="1:6" ht="14.25" customHeight="1" x14ac:dyDescent="0.3">
      <c r="A439" s="101">
        <v>46204</v>
      </c>
      <c r="B439" s="88" t="s">
        <v>121</v>
      </c>
      <c r="C439" s="88" t="s">
        <v>39</v>
      </c>
      <c r="D439" s="87" t="s">
        <v>40</v>
      </c>
      <c r="E439" s="90">
        <v>251</v>
      </c>
      <c r="F439" s="88" t="s">
        <v>295</v>
      </c>
    </row>
    <row r="440" spans="1:6" ht="14.25" customHeight="1" x14ac:dyDescent="0.3">
      <c r="A440" s="102">
        <v>46204</v>
      </c>
      <c r="B440" s="95" t="s">
        <v>122</v>
      </c>
      <c r="C440" s="95" t="s">
        <v>39</v>
      </c>
      <c r="D440" s="94" t="s">
        <v>40</v>
      </c>
      <c r="E440" s="97">
        <v>176</v>
      </c>
      <c r="F440" s="95" t="s">
        <v>295</v>
      </c>
    </row>
    <row r="441" spans="1:6" ht="14.25" customHeight="1" x14ac:dyDescent="0.3">
      <c r="A441" s="101">
        <v>46204</v>
      </c>
      <c r="B441" s="88" t="s">
        <v>123</v>
      </c>
      <c r="C441" s="88" t="s">
        <v>39</v>
      </c>
      <c r="D441" s="87" t="s">
        <v>40</v>
      </c>
      <c r="E441" s="90">
        <v>177</v>
      </c>
      <c r="F441" s="88" t="s">
        <v>295</v>
      </c>
    </row>
    <row r="442" spans="1:6" ht="14.25" customHeight="1" x14ac:dyDescent="0.3">
      <c r="A442" s="102">
        <v>46204</v>
      </c>
      <c r="B442" s="95" t="s">
        <v>124</v>
      </c>
      <c r="C442" s="95" t="s">
        <v>39</v>
      </c>
      <c r="D442" s="94" t="s">
        <v>40</v>
      </c>
      <c r="E442" s="97">
        <v>210</v>
      </c>
      <c r="F442" s="95" t="s">
        <v>295</v>
      </c>
    </row>
    <row r="443" spans="1:6" ht="14.25" customHeight="1" x14ac:dyDescent="0.3">
      <c r="A443" s="101">
        <v>46204</v>
      </c>
      <c r="B443" s="88" t="s">
        <v>125</v>
      </c>
      <c r="C443" s="88" t="s">
        <v>39</v>
      </c>
      <c r="D443" s="87" t="s">
        <v>40</v>
      </c>
      <c r="E443" s="90">
        <v>222</v>
      </c>
      <c r="F443" s="88" t="s">
        <v>295</v>
      </c>
    </row>
    <row r="444" spans="1:6" ht="14.25" customHeight="1" x14ac:dyDescent="0.3">
      <c r="A444" s="102">
        <v>46204</v>
      </c>
      <c r="B444" s="95" t="s">
        <v>126</v>
      </c>
      <c r="C444" s="95" t="s">
        <v>39</v>
      </c>
      <c r="D444" s="94" t="s">
        <v>40</v>
      </c>
      <c r="E444" s="97">
        <v>211</v>
      </c>
      <c r="F444" s="95" t="s">
        <v>295</v>
      </c>
    </row>
    <row r="445" spans="1:6" ht="14.25" customHeight="1" x14ac:dyDescent="0.3">
      <c r="A445" s="101">
        <v>46204</v>
      </c>
      <c r="B445" s="88" t="s">
        <v>127</v>
      </c>
      <c r="C445" s="88" t="s">
        <v>39</v>
      </c>
      <c r="D445" s="87" t="s">
        <v>40</v>
      </c>
      <c r="E445" s="90">
        <v>238</v>
      </c>
      <c r="F445" s="88" t="s">
        <v>295</v>
      </c>
    </row>
    <row r="446" spans="1:6" ht="14.25" customHeight="1" x14ac:dyDescent="0.3">
      <c r="A446" s="102">
        <v>46204</v>
      </c>
      <c r="B446" s="95" t="s">
        <v>128</v>
      </c>
      <c r="C446" s="95" t="s">
        <v>39</v>
      </c>
      <c r="D446" s="94" t="s">
        <v>40</v>
      </c>
      <c r="E446" s="97">
        <v>235</v>
      </c>
      <c r="F446" s="95" t="s">
        <v>295</v>
      </c>
    </row>
    <row r="447" spans="1:6" ht="14.25" customHeight="1" x14ac:dyDescent="0.3">
      <c r="A447" s="101">
        <v>46204</v>
      </c>
      <c r="B447" s="88" t="s">
        <v>129</v>
      </c>
      <c r="C447" s="88" t="s">
        <v>39</v>
      </c>
      <c r="D447" s="87" t="s">
        <v>40</v>
      </c>
      <c r="E447" s="90">
        <v>229</v>
      </c>
      <c r="F447" s="88" t="s">
        <v>295</v>
      </c>
    </row>
    <row r="448" spans="1:6" ht="14.25" customHeight="1" x14ac:dyDescent="0.3">
      <c r="A448" s="102">
        <v>46204</v>
      </c>
      <c r="B448" s="95" t="s">
        <v>130</v>
      </c>
      <c r="C448" s="95" t="s">
        <v>39</v>
      </c>
      <c r="D448" s="94" t="s">
        <v>40</v>
      </c>
      <c r="E448" s="97">
        <v>252</v>
      </c>
      <c r="F448" s="95" t="s">
        <v>295</v>
      </c>
    </row>
    <row r="449" spans="1:6" ht="14.25" customHeight="1" x14ac:dyDescent="0.3">
      <c r="A449" s="101">
        <v>46204</v>
      </c>
      <c r="B449" s="88" t="s">
        <v>131</v>
      </c>
      <c r="C449" s="88" t="s">
        <v>39</v>
      </c>
      <c r="D449" s="87" t="s">
        <v>40</v>
      </c>
      <c r="E449" s="90">
        <v>150</v>
      </c>
      <c r="F449" s="88" t="s">
        <v>295</v>
      </c>
    </row>
    <row r="450" spans="1:6" ht="14.25" customHeight="1" x14ac:dyDescent="0.3">
      <c r="A450" s="102">
        <v>46204</v>
      </c>
      <c r="B450" s="95" t="s">
        <v>132</v>
      </c>
      <c r="C450" s="95" t="s">
        <v>39</v>
      </c>
      <c r="D450" s="94" t="s">
        <v>40</v>
      </c>
      <c r="E450" s="97">
        <v>274</v>
      </c>
      <c r="F450" s="95" t="s">
        <v>295</v>
      </c>
    </row>
    <row r="451" spans="1:6" ht="14.25" customHeight="1" x14ac:dyDescent="0.3">
      <c r="A451" s="101">
        <v>46204</v>
      </c>
      <c r="B451" s="88" t="s">
        <v>133</v>
      </c>
      <c r="C451" s="88" t="s">
        <v>39</v>
      </c>
      <c r="D451" s="87" t="s">
        <v>40</v>
      </c>
      <c r="E451" s="90">
        <v>216</v>
      </c>
      <c r="F451" s="88" t="s">
        <v>295</v>
      </c>
    </row>
    <row r="452" spans="1:6" ht="14.25" customHeight="1" x14ac:dyDescent="0.3">
      <c r="A452" s="102">
        <v>46204</v>
      </c>
      <c r="B452" s="95" t="s">
        <v>134</v>
      </c>
      <c r="C452" s="95" t="s">
        <v>39</v>
      </c>
      <c r="D452" s="94" t="s">
        <v>40</v>
      </c>
      <c r="E452" s="97">
        <v>208</v>
      </c>
      <c r="F452" s="95" t="s">
        <v>295</v>
      </c>
    </row>
    <row r="453" spans="1:6" ht="14.25" customHeight="1" x14ac:dyDescent="0.3">
      <c r="A453" s="101">
        <v>46204</v>
      </c>
      <c r="B453" s="88" t="s">
        <v>135</v>
      </c>
      <c r="C453" s="88" t="s">
        <v>39</v>
      </c>
      <c r="D453" s="87" t="s">
        <v>40</v>
      </c>
      <c r="E453" s="90">
        <v>177</v>
      </c>
      <c r="F453" s="88" t="s">
        <v>295</v>
      </c>
    </row>
    <row r="454" spans="1:6" ht="14.25" customHeight="1" x14ac:dyDescent="0.3">
      <c r="A454" s="102">
        <v>46204</v>
      </c>
      <c r="B454" s="95" t="s">
        <v>136</v>
      </c>
      <c r="C454" s="95" t="s">
        <v>39</v>
      </c>
      <c r="D454" s="94" t="s">
        <v>40</v>
      </c>
      <c r="E454" s="97">
        <v>217</v>
      </c>
      <c r="F454" s="95" t="s">
        <v>295</v>
      </c>
    </row>
    <row r="455" spans="1:6" ht="14.25" customHeight="1" x14ac:dyDescent="0.3">
      <c r="A455" s="101">
        <v>46204</v>
      </c>
      <c r="B455" s="88" t="s">
        <v>137</v>
      </c>
      <c r="C455" s="88" t="s">
        <v>39</v>
      </c>
      <c r="D455" s="87" t="s">
        <v>40</v>
      </c>
      <c r="E455" s="90">
        <v>181</v>
      </c>
      <c r="F455" s="88" t="s">
        <v>295</v>
      </c>
    </row>
    <row r="456" spans="1:6" ht="14.25" customHeight="1" x14ac:dyDescent="0.3">
      <c r="A456" s="102">
        <v>46204</v>
      </c>
      <c r="B456" s="95" t="s">
        <v>296</v>
      </c>
      <c r="C456" s="95" t="s">
        <v>39</v>
      </c>
      <c r="D456" s="94" t="s">
        <v>40</v>
      </c>
      <c r="E456" s="97">
        <v>215</v>
      </c>
      <c r="F456" s="95" t="s">
        <v>295</v>
      </c>
    </row>
    <row r="457" spans="1:6" ht="14.25" customHeight="1" x14ac:dyDescent="0.3">
      <c r="A457" s="101">
        <v>46204</v>
      </c>
      <c r="B457" s="88" t="s">
        <v>138</v>
      </c>
      <c r="C457" s="88" t="s">
        <v>39</v>
      </c>
      <c r="D457" s="87" t="s">
        <v>40</v>
      </c>
      <c r="E457" s="90">
        <v>199</v>
      </c>
      <c r="F457" s="88" t="s">
        <v>295</v>
      </c>
    </row>
    <row r="458" spans="1:6" ht="14.25" customHeight="1" x14ac:dyDescent="0.3">
      <c r="A458" s="102">
        <v>46204</v>
      </c>
      <c r="B458" s="95" t="s">
        <v>139</v>
      </c>
      <c r="C458" s="95" t="s">
        <v>39</v>
      </c>
      <c r="D458" s="94" t="s">
        <v>40</v>
      </c>
      <c r="E458" s="97">
        <v>189</v>
      </c>
      <c r="F458" s="95" t="s">
        <v>295</v>
      </c>
    </row>
    <row r="459" spans="1:6" ht="14.25" customHeight="1" x14ac:dyDescent="0.3">
      <c r="A459" s="101">
        <v>46204</v>
      </c>
      <c r="B459" s="88" t="s">
        <v>140</v>
      </c>
      <c r="C459" s="88" t="s">
        <v>39</v>
      </c>
      <c r="D459" s="87" t="s">
        <v>40</v>
      </c>
      <c r="E459" s="90">
        <v>267</v>
      </c>
      <c r="F459" s="88" t="s">
        <v>295</v>
      </c>
    </row>
    <row r="460" spans="1:6" ht="14.25" customHeight="1" x14ac:dyDescent="0.3">
      <c r="A460" s="102">
        <v>46204</v>
      </c>
      <c r="B460" s="95" t="s">
        <v>141</v>
      </c>
      <c r="C460" s="95" t="s">
        <v>39</v>
      </c>
      <c r="D460" s="94" t="s">
        <v>40</v>
      </c>
      <c r="E460" s="97">
        <v>196</v>
      </c>
      <c r="F460" s="95" t="s">
        <v>295</v>
      </c>
    </row>
    <row r="461" spans="1:6" ht="14.25" customHeight="1" x14ac:dyDescent="0.3">
      <c r="A461" s="101">
        <v>46204</v>
      </c>
      <c r="B461" s="88" t="s">
        <v>142</v>
      </c>
      <c r="C461" s="88" t="s">
        <v>39</v>
      </c>
      <c r="D461" s="87" t="s">
        <v>40</v>
      </c>
      <c r="E461" s="90">
        <v>227</v>
      </c>
      <c r="F461" s="88" t="s">
        <v>295</v>
      </c>
    </row>
    <row r="462" spans="1:6" ht="14.25" customHeight="1" x14ac:dyDescent="0.3">
      <c r="A462" s="102">
        <v>46204</v>
      </c>
      <c r="B462" s="95" t="s">
        <v>143</v>
      </c>
      <c r="C462" s="95" t="s">
        <v>39</v>
      </c>
      <c r="D462" s="94" t="s">
        <v>40</v>
      </c>
      <c r="E462" s="97">
        <v>230</v>
      </c>
      <c r="F462" s="95" t="s">
        <v>295</v>
      </c>
    </row>
    <row r="463" spans="1:6" ht="14.25" customHeight="1" x14ac:dyDescent="0.3">
      <c r="A463" s="101">
        <v>46204</v>
      </c>
      <c r="B463" s="88" t="s">
        <v>144</v>
      </c>
      <c r="C463" s="88" t="s">
        <v>39</v>
      </c>
      <c r="D463" s="87" t="s">
        <v>40</v>
      </c>
      <c r="E463" s="90">
        <v>213</v>
      </c>
      <c r="F463" s="88" t="s">
        <v>295</v>
      </c>
    </row>
    <row r="464" spans="1:6" ht="14.25" customHeight="1" x14ac:dyDescent="0.3">
      <c r="A464" s="102">
        <v>46204</v>
      </c>
      <c r="B464" s="95" t="s">
        <v>145</v>
      </c>
      <c r="C464" s="95" t="s">
        <v>39</v>
      </c>
      <c r="D464" s="94" t="s">
        <v>40</v>
      </c>
      <c r="E464" s="97">
        <v>190</v>
      </c>
      <c r="F464" s="95" t="s">
        <v>295</v>
      </c>
    </row>
    <row r="465" spans="1:6" ht="14.25" customHeight="1" x14ac:dyDescent="0.3">
      <c r="A465" s="101">
        <v>46204</v>
      </c>
      <c r="B465" s="88" t="s">
        <v>146</v>
      </c>
      <c r="C465" s="88" t="s">
        <v>39</v>
      </c>
      <c r="D465" s="87" t="s">
        <v>40</v>
      </c>
      <c r="E465" s="90">
        <v>190</v>
      </c>
      <c r="F465" s="88" t="s">
        <v>295</v>
      </c>
    </row>
    <row r="466" spans="1:6" ht="14.25" customHeight="1" x14ac:dyDescent="0.3">
      <c r="A466" s="102">
        <v>46204</v>
      </c>
      <c r="B466" s="95" t="s">
        <v>147</v>
      </c>
      <c r="C466" s="95" t="s">
        <v>39</v>
      </c>
      <c r="D466" s="94" t="s">
        <v>40</v>
      </c>
      <c r="E466" s="97">
        <v>148</v>
      </c>
      <c r="F466" s="95" t="s">
        <v>295</v>
      </c>
    </row>
    <row r="467" spans="1:6" ht="14.25" customHeight="1" x14ac:dyDescent="0.3">
      <c r="A467" s="101">
        <v>46204</v>
      </c>
      <c r="B467" s="88" t="s">
        <v>148</v>
      </c>
      <c r="C467" s="88" t="s">
        <v>39</v>
      </c>
      <c r="D467" s="87" t="s">
        <v>40</v>
      </c>
      <c r="E467" s="90">
        <v>189</v>
      </c>
      <c r="F467" s="88" t="s">
        <v>295</v>
      </c>
    </row>
    <row r="468" spans="1:6" ht="14.25" customHeight="1" x14ac:dyDescent="0.3">
      <c r="A468" s="102">
        <v>46204</v>
      </c>
      <c r="B468" s="95" t="s">
        <v>149</v>
      </c>
      <c r="C468" s="95" t="s">
        <v>39</v>
      </c>
      <c r="D468" s="94" t="s">
        <v>40</v>
      </c>
      <c r="E468" s="97">
        <v>154</v>
      </c>
      <c r="F468" s="95" t="s">
        <v>295</v>
      </c>
    </row>
    <row r="469" spans="1:6" ht="14.25" customHeight="1" x14ac:dyDescent="0.3">
      <c r="A469" s="101">
        <v>46204</v>
      </c>
      <c r="B469" s="88" t="s">
        <v>150</v>
      </c>
      <c r="C469" s="88" t="s">
        <v>39</v>
      </c>
      <c r="D469" s="87" t="s">
        <v>40</v>
      </c>
      <c r="E469" s="90">
        <v>194</v>
      </c>
      <c r="F469" s="88" t="s">
        <v>295</v>
      </c>
    </row>
    <row r="470" spans="1:6" ht="14.25" customHeight="1" x14ac:dyDescent="0.3">
      <c r="A470" s="102">
        <v>46204</v>
      </c>
      <c r="B470" s="95" t="s">
        <v>151</v>
      </c>
      <c r="C470" s="95" t="s">
        <v>39</v>
      </c>
      <c r="D470" s="94" t="s">
        <v>40</v>
      </c>
      <c r="E470" s="97">
        <v>211</v>
      </c>
      <c r="F470" s="95" t="s">
        <v>295</v>
      </c>
    </row>
    <row r="471" spans="1:6" ht="14.25" customHeight="1" x14ac:dyDescent="0.3">
      <c r="A471" s="101">
        <v>46204</v>
      </c>
      <c r="B471" s="88" t="s">
        <v>152</v>
      </c>
      <c r="C471" s="88" t="s">
        <v>39</v>
      </c>
      <c r="D471" s="87" t="s">
        <v>40</v>
      </c>
      <c r="E471" s="90">
        <v>200</v>
      </c>
      <c r="F471" s="88" t="s">
        <v>295</v>
      </c>
    </row>
    <row r="472" spans="1:6" ht="14.25" customHeight="1" x14ac:dyDescent="0.3">
      <c r="A472" s="102">
        <v>46204</v>
      </c>
      <c r="B472" s="95" t="s">
        <v>153</v>
      </c>
      <c r="C472" s="95" t="s">
        <v>39</v>
      </c>
      <c r="D472" s="94" t="s">
        <v>40</v>
      </c>
      <c r="E472" s="97">
        <v>168</v>
      </c>
      <c r="F472" s="95" t="s">
        <v>295</v>
      </c>
    </row>
    <row r="473" spans="1:6" ht="14.25" customHeight="1" x14ac:dyDescent="0.3">
      <c r="A473" s="101">
        <v>46204</v>
      </c>
      <c r="B473" s="88" t="s">
        <v>154</v>
      </c>
      <c r="C473" s="88" t="s">
        <v>39</v>
      </c>
      <c r="D473" s="87" t="s">
        <v>40</v>
      </c>
      <c r="E473" s="90">
        <v>241</v>
      </c>
      <c r="F473" s="88" t="s">
        <v>295</v>
      </c>
    </row>
    <row r="474" spans="1:6" ht="14.25" customHeight="1" x14ac:dyDescent="0.3">
      <c r="A474" s="102">
        <v>46204</v>
      </c>
      <c r="B474" s="95" t="s">
        <v>155</v>
      </c>
      <c r="C474" s="95" t="s">
        <v>39</v>
      </c>
      <c r="D474" s="94" t="s">
        <v>40</v>
      </c>
      <c r="E474" s="97">
        <v>195</v>
      </c>
      <c r="F474" s="95" t="s">
        <v>295</v>
      </c>
    </row>
    <row r="475" spans="1:6" ht="14.25" customHeight="1" x14ac:dyDescent="0.3">
      <c r="A475" s="101">
        <v>46204</v>
      </c>
      <c r="B475" s="88" t="s">
        <v>156</v>
      </c>
      <c r="C475" s="88" t="s">
        <v>39</v>
      </c>
      <c r="D475" s="87" t="s">
        <v>40</v>
      </c>
      <c r="E475" s="90">
        <v>302</v>
      </c>
      <c r="F475" s="88" t="s">
        <v>295</v>
      </c>
    </row>
    <row r="476" spans="1:6" ht="14.25" customHeight="1" x14ac:dyDescent="0.3">
      <c r="A476" s="102">
        <v>46204</v>
      </c>
      <c r="B476" s="95" t="s">
        <v>157</v>
      </c>
      <c r="C476" s="95" t="s">
        <v>39</v>
      </c>
      <c r="D476" s="94" t="s">
        <v>40</v>
      </c>
      <c r="E476" s="97">
        <v>232</v>
      </c>
      <c r="F476" s="95" t="s">
        <v>295</v>
      </c>
    </row>
    <row r="477" spans="1:6" ht="14.25" customHeight="1" x14ac:dyDescent="0.3">
      <c r="A477" s="101">
        <v>46204</v>
      </c>
      <c r="B477" s="88" t="s">
        <v>158</v>
      </c>
      <c r="C477" s="88" t="s">
        <v>39</v>
      </c>
      <c r="D477" s="87" t="s">
        <v>40</v>
      </c>
      <c r="E477" s="90">
        <v>235</v>
      </c>
      <c r="F477" s="88" t="s">
        <v>295</v>
      </c>
    </row>
    <row r="478" spans="1:6" ht="14.25" customHeight="1" x14ac:dyDescent="0.3">
      <c r="A478" s="102">
        <v>46204</v>
      </c>
      <c r="B478" s="95" t="s">
        <v>159</v>
      </c>
      <c r="C478" s="95" t="s">
        <v>39</v>
      </c>
      <c r="D478" s="94" t="s">
        <v>40</v>
      </c>
      <c r="E478" s="97">
        <v>198</v>
      </c>
      <c r="F478" s="95" t="s">
        <v>295</v>
      </c>
    </row>
    <row r="479" spans="1:6" ht="14.25" customHeight="1" x14ac:dyDescent="0.3">
      <c r="A479" s="101">
        <v>46204</v>
      </c>
      <c r="B479" s="88" t="s">
        <v>160</v>
      </c>
      <c r="C479" s="88" t="s">
        <v>39</v>
      </c>
      <c r="D479" s="87" t="s">
        <v>40</v>
      </c>
      <c r="E479" s="90">
        <v>283</v>
      </c>
      <c r="F479" s="88" t="s">
        <v>295</v>
      </c>
    </row>
    <row r="480" spans="1:6" ht="14.25" customHeight="1" x14ac:dyDescent="0.3">
      <c r="A480" s="102">
        <v>46204</v>
      </c>
      <c r="B480" s="95" t="s">
        <v>161</v>
      </c>
      <c r="C480" s="95" t="s">
        <v>39</v>
      </c>
      <c r="D480" s="94" t="s">
        <v>40</v>
      </c>
      <c r="E480" s="97">
        <v>248</v>
      </c>
      <c r="F480" s="95" t="s">
        <v>295</v>
      </c>
    </row>
    <row r="481" spans="1:6" ht="14.25" customHeight="1" x14ac:dyDescent="0.3">
      <c r="A481" s="101">
        <v>46204</v>
      </c>
      <c r="B481" s="88" t="s">
        <v>162</v>
      </c>
      <c r="C481" s="88" t="s">
        <v>39</v>
      </c>
      <c r="D481" s="87" t="s">
        <v>40</v>
      </c>
      <c r="E481" s="90">
        <v>216</v>
      </c>
      <c r="F481" s="88" t="s">
        <v>295</v>
      </c>
    </row>
    <row r="482" spans="1:6" ht="14.25" customHeight="1" x14ac:dyDescent="0.3">
      <c r="A482" s="102">
        <v>46204</v>
      </c>
      <c r="B482" s="95" t="s">
        <v>163</v>
      </c>
      <c r="C482" s="95" t="s">
        <v>39</v>
      </c>
      <c r="D482" s="94" t="s">
        <v>40</v>
      </c>
      <c r="E482" s="97">
        <v>208</v>
      </c>
      <c r="F482" s="95" t="s">
        <v>295</v>
      </c>
    </row>
    <row r="483" spans="1:6" ht="14.25" customHeight="1" x14ac:dyDescent="0.3">
      <c r="A483" s="101">
        <v>46204</v>
      </c>
      <c r="B483" s="88" t="s">
        <v>164</v>
      </c>
      <c r="C483" s="88" t="s">
        <v>39</v>
      </c>
      <c r="D483" s="87" t="s">
        <v>40</v>
      </c>
      <c r="E483" s="90">
        <v>217</v>
      </c>
      <c r="F483" s="88" t="s">
        <v>295</v>
      </c>
    </row>
    <row r="484" spans="1:6" ht="14.25" customHeight="1" x14ac:dyDescent="0.3">
      <c r="A484" s="102">
        <v>46204</v>
      </c>
      <c r="B484" s="95" t="s">
        <v>165</v>
      </c>
      <c r="C484" s="95" t="s">
        <v>39</v>
      </c>
      <c r="D484" s="94" t="s">
        <v>40</v>
      </c>
      <c r="E484" s="97">
        <v>159</v>
      </c>
      <c r="F484" s="95" t="s">
        <v>295</v>
      </c>
    </row>
    <row r="485" spans="1:6" ht="14.25" customHeight="1" x14ac:dyDescent="0.3">
      <c r="A485" s="101">
        <v>46204</v>
      </c>
      <c r="B485" s="88" t="s">
        <v>166</v>
      </c>
      <c r="C485" s="88" t="s">
        <v>39</v>
      </c>
      <c r="D485" s="87" t="s">
        <v>40</v>
      </c>
      <c r="E485" s="90">
        <v>224</v>
      </c>
      <c r="F485" s="88" t="s">
        <v>295</v>
      </c>
    </row>
    <row r="486" spans="1:6" ht="14.25" customHeight="1" x14ac:dyDescent="0.3">
      <c r="A486" s="102">
        <v>46204</v>
      </c>
      <c r="B486" s="95" t="s">
        <v>167</v>
      </c>
      <c r="C486" s="95" t="s">
        <v>39</v>
      </c>
      <c r="D486" s="94" t="s">
        <v>40</v>
      </c>
      <c r="E486" s="97">
        <v>187</v>
      </c>
      <c r="F486" s="95" t="s">
        <v>295</v>
      </c>
    </row>
    <row r="487" spans="1:6" ht="14.25" customHeight="1" x14ac:dyDescent="0.3">
      <c r="A487" s="101">
        <v>46204</v>
      </c>
      <c r="B487" s="88" t="s">
        <v>168</v>
      </c>
      <c r="C487" s="88" t="s">
        <v>39</v>
      </c>
      <c r="D487" s="87" t="s">
        <v>40</v>
      </c>
      <c r="E487" s="90">
        <v>189</v>
      </c>
      <c r="F487" s="88" t="s">
        <v>295</v>
      </c>
    </row>
    <row r="488" spans="1:6" ht="14.25" customHeight="1" x14ac:dyDescent="0.3">
      <c r="A488" s="102">
        <v>46204</v>
      </c>
      <c r="B488" s="95" t="s">
        <v>169</v>
      </c>
      <c r="C488" s="95" t="s">
        <v>39</v>
      </c>
      <c r="D488" s="94" t="s">
        <v>40</v>
      </c>
      <c r="E488" s="97">
        <v>203</v>
      </c>
      <c r="F488" s="95" t="s">
        <v>295</v>
      </c>
    </row>
    <row r="489" spans="1:6" ht="14.25" customHeight="1" x14ac:dyDescent="0.3">
      <c r="A489" s="101">
        <v>46204</v>
      </c>
      <c r="B489" s="88" t="s">
        <v>170</v>
      </c>
      <c r="C489" s="88" t="s">
        <v>39</v>
      </c>
      <c r="D489" s="87" t="s">
        <v>40</v>
      </c>
      <c r="E489" s="90">
        <v>155</v>
      </c>
      <c r="F489" s="88" t="s">
        <v>295</v>
      </c>
    </row>
    <row r="490" spans="1:6" ht="14.25" customHeight="1" x14ac:dyDescent="0.3">
      <c r="A490" s="102">
        <v>46204</v>
      </c>
      <c r="B490" s="95" t="s">
        <v>171</v>
      </c>
      <c r="C490" s="95" t="s">
        <v>39</v>
      </c>
      <c r="D490" s="94" t="s">
        <v>40</v>
      </c>
      <c r="E490" s="97">
        <v>211</v>
      </c>
      <c r="F490" s="95" t="s">
        <v>295</v>
      </c>
    </row>
    <row r="491" spans="1:6" ht="14.25" customHeight="1" x14ac:dyDescent="0.3">
      <c r="A491" s="101">
        <v>46204</v>
      </c>
      <c r="B491" s="88" t="s">
        <v>172</v>
      </c>
      <c r="C491" s="88" t="s">
        <v>39</v>
      </c>
      <c r="D491" s="87" t="s">
        <v>40</v>
      </c>
      <c r="E491" s="90">
        <v>227</v>
      </c>
      <c r="F491" s="88" t="s">
        <v>295</v>
      </c>
    </row>
    <row r="492" spans="1:6" ht="14.25" customHeight="1" x14ac:dyDescent="0.3">
      <c r="A492" s="102">
        <v>46204</v>
      </c>
      <c r="B492" s="95" t="s">
        <v>173</v>
      </c>
      <c r="C492" s="95" t="s">
        <v>39</v>
      </c>
      <c r="D492" s="94" t="s">
        <v>40</v>
      </c>
      <c r="E492" s="97">
        <v>227</v>
      </c>
      <c r="F492" s="95" t="s">
        <v>295</v>
      </c>
    </row>
    <row r="493" spans="1:6" ht="14.25" customHeight="1" x14ac:dyDescent="0.3">
      <c r="A493" s="101">
        <v>46204</v>
      </c>
      <c r="B493" s="88" t="s">
        <v>174</v>
      </c>
      <c r="C493" s="88" t="s">
        <v>39</v>
      </c>
      <c r="D493" s="87" t="s">
        <v>40</v>
      </c>
      <c r="E493" s="90">
        <v>222</v>
      </c>
      <c r="F493" s="88" t="s">
        <v>295</v>
      </c>
    </row>
    <row r="494" spans="1:6" ht="14.25" customHeight="1" x14ac:dyDescent="0.3">
      <c r="A494" s="102">
        <v>46204</v>
      </c>
      <c r="B494" s="95" t="s">
        <v>175</v>
      </c>
      <c r="C494" s="95" t="s">
        <v>39</v>
      </c>
      <c r="D494" s="94" t="s">
        <v>40</v>
      </c>
      <c r="E494" s="97">
        <v>252</v>
      </c>
      <c r="F494" s="95" t="s">
        <v>295</v>
      </c>
    </row>
    <row r="495" spans="1:6" ht="14.25" customHeight="1" x14ac:dyDescent="0.3">
      <c r="A495" s="101">
        <v>46204</v>
      </c>
      <c r="B495" s="88" t="s">
        <v>176</v>
      </c>
      <c r="C495" s="88" t="s">
        <v>39</v>
      </c>
      <c r="D495" s="87" t="s">
        <v>40</v>
      </c>
      <c r="E495" s="90">
        <v>225</v>
      </c>
      <c r="F495" s="88" t="s">
        <v>295</v>
      </c>
    </row>
    <row r="496" spans="1:6" ht="14.25" customHeight="1" x14ac:dyDescent="0.3">
      <c r="A496" s="102">
        <v>46204</v>
      </c>
      <c r="B496" s="95" t="s">
        <v>177</v>
      </c>
      <c r="C496" s="95" t="s">
        <v>39</v>
      </c>
      <c r="D496" s="94" t="s">
        <v>40</v>
      </c>
      <c r="E496" s="97">
        <v>245</v>
      </c>
      <c r="F496" s="95" t="s">
        <v>295</v>
      </c>
    </row>
    <row r="497" spans="1:6" ht="14.25" customHeight="1" x14ac:dyDescent="0.3">
      <c r="A497" s="101">
        <v>46204</v>
      </c>
      <c r="B497" s="88" t="s">
        <v>178</v>
      </c>
      <c r="C497" s="88" t="s">
        <v>39</v>
      </c>
      <c r="D497" s="87" t="s">
        <v>40</v>
      </c>
      <c r="E497" s="90">
        <v>186</v>
      </c>
      <c r="F497" s="88" t="s">
        <v>295</v>
      </c>
    </row>
    <row r="498" spans="1:6" ht="14.25" customHeight="1" x14ac:dyDescent="0.3">
      <c r="A498" s="102">
        <v>46204</v>
      </c>
      <c r="B498" s="95" t="s">
        <v>179</v>
      </c>
      <c r="C498" s="95" t="s">
        <v>39</v>
      </c>
      <c r="D498" s="94" t="s">
        <v>40</v>
      </c>
      <c r="E498" s="97">
        <v>256</v>
      </c>
      <c r="F498" s="95" t="s">
        <v>295</v>
      </c>
    </row>
    <row r="499" spans="1:6" ht="14.25" customHeight="1" x14ac:dyDescent="0.3">
      <c r="A499" s="101">
        <v>46204</v>
      </c>
      <c r="B499" s="88" t="s">
        <v>180</v>
      </c>
      <c r="C499" s="88" t="s">
        <v>39</v>
      </c>
      <c r="D499" s="87" t="s">
        <v>40</v>
      </c>
      <c r="E499" s="90">
        <v>202</v>
      </c>
      <c r="F499" s="88" t="s">
        <v>295</v>
      </c>
    </row>
    <row r="500" spans="1:6" ht="14.25" customHeight="1" x14ac:dyDescent="0.3">
      <c r="A500" s="102">
        <v>46204</v>
      </c>
      <c r="B500" s="95" t="s">
        <v>181</v>
      </c>
      <c r="C500" s="95" t="s">
        <v>39</v>
      </c>
      <c r="D500" s="94" t="s">
        <v>40</v>
      </c>
      <c r="E500" s="97">
        <v>198</v>
      </c>
      <c r="F500" s="95" t="s">
        <v>295</v>
      </c>
    </row>
    <row r="501" spans="1:6" ht="14.25" customHeight="1" x14ac:dyDescent="0.3">
      <c r="A501" s="101">
        <v>46204</v>
      </c>
      <c r="B501" s="88" t="s">
        <v>182</v>
      </c>
      <c r="C501" s="88" t="s">
        <v>39</v>
      </c>
      <c r="D501" s="87" t="s">
        <v>40</v>
      </c>
      <c r="E501" s="90">
        <v>182</v>
      </c>
      <c r="F501" s="88" t="s">
        <v>295</v>
      </c>
    </row>
    <row r="502" spans="1:6" ht="14.25" customHeight="1" x14ac:dyDescent="0.3">
      <c r="A502" s="102">
        <v>46204</v>
      </c>
      <c r="B502" s="95" t="s">
        <v>183</v>
      </c>
      <c r="C502" s="95" t="s">
        <v>39</v>
      </c>
      <c r="D502" s="94" t="s">
        <v>40</v>
      </c>
      <c r="E502" s="97">
        <v>250</v>
      </c>
      <c r="F502" s="95" t="s">
        <v>295</v>
      </c>
    </row>
    <row r="503" spans="1:6" ht="14.25" customHeight="1" x14ac:dyDescent="0.3">
      <c r="A503" s="101">
        <v>46204</v>
      </c>
      <c r="B503" s="88" t="s">
        <v>184</v>
      </c>
      <c r="C503" s="88" t="s">
        <v>39</v>
      </c>
      <c r="D503" s="87" t="s">
        <v>40</v>
      </c>
      <c r="E503" s="90">
        <v>271</v>
      </c>
      <c r="F503" s="88" t="s">
        <v>295</v>
      </c>
    </row>
    <row r="504" spans="1:6" ht="14.25" customHeight="1" x14ac:dyDescent="0.3">
      <c r="A504" s="102">
        <v>46204</v>
      </c>
      <c r="B504" s="95" t="s">
        <v>185</v>
      </c>
      <c r="C504" s="95" t="s">
        <v>39</v>
      </c>
      <c r="D504" s="94" t="s">
        <v>40</v>
      </c>
      <c r="E504" s="97">
        <v>228</v>
      </c>
      <c r="F504" s="95" t="s">
        <v>295</v>
      </c>
    </row>
    <row r="505" spans="1:6" ht="14.25" customHeight="1" x14ac:dyDescent="0.3">
      <c r="A505" s="101">
        <v>46204</v>
      </c>
      <c r="B505" s="88" t="s">
        <v>186</v>
      </c>
      <c r="C505" s="88" t="s">
        <v>39</v>
      </c>
      <c r="D505" s="87" t="s">
        <v>40</v>
      </c>
      <c r="E505" s="90">
        <v>197</v>
      </c>
      <c r="F505" s="88" t="s">
        <v>295</v>
      </c>
    </row>
    <row r="506" spans="1:6" ht="14.25" customHeight="1" x14ac:dyDescent="0.3">
      <c r="A506" s="102">
        <v>46204</v>
      </c>
      <c r="B506" s="95" t="s">
        <v>187</v>
      </c>
      <c r="C506" s="95" t="s">
        <v>39</v>
      </c>
      <c r="D506" s="94" t="s">
        <v>40</v>
      </c>
      <c r="E506" s="97">
        <v>222</v>
      </c>
      <c r="F506" s="95" t="s">
        <v>295</v>
      </c>
    </row>
    <row r="507" spans="1:6" ht="14.25" customHeight="1" x14ac:dyDescent="0.3">
      <c r="A507" s="101">
        <v>46204</v>
      </c>
      <c r="B507" s="88" t="s">
        <v>188</v>
      </c>
      <c r="C507" s="88" t="s">
        <v>39</v>
      </c>
      <c r="D507" s="87" t="s">
        <v>40</v>
      </c>
      <c r="E507" s="90">
        <v>192</v>
      </c>
      <c r="F507" s="88" t="s">
        <v>295</v>
      </c>
    </row>
    <row r="508" spans="1:6" ht="14.25" customHeight="1" x14ac:dyDescent="0.3">
      <c r="A508" s="102">
        <v>46204</v>
      </c>
      <c r="B508" s="95" t="s">
        <v>189</v>
      </c>
      <c r="C508" s="95" t="s">
        <v>39</v>
      </c>
      <c r="D508" s="94" t="s">
        <v>40</v>
      </c>
      <c r="E508" s="97">
        <v>173</v>
      </c>
      <c r="F508" s="95" t="s">
        <v>295</v>
      </c>
    </row>
    <row r="509" spans="1:6" ht="14.25" customHeight="1" x14ac:dyDescent="0.3">
      <c r="A509" s="101">
        <v>46204</v>
      </c>
      <c r="B509" s="88" t="s">
        <v>190</v>
      </c>
      <c r="C509" s="88" t="s">
        <v>39</v>
      </c>
      <c r="D509" s="87" t="s">
        <v>40</v>
      </c>
      <c r="E509" s="90">
        <v>147</v>
      </c>
      <c r="F509" s="88" t="s">
        <v>295</v>
      </c>
    </row>
    <row r="510" spans="1:6" ht="14.25" customHeight="1" x14ac:dyDescent="0.3">
      <c r="A510" s="102">
        <v>46204</v>
      </c>
      <c r="B510" s="95" t="s">
        <v>191</v>
      </c>
      <c r="C510" s="95" t="s">
        <v>39</v>
      </c>
      <c r="D510" s="94" t="s">
        <v>40</v>
      </c>
      <c r="E510" s="97">
        <v>200</v>
      </c>
      <c r="F510" s="95" t="s">
        <v>295</v>
      </c>
    </row>
    <row r="511" spans="1:6" ht="14.25" customHeight="1" x14ac:dyDescent="0.3">
      <c r="A511" s="101">
        <v>46204</v>
      </c>
      <c r="B511" s="88" t="s">
        <v>192</v>
      </c>
      <c r="C511" s="88" t="s">
        <v>39</v>
      </c>
      <c r="D511" s="87" t="s">
        <v>40</v>
      </c>
      <c r="E511" s="90">
        <v>171</v>
      </c>
      <c r="F511" s="88" t="s">
        <v>295</v>
      </c>
    </row>
    <row r="512" spans="1:6" ht="14.25" customHeight="1" x14ac:dyDescent="0.3">
      <c r="A512" s="102">
        <v>46204</v>
      </c>
      <c r="B512" s="95" t="s">
        <v>193</v>
      </c>
      <c r="C512" s="95" t="s">
        <v>39</v>
      </c>
      <c r="D512" s="94" t="s">
        <v>40</v>
      </c>
      <c r="E512" s="97">
        <v>148</v>
      </c>
      <c r="F512" s="95" t="s">
        <v>295</v>
      </c>
    </row>
    <row r="513" spans="1:6" ht="14.25" customHeight="1" x14ac:dyDescent="0.3">
      <c r="A513" s="101">
        <v>46204</v>
      </c>
      <c r="B513" s="88" t="s">
        <v>194</v>
      </c>
      <c r="C513" s="88" t="s">
        <v>39</v>
      </c>
      <c r="D513" s="87" t="s">
        <v>40</v>
      </c>
      <c r="E513" s="90">
        <v>148</v>
      </c>
      <c r="F513" s="88" t="s">
        <v>295</v>
      </c>
    </row>
    <row r="514" spans="1:6" ht="14.25" customHeight="1" x14ac:dyDescent="0.3">
      <c r="A514" s="102">
        <v>46204</v>
      </c>
      <c r="B514" s="95" t="s">
        <v>195</v>
      </c>
      <c r="C514" s="95" t="s">
        <v>39</v>
      </c>
      <c r="D514" s="94" t="s">
        <v>40</v>
      </c>
      <c r="E514" s="97">
        <v>195</v>
      </c>
      <c r="F514" s="95" t="s">
        <v>295</v>
      </c>
    </row>
    <row r="515" spans="1:6" ht="14.25" customHeight="1" x14ac:dyDescent="0.3">
      <c r="A515" s="101">
        <v>46204</v>
      </c>
      <c r="B515" s="88" t="s">
        <v>196</v>
      </c>
      <c r="C515" s="88" t="s">
        <v>39</v>
      </c>
      <c r="D515" s="87" t="s">
        <v>40</v>
      </c>
      <c r="E515" s="90">
        <v>146</v>
      </c>
      <c r="F515" s="88" t="s">
        <v>295</v>
      </c>
    </row>
    <row r="516" spans="1:6" ht="14.25" customHeight="1" x14ac:dyDescent="0.3">
      <c r="A516" s="102">
        <v>46204</v>
      </c>
      <c r="B516" s="95" t="s">
        <v>197</v>
      </c>
      <c r="C516" s="95" t="s">
        <v>39</v>
      </c>
      <c r="D516" s="94" t="s">
        <v>40</v>
      </c>
      <c r="E516" s="97">
        <v>170</v>
      </c>
      <c r="F516" s="95" t="s">
        <v>295</v>
      </c>
    </row>
    <row r="517" spans="1:6" ht="14.25" customHeight="1" x14ac:dyDescent="0.3">
      <c r="A517" s="101">
        <v>46204</v>
      </c>
      <c r="B517" s="88" t="s">
        <v>198</v>
      </c>
      <c r="C517" s="88" t="s">
        <v>39</v>
      </c>
      <c r="D517" s="87" t="s">
        <v>40</v>
      </c>
      <c r="E517" s="90">
        <v>205</v>
      </c>
      <c r="F517" s="88" t="s">
        <v>295</v>
      </c>
    </row>
    <row r="518" spans="1:6" ht="14.25" customHeight="1" x14ac:dyDescent="0.3">
      <c r="A518" s="102">
        <v>46204</v>
      </c>
      <c r="B518" s="95" t="s">
        <v>199</v>
      </c>
      <c r="C518" s="95" t="s">
        <v>39</v>
      </c>
      <c r="D518" s="94" t="s">
        <v>40</v>
      </c>
      <c r="E518" s="97">
        <v>179</v>
      </c>
      <c r="F518" s="95" t="s">
        <v>295</v>
      </c>
    </row>
    <row r="519" spans="1:6" ht="14.25" customHeight="1" x14ac:dyDescent="0.3">
      <c r="A519" s="101">
        <v>46204</v>
      </c>
      <c r="B519" s="88" t="s">
        <v>201</v>
      </c>
      <c r="C519" s="88" t="s">
        <v>39</v>
      </c>
      <c r="D519" s="87" t="s">
        <v>40</v>
      </c>
      <c r="E519" s="90">
        <v>162</v>
      </c>
      <c r="F519" s="88" t="s">
        <v>295</v>
      </c>
    </row>
    <row r="520" spans="1:6" ht="14.25" customHeight="1" x14ac:dyDescent="0.3">
      <c r="A520" s="102">
        <v>46204</v>
      </c>
      <c r="B520" s="95" t="s">
        <v>202</v>
      </c>
      <c r="C520" s="95" t="s">
        <v>39</v>
      </c>
      <c r="D520" s="94" t="s">
        <v>40</v>
      </c>
      <c r="E520" s="97">
        <v>193</v>
      </c>
      <c r="F520" s="95" t="s">
        <v>295</v>
      </c>
    </row>
    <row r="521" spans="1:6" ht="14.25" customHeight="1" x14ac:dyDescent="0.3">
      <c r="A521" s="101">
        <v>46204</v>
      </c>
      <c r="B521" s="88" t="s">
        <v>203</v>
      </c>
      <c r="C521" s="88" t="s">
        <v>39</v>
      </c>
      <c r="D521" s="87" t="s">
        <v>40</v>
      </c>
      <c r="E521" s="90">
        <v>146</v>
      </c>
      <c r="F521" s="88" t="s">
        <v>295</v>
      </c>
    </row>
    <row r="522" spans="1:6" ht="14.25" customHeight="1" x14ac:dyDescent="0.3">
      <c r="A522" s="102">
        <v>46204</v>
      </c>
      <c r="B522" s="95" t="s">
        <v>204</v>
      </c>
      <c r="C522" s="95" t="s">
        <v>39</v>
      </c>
      <c r="D522" s="94" t="s">
        <v>40</v>
      </c>
      <c r="E522" s="97">
        <v>197</v>
      </c>
      <c r="F522" s="95" t="s">
        <v>295</v>
      </c>
    </row>
    <row r="523" spans="1:6" ht="14.25" customHeight="1" x14ac:dyDescent="0.3">
      <c r="A523" s="101">
        <v>46225</v>
      </c>
      <c r="B523" s="88" t="s">
        <v>297</v>
      </c>
      <c r="C523" s="88" t="s">
        <v>298</v>
      </c>
      <c r="D523" s="87" t="s">
        <v>299</v>
      </c>
      <c r="E523" s="90">
        <v>370</v>
      </c>
      <c r="F523" s="88" t="s">
        <v>300</v>
      </c>
    </row>
    <row r="524" spans="1:6" ht="14.25" customHeight="1" x14ac:dyDescent="0.3">
      <c r="A524" s="102">
        <v>46225</v>
      </c>
      <c r="B524" s="95" t="s">
        <v>301</v>
      </c>
      <c r="C524" s="95" t="s">
        <v>298</v>
      </c>
      <c r="D524" s="94" t="s">
        <v>299</v>
      </c>
      <c r="E524" s="97">
        <v>340</v>
      </c>
      <c r="F524" s="95" t="s">
        <v>300</v>
      </c>
    </row>
    <row r="525" spans="1:6" ht="14.25" customHeight="1" x14ac:dyDescent="0.3">
      <c r="A525" s="101">
        <v>46225</v>
      </c>
      <c r="B525" s="88" t="s">
        <v>302</v>
      </c>
      <c r="C525" s="88" t="s">
        <v>298</v>
      </c>
      <c r="D525" s="87" t="s">
        <v>299</v>
      </c>
      <c r="E525" s="90">
        <v>358</v>
      </c>
      <c r="F525" s="88" t="s">
        <v>300</v>
      </c>
    </row>
    <row r="526" spans="1:6" ht="14.25" customHeight="1" x14ac:dyDescent="0.3">
      <c r="A526" s="102">
        <v>46225</v>
      </c>
      <c r="B526" s="95" t="s">
        <v>303</v>
      </c>
      <c r="C526" s="95" t="s">
        <v>298</v>
      </c>
      <c r="D526" s="94" t="s">
        <v>299</v>
      </c>
      <c r="E526" s="97">
        <v>371</v>
      </c>
      <c r="F526" s="95" t="s">
        <v>300</v>
      </c>
    </row>
    <row r="527" spans="1:6" ht="14.25" customHeight="1" x14ac:dyDescent="0.3">
      <c r="A527" s="101">
        <v>46225</v>
      </c>
      <c r="B527" s="88" t="s">
        <v>304</v>
      </c>
      <c r="C527" s="88" t="s">
        <v>298</v>
      </c>
      <c r="D527" s="87" t="s">
        <v>299</v>
      </c>
      <c r="E527" s="90">
        <v>369</v>
      </c>
      <c r="F527" s="88" t="s">
        <v>300</v>
      </c>
    </row>
    <row r="528" spans="1:6" ht="14.25" customHeight="1" x14ac:dyDescent="0.3">
      <c r="A528" s="102">
        <v>46225</v>
      </c>
      <c r="B528" s="95" t="s">
        <v>305</v>
      </c>
      <c r="C528" s="95" t="s">
        <v>298</v>
      </c>
      <c r="D528" s="94" t="s">
        <v>299</v>
      </c>
      <c r="E528" s="97">
        <v>321</v>
      </c>
      <c r="F528" s="95" t="s">
        <v>300</v>
      </c>
    </row>
    <row r="529" spans="1:6" ht="14.25" customHeight="1" x14ac:dyDescent="0.3">
      <c r="A529" s="101">
        <v>46225</v>
      </c>
      <c r="B529" s="88" t="s">
        <v>306</v>
      </c>
      <c r="C529" s="88" t="s">
        <v>298</v>
      </c>
      <c r="D529" s="87" t="s">
        <v>299</v>
      </c>
      <c r="E529" s="90">
        <v>359</v>
      </c>
      <c r="F529" s="88" t="s">
        <v>300</v>
      </c>
    </row>
    <row r="530" spans="1:6" ht="14.25" customHeight="1" x14ac:dyDescent="0.3">
      <c r="A530" s="102">
        <v>46225</v>
      </c>
      <c r="B530" s="95" t="s">
        <v>307</v>
      </c>
      <c r="C530" s="95" t="s">
        <v>298</v>
      </c>
      <c r="D530" s="94" t="s">
        <v>299</v>
      </c>
      <c r="E530" s="97">
        <v>329</v>
      </c>
      <c r="F530" s="95" t="s">
        <v>300</v>
      </c>
    </row>
    <row r="531" spans="1:6" ht="14.25" customHeight="1" x14ac:dyDescent="0.3">
      <c r="A531" s="101">
        <v>46225</v>
      </c>
      <c r="B531" s="88" t="s">
        <v>308</v>
      </c>
      <c r="C531" s="88" t="s">
        <v>298</v>
      </c>
      <c r="D531" s="87" t="s">
        <v>299</v>
      </c>
      <c r="E531" s="90">
        <v>325</v>
      </c>
      <c r="F531" s="88" t="s">
        <v>300</v>
      </c>
    </row>
    <row r="532" spans="1:6" ht="14.25" customHeight="1" x14ac:dyDescent="0.3">
      <c r="A532" s="102">
        <v>46225</v>
      </c>
      <c r="B532" s="95" t="s">
        <v>309</v>
      </c>
      <c r="C532" s="95" t="s">
        <v>298</v>
      </c>
      <c r="D532" s="94" t="s">
        <v>299</v>
      </c>
      <c r="E532" s="97">
        <v>386</v>
      </c>
      <c r="F532" s="95" t="s">
        <v>300</v>
      </c>
    </row>
    <row r="533" spans="1:6" ht="14.25" customHeight="1" x14ac:dyDescent="0.3">
      <c r="A533" s="101">
        <v>46225</v>
      </c>
      <c r="B533" s="88" t="s">
        <v>310</v>
      </c>
      <c r="C533" s="88" t="s">
        <v>298</v>
      </c>
      <c r="D533" s="87" t="s">
        <v>299</v>
      </c>
      <c r="E533" s="90">
        <v>339</v>
      </c>
      <c r="F533" s="88" t="s">
        <v>300</v>
      </c>
    </row>
    <row r="534" spans="1:6" ht="14.25" customHeight="1" x14ac:dyDescent="0.3">
      <c r="A534" s="102">
        <v>46225</v>
      </c>
      <c r="B534" s="95" t="s">
        <v>311</v>
      </c>
      <c r="C534" s="95" t="s">
        <v>298</v>
      </c>
      <c r="D534" s="94" t="s">
        <v>299</v>
      </c>
      <c r="E534" s="97">
        <v>345</v>
      </c>
      <c r="F534" s="95" t="s">
        <v>300</v>
      </c>
    </row>
    <row r="535" spans="1:6" ht="14.25" customHeight="1" x14ac:dyDescent="0.3">
      <c r="A535" s="101">
        <v>46225</v>
      </c>
      <c r="B535" s="88" t="s">
        <v>312</v>
      </c>
      <c r="C535" s="88" t="s">
        <v>298</v>
      </c>
      <c r="D535" s="87" t="s">
        <v>299</v>
      </c>
      <c r="E535" s="90">
        <v>358</v>
      </c>
      <c r="F535" s="88" t="s">
        <v>300</v>
      </c>
    </row>
    <row r="536" spans="1:6" ht="14.25" customHeight="1" x14ac:dyDescent="0.3">
      <c r="A536" s="102">
        <v>46225</v>
      </c>
      <c r="B536" s="95" t="s">
        <v>313</v>
      </c>
      <c r="C536" s="95" t="s">
        <v>298</v>
      </c>
      <c r="D536" s="94" t="s">
        <v>299</v>
      </c>
      <c r="E536" s="97">
        <v>348</v>
      </c>
      <c r="F536" s="95" t="s">
        <v>300</v>
      </c>
    </row>
    <row r="537" spans="1:6" ht="14.25" customHeight="1" x14ac:dyDescent="0.3">
      <c r="A537" s="101">
        <v>46225</v>
      </c>
      <c r="B537" s="88" t="s">
        <v>314</v>
      </c>
      <c r="C537" s="88" t="s">
        <v>298</v>
      </c>
      <c r="D537" s="87" t="s">
        <v>299</v>
      </c>
      <c r="E537" s="90">
        <v>346</v>
      </c>
      <c r="F537" s="88" t="s">
        <v>300</v>
      </c>
    </row>
    <row r="538" spans="1:6" ht="14.25" customHeight="1" x14ac:dyDescent="0.3">
      <c r="A538" s="102">
        <v>46225</v>
      </c>
      <c r="B538" s="95" t="s">
        <v>315</v>
      </c>
      <c r="C538" s="95" t="s">
        <v>298</v>
      </c>
      <c r="D538" s="94" t="s">
        <v>299</v>
      </c>
      <c r="E538" s="97">
        <v>359</v>
      </c>
      <c r="F538" s="95" t="s">
        <v>300</v>
      </c>
    </row>
    <row r="539" spans="1:6" ht="14.25" customHeight="1" x14ac:dyDescent="0.3">
      <c r="A539" s="101">
        <v>46225</v>
      </c>
      <c r="B539" s="88" t="s">
        <v>316</v>
      </c>
      <c r="C539" s="88" t="s">
        <v>298</v>
      </c>
      <c r="D539" s="87" t="s">
        <v>299</v>
      </c>
      <c r="E539" s="90">
        <v>330</v>
      </c>
      <c r="F539" s="88" t="s">
        <v>300</v>
      </c>
    </row>
    <row r="540" spans="1:6" ht="14.25" customHeight="1" x14ac:dyDescent="0.3">
      <c r="A540" s="102">
        <v>46225</v>
      </c>
      <c r="B540" s="95" t="s">
        <v>317</v>
      </c>
      <c r="C540" s="95" t="s">
        <v>298</v>
      </c>
      <c r="D540" s="94" t="s">
        <v>299</v>
      </c>
      <c r="E540" s="97">
        <v>336</v>
      </c>
      <c r="F540" s="95" t="s">
        <v>300</v>
      </c>
    </row>
    <row r="541" spans="1:6" ht="14.25" customHeight="1" x14ac:dyDescent="0.3">
      <c r="A541" s="101">
        <v>46225</v>
      </c>
      <c r="B541" s="88" t="s">
        <v>318</v>
      </c>
      <c r="C541" s="88" t="s">
        <v>298</v>
      </c>
      <c r="D541" s="87" t="s">
        <v>299</v>
      </c>
      <c r="E541" s="90">
        <v>335</v>
      </c>
      <c r="F541" s="88" t="s">
        <v>300</v>
      </c>
    </row>
    <row r="542" spans="1:6" ht="14.25" customHeight="1" x14ac:dyDescent="0.3">
      <c r="A542" s="102">
        <v>46225</v>
      </c>
      <c r="B542" s="95" t="s">
        <v>319</v>
      </c>
      <c r="C542" s="95" t="s">
        <v>298</v>
      </c>
      <c r="D542" s="94" t="s">
        <v>299</v>
      </c>
      <c r="E542" s="97">
        <v>323</v>
      </c>
      <c r="F542" s="95" t="s">
        <v>300</v>
      </c>
    </row>
    <row r="543" spans="1:6" ht="14.25" customHeight="1" x14ac:dyDescent="0.3">
      <c r="A543" s="101">
        <v>46225</v>
      </c>
      <c r="B543" s="88" t="s">
        <v>320</v>
      </c>
      <c r="C543" s="88" t="s">
        <v>298</v>
      </c>
      <c r="D543" s="87" t="s">
        <v>299</v>
      </c>
      <c r="E543" s="90">
        <v>343</v>
      </c>
      <c r="F543" s="88" t="s">
        <v>300</v>
      </c>
    </row>
    <row r="544" spans="1:6" ht="14.25" customHeight="1" x14ac:dyDescent="0.3">
      <c r="A544" s="102">
        <v>46225</v>
      </c>
      <c r="B544" s="95" t="s">
        <v>321</v>
      </c>
      <c r="C544" s="95" t="s">
        <v>298</v>
      </c>
      <c r="D544" s="94" t="s">
        <v>299</v>
      </c>
      <c r="E544" s="97">
        <v>373</v>
      </c>
      <c r="F544" s="95" t="s">
        <v>300</v>
      </c>
    </row>
    <row r="545" spans="1:6" ht="14.25" customHeight="1" x14ac:dyDescent="0.3">
      <c r="A545" s="101">
        <v>46225</v>
      </c>
      <c r="B545" s="88" t="s">
        <v>322</v>
      </c>
      <c r="C545" s="88" t="s">
        <v>298</v>
      </c>
      <c r="D545" s="87" t="s">
        <v>299</v>
      </c>
      <c r="E545" s="90">
        <v>337</v>
      </c>
      <c r="F545" s="88" t="s">
        <v>300</v>
      </c>
    </row>
    <row r="546" spans="1:6" ht="14.25" customHeight="1" x14ac:dyDescent="0.3">
      <c r="A546" s="102">
        <v>46225</v>
      </c>
      <c r="B546" s="95" t="s">
        <v>323</v>
      </c>
      <c r="C546" s="95" t="s">
        <v>298</v>
      </c>
      <c r="D546" s="94" t="s">
        <v>299</v>
      </c>
      <c r="E546" s="97">
        <v>339</v>
      </c>
      <c r="F546" s="95" t="s">
        <v>300</v>
      </c>
    </row>
    <row r="547" spans="1:6" ht="14.25" customHeight="1" x14ac:dyDescent="0.3">
      <c r="A547" s="101">
        <v>46225</v>
      </c>
      <c r="B547" s="88" t="s">
        <v>324</v>
      </c>
      <c r="C547" s="88" t="s">
        <v>298</v>
      </c>
      <c r="D547" s="87" t="s">
        <v>299</v>
      </c>
      <c r="E547" s="90">
        <v>348</v>
      </c>
      <c r="F547" s="88" t="s">
        <v>300</v>
      </c>
    </row>
    <row r="548" spans="1:6" ht="14.25" customHeight="1" x14ac:dyDescent="0.3">
      <c r="A548" s="102">
        <v>46225</v>
      </c>
      <c r="B548" s="95" t="s">
        <v>325</v>
      </c>
      <c r="C548" s="95" t="s">
        <v>298</v>
      </c>
      <c r="D548" s="94" t="s">
        <v>299</v>
      </c>
      <c r="E548" s="97">
        <v>336</v>
      </c>
      <c r="F548" s="95" t="s">
        <v>300</v>
      </c>
    </row>
    <row r="549" spans="1:6" ht="14.25" customHeight="1" x14ac:dyDescent="0.3">
      <c r="A549" s="101">
        <v>46225</v>
      </c>
      <c r="B549" s="88" t="s">
        <v>326</v>
      </c>
      <c r="C549" s="88" t="s">
        <v>298</v>
      </c>
      <c r="D549" s="87" t="s">
        <v>299</v>
      </c>
      <c r="E549" s="90">
        <v>331</v>
      </c>
      <c r="F549" s="88" t="s">
        <v>300</v>
      </c>
    </row>
    <row r="550" spans="1:6" ht="14.25" customHeight="1" x14ac:dyDescent="0.3">
      <c r="A550" s="102">
        <v>46225</v>
      </c>
      <c r="B550" s="95" t="s">
        <v>327</v>
      </c>
      <c r="C550" s="95" t="s">
        <v>298</v>
      </c>
      <c r="D550" s="94" t="s">
        <v>299</v>
      </c>
      <c r="E550" s="97">
        <v>357</v>
      </c>
      <c r="F550" s="95" t="s">
        <v>300</v>
      </c>
    </row>
    <row r="551" spans="1:6" ht="14.25" customHeight="1" x14ac:dyDescent="0.3">
      <c r="A551" s="101">
        <v>46225</v>
      </c>
      <c r="B551" s="88" t="s">
        <v>328</v>
      </c>
      <c r="C551" s="88" t="s">
        <v>298</v>
      </c>
      <c r="D551" s="87" t="s">
        <v>299</v>
      </c>
      <c r="E551" s="90">
        <v>336</v>
      </c>
      <c r="F551" s="88" t="s">
        <v>300</v>
      </c>
    </row>
    <row r="552" spans="1:6" ht="14.25" customHeight="1" x14ac:dyDescent="0.3">
      <c r="A552" s="102">
        <v>46225</v>
      </c>
      <c r="B552" s="95" t="s">
        <v>329</v>
      </c>
      <c r="C552" s="95" t="s">
        <v>298</v>
      </c>
      <c r="D552" s="94" t="s">
        <v>299</v>
      </c>
      <c r="E552" s="97">
        <v>337</v>
      </c>
      <c r="F552" s="95" t="s">
        <v>300</v>
      </c>
    </row>
    <row r="553" spans="1:6" ht="14.25" customHeight="1" x14ac:dyDescent="0.3">
      <c r="A553" s="101">
        <v>46225</v>
      </c>
      <c r="B553" s="88" t="s">
        <v>330</v>
      </c>
      <c r="C553" s="88" t="s">
        <v>298</v>
      </c>
      <c r="D553" s="87" t="s">
        <v>299</v>
      </c>
      <c r="E553" s="90">
        <v>320</v>
      </c>
      <c r="F553" s="88" t="s">
        <v>300</v>
      </c>
    </row>
    <row r="554" spans="1:6" ht="14.25" customHeight="1" x14ac:dyDescent="0.3">
      <c r="A554" s="102">
        <v>46225</v>
      </c>
      <c r="B554" s="95" t="s">
        <v>331</v>
      </c>
      <c r="C554" s="95" t="s">
        <v>298</v>
      </c>
      <c r="D554" s="94" t="s">
        <v>299</v>
      </c>
      <c r="E554" s="97">
        <v>373</v>
      </c>
      <c r="F554" s="95" t="s">
        <v>300</v>
      </c>
    </row>
    <row r="555" spans="1:6" ht="14.25" customHeight="1" x14ac:dyDescent="0.3">
      <c r="A555" s="101">
        <v>46225</v>
      </c>
      <c r="B555" s="88" t="s">
        <v>332</v>
      </c>
      <c r="C555" s="88" t="s">
        <v>298</v>
      </c>
      <c r="D555" s="87" t="s">
        <v>299</v>
      </c>
      <c r="E555" s="90">
        <v>326</v>
      </c>
      <c r="F555" s="88" t="s">
        <v>300</v>
      </c>
    </row>
    <row r="556" spans="1:6" ht="14.25" customHeight="1" x14ac:dyDescent="0.3">
      <c r="A556" s="102">
        <v>46225</v>
      </c>
      <c r="B556" s="95" t="s">
        <v>333</v>
      </c>
      <c r="C556" s="95" t="s">
        <v>298</v>
      </c>
      <c r="D556" s="94" t="s">
        <v>299</v>
      </c>
      <c r="E556" s="97">
        <v>369</v>
      </c>
      <c r="F556" s="95" t="s">
        <v>300</v>
      </c>
    </row>
    <row r="557" spans="1:6" ht="14.25" customHeight="1" x14ac:dyDescent="0.3">
      <c r="A557" s="101">
        <v>46225</v>
      </c>
      <c r="B557" s="88" t="s">
        <v>334</v>
      </c>
      <c r="C557" s="88" t="s">
        <v>298</v>
      </c>
      <c r="D557" s="87" t="s">
        <v>299</v>
      </c>
      <c r="E557" s="90">
        <v>293</v>
      </c>
      <c r="F557" s="88" t="s">
        <v>300</v>
      </c>
    </row>
    <row r="558" spans="1:6" ht="14.25" customHeight="1" x14ac:dyDescent="0.3">
      <c r="A558" s="102">
        <v>46225</v>
      </c>
      <c r="B558" s="95" t="s">
        <v>335</v>
      </c>
      <c r="C558" s="95" t="s">
        <v>298</v>
      </c>
      <c r="D558" s="94" t="s">
        <v>299</v>
      </c>
      <c r="E558" s="97">
        <v>323</v>
      </c>
      <c r="F558" s="95" t="s">
        <v>300</v>
      </c>
    </row>
    <row r="559" spans="1:6" ht="14.25" customHeight="1" x14ac:dyDescent="0.3">
      <c r="A559" s="101">
        <v>46225</v>
      </c>
      <c r="B559" s="88" t="s">
        <v>336</v>
      </c>
      <c r="C559" s="88" t="s">
        <v>298</v>
      </c>
      <c r="D559" s="87" t="s">
        <v>299</v>
      </c>
      <c r="E559" s="90">
        <v>357</v>
      </c>
      <c r="F559" s="88" t="s">
        <v>300</v>
      </c>
    </row>
    <row r="560" spans="1:6" ht="14.25" customHeight="1" x14ac:dyDescent="0.3">
      <c r="A560" s="102">
        <v>46225</v>
      </c>
      <c r="B560" s="95" t="s">
        <v>337</v>
      </c>
      <c r="C560" s="95" t="s">
        <v>298</v>
      </c>
      <c r="D560" s="94" t="s">
        <v>299</v>
      </c>
      <c r="E560" s="97">
        <v>354</v>
      </c>
      <c r="F560" s="95" t="s">
        <v>300</v>
      </c>
    </row>
    <row r="561" spans="1:6" ht="14.25" customHeight="1" x14ac:dyDescent="0.3">
      <c r="A561" s="101">
        <v>46225</v>
      </c>
      <c r="B561" s="88" t="s">
        <v>338</v>
      </c>
      <c r="C561" s="88" t="s">
        <v>298</v>
      </c>
      <c r="D561" s="87" t="s">
        <v>299</v>
      </c>
      <c r="E561" s="90">
        <v>321</v>
      </c>
      <c r="F561" s="88" t="s">
        <v>300</v>
      </c>
    </row>
    <row r="562" spans="1:6" ht="14.25" customHeight="1" x14ac:dyDescent="0.3">
      <c r="A562" s="102">
        <v>46225</v>
      </c>
      <c r="B562" s="95" t="s">
        <v>339</v>
      </c>
      <c r="C562" s="95" t="s">
        <v>298</v>
      </c>
      <c r="D562" s="94" t="s">
        <v>299</v>
      </c>
      <c r="E562" s="97">
        <v>349</v>
      </c>
      <c r="F562" s="95" t="s">
        <v>300</v>
      </c>
    </row>
    <row r="563" spans="1:6" ht="14.25" customHeight="1" x14ac:dyDescent="0.3">
      <c r="A563" s="101">
        <v>46225</v>
      </c>
      <c r="B563" s="88" t="s">
        <v>340</v>
      </c>
      <c r="C563" s="88" t="s">
        <v>298</v>
      </c>
      <c r="D563" s="87" t="s">
        <v>299</v>
      </c>
      <c r="E563" s="90">
        <v>314</v>
      </c>
      <c r="F563" s="88" t="s">
        <v>300</v>
      </c>
    </row>
    <row r="564" spans="1:6" ht="14.25" customHeight="1" x14ac:dyDescent="0.3">
      <c r="A564" s="102">
        <v>46225</v>
      </c>
      <c r="B564" s="95" t="s">
        <v>341</v>
      </c>
      <c r="C564" s="95" t="s">
        <v>298</v>
      </c>
      <c r="D564" s="94" t="s">
        <v>299</v>
      </c>
      <c r="E564" s="97">
        <v>337</v>
      </c>
      <c r="F564" s="95" t="s">
        <v>300</v>
      </c>
    </row>
    <row r="565" spans="1:6" ht="14.25" customHeight="1" x14ac:dyDescent="0.3">
      <c r="A565" s="101">
        <v>46225</v>
      </c>
      <c r="B565" s="88" t="s">
        <v>342</v>
      </c>
      <c r="C565" s="88" t="s">
        <v>298</v>
      </c>
      <c r="D565" s="87" t="s">
        <v>299</v>
      </c>
      <c r="E565" s="90">
        <v>335</v>
      </c>
      <c r="F565" s="88" t="s">
        <v>300</v>
      </c>
    </row>
    <row r="566" spans="1:6" ht="14.25" customHeight="1" x14ac:dyDescent="0.3">
      <c r="A566" s="102">
        <v>46225</v>
      </c>
      <c r="B566" s="95" t="s">
        <v>343</v>
      </c>
      <c r="C566" s="95" t="s">
        <v>298</v>
      </c>
      <c r="D566" s="94" t="s">
        <v>299</v>
      </c>
      <c r="E566" s="97">
        <v>318</v>
      </c>
      <c r="F566" s="95" t="s">
        <v>300</v>
      </c>
    </row>
    <row r="567" spans="1:6" ht="14.25" customHeight="1" x14ac:dyDescent="0.3">
      <c r="A567" s="101">
        <v>46225</v>
      </c>
      <c r="B567" s="88" t="s">
        <v>344</v>
      </c>
      <c r="C567" s="88" t="s">
        <v>298</v>
      </c>
      <c r="D567" s="87" t="s">
        <v>299</v>
      </c>
      <c r="E567" s="90">
        <v>357</v>
      </c>
      <c r="F567" s="88" t="s">
        <v>300</v>
      </c>
    </row>
    <row r="568" spans="1:6" ht="14.25" customHeight="1" x14ac:dyDescent="0.3">
      <c r="A568" s="102">
        <v>46225</v>
      </c>
      <c r="B568" s="95" t="s">
        <v>345</v>
      </c>
      <c r="C568" s="95" t="s">
        <v>298</v>
      </c>
      <c r="D568" s="94" t="s">
        <v>299</v>
      </c>
      <c r="E568" s="97">
        <v>333</v>
      </c>
      <c r="F568" s="95" t="s">
        <v>300</v>
      </c>
    </row>
    <row r="569" spans="1:6" ht="14.25" customHeight="1" x14ac:dyDescent="0.3">
      <c r="A569" s="101">
        <v>46225</v>
      </c>
      <c r="B569" s="88" t="s">
        <v>346</v>
      </c>
      <c r="C569" s="88" t="s">
        <v>298</v>
      </c>
      <c r="D569" s="87" t="s">
        <v>299</v>
      </c>
      <c r="E569" s="90">
        <v>337</v>
      </c>
      <c r="F569" s="88" t="s">
        <v>300</v>
      </c>
    </row>
    <row r="570" spans="1:6" ht="14.25" customHeight="1" x14ac:dyDescent="0.3">
      <c r="A570" s="102">
        <v>46225</v>
      </c>
      <c r="B570" s="95" t="s">
        <v>347</v>
      </c>
      <c r="C570" s="95" t="s">
        <v>298</v>
      </c>
      <c r="D570" s="94" t="s">
        <v>299</v>
      </c>
      <c r="E570" s="97">
        <v>387</v>
      </c>
      <c r="F570" s="95" t="s">
        <v>300</v>
      </c>
    </row>
    <row r="571" spans="1:6" ht="14.25" customHeight="1" x14ac:dyDescent="0.3">
      <c r="A571" s="101">
        <v>46225</v>
      </c>
      <c r="B571" s="88" t="s">
        <v>348</v>
      </c>
      <c r="C571" s="88" t="s">
        <v>298</v>
      </c>
      <c r="D571" s="87" t="s">
        <v>299</v>
      </c>
      <c r="E571" s="90">
        <v>361</v>
      </c>
      <c r="F571" s="88" t="s">
        <v>300</v>
      </c>
    </row>
    <row r="572" spans="1:6" ht="14.25" customHeight="1" x14ac:dyDescent="0.3">
      <c r="A572" s="102">
        <v>46225</v>
      </c>
      <c r="B572" s="95" t="s">
        <v>349</v>
      </c>
      <c r="C572" s="95" t="s">
        <v>298</v>
      </c>
      <c r="D572" s="94" t="s">
        <v>299</v>
      </c>
      <c r="E572" s="97">
        <v>321</v>
      </c>
      <c r="F572" s="95" t="s">
        <v>300</v>
      </c>
    </row>
    <row r="573" spans="1:6" ht="14.25" customHeight="1" x14ac:dyDescent="0.3">
      <c r="A573" s="101">
        <v>46225</v>
      </c>
      <c r="B573" s="88" t="s">
        <v>350</v>
      </c>
      <c r="C573" s="88" t="s">
        <v>298</v>
      </c>
      <c r="D573" s="87" t="s">
        <v>299</v>
      </c>
      <c r="E573" s="90">
        <v>310</v>
      </c>
      <c r="F573" s="88" t="s">
        <v>300</v>
      </c>
    </row>
    <row r="574" spans="1:6" ht="14.25" customHeight="1" x14ac:dyDescent="0.3">
      <c r="A574" s="102">
        <v>46225</v>
      </c>
      <c r="B574" s="95" t="s">
        <v>351</v>
      </c>
      <c r="C574" s="95" t="s">
        <v>298</v>
      </c>
      <c r="D574" s="94" t="s">
        <v>299</v>
      </c>
      <c r="E574" s="97">
        <v>356</v>
      </c>
      <c r="F574" s="95" t="s">
        <v>300</v>
      </c>
    </row>
    <row r="575" spans="1:6" ht="14.25" customHeight="1" x14ac:dyDescent="0.3">
      <c r="A575" s="101">
        <v>46225</v>
      </c>
      <c r="B575" s="88" t="s">
        <v>352</v>
      </c>
      <c r="C575" s="88" t="s">
        <v>298</v>
      </c>
      <c r="D575" s="87" t="s">
        <v>299</v>
      </c>
      <c r="E575" s="90">
        <v>314</v>
      </c>
      <c r="F575" s="88" t="s">
        <v>300</v>
      </c>
    </row>
    <row r="576" spans="1:6" ht="14.25" customHeight="1" x14ac:dyDescent="0.3">
      <c r="A576" s="102">
        <v>46225</v>
      </c>
      <c r="B576" s="95" t="s">
        <v>353</v>
      </c>
      <c r="C576" s="95" t="s">
        <v>298</v>
      </c>
      <c r="D576" s="94" t="s">
        <v>299</v>
      </c>
      <c r="E576" s="97">
        <v>355</v>
      </c>
      <c r="F576" s="95" t="s">
        <v>300</v>
      </c>
    </row>
    <row r="577" spans="1:6" ht="14.25" customHeight="1" x14ac:dyDescent="0.3">
      <c r="A577" s="101">
        <v>46225</v>
      </c>
      <c r="B577" s="88" t="s">
        <v>354</v>
      </c>
      <c r="C577" s="88" t="s">
        <v>298</v>
      </c>
      <c r="D577" s="87" t="s">
        <v>299</v>
      </c>
      <c r="E577" s="90">
        <v>309</v>
      </c>
      <c r="F577" s="88" t="s">
        <v>300</v>
      </c>
    </row>
    <row r="578" spans="1:6" ht="14.25" customHeight="1" x14ac:dyDescent="0.3">
      <c r="A578" s="102">
        <v>46225</v>
      </c>
      <c r="B578" s="95" t="s">
        <v>355</v>
      </c>
      <c r="C578" s="95" t="s">
        <v>298</v>
      </c>
      <c r="D578" s="94" t="s">
        <v>299</v>
      </c>
      <c r="E578" s="97">
        <v>315</v>
      </c>
      <c r="F578" s="95" t="s">
        <v>300</v>
      </c>
    </row>
    <row r="579" spans="1:6" ht="14.25" customHeight="1" x14ac:dyDescent="0.3">
      <c r="A579" s="101">
        <v>46225</v>
      </c>
      <c r="B579" s="88" t="s">
        <v>356</v>
      </c>
      <c r="C579" s="88" t="s">
        <v>298</v>
      </c>
      <c r="D579" s="87" t="s">
        <v>299</v>
      </c>
      <c r="E579" s="90">
        <v>340</v>
      </c>
      <c r="F579" s="88" t="s">
        <v>300</v>
      </c>
    </row>
    <row r="580" spans="1:6" ht="14.25" customHeight="1" x14ac:dyDescent="0.3">
      <c r="A580" s="102">
        <v>46225</v>
      </c>
      <c r="B580" s="95" t="s">
        <v>357</v>
      </c>
      <c r="C580" s="95" t="s">
        <v>298</v>
      </c>
      <c r="D580" s="94" t="s">
        <v>299</v>
      </c>
      <c r="E580" s="97">
        <v>351</v>
      </c>
      <c r="F580" s="95" t="s">
        <v>300</v>
      </c>
    </row>
    <row r="581" spans="1:6" ht="14.25" customHeight="1" x14ac:dyDescent="0.3">
      <c r="A581" s="101">
        <v>46225</v>
      </c>
      <c r="B581" s="88" t="s">
        <v>358</v>
      </c>
      <c r="C581" s="88" t="s">
        <v>298</v>
      </c>
      <c r="D581" s="87" t="s">
        <v>299</v>
      </c>
      <c r="E581" s="90">
        <v>332</v>
      </c>
      <c r="F581" s="88" t="s">
        <v>300</v>
      </c>
    </row>
    <row r="582" spans="1:6" ht="14.25" customHeight="1" x14ac:dyDescent="0.3">
      <c r="A582" s="102">
        <v>46225</v>
      </c>
      <c r="B582" s="95" t="s">
        <v>359</v>
      </c>
      <c r="C582" s="95" t="s">
        <v>298</v>
      </c>
      <c r="D582" s="94" t="s">
        <v>299</v>
      </c>
      <c r="E582" s="97">
        <v>358</v>
      </c>
      <c r="F582" s="95" t="s">
        <v>300</v>
      </c>
    </row>
    <row r="583" spans="1:6" ht="14.25" customHeight="1" x14ac:dyDescent="0.3">
      <c r="A583" s="101">
        <v>46225</v>
      </c>
      <c r="B583" s="88" t="s">
        <v>360</v>
      </c>
      <c r="C583" s="88" t="s">
        <v>298</v>
      </c>
      <c r="D583" s="87" t="s">
        <v>299</v>
      </c>
      <c r="E583" s="90">
        <v>373</v>
      </c>
      <c r="F583" s="88" t="s">
        <v>300</v>
      </c>
    </row>
    <row r="584" spans="1:6" ht="14.25" customHeight="1" x14ac:dyDescent="0.3">
      <c r="A584" s="102">
        <v>46225</v>
      </c>
      <c r="B584" s="95" t="s">
        <v>361</v>
      </c>
      <c r="C584" s="95" t="s">
        <v>298</v>
      </c>
      <c r="D584" s="94" t="s">
        <v>299</v>
      </c>
      <c r="E584" s="97">
        <v>331</v>
      </c>
      <c r="F584" s="95" t="s">
        <v>300</v>
      </c>
    </row>
    <row r="585" spans="1:6" ht="14.25" customHeight="1" x14ac:dyDescent="0.3">
      <c r="A585" s="101">
        <v>46225</v>
      </c>
      <c r="B585" s="88" t="s">
        <v>362</v>
      </c>
      <c r="C585" s="88" t="s">
        <v>298</v>
      </c>
      <c r="D585" s="87" t="s">
        <v>299</v>
      </c>
      <c r="E585" s="90">
        <v>332</v>
      </c>
      <c r="F585" s="88" t="s">
        <v>300</v>
      </c>
    </row>
    <row r="586" spans="1:6" ht="14.25" customHeight="1" x14ac:dyDescent="0.3">
      <c r="A586" s="102">
        <v>46225</v>
      </c>
      <c r="B586" s="95" t="s">
        <v>363</v>
      </c>
      <c r="C586" s="95" t="s">
        <v>298</v>
      </c>
      <c r="D586" s="94" t="s">
        <v>299</v>
      </c>
      <c r="E586" s="97">
        <v>339</v>
      </c>
      <c r="F586" s="95" t="s">
        <v>300</v>
      </c>
    </row>
    <row r="587" spans="1:6" ht="14.25" customHeight="1" x14ac:dyDescent="0.3">
      <c r="A587" s="101">
        <v>46225</v>
      </c>
      <c r="B587" s="88" t="s">
        <v>364</v>
      </c>
      <c r="C587" s="88" t="s">
        <v>298</v>
      </c>
      <c r="D587" s="87" t="s">
        <v>299</v>
      </c>
      <c r="E587" s="90">
        <v>351</v>
      </c>
      <c r="F587" s="88" t="s">
        <v>300</v>
      </c>
    </row>
    <row r="588" spans="1:6" ht="14.25" customHeight="1" x14ac:dyDescent="0.3">
      <c r="A588" s="102">
        <v>46225</v>
      </c>
      <c r="B588" s="95" t="s">
        <v>365</v>
      </c>
      <c r="C588" s="95" t="s">
        <v>298</v>
      </c>
      <c r="D588" s="94" t="s">
        <v>299</v>
      </c>
      <c r="E588" s="97">
        <v>337</v>
      </c>
      <c r="F588" s="95" t="s">
        <v>300</v>
      </c>
    </row>
    <row r="589" spans="1:6" ht="14.25" customHeight="1" x14ac:dyDescent="0.3">
      <c r="A589" s="101">
        <v>46225</v>
      </c>
      <c r="B589" s="88" t="s">
        <v>366</v>
      </c>
      <c r="C589" s="88" t="s">
        <v>298</v>
      </c>
      <c r="D589" s="87" t="s">
        <v>299</v>
      </c>
      <c r="E589" s="90">
        <v>351</v>
      </c>
      <c r="F589" s="88" t="s">
        <v>300</v>
      </c>
    </row>
    <row r="590" spans="1:6" ht="14.25" customHeight="1" x14ac:dyDescent="0.3">
      <c r="A590" s="102">
        <v>46225</v>
      </c>
      <c r="B590" s="95" t="s">
        <v>367</v>
      </c>
      <c r="C590" s="95" t="s">
        <v>298</v>
      </c>
      <c r="D590" s="94" t="s">
        <v>299</v>
      </c>
      <c r="E590" s="97">
        <v>329</v>
      </c>
      <c r="F590" s="95" t="s">
        <v>300</v>
      </c>
    </row>
    <row r="591" spans="1:6" ht="14.25" customHeight="1" x14ac:dyDescent="0.3">
      <c r="A591" s="101">
        <v>46225</v>
      </c>
      <c r="B591" s="88" t="s">
        <v>368</v>
      </c>
      <c r="C591" s="88" t="s">
        <v>298</v>
      </c>
      <c r="D591" s="87" t="s">
        <v>299</v>
      </c>
      <c r="E591" s="90">
        <v>344</v>
      </c>
      <c r="F591" s="88" t="s">
        <v>300</v>
      </c>
    </row>
    <row r="592" spans="1:6" ht="14.25" customHeight="1" x14ac:dyDescent="0.3">
      <c r="A592" s="102">
        <v>46225</v>
      </c>
      <c r="B592" s="95" t="s">
        <v>369</v>
      </c>
      <c r="C592" s="95" t="s">
        <v>298</v>
      </c>
      <c r="D592" s="94" t="s">
        <v>299</v>
      </c>
      <c r="E592" s="97">
        <v>346</v>
      </c>
      <c r="F592" s="95" t="s">
        <v>300</v>
      </c>
    </row>
    <row r="593" spans="1:6" ht="14.25" customHeight="1" x14ac:dyDescent="0.3">
      <c r="A593" s="101">
        <v>46232</v>
      </c>
      <c r="B593" s="88" t="s">
        <v>212</v>
      </c>
      <c r="C593" s="88" t="s">
        <v>206</v>
      </c>
      <c r="D593" s="87" t="s">
        <v>213</v>
      </c>
      <c r="E593" s="90">
        <v>503</v>
      </c>
      <c r="F593" s="88" t="s">
        <v>10</v>
      </c>
    </row>
    <row r="594" spans="1:6" ht="14.25" customHeight="1" x14ac:dyDescent="0.3">
      <c r="A594" s="102">
        <v>46232</v>
      </c>
      <c r="B594" s="95" t="s">
        <v>370</v>
      </c>
      <c r="C594" s="95" t="s">
        <v>371</v>
      </c>
      <c r="D594" s="94" t="s">
        <v>372</v>
      </c>
      <c r="E594" s="97">
        <v>339</v>
      </c>
      <c r="F594" s="95" t="s">
        <v>373</v>
      </c>
    </row>
    <row r="595" spans="1:6" ht="14.25" customHeight="1" x14ac:dyDescent="0.3">
      <c r="A595" s="101">
        <v>46232</v>
      </c>
      <c r="B595" s="88" t="s">
        <v>374</v>
      </c>
      <c r="C595" s="88" t="s">
        <v>371</v>
      </c>
      <c r="D595" s="87" t="s">
        <v>372</v>
      </c>
      <c r="E595" s="90">
        <v>365</v>
      </c>
      <c r="F595" s="88" t="s">
        <v>373</v>
      </c>
    </row>
    <row r="596" spans="1:6" ht="14.25" customHeight="1" x14ac:dyDescent="0.3">
      <c r="A596" s="102">
        <v>46232</v>
      </c>
      <c r="B596" s="95" t="s">
        <v>375</v>
      </c>
      <c r="C596" s="95" t="s">
        <v>371</v>
      </c>
      <c r="D596" s="94" t="s">
        <v>372</v>
      </c>
      <c r="E596" s="97">
        <v>340</v>
      </c>
      <c r="F596" s="95" t="s">
        <v>373</v>
      </c>
    </row>
    <row r="597" spans="1:6" ht="14.25" customHeight="1" x14ac:dyDescent="0.3">
      <c r="A597" s="101">
        <v>46232</v>
      </c>
      <c r="B597" s="88" t="s">
        <v>376</v>
      </c>
      <c r="C597" s="88" t="s">
        <v>371</v>
      </c>
      <c r="D597" s="87" t="s">
        <v>372</v>
      </c>
      <c r="E597" s="90">
        <v>288</v>
      </c>
      <c r="F597" s="88" t="s">
        <v>373</v>
      </c>
    </row>
    <row r="598" spans="1:6" ht="14.25" customHeight="1" x14ac:dyDescent="0.3">
      <c r="A598" s="102">
        <v>46232</v>
      </c>
      <c r="B598" s="95" t="s">
        <v>377</v>
      </c>
      <c r="C598" s="95" t="s">
        <v>371</v>
      </c>
      <c r="D598" s="94" t="s">
        <v>372</v>
      </c>
      <c r="E598" s="97">
        <v>371</v>
      </c>
      <c r="F598" s="95" t="s">
        <v>373</v>
      </c>
    </row>
    <row r="599" spans="1:6" ht="14.25" customHeight="1" x14ac:dyDescent="0.3">
      <c r="A599" s="101">
        <v>46232</v>
      </c>
      <c r="B599" s="88" t="s">
        <v>378</v>
      </c>
      <c r="C599" s="88" t="s">
        <v>371</v>
      </c>
      <c r="D599" s="87" t="s">
        <v>372</v>
      </c>
      <c r="E599" s="90">
        <v>418</v>
      </c>
      <c r="F599" s="88" t="s">
        <v>373</v>
      </c>
    </row>
    <row r="600" spans="1:6" ht="14.25" customHeight="1" x14ac:dyDescent="0.3">
      <c r="A600" s="102">
        <v>46232</v>
      </c>
      <c r="B600" s="95" t="s">
        <v>379</v>
      </c>
      <c r="C600" s="95" t="s">
        <v>371</v>
      </c>
      <c r="D600" s="94" t="s">
        <v>372</v>
      </c>
      <c r="E600" s="97">
        <v>390</v>
      </c>
      <c r="F600" s="95" t="s">
        <v>373</v>
      </c>
    </row>
    <row r="601" spans="1:6" ht="14.25" customHeight="1" x14ac:dyDescent="0.3">
      <c r="A601" s="101">
        <v>46232</v>
      </c>
      <c r="B601" s="88" t="s">
        <v>380</v>
      </c>
      <c r="C601" s="88" t="s">
        <v>371</v>
      </c>
      <c r="D601" s="87" t="s">
        <v>372</v>
      </c>
      <c r="E601" s="90">
        <v>366</v>
      </c>
      <c r="F601" s="88" t="s">
        <v>373</v>
      </c>
    </row>
    <row r="602" spans="1:6" ht="14.25" customHeight="1" x14ac:dyDescent="0.3">
      <c r="A602" s="102">
        <v>46232</v>
      </c>
      <c r="B602" s="95" t="s">
        <v>381</v>
      </c>
      <c r="C602" s="95" t="s">
        <v>371</v>
      </c>
      <c r="D602" s="94" t="s">
        <v>372</v>
      </c>
      <c r="E602" s="97">
        <v>371</v>
      </c>
      <c r="F602" s="95" t="s">
        <v>373</v>
      </c>
    </row>
    <row r="603" spans="1:6" ht="14.25" customHeight="1" x14ac:dyDescent="0.3">
      <c r="A603" s="101">
        <v>46232</v>
      </c>
      <c r="B603" s="88" t="s">
        <v>382</v>
      </c>
      <c r="C603" s="88" t="s">
        <v>371</v>
      </c>
      <c r="D603" s="87" t="s">
        <v>372</v>
      </c>
      <c r="E603" s="90">
        <v>356</v>
      </c>
      <c r="F603" s="88" t="s">
        <v>373</v>
      </c>
    </row>
    <row r="604" spans="1:6" ht="14.25" customHeight="1" x14ac:dyDescent="0.3">
      <c r="A604" s="102">
        <v>46232</v>
      </c>
      <c r="B604" s="95" t="s">
        <v>383</v>
      </c>
      <c r="C604" s="95" t="s">
        <v>371</v>
      </c>
      <c r="D604" s="94" t="s">
        <v>372</v>
      </c>
      <c r="E604" s="97">
        <v>412</v>
      </c>
      <c r="F604" s="95" t="s">
        <v>373</v>
      </c>
    </row>
    <row r="605" spans="1:6" ht="14.25" customHeight="1" x14ac:dyDescent="0.3">
      <c r="A605" s="101">
        <v>46232</v>
      </c>
      <c r="B605" s="88" t="s">
        <v>384</v>
      </c>
      <c r="C605" s="88" t="s">
        <v>371</v>
      </c>
      <c r="D605" s="87" t="s">
        <v>372</v>
      </c>
      <c r="E605" s="90">
        <v>320</v>
      </c>
      <c r="F605" s="88" t="s">
        <v>373</v>
      </c>
    </row>
    <row r="606" spans="1:6" ht="14.25" customHeight="1" x14ac:dyDescent="0.3">
      <c r="A606" s="102">
        <v>46232</v>
      </c>
      <c r="B606" s="95" t="s">
        <v>385</v>
      </c>
      <c r="C606" s="95" t="s">
        <v>371</v>
      </c>
      <c r="D606" s="94" t="s">
        <v>372</v>
      </c>
      <c r="E606" s="97">
        <v>316</v>
      </c>
      <c r="F606" s="95" t="s">
        <v>373</v>
      </c>
    </row>
    <row r="607" spans="1:6" ht="14.25" customHeight="1" x14ac:dyDescent="0.3">
      <c r="A607" s="101">
        <v>46232</v>
      </c>
      <c r="B607" s="88" t="s">
        <v>386</v>
      </c>
      <c r="C607" s="88" t="s">
        <v>371</v>
      </c>
      <c r="D607" s="87" t="s">
        <v>372</v>
      </c>
      <c r="E607" s="90">
        <v>338</v>
      </c>
      <c r="F607" s="88" t="s">
        <v>373</v>
      </c>
    </row>
    <row r="608" spans="1:6" ht="14.25" customHeight="1" x14ac:dyDescent="0.3">
      <c r="A608" s="102">
        <v>46232</v>
      </c>
      <c r="B608" s="95" t="s">
        <v>387</v>
      </c>
      <c r="C608" s="95" t="s">
        <v>371</v>
      </c>
      <c r="D608" s="94" t="s">
        <v>372</v>
      </c>
      <c r="E608" s="97">
        <v>322</v>
      </c>
      <c r="F608" s="95" t="s">
        <v>373</v>
      </c>
    </row>
    <row r="609" spans="1:6" ht="14.25" customHeight="1" x14ac:dyDescent="0.3">
      <c r="A609" s="101">
        <v>46232</v>
      </c>
      <c r="B609" s="88" t="s">
        <v>388</v>
      </c>
      <c r="C609" s="88" t="s">
        <v>371</v>
      </c>
      <c r="D609" s="87" t="s">
        <v>372</v>
      </c>
      <c r="E609" s="90">
        <v>309</v>
      </c>
      <c r="F609" s="88" t="s">
        <v>373</v>
      </c>
    </row>
    <row r="610" spans="1:6" ht="14.25" customHeight="1" x14ac:dyDescent="0.3">
      <c r="A610" s="102">
        <v>46232</v>
      </c>
      <c r="B610" s="95" t="s">
        <v>389</v>
      </c>
      <c r="C610" s="95" t="s">
        <v>371</v>
      </c>
      <c r="D610" s="94" t="s">
        <v>372</v>
      </c>
      <c r="E610" s="97">
        <v>301</v>
      </c>
      <c r="F610" s="95" t="s">
        <v>373</v>
      </c>
    </row>
    <row r="611" spans="1:6" ht="14.25" customHeight="1" x14ac:dyDescent="0.3">
      <c r="A611" s="101">
        <v>46232</v>
      </c>
      <c r="B611" s="88" t="s">
        <v>390</v>
      </c>
      <c r="C611" s="88" t="s">
        <v>371</v>
      </c>
      <c r="D611" s="87" t="s">
        <v>372</v>
      </c>
      <c r="E611" s="90">
        <v>342</v>
      </c>
      <c r="F611" s="88" t="s">
        <v>373</v>
      </c>
    </row>
    <row r="612" spans="1:6" ht="14.25" customHeight="1" x14ac:dyDescent="0.3">
      <c r="A612" s="102">
        <v>46232</v>
      </c>
      <c r="B612" s="95" t="s">
        <v>391</v>
      </c>
      <c r="C612" s="95" t="s">
        <v>371</v>
      </c>
      <c r="D612" s="94" t="s">
        <v>372</v>
      </c>
      <c r="E612" s="97">
        <v>305</v>
      </c>
      <c r="F612" s="95" t="s">
        <v>373</v>
      </c>
    </row>
    <row r="613" spans="1:6" ht="14.25" customHeight="1" x14ac:dyDescent="0.3">
      <c r="A613" s="101">
        <v>46232</v>
      </c>
      <c r="B613" s="88" t="s">
        <v>392</v>
      </c>
      <c r="C613" s="88" t="s">
        <v>371</v>
      </c>
      <c r="D613" s="87" t="s">
        <v>372</v>
      </c>
      <c r="E613" s="90">
        <v>377</v>
      </c>
      <c r="F613" s="88" t="s">
        <v>373</v>
      </c>
    </row>
    <row r="614" spans="1:6" ht="14.25" customHeight="1" x14ac:dyDescent="0.3">
      <c r="A614" s="102">
        <v>46232</v>
      </c>
      <c r="B614" s="95" t="s">
        <v>393</v>
      </c>
      <c r="C614" s="95" t="s">
        <v>371</v>
      </c>
      <c r="D614" s="94" t="s">
        <v>372</v>
      </c>
      <c r="E614" s="97">
        <v>348</v>
      </c>
      <c r="F614" s="95" t="s">
        <v>373</v>
      </c>
    </row>
    <row r="615" spans="1:6" ht="14.25" customHeight="1" x14ac:dyDescent="0.3">
      <c r="A615" s="101">
        <v>46232</v>
      </c>
      <c r="B615" s="88" t="s">
        <v>394</v>
      </c>
      <c r="C615" s="88" t="s">
        <v>371</v>
      </c>
      <c r="D615" s="87" t="s">
        <v>372</v>
      </c>
      <c r="E615" s="90">
        <v>300</v>
      </c>
      <c r="F615" s="88" t="s">
        <v>373</v>
      </c>
    </row>
    <row r="616" spans="1:6" ht="14.25" customHeight="1" x14ac:dyDescent="0.3">
      <c r="A616" s="102">
        <v>46232</v>
      </c>
      <c r="B616" s="95" t="s">
        <v>395</v>
      </c>
      <c r="C616" s="95" t="s">
        <v>371</v>
      </c>
      <c r="D616" s="94" t="s">
        <v>372</v>
      </c>
      <c r="E616" s="97">
        <v>365</v>
      </c>
      <c r="F616" s="95" t="s">
        <v>373</v>
      </c>
    </row>
    <row r="617" spans="1:6" ht="14.25" customHeight="1" x14ac:dyDescent="0.3">
      <c r="A617" s="101">
        <v>46232</v>
      </c>
      <c r="B617" s="88" t="s">
        <v>396</v>
      </c>
      <c r="C617" s="88" t="s">
        <v>371</v>
      </c>
      <c r="D617" s="87" t="s">
        <v>372</v>
      </c>
      <c r="E617" s="90">
        <v>449</v>
      </c>
      <c r="F617" s="88" t="s">
        <v>373</v>
      </c>
    </row>
    <row r="618" spans="1:6" ht="14.25" customHeight="1" x14ac:dyDescent="0.3">
      <c r="A618" s="102">
        <v>46232</v>
      </c>
      <c r="B618" s="95" t="s">
        <v>397</v>
      </c>
      <c r="C618" s="95" t="s">
        <v>371</v>
      </c>
      <c r="D618" s="94" t="s">
        <v>372</v>
      </c>
      <c r="E618" s="97">
        <v>295</v>
      </c>
      <c r="F618" s="95" t="s">
        <v>373</v>
      </c>
    </row>
    <row r="619" spans="1:6" ht="14.25" customHeight="1" x14ac:dyDescent="0.3">
      <c r="A619" s="101">
        <v>46232</v>
      </c>
      <c r="B619" s="88" t="s">
        <v>398</v>
      </c>
      <c r="C619" s="88" t="s">
        <v>371</v>
      </c>
      <c r="D619" s="87" t="s">
        <v>372</v>
      </c>
      <c r="E619" s="90">
        <v>339</v>
      </c>
      <c r="F619" s="88" t="s">
        <v>373</v>
      </c>
    </row>
    <row r="620" spans="1:6" ht="14.25" customHeight="1" x14ac:dyDescent="0.3">
      <c r="A620" s="102">
        <v>46232</v>
      </c>
      <c r="B620" s="95" t="s">
        <v>399</v>
      </c>
      <c r="C620" s="95" t="s">
        <v>371</v>
      </c>
      <c r="D620" s="94" t="s">
        <v>372</v>
      </c>
      <c r="E620" s="97">
        <v>435</v>
      </c>
      <c r="F620" s="95" t="s">
        <v>373</v>
      </c>
    </row>
    <row r="621" spans="1:6" ht="14.25" customHeight="1" x14ac:dyDescent="0.3">
      <c r="A621" s="101">
        <v>46232</v>
      </c>
      <c r="B621" s="88" t="s">
        <v>400</v>
      </c>
      <c r="C621" s="88" t="s">
        <v>371</v>
      </c>
      <c r="D621" s="87" t="s">
        <v>372</v>
      </c>
      <c r="E621" s="90">
        <v>291</v>
      </c>
      <c r="F621" s="88" t="s">
        <v>373</v>
      </c>
    </row>
    <row r="622" spans="1:6" ht="14.25" customHeight="1" x14ac:dyDescent="0.3">
      <c r="A622" s="102">
        <v>46232</v>
      </c>
      <c r="B622" s="95" t="s">
        <v>401</v>
      </c>
      <c r="C622" s="95" t="s">
        <v>371</v>
      </c>
      <c r="D622" s="94" t="s">
        <v>372</v>
      </c>
      <c r="E622" s="97">
        <v>387</v>
      </c>
      <c r="F622" s="95" t="s">
        <v>373</v>
      </c>
    </row>
    <row r="623" spans="1:6" ht="14.25" customHeight="1" x14ac:dyDescent="0.3">
      <c r="A623" s="101">
        <v>46232</v>
      </c>
      <c r="B623" s="88" t="s">
        <v>402</v>
      </c>
      <c r="C623" s="88" t="s">
        <v>371</v>
      </c>
      <c r="D623" s="87" t="s">
        <v>372</v>
      </c>
      <c r="E623" s="90">
        <v>318</v>
      </c>
      <c r="F623" s="88" t="s">
        <v>373</v>
      </c>
    </row>
    <row r="624" spans="1:6" ht="14.25" customHeight="1" x14ac:dyDescent="0.3">
      <c r="A624" s="102">
        <v>46232</v>
      </c>
      <c r="B624" s="95" t="s">
        <v>403</v>
      </c>
      <c r="C624" s="95" t="s">
        <v>371</v>
      </c>
      <c r="D624" s="94" t="s">
        <v>372</v>
      </c>
      <c r="E624" s="97">
        <v>348</v>
      </c>
      <c r="F624" s="95" t="s">
        <v>373</v>
      </c>
    </row>
    <row r="625" spans="1:6" ht="14.25" customHeight="1" x14ac:dyDescent="0.3">
      <c r="A625" s="101">
        <v>46232</v>
      </c>
      <c r="B625" s="88" t="s">
        <v>404</v>
      </c>
      <c r="C625" s="88" t="s">
        <v>371</v>
      </c>
      <c r="D625" s="87" t="s">
        <v>372</v>
      </c>
      <c r="E625" s="90">
        <v>305</v>
      </c>
      <c r="F625" s="88" t="s">
        <v>373</v>
      </c>
    </row>
    <row r="626" spans="1:6" ht="14.25" customHeight="1" x14ac:dyDescent="0.3">
      <c r="A626" s="102">
        <v>46232</v>
      </c>
      <c r="B626" s="95" t="s">
        <v>405</v>
      </c>
      <c r="C626" s="95" t="s">
        <v>371</v>
      </c>
      <c r="D626" s="94" t="s">
        <v>372</v>
      </c>
      <c r="E626" s="97">
        <v>404</v>
      </c>
      <c r="F626" s="95" t="s">
        <v>373</v>
      </c>
    </row>
    <row r="627" spans="1:6" ht="14.25" customHeight="1" x14ac:dyDescent="0.3">
      <c r="A627" s="101">
        <v>46232</v>
      </c>
      <c r="B627" s="88" t="s">
        <v>406</v>
      </c>
      <c r="C627" s="88" t="s">
        <v>371</v>
      </c>
      <c r="D627" s="87" t="s">
        <v>372</v>
      </c>
      <c r="E627" s="90">
        <v>362</v>
      </c>
      <c r="F627" s="88" t="s">
        <v>373</v>
      </c>
    </row>
    <row r="628" spans="1:6" ht="14.25" customHeight="1" x14ac:dyDescent="0.3">
      <c r="A628" s="102">
        <v>46232</v>
      </c>
      <c r="B628" s="95" t="s">
        <v>407</v>
      </c>
      <c r="C628" s="95" t="s">
        <v>371</v>
      </c>
      <c r="D628" s="94" t="s">
        <v>372</v>
      </c>
      <c r="E628" s="97">
        <v>369</v>
      </c>
      <c r="F628" s="95" t="s">
        <v>373</v>
      </c>
    </row>
    <row r="629" spans="1:6" ht="14.25" customHeight="1" x14ac:dyDescent="0.3">
      <c r="A629" s="101">
        <v>46232</v>
      </c>
      <c r="B629" s="88" t="s">
        <v>218</v>
      </c>
      <c r="C629" s="88" t="s">
        <v>206</v>
      </c>
      <c r="D629" s="87" t="s">
        <v>213</v>
      </c>
      <c r="E629" s="90">
        <v>392</v>
      </c>
      <c r="F629" s="88" t="s">
        <v>10</v>
      </c>
    </row>
    <row r="630" spans="1:6" ht="14.25" customHeight="1" x14ac:dyDescent="0.3">
      <c r="A630" s="102">
        <v>46232</v>
      </c>
      <c r="B630" s="95" t="s">
        <v>221</v>
      </c>
      <c r="C630" s="95" t="s">
        <v>206</v>
      </c>
      <c r="D630" s="94" t="s">
        <v>213</v>
      </c>
      <c r="E630" s="97">
        <v>500</v>
      </c>
      <c r="F630" s="95" t="s">
        <v>10</v>
      </c>
    </row>
    <row r="631" spans="1:6" ht="14.25" customHeight="1" x14ac:dyDescent="0.3">
      <c r="A631" s="101">
        <v>46232</v>
      </c>
      <c r="B631" s="88" t="s">
        <v>222</v>
      </c>
      <c r="C631" s="88" t="s">
        <v>206</v>
      </c>
      <c r="D631" s="87" t="s">
        <v>213</v>
      </c>
      <c r="E631" s="90">
        <v>550</v>
      </c>
      <c r="F631" s="88" t="s">
        <v>10</v>
      </c>
    </row>
    <row r="632" spans="1:6" ht="14.25" customHeight="1" x14ac:dyDescent="0.3">
      <c r="A632" s="102">
        <v>46232</v>
      </c>
      <c r="B632" s="95" t="s">
        <v>224</v>
      </c>
      <c r="C632" s="95" t="s">
        <v>206</v>
      </c>
      <c r="D632" s="94" t="s">
        <v>213</v>
      </c>
      <c r="E632" s="97">
        <v>524</v>
      </c>
      <c r="F632" s="95" t="s">
        <v>10</v>
      </c>
    </row>
    <row r="633" spans="1:6" ht="14.25" customHeight="1" x14ac:dyDescent="0.3">
      <c r="A633" s="101">
        <v>46232</v>
      </c>
      <c r="B633" s="88" t="s">
        <v>225</v>
      </c>
      <c r="C633" s="88" t="s">
        <v>206</v>
      </c>
      <c r="D633" s="87" t="s">
        <v>213</v>
      </c>
      <c r="E633" s="90">
        <v>555</v>
      </c>
      <c r="F633" s="88" t="s">
        <v>10</v>
      </c>
    </row>
    <row r="634" spans="1:6" ht="14.25" customHeight="1" x14ac:dyDescent="0.3">
      <c r="A634" s="102">
        <v>46232</v>
      </c>
      <c r="B634" s="95" t="s">
        <v>229</v>
      </c>
      <c r="C634" s="95" t="s">
        <v>206</v>
      </c>
      <c r="D634" s="94" t="s">
        <v>213</v>
      </c>
      <c r="E634" s="97">
        <v>490</v>
      </c>
      <c r="F634" s="95" t="s">
        <v>10</v>
      </c>
    </row>
    <row r="635" spans="1:6" ht="14.25" customHeight="1" x14ac:dyDescent="0.3">
      <c r="A635" s="101">
        <v>46232</v>
      </c>
      <c r="B635" s="88" t="s">
        <v>232</v>
      </c>
      <c r="C635" s="88" t="s">
        <v>206</v>
      </c>
      <c r="D635" s="87" t="s">
        <v>213</v>
      </c>
      <c r="E635" s="90">
        <v>566</v>
      </c>
      <c r="F635" s="88" t="s">
        <v>10</v>
      </c>
    </row>
    <row r="636" spans="1:6" ht="14.25" customHeight="1" x14ac:dyDescent="0.3">
      <c r="A636" s="102">
        <v>46232</v>
      </c>
      <c r="B636" s="95" t="s">
        <v>235</v>
      </c>
      <c r="C636" s="95" t="s">
        <v>206</v>
      </c>
      <c r="D636" s="94" t="s">
        <v>213</v>
      </c>
      <c r="E636" s="97">
        <v>535</v>
      </c>
      <c r="F636" s="95" t="s">
        <v>10</v>
      </c>
    </row>
    <row r="637" spans="1:6" ht="14.25" customHeight="1" x14ac:dyDescent="0.3">
      <c r="A637" s="101">
        <v>46232</v>
      </c>
      <c r="B637" s="88" t="s">
        <v>239</v>
      </c>
      <c r="C637" s="88" t="s">
        <v>206</v>
      </c>
      <c r="D637" s="87" t="s">
        <v>213</v>
      </c>
      <c r="E637" s="90">
        <v>490</v>
      </c>
      <c r="F637" s="88" t="s">
        <v>10</v>
      </c>
    </row>
    <row r="638" spans="1:6" ht="14.25" customHeight="1" x14ac:dyDescent="0.3">
      <c r="A638" s="102">
        <v>46232</v>
      </c>
      <c r="B638" s="95" t="s">
        <v>408</v>
      </c>
      <c r="C638" s="95" t="s">
        <v>371</v>
      </c>
      <c r="D638" s="94" t="s">
        <v>372</v>
      </c>
      <c r="E638" s="97">
        <v>339</v>
      </c>
      <c r="F638" s="95" t="s">
        <v>373</v>
      </c>
    </row>
    <row r="639" spans="1:6" ht="14.25" customHeight="1" x14ac:dyDescent="0.3">
      <c r="A639" s="101">
        <v>46232</v>
      </c>
      <c r="B639" s="88" t="s">
        <v>242</v>
      </c>
      <c r="C639" s="88" t="s">
        <v>206</v>
      </c>
      <c r="D639" s="87" t="s">
        <v>213</v>
      </c>
      <c r="E639" s="90">
        <v>526</v>
      </c>
      <c r="F639" s="88" t="s">
        <v>10</v>
      </c>
    </row>
    <row r="640" spans="1:6" ht="14.25" customHeight="1" x14ac:dyDescent="0.3">
      <c r="A640" s="102">
        <v>46232</v>
      </c>
      <c r="B640" s="95" t="s">
        <v>243</v>
      </c>
      <c r="C640" s="95" t="s">
        <v>206</v>
      </c>
      <c r="D640" s="94" t="s">
        <v>213</v>
      </c>
      <c r="E640" s="97">
        <v>562</v>
      </c>
      <c r="F640" s="95" t="s">
        <v>10</v>
      </c>
    </row>
    <row r="641" spans="1:6" ht="14.25" customHeight="1" x14ac:dyDescent="0.3">
      <c r="A641" s="101">
        <v>46232</v>
      </c>
      <c r="B641" s="88" t="s">
        <v>246</v>
      </c>
      <c r="C641" s="88" t="s">
        <v>206</v>
      </c>
      <c r="D641" s="87" t="s">
        <v>213</v>
      </c>
      <c r="E641" s="90">
        <v>464</v>
      </c>
      <c r="F641" s="88" t="s">
        <v>10</v>
      </c>
    </row>
    <row r="642" spans="1:6" ht="14.25" customHeight="1" x14ac:dyDescent="0.3">
      <c r="A642" s="102">
        <v>46232</v>
      </c>
      <c r="B642" s="95" t="s">
        <v>249</v>
      </c>
      <c r="C642" s="95" t="s">
        <v>206</v>
      </c>
      <c r="D642" s="94" t="s">
        <v>213</v>
      </c>
      <c r="E642" s="97">
        <v>531</v>
      </c>
      <c r="F642" s="95" t="s">
        <v>10</v>
      </c>
    </row>
    <row r="643" spans="1:6" ht="14.25" customHeight="1" x14ac:dyDescent="0.3">
      <c r="A643" s="101">
        <v>46232</v>
      </c>
      <c r="B643" s="88" t="s">
        <v>251</v>
      </c>
      <c r="C643" s="88" t="s">
        <v>206</v>
      </c>
      <c r="D643" s="87" t="s">
        <v>213</v>
      </c>
      <c r="E643" s="90">
        <v>567</v>
      </c>
      <c r="F643" s="88" t="s">
        <v>10</v>
      </c>
    </row>
    <row r="644" spans="1:6" ht="14.25" customHeight="1" x14ac:dyDescent="0.3">
      <c r="A644" s="102">
        <v>46232</v>
      </c>
      <c r="B644" s="95" t="s">
        <v>252</v>
      </c>
      <c r="C644" s="95" t="s">
        <v>206</v>
      </c>
      <c r="D644" s="94" t="s">
        <v>213</v>
      </c>
      <c r="E644" s="97">
        <v>545</v>
      </c>
      <c r="F644" s="95" t="s">
        <v>10</v>
      </c>
    </row>
    <row r="645" spans="1:6" ht="14.25" customHeight="1" x14ac:dyDescent="0.3">
      <c r="A645" s="101">
        <v>46232</v>
      </c>
      <c r="B645" s="88" t="s">
        <v>255</v>
      </c>
      <c r="C645" s="88" t="s">
        <v>206</v>
      </c>
      <c r="D645" s="87" t="s">
        <v>213</v>
      </c>
      <c r="E645" s="90">
        <v>562</v>
      </c>
      <c r="F645" s="88" t="s">
        <v>10</v>
      </c>
    </row>
    <row r="646" spans="1:6" ht="14.25" customHeight="1" x14ac:dyDescent="0.3">
      <c r="A646" s="102">
        <v>46232</v>
      </c>
      <c r="B646" s="95" t="s">
        <v>256</v>
      </c>
      <c r="C646" s="95" t="s">
        <v>206</v>
      </c>
      <c r="D646" s="94" t="s">
        <v>213</v>
      </c>
      <c r="E646" s="97">
        <v>550</v>
      </c>
      <c r="F646" s="95" t="s">
        <v>10</v>
      </c>
    </row>
    <row r="647" spans="1:6" ht="14.25" customHeight="1" x14ac:dyDescent="0.3">
      <c r="A647" s="101">
        <v>46232</v>
      </c>
      <c r="B647" s="88" t="s">
        <v>257</v>
      </c>
      <c r="C647" s="88" t="s">
        <v>206</v>
      </c>
      <c r="D647" s="87" t="s">
        <v>213</v>
      </c>
      <c r="E647" s="90">
        <v>536</v>
      </c>
      <c r="F647" s="88" t="s">
        <v>10</v>
      </c>
    </row>
    <row r="648" spans="1:6" ht="14.25" customHeight="1" x14ac:dyDescent="0.3">
      <c r="A648" s="102">
        <v>46232</v>
      </c>
      <c r="B648" s="95" t="s">
        <v>258</v>
      </c>
      <c r="C648" s="95" t="s">
        <v>206</v>
      </c>
      <c r="D648" s="94" t="s">
        <v>213</v>
      </c>
      <c r="E648" s="97">
        <v>546</v>
      </c>
      <c r="F648" s="95" t="s">
        <v>10</v>
      </c>
    </row>
    <row r="649" spans="1:6" ht="14.25" customHeight="1" x14ac:dyDescent="0.3">
      <c r="A649" s="101">
        <v>46232</v>
      </c>
      <c r="B649" s="88" t="s">
        <v>259</v>
      </c>
      <c r="C649" s="88" t="s">
        <v>206</v>
      </c>
      <c r="D649" s="87" t="s">
        <v>213</v>
      </c>
      <c r="E649" s="90">
        <v>527</v>
      </c>
      <c r="F649" s="88" t="s">
        <v>10</v>
      </c>
    </row>
    <row r="650" spans="1:6" ht="14.25" customHeight="1" x14ac:dyDescent="0.3">
      <c r="A650" s="102">
        <v>46232</v>
      </c>
      <c r="B650" s="95" t="s">
        <v>264</v>
      </c>
      <c r="C650" s="95" t="s">
        <v>206</v>
      </c>
      <c r="D650" s="94" t="s">
        <v>213</v>
      </c>
      <c r="E650" s="97">
        <v>527</v>
      </c>
      <c r="F650" s="95" t="s">
        <v>10</v>
      </c>
    </row>
    <row r="651" spans="1:6" ht="14.25" customHeight="1" x14ac:dyDescent="0.3">
      <c r="A651" s="101">
        <v>46232</v>
      </c>
      <c r="B651" s="88" t="s">
        <v>265</v>
      </c>
      <c r="C651" s="88" t="s">
        <v>206</v>
      </c>
      <c r="D651" s="87" t="s">
        <v>213</v>
      </c>
      <c r="E651" s="90">
        <v>478</v>
      </c>
      <c r="F651" s="88" t="s">
        <v>10</v>
      </c>
    </row>
    <row r="652" spans="1:6" ht="14.25" customHeight="1" x14ac:dyDescent="0.3">
      <c r="A652" s="102">
        <v>46232</v>
      </c>
      <c r="B652" s="95" t="s">
        <v>266</v>
      </c>
      <c r="C652" s="95" t="s">
        <v>206</v>
      </c>
      <c r="D652" s="94" t="s">
        <v>213</v>
      </c>
      <c r="E652" s="97">
        <v>553</v>
      </c>
      <c r="F652" s="95" t="s">
        <v>10</v>
      </c>
    </row>
    <row r="653" spans="1:6" ht="14.25" customHeight="1" x14ac:dyDescent="0.3">
      <c r="A653" s="101">
        <v>46232</v>
      </c>
      <c r="B653" s="88" t="s">
        <v>267</v>
      </c>
      <c r="C653" s="88" t="s">
        <v>206</v>
      </c>
      <c r="D653" s="87" t="s">
        <v>213</v>
      </c>
      <c r="E653" s="90">
        <v>534</v>
      </c>
      <c r="F653" s="88" t="s">
        <v>10</v>
      </c>
    </row>
    <row r="654" spans="1:6" ht="14.25" customHeight="1" x14ac:dyDescent="0.3">
      <c r="A654" s="102">
        <v>46232</v>
      </c>
      <c r="B654" s="95" t="s">
        <v>268</v>
      </c>
      <c r="C654" s="95" t="s">
        <v>206</v>
      </c>
      <c r="D654" s="94" t="s">
        <v>213</v>
      </c>
      <c r="E654" s="97">
        <v>528</v>
      </c>
      <c r="F654" s="95" t="s">
        <v>10</v>
      </c>
    </row>
    <row r="655" spans="1:6" ht="14.25" customHeight="1" x14ac:dyDescent="0.3">
      <c r="A655" s="101">
        <v>46232</v>
      </c>
      <c r="B655" s="88" t="s">
        <v>269</v>
      </c>
      <c r="C655" s="88" t="s">
        <v>206</v>
      </c>
      <c r="D655" s="87" t="s">
        <v>213</v>
      </c>
      <c r="E655" s="90">
        <v>475</v>
      </c>
      <c r="F655" s="88" t="s">
        <v>10</v>
      </c>
    </row>
    <row r="656" spans="1:6" ht="14.25" customHeight="1" x14ac:dyDescent="0.3">
      <c r="A656" s="102">
        <v>46232</v>
      </c>
      <c r="B656" s="95" t="s">
        <v>271</v>
      </c>
      <c r="C656" s="95" t="s">
        <v>206</v>
      </c>
      <c r="D656" s="94" t="s">
        <v>213</v>
      </c>
      <c r="E656" s="97">
        <v>560</v>
      </c>
      <c r="F656" s="95" t="s">
        <v>10</v>
      </c>
    </row>
    <row r="657" spans="1:6" ht="14.25" customHeight="1" x14ac:dyDescent="0.3">
      <c r="A657" s="101">
        <v>46232</v>
      </c>
      <c r="B657" s="88" t="s">
        <v>272</v>
      </c>
      <c r="C657" s="88" t="s">
        <v>206</v>
      </c>
      <c r="D657" s="87" t="s">
        <v>213</v>
      </c>
      <c r="E657" s="90">
        <v>500</v>
      </c>
      <c r="F657" s="88" t="s">
        <v>10</v>
      </c>
    </row>
    <row r="658" spans="1:6" ht="14.25" customHeight="1" x14ac:dyDescent="0.3">
      <c r="A658" s="102">
        <v>46232</v>
      </c>
      <c r="B658" s="95" t="s">
        <v>273</v>
      </c>
      <c r="C658" s="95" t="s">
        <v>206</v>
      </c>
      <c r="D658" s="94" t="s">
        <v>213</v>
      </c>
      <c r="E658" s="97">
        <v>566</v>
      </c>
      <c r="F658" s="95" t="s">
        <v>10</v>
      </c>
    </row>
    <row r="659" spans="1:6" ht="14.25" customHeight="1" x14ac:dyDescent="0.3">
      <c r="A659" s="101">
        <v>46232</v>
      </c>
      <c r="B659" s="88" t="s">
        <v>274</v>
      </c>
      <c r="C659" s="88" t="s">
        <v>206</v>
      </c>
      <c r="D659" s="87" t="s">
        <v>213</v>
      </c>
      <c r="E659" s="90">
        <v>438</v>
      </c>
      <c r="F659" s="88" t="s">
        <v>10</v>
      </c>
    </row>
    <row r="660" spans="1:6" ht="14.25" customHeight="1" x14ac:dyDescent="0.3">
      <c r="A660" s="102">
        <v>46232</v>
      </c>
      <c r="B660" s="95" t="s">
        <v>275</v>
      </c>
      <c r="C660" s="95" t="s">
        <v>206</v>
      </c>
      <c r="D660" s="94" t="s">
        <v>213</v>
      </c>
      <c r="E660" s="97">
        <v>528</v>
      </c>
      <c r="F660" s="95" t="s">
        <v>10</v>
      </c>
    </row>
    <row r="661" spans="1:6" ht="14.25" customHeight="1" x14ac:dyDescent="0.3">
      <c r="A661" s="101">
        <v>46232</v>
      </c>
      <c r="B661" s="88" t="s">
        <v>276</v>
      </c>
      <c r="C661" s="88" t="s">
        <v>206</v>
      </c>
      <c r="D661" s="87" t="s">
        <v>213</v>
      </c>
      <c r="E661" s="90">
        <v>516</v>
      </c>
      <c r="F661" s="88" t="s">
        <v>10</v>
      </c>
    </row>
    <row r="662" spans="1:6" ht="14.25" customHeight="1" x14ac:dyDescent="0.3">
      <c r="A662" s="102">
        <v>46232</v>
      </c>
      <c r="B662" s="95" t="s">
        <v>277</v>
      </c>
      <c r="C662" s="95" t="s">
        <v>206</v>
      </c>
      <c r="D662" s="94" t="s">
        <v>213</v>
      </c>
      <c r="E662" s="97">
        <v>525</v>
      </c>
      <c r="F662" s="95" t="s">
        <v>10</v>
      </c>
    </row>
    <row r="663" spans="1:6" ht="14.25" customHeight="1" x14ac:dyDescent="0.3">
      <c r="A663" s="101">
        <v>46232</v>
      </c>
      <c r="B663" s="88" t="s">
        <v>278</v>
      </c>
      <c r="C663" s="88" t="s">
        <v>206</v>
      </c>
      <c r="D663" s="87" t="s">
        <v>213</v>
      </c>
      <c r="E663" s="90">
        <v>550</v>
      </c>
      <c r="F663" s="88" t="s">
        <v>10</v>
      </c>
    </row>
    <row r="664" spans="1:6" ht="14.25" customHeight="1" x14ac:dyDescent="0.3">
      <c r="A664" s="102">
        <v>46232</v>
      </c>
      <c r="B664" s="95" t="s">
        <v>279</v>
      </c>
      <c r="C664" s="95" t="s">
        <v>206</v>
      </c>
      <c r="D664" s="94" t="s">
        <v>213</v>
      </c>
      <c r="E664" s="97">
        <v>529</v>
      </c>
      <c r="F664" s="95" t="s">
        <v>10</v>
      </c>
    </row>
    <row r="665" spans="1:6" ht="14.25" customHeight="1" x14ac:dyDescent="0.3">
      <c r="A665" s="101">
        <v>46232</v>
      </c>
      <c r="B665" s="88" t="s">
        <v>280</v>
      </c>
      <c r="C665" s="88" t="s">
        <v>206</v>
      </c>
      <c r="D665" s="87" t="s">
        <v>213</v>
      </c>
      <c r="E665" s="90">
        <v>538</v>
      </c>
      <c r="F665" s="88" t="s">
        <v>10</v>
      </c>
    </row>
    <row r="666" spans="1:6" ht="14.25" customHeight="1" x14ac:dyDescent="0.3">
      <c r="A666" s="102">
        <v>46232</v>
      </c>
      <c r="B666" s="95" t="s">
        <v>281</v>
      </c>
      <c r="C666" s="95" t="s">
        <v>206</v>
      </c>
      <c r="D666" s="94" t="s">
        <v>213</v>
      </c>
      <c r="E666" s="97">
        <v>483</v>
      </c>
      <c r="F666" s="95" t="s">
        <v>10</v>
      </c>
    </row>
    <row r="667" spans="1:6" ht="14.25" customHeight="1" x14ac:dyDescent="0.3">
      <c r="A667" s="101">
        <v>46232</v>
      </c>
      <c r="B667" s="88" t="s">
        <v>283</v>
      </c>
      <c r="C667" s="88" t="s">
        <v>206</v>
      </c>
      <c r="D667" s="87" t="s">
        <v>213</v>
      </c>
      <c r="E667" s="90">
        <v>540</v>
      </c>
      <c r="F667" s="88" t="s">
        <v>10</v>
      </c>
    </row>
    <row r="668" spans="1:6" ht="14.25" customHeight="1" x14ac:dyDescent="0.3">
      <c r="A668" s="102">
        <v>46232</v>
      </c>
      <c r="B668" s="95" t="s">
        <v>284</v>
      </c>
      <c r="C668" s="95" t="s">
        <v>206</v>
      </c>
      <c r="D668" s="94" t="s">
        <v>213</v>
      </c>
      <c r="E668" s="97">
        <v>573</v>
      </c>
      <c r="F668" s="95" t="s">
        <v>10</v>
      </c>
    </row>
    <row r="669" spans="1:6" ht="14.25" customHeight="1" x14ac:dyDescent="0.3">
      <c r="A669" s="101">
        <v>46232</v>
      </c>
      <c r="B669" s="88" t="s">
        <v>285</v>
      </c>
      <c r="C669" s="88" t="s">
        <v>206</v>
      </c>
      <c r="D669" s="87" t="s">
        <v>213</v>
      </c>
      <c r="E669" s="90">
        <v>420</v>
      </c>
      <c r="F669" s="88" t="s">
        <v>10</v>
      </c>
    </row>
    <row r="670" spans="1:6" ht="14.25" customHeight="1" x14ac:dyDescent="0.3">
      <c r="A670" s="102">
        <v>46232</v>
      </c>
      <c r="B670" s="95" t="s">
        <v>287</v>
      </c>
      <c r="C670" s="95" t="s">
        <v>206</v>
      </c>
      <c r="D670" s="94" t="s">
        <v>213</v>
      </c>
      <c r="E670" s="97">
        <v>593</v>
      </c>
      <c r="F670" s="95" t="s">
        <v>10</v>
      </c>
    </row>
    <row r="671" spans="1:6" ht="14.25" customHeight="1" x14ac:dyDescent="0.3">
      <c r="A671" s="101">
        <v>46232</v>
      </c>
      <c r="B671" s="88" t="s">
        <v>288</v>
      </c>
      <c r="C671" s="88" t="s">
        <v>206</v>
      </c>
      <c r="D671" s="87" t="s">
        <v>213</v>
      </c>
      <c r="E671" s="90">
        <v>550</v>
      </c>
      <c r="F671" s="88" t="s">
        <v>10</v>
      </c>
    </row>
    <row r="672" spans="1:6" ht="14.25" customHeight="1" x14ac:dyDescent="0.3">
      <c r="A672" s="102">
        <v>46232</v>
      </c>
      <c r="B672" s="95" t="s">
        <v>291</v>
      </c>
      <c r="C672" s="95" t="s">
        <v>206</v>
      </c>
      <c r="D672" s="94" t="s">
        <v>213</v>
      </c>
      <c r="E672" s="97">
        <v>464</v>
      </c>
      <c r="F672" s="95" t="s">
        <v>10</v>
      </c>
    </row>
    <row r="673" spans="1:6" ht="14.25" customHeight="1" x14ac:dyDescent="0.3">
      <c r="A673" s="101">
        <v>46232</v>
      </c>
      <c r="B673" s="88" t="s">
        <v>409</v>
      </c>
      <c r="C673" s="88" t="s">
        <v>371</v>
      </c>
      <c r="D673" s="87" t="s">
        <v>372</v>
      </c>
      <c r="E673" s="90">
        <v>405</v>
      </c>
      <c r="F673" s="88" t="s">
        <v>373</v>
      </c>
    </row>
    <row r="674" spans="1:6" ht="14.25" customHeight="1" x14ac:dyDescent="0.3">
      <c r="A674" s="102">
        <v>46232</v>
      </c>
      <c r="B674" s="95" t="s">
        <v>293</v>
      </c>
      <c r="C674" s="95" t="s">
        <v>206</v>
      </c>
      <c r="D674" s="94" t="s">
        <v>213</v>
      </c>
      <c r="E674" s="97">
        <v>474</v>
      </c>
      <c r="F674" s="95" t="s">
        <v>10</v>
      </c>
    </row>
    <row r="675" spans="1:6" ht="14.25" customHeight="1" x14ac:dyDescent="0.3">
      <c r="A675" s="101">
        <v>46232</v>
      </c>
      <c r="B675" s="88" t="s">
        <v>294</v>
      </c>
      <c r="C675" s="88" t="s">
        <v>206</v>
      </c>
      <c r="D675" s="87" t="s">
        <v>213</v>
      </c>
      <c r="E675" s="90">
        <v>501</v>
      </c>
      <c r="F675" s="88" t="s">
        <v>10</v>
      </c>
    </row>
    <row r="676" spans="1:6" ht="14.25" customHeight="1" x14ac:dyDescent="0.3">
      <c r="A676" s="102">
        <v>46232</v>
      </c>
      <c r="B676" s="95" t="s">
        <v>7</v>
      </c>
      <c r="C676" s="95" t="s">
        <v>8</v>
      </c>
      <c r="D676" s="94" t="s">
        <v>9</v>
      </c>
      <c r="E676" s="103">
        <v>514</v>
      </c>
      <c r="F676" s="95" t="s">
        <v>10</v>
      </c>
    </row>
    <row r="677" spans="1:6" ht="14.25" customHeight="1" x14ac:dyDescent="0.3">
      <c r="A677" s="101">
        <v>46232</v>
      </c>
      <c r="B677" s="88" t="s">
        <v>11</v>
      </c>
      <c r="C677" s="88" t="s">
        <v>8</v>
      </c>
      <c r="D677" s="87" t="s">
        <v>9</v>
      </c>
      <c r="E677" s="104">
        <v>489</v>
      </c>
      <c r="F677" s="88" t="s">
        <v>10</v>
      </c>
    </row>
    <row r="678" spans="1:6" ht="14.25" customHeight="1" x14ac:dyDescent="0.3">
      <c r="A678" s="102">
        <v>46232</v>
      </c>
      <c r="B678" s="95" t="s">
        <v>12</v>
      </c>
      <c r="C678" s="95" t="s">
        <v>8</v>
      </c>
      <c r="D678" s="94" t="s">
        <v>9</v>
      </c>
      <c r="E678">
        <v>540</v>
      </c>
      <c r="F678" s="95" t="s">
        <v>10</v>
      </c>
    </row>
    <row r="679" spans="1:6" ht="14.25" customHeight="1" x14ac:dyDescent="0.3">
      <c r="A679" s="101">
        <v>46232</v>
      </c>
      <c r="B679" s="88" t="s">
        <v>13</v>
      </c>
      <c r="C679" s="88" t="s">
        <v>8</v>
      </c>
      <c r="D679" s="87" t="s">
        <v>9</v>
      </c>
      <c r="E679">
        <v>491</v>
      </c>
      <c r="F679" s="88" t="s">
        <v>10</v>
      </c>
    </row>
    <row r="680" spans="1:6" ht="14.25" customHeight="1" x14ac:dyDescent="0.3">
      <c r="A680" s="102">
        <v>46232</v>
      </c>
      <c r="B680" s="95" t="s">
        <v>14</v>
      </c>
      <c r="C680" s="95" t="s">
        <v>8</v>
      </c>
      <c r="D680" s="94" t="s">
        <v>9</v>
      </c>
      <c r="E680">
        <v>488</v>
      </c>
      <c r="F680" s="95" t="s">
        <v>10</v>
      </c>
    </row>
    <row r="681" spans="1:6" ht="14.25" customHeight="1" x14ac:dyDescent="0.3">
      <c r="A681" s="101">
        <v>46232</v>
      </c>
      <c r="B681" s="88" t="s">
        <v>15</v>
      </c>
      <c r="C681" s="88" t="s">
        <v>8</v>
      </c>
      <c r="D681" s="87" t="s">
        <v>9</v>
      </c>
      <c r="E681">
        <v>557</v>
      </c>
      <c r="F681" s="88" t="s">
        <v>373</v>
      </c>
    </row>
    <row r="682" spans="1:6" ht="14.25" customHeight="1" x14ac:dyDescent="0.3">
      <c r="A682" s="101">
        <v>46232</v>
      </c>
      <c r="B682" s="88">
        <v>2307</v>
      </c>
      <c r="C682" s="88" t="s">
        <v>8</v>
      </c>
      <c r="D682" s="87" t="s">
        <v>9</v>
      </c>
      <c r="E682">
        <v>577</v>
      </c>
      <c r="F682" s="95" t="s">
        <v>10</v>
      </c>
    </row>
    <row r="683" spans="1:6" ht="14.25" customHeight="1" x14ac:dyDescent="0.3">
      <c r="A683" s="101">
        <v>46232</v>
      </c>
      <c r="B683" s="95" t="s">
        <v>16</v>
      </c>
      <c r="C683" s="95" t="s">
        <v>8</v>
      </c>
      <c r="D683" s="94" t="s">
        <v>9</v>
      </c>
      <c r="E683">
        <v>564</v>
      </c>
      <c r="F683" s="88" t="s">
        <v>10</v>
      </c>
    </row>
    <row r="684" spans="1:6" ht="14.25" customHeight="1" x14ac:dyDescent="0.3">
      <c r="A684" s="101">
        <v>46232</v>
      </c>
      <c r="B684" s="88" t="s">
        <v>17</v>
      </c>
      <c r="C684" s="88" t="s">
        <v>8</v>
      </c>
      <c r="D684" s="87" t="s">
        <v>9</v>
      </c>
      <c r="E684">
        <v>538</v>
      </c>
      <c r="F684" s="95" t="s">
        <v>10</v>
      </c>
    </row>
    <row r="685" spans="1:6" ht="14.25" customHeight="1" x14ac:dyDescent="0.3">
      <c r="A685" s="102">
        <v>46232</v>
      </c>
      <c r="B685" s="95" t="s">
        <v>18</v>
      </c>
      <c r="C685" s="95" t="s">
        <v>8</v>
      </c>
      <c r="D685" s="94" t="s">
        <v>9</v>
      </c>
      <c r="E685">
        <v>514</v>
      </c>
      <c r="F685" s="88" t="s">
        <v>10</v>
      </c>
    </row>
    <row r="686" spans="1:6" ht="14.25" customHeight="1" x14ac:dyDescent="0.3">
      <c r="A686" s="101">
        <v>46232</v>
      </c>
      <c r="B686" s="88" t="s">
        <v>19</v>
      </c>
      <c r="C686" s="88" t="s">
        <v>8</v>
      </c>
      <c r="D686" s="87" t="s">
        <v>9</v>
      </c>
      <c r="E686">
        <v>573</v>
      </c>
      <c r="F686" s="95" t="s">
        <v>10</v>
      </c>
    </row>
    <row r="687" spans="1:6" ht="14.25" customHeight="1" x14ac:dyDescent="0.3">
      <c r="A687" s="102">
        <v>46232</v>
      </c>
      <c r="B687" s="95" t="s">
        <v>20</v>
      </c>
      <c r="C687" s="95" t="s">
        <v>8</v>
      </c>
      <c r="D687" s="94" t="s">
        <v>9</v>
      </c>
      <c r="E687">
        <v>531</v>
      </c>
      <c r="F687" s="88" t="s">
        <v>10</v>
      </c>
    </row>
    <row r="688" spans="1:6" ht="14.25" customHeight="1" x14ac:dyDescent="0.3">
      <c r="A688" s="101">
        <v>46232</v>
      </c>
      <c r="B688" s="88" t="s">
        <v>21</v>
      </c>
      <c r="C688" s="88" t="s">
        <v>8</v>
      </c>
      <c r="D688" s="87" t="s">
        <v>9</v>
      </c>
      <c r="E688">
        <v>539</v>
      </c>
      <c r="F688" s="95" t="s">
        <v>10</v>
      </c>
    </row>
    <row r="689" spans="1:6" ht="14.25" customHeight="1" x14ac:dyDescent="0.3">
      <c r="A689" s="102">
        <v>46232</v>
      </c>
      <c r="B689" s="95" t="s">
        <v>22</v>
      </c>
      <c r="C689" s="95" t="s">
        <v>8</v>
      </c>
      <c r="D689" s="94" t="s">
        <v>9</v>
      </c>
      <c r="E689">
        <v>504</v>
      </c>
      <c r="F689" s="95" t="s">
        <v>10</v>
      </c>
    </row>
    <row r="690" spans="1:6" ht="14.25" customHeight="1" x14ac:dyDescent="0.3">
      <c r="A690" s="101">
        <v>46232</v>
      </c>
      <c r="B690" s="88" t="s">
        <v>23</v>
      </c>
      <c r="C690" s="88" t="s">
        <v>8</v>
      </c>
      <c r="D690" s="87" t="s">
        <v>9</v>
      </c>
      <c r="E690">
        <v>580</v>
      </c>
      <c r="F690" s="88" t="s">
        <v>10</v>
      </c>
    </row>
    <row r="691" spans="1:6" ht="14.25" customHeight="1" x14ac:dyDescent="0.3">
      <c r="A691" s="102">
        <v>46232</v>
      </c>
      <c r="B691" s="95" t="s">
        <v>24</v>
      </c>
      <c r="C691" s="95" t="s">
        <v>8</v>
      </c>
      <c r="D691" s="94" t="s">
        <v>9</v>
      </c>
      <c r="E691">
        <v>545</v>
      </c>
      <c r="F691" s="95" t="s">
        <v>10</v>
      </c>
    </row>
    <row r="692" spans="1:6" ht="14.25" customHeight="1" x14ac:dyDescent="0.3">
      <c r="A692" s="101">
        <v>46232</v>
      </c>
      <c r="B692" s="88" t="s">
        <v>25</v>
      </c>
      <c r="C692" s="88" t="s">
        <v>8</v>
      </c>
      <c r="D692" s="87" t="s">
        <v>9</v>
      </c>
      <c r="E692">
        <v>536</v>
      </c>
      <c r="F692" s="88" t="s">
        <v>10</v>
      </c>
    </row>
    <row r="693" spans="1:6" ht="14.25" customHeight="1" x14ac:dyDescent="0.3">
      <c r="A693" s="102">
        <v>46232</v>
      </c>
      <c r="B693" s="95" t="s">
        <v>26</v>
      </c>
      <c r="C693" s="95" t="s">
        <v>8</v>
      </c>
      <c r="D693" s="94" t="s">
        <v>9</v>
      </c>
      <c r="E693">
        <v>517</v>
      </c>
      <c r="F693" s="95" t="s">
        <v>10</v>
      </c>
    </row>
    <row r="694" spans="1:6" ht="14.25" customHeight="1" x14ac:dyDescent="0.3">
      <c r="A694" s="101">
        <v>46232</v>
      </c>
      <c r="B694" s="88" t="s">
        <v>27</v>
      </c>
      <c r="C694" s="88" t="s">
        <v>8</v>
      </c>
      <c r="D694" s="87" t="s">
        <v>9</v>
      </c>
      <c r="E694">
        <v>512</v>
      </c>
      <c r="F694" s="88" t="s">
        <v>10</v>
      </c>
    </row>
    <row r="695" spans="1:6" ht="14.25" customHeight="1" x14ac:dyDescent="0.3">
      <c r="A695" s="102">
        <v>46232</v>
      </c>
      <c r="B695" s="95" t="s">
        <v>28</v>
      </c>
      <c r="C695" s="95" t="s">
        <v>8</v>
      </c>
      <c r="D695" s="94" t="s">
        <v>9</v>
      </c>
      <c r="E695">
        <v>520</v>
      </c>
      <c r="F695" s="95" t="s">
        <v>10</v>
      </c>
    </row>
    <row r="696" spans="1:6" ht="14.25" customHeight="1" x14ac:dyDescent="0.3">
      <c r="A696" s="101">
        <v>46232</v>
      </c>
      <c r="B696" s="88" t="s">
        <v>29</v>
      </c>
      <c r="C696" s="88" t="s">
        <v>8</v>
      </c>
      <c r="D696" s="87" t="s">
        <v>9</v>
      </c>
      <c r="E696">
        <v>539</v>
      </c>
      <c r="F696" s="95" t="s">
        <v>10</v>
      </c>
    </row>
    <row r="697" spans="1:6" ht="14.25" customHeight="1" x14ac:dyDescent="0.3">
      <c r="A697" s="102">
        <v>46232</v>
      </c>
      <c r="B697" s="95" t="s">
        <v>30</v>
      </c>
      <c r="C697" s="95" t="s">
        <v>8</v>
      </c>
      <c r="D697" s="94" t="s">
        <v>9</v>
      </c>
      <c r="E697">
        <v>528</v>
      </c>
      <c r="F697" s="88" t="s">
        <v>10</v>
      </c>
    </row>
    <row r="698" spans="1:6" ht="14.25" customHeight="1" x14ac:dyDescent="0.3">
      <c r="A698" s="101">
        <v>46232</v>
      </c>
      <c r="B698" s="88" t="s">
        <v>31</v>
      </c>
      <c r="C698" s="88" t="s">
        <v>8</v>
      </c>
      <c r="D698" s="87" t="s">
        <v>9</v>
      </c>
      <c r="E698">
        <v>491</v>
      </c>
      <c r="F698" s="95" t="s">
        <v>10</v>
      </c>
    </row>
    <row r="699" spans="1:6" ht="14.25" customHeight="1" x14ac:dyDescent="0.3">
      <c r="A699" s="102">
        <v>46232</v>
      </c>
      <c r="B699" s="95" t="s">
        <v>32</v>
      </c>
      <c r="C699" s="95" t="s">
        <v>8</v>
      </c>
      <c r="D699" s="94" t="s">
        <v>9</v>
      </c>
      <c r="E699">
        <v>470</v>
      </c>
      <c r="F699" s="88" t="s">
        <v>10</v>
      </c>
    </row>
    <row r="700" spans="1:6" ht="14.25" customHeight="1" x14ac:dyDescent="0.3">
      <c r="A700" s="102">
        <v>46232</v>
      </c>
      <c r="B700" s="88" t="s">
        <v>33</v>
      </c>
      <c r="C700" s="88" t="s">
        <v>8</v>
      </c>
      <c r="D700" s="87" t="s">
        <v>9</v>
      </c>
      <c r="E700">
        <v>526</v>
      </c>
      <c r="F700" s="95" t="s">
        <v>10</v>
      </c>
    </row>
    <row r="701" spans="1:6" ht="14.25" customHeight="1" x14ac:dyDescent="0.3">
      <c r="A701" s="101">
        <v>46232</v>
      </c>
      <c r="B701" s="95" t="s">
        <v>34</v>
      </c>
      <c r="C701" s="95" t="s">
        <v>8</v>
      </c>
      <c r="D701" s="94" t="s">
        <v>9</v>
      </c>
      <c r="E701">
        <v>563</v>
      </c>
      <c r="F701" s="88" t="s">
        <v>10</v>
      </c>
    </row>
    <row r="702" spans="1:6" ht="14.25" customHeight="1" x14ac:dyDescent="0.3">
      <c r="A702" s="102">
        <v>46232</v>
      </c>
      <c r="B702" s="88" t="s">
        <v>35</v>
      </c>
      <c r="C702" s="88" t="s">
        <v>8</v>
      </c>
      <c r="D702" s="87" t="s">
        <v>9</v>
      </c>
      <c r="E702">
        <v>526</v>
      </c>
      <c r="F702" s="95" t="s">
        <v>10</v>
      </c>
    </row>
    <row r="703" spans="1:6" ht="14.25" customHeight="1" x14ac:dyDescent="0.3">
      <c r="A703" s="101">
        <v>46232</v>
      </c>
      <c r="B703" s="95" t="s">
        <v>36</v>
      </c>
      <c r="C703" s="95" t="s">
        <v>8</v>
      </c>
      <c r="D703" s="94" t="s">
        <v>9</v>
      </c>
      <c r="E703">
        <v>573</v>
      </c>
      <c r="F703" s="88" t="s">
        <v>10</v>
      </c>
    </row>
    <row r="704" spans="1:6" ht="14.25" customHeight="1" x14ac:dyDescent="0.3">
      <c r="A704" s="102">
        <v>46232</v>
      </c>
      <c r="B704" s="88" t="s">
        <v>37</v>
      </c>
      <c r="C704" s="88" t="s">
        <v>8</v>
      </c>
      <c r="D704" s="87" t="s">
        <v>9</v>
      </c>
      <c r="E704">
        <v>523</v>
      </c>
      <c r="F704" s="95" t="s">
        <v>10</v>
      </c>
    </row>
    <row r="705" spans="1:6" ht="14.25" customHeight="1" x14ac:dyDescent="0.3">
      <c r="A705" s="105">
        <v>46246</v>
      </c>
      <c r="B705" s="88" t="s">
        <v>27</v>
      </c>
      <c r="C705" s="88" t="s">
        <v>8</v>
      </c>
      <c r="D705" s="87" t="s">
        <v>9</v>
      </c>
      <c r="E705" s="106">
        <v>516</v>
      </c>
      <c r="F705" s="95" t="s">
        <v>410</v>
      </c>
    </row>
    <row r="706" spans="1:6" ht="14.25" customHeight="1" x14ac:dyDescent="0.3">
      <c r="A706" s="105">
        <v>46246</v>
      </c>
      <c r="B706" s="88" t="s">
        <v>37</v>
      </c>
      <c r="C706" s="88" t="s">
        <v>8</v>
      </c>
      <c r="D706" s="87" t="s">
        <v>9</v>
      </c>
      <c r="E706" s="106">
        <v>548</v>
      </c>
      <c r="F706" s="95" t="s">
        <v>410</v>
      </c>
    </row>
    <row r="707" spans="1:6" ht="14.25" customHeight="1" x14ac:dyDescent="0.3">
      <c r="A707" s="105">
        <v>46246</v>
      </c>
      <c r="B707" s="88" t="s">
        <v>33</v>
      </c>
      <c r="C707" s="88" t="s">
        <v>8</v>
      </c>
      <c r="D707" s="87" t="s">
        <v>9</v>
      </c>
      <c r="E707" s="106">
        <v>554</v>
      </c>
      <c r="F707" s="95" t="s">
        <v>410</v>
      </c>
    </row>
    <row r="708" spans="1:6" ht="14.25" customHeight="1" x14ac:dyDescent="0.3">
      <c r="A708" s="105">
        <v>46246</v>
      </c>
      <c r="B708" s="88" t="s">
        <v>25</v>
      </c>
      <c r="C708" s="88" t="s">
        <v>8</v>
      </c>
      <c r="D708" s="87" t="s">
        <v>9</v>
      </c>
      <c r="E708" s="106">
        <v>574</v>
      </c>
      <c r="F708" s="95" t="s">
        <v>410</v>
      </c>
    </row>
    <row r="709" spans="1:6" ht="14.25" customHeight="1" x14ac:dyDescent="0.3">
      <c r="A709" s="105">
        <v>46246</v>
      </c>
      <c r="B709" s="88" t="s">
        <v>11</v>
      </c>
      <c r="C709" s="88" t="s">
        <v>8</v>
      </c>
      <c r="D709" s="87" t="s">
        <v>9</v>
      </c>
      <c r="E709" s="106">
        <v>520</v>
      </c>
      <c r="F709" s="95" t="s">
        <v>410</v>
      </c>
    </row>
    <row r="710" spans="1:6" ht="14.25" customHeight="1" x14ac:dyDescent="0.3">
      <c r="A710" s="105">
        <v>46246</v>
      </c>
      <c r="B710" s="88" t="s">
        <v>13</v>
      </c>
      <c r="C710" s="88" t="s">
        <v>8</v>
      </c>
      <c r="D710" s="87" t="s">
        <v>9</v>
      </c>
      <c r="E710" s="106">
        <v>525</v>
      </c>
      <c r="F710" s="95" t="s">
        <v>410</v>
      </c>
    </row>
    <row r="711" spans="1:6" ht="14.25" customHeight="1" x14ac:dyDescent="0.3">
      <c r="A711" s="105">
        <v>46246</v>
      </c>
      <c r="B711" s="88" t="s">
        <v>29</v>
      </c>
      <c r="C711" s="88" t="s">
        <v>8</v>
      </c>
      <c r="D711" s="87" t="s">
        <v>9</v>
      </c>
      <c r="E711" s="106">
        <v>577</v>
      </c>
      <c r="F711" s="95" t="s">
        <v>410</v>
      </c>
    </row>
    <row r="712" spans="1:6" ht="14.25" customHeight="1" x14ac:dyDescent="0.3">
      <c r="A712" s="105">
        <v>46246</v>
      </c>
      <c r="B712" s="88" t="s">
        <v>7</v>
      </c>
      <c r="C712" s="88" t="s">
        <v>8</v>
      </c>
      <c r="D712" s="87" t="s">
        <v>9</v>
      </c>
      <c r="E712" s="106">
        <v>538</v>
      </c>
      <c r="F712" s="95" t="s">
        <v>410</v>
      </c>
    </row>
    <row r="713" spans="1:6" ht="14.25" customHeight="1" x14ac:dyDescent="0.3">
      <c r="A713" s="105">
        <v>46246</v>
      </c>
      <c r="B713" s="88" t="s">
        <v>21</v>
      </c>
      <c r="C713" s="88" t="s">
        <v>8</v>
      </c>
      <c r="D713" s="87" t="s">
        <v>9</v>
      </c>
      <c r="E713" s="106">
        <v>560</v>
      </c>
      <c r="F713" s="95" t="s">
        <v>410</v>
      </c>
    </row>
    <row r="714" spans="1:6" ht="14.25" customHeight="1" x14ac:dyDescent="0.3">
      <c r="A714" s="105">
        <v>46246</v>
      </c>
      <c r="B714" s="88" t="s">
        <v>14</v>
      </c>
      <c r="C714" s="88" t="s">
        <v>8</v>
      </c>
      <c r="D714" s="87" t="s">
        <v>9</v>
      </c>
      <c r="E714" s="106">
        <v>522</v>
      </c>
      <c r="F714" s="95" t="s">
        <v>410</v>
      </c>
    </row>
    <row r="715" spans="1:6" ht="14.25" customHeight="1" x14ac:dyDescent="0.3">
      <c r="A715" s="105">
        <v>46246</v>
      </c>
      <c r="B715" s="88" t="s">
        <v>12</v>
      </c>
      <c r="C715" s="88" t="s">
        <v>8</v>
      </c>
      <c r="D715" s="87" t="s">
        <v>9</v>
      </c>
      <c r="E715" s="106">
        <v>570</v>
      </c>
      <c r="F715" s="95" t="s">
        <v>410</v>
      </c>
    </row>
    <row r="716" spans="1:6" ht="14.25" customHeight="1" x14ac:dyDescent="0.3">
      <c r="A716" s="105">
        <v>46246</v>
      </c>
      <c r="B716" s="88" t="s">
        <v>28</v>
      </c>
      <c r="C716" s="88" t="s">
        <v>8</v>
      </c>
      <c r="D716" s="87" t="s">
        <v>9</v>
      </c>
      <c r="E716" s="106">
        <v>547</v>
      </c>
      <c r="F716" s="95" t="s">
        <v>410</v>
      </c>
    </row>
    <row r="717" spans="1:6" ht="14.25" customHeight="1" x14ac:dyDescent="0.3">
      <c r="A717" s="105">
        <v>46246</v>
      </c>
      <c r="B717" s="88" t="s">
        <v>19</v>
      </c>
      <c r="C717" s="88" t="s">
        <v>8</v>
      </c>
      <c r="D717" s="87" t="s">
        <v>9</v>
      </c>
      <c r="E717" s="106">
        <v>583</v>
      </c>
      <c r="F717" s="95" t="s">
        <v>410</v>
      </c>
    </row>
    <row r="718" spans="1:6" ht="14.25" customHeight="1" x14ac:dyDescent="0.3">
      <c r="A718" s="105">
        <v>46246</v>
      </c>
      <c r="B718" s="88" t="s">
        <v>26</v>
      </c>
      <c r="C718" s="88" t="s">
        <v>8</v>
      </c>
      <c r="D718" s="87" t="s">
        <v>9</v>
      </c>
      <c r="E718" s="106">
        <v>561</v>
      </c>
      <c r="F718" s="95" t="s">
        <v>410</v>
      </c>
    </row>
    <row r="719" spans="1:6" ht="14.25" customHeight="1" x14ac:dyDescent="0.3">
      <c r="A719" s="105">
        <v>46246</v>
      </c>
      <c r="B719" s="88" t="s">
        <v>18</v>
      </c>
      <c r="C719" s="88" t="s">
        <v>8</v>
      </c>
      <c r="D719" s="87" t="s">
        <v>9</v>
      </c>
      <c r="E719" s="106">
        <v>549</v>
      </c>
      <c r="F719" s="95" t="s">
        <v>410</v>
      </c>
    </row>
    <row r="720" spans="1:6" ht="14.25" customHeight="1" x14ac:dyDescent="0.3">
      <c r="A720" s="105">
        <v>46246</v>
      </c>
      <c r="B720" s="88">
        <v>2307</v>
      </c>
      <c r="C720" s="88" t="s">
        <v>8</v>
      </c>
      <c r="D720" s="87" t="s">
        <v>9</v>
      </c>
      <c r="E720" s="106">
        <v>610</v>
      </c>
      <c r="F720" s="95" t="s">
        <v>410</v>
      </c>
    </row>
    <row r="721" spans="1:6" ht="14.25" customHeight="1" x14ac:dyDescent="0.3">
      <c r="A721" s="105">
        <v>46246</v>
      </c>
      <c r="B721" s="88" t="s">
        <v>35</v>
      </c>
      <c r="C721" s="88" t="s">
        <v>8</v>
      </c>
      <c r="D721" s="87" t="s">
        <v>9</v>
      </c>
      <c r="E721" s="106">
        <v>554</v>
      </c>
      <c r="F721" s="95" t="s">
        <v>410</v>
      </c>
    </row>
    <row r="722" spans="1:6" ht="14.25" customHeight="1" x14ac:dyDescent="0.3">
      <c r="A722" s="105">
        <v>46246</v>
      </c>
      <c r="B722" s="88" t="s">
        <v>32</v>
      </c>
      <c r="C722" s="88" t="s">
        <v>8</v>
      </c>
      <c r="D722" s="87" t="s">
        <v>9</v>
      </c>
      <c r="E722" s="106">
        <v>491</v>
      </c>
      <c r="F722" s="95" t="s">
        <v>410</v>
      </c>
    </row>
    <row r="723" spans="1:6" ht="14.25" customHeight="1" x14ac:dyDescent="0.3">
      <c r="A723" s="105">
        <v>46246</v>
      </c>
      <c r="B723" s="88" t="s">
        <v>24</v>
      </c>
      <c r="C723" s="88" t="s">
        <v>8</v>
      </c>
      <c r="D723" s="87" t="s">
        <v>9</v>
      </c>
      <c r="E723" s="106">
        <v>586</v>
      </c>
      <c r="F723" s="95" t="s">
        <v>410</v>
      </c>
    </row>
    <row r="724" spans="1:6" ht="14.25" customHeight="1" x14ac:dyDescent="0.3">
      <c r="A724" s="105">
        <v>46246</v>
      </c>
      <c r="B724" s="88" t="s">
        <v>17</v>
      </c>
      <c r="C724" s="88" t="s">
        <v>8</v>
      </c>
      <c r="D724" s="87" t="s">
        <v>9</v>
      </c>
      <c r="E724" s="106">
        <v>562</v>
      </c>
      <c r="F724" s="95" t="s">
        <v>410</v>
      </c>
    </row>
    <row r="725" spans="1:6" ht="14.25" customHeight="1" x14ac:dyDescent="0.3">
      <c r="A725" s="105">
        <v>46246</v>
      </c>
      <c r="B725" s="88" t="s">
        <v>15</v>
      </c>
      <c r="C725" s="88" t="s">
        <v>8</v>
      </c>
      <c r="D725" s="87" t="s">
        <v>9</v>
      </c>
      <c r="E725" s="106">
        <v>569</v>
      </c>
      <c r="F725" s="95" t="s">
        <v>410</v>
      </c>
    </row>
    <row r="726" spans="1:6" ht="14.25" customHeight="1" x14ac:dyDescent="0.3">
      <c r="A726" s="105">
        <v>46246</v>
      </c>
      <c r="B726" s="88" t="s">
        <v>34</v>
      </c>
      <c r="C726" s="88" t="s">
        <v>8</v>
      </c>
      <c r="D726" s="87" t="s">
        <v>9</v>
      </c>
      <c r="E726" s="106">
        <v>592</v>
      </c>
      <c r="F726" s="95" t="s">
        <v>410</v>
      </c>
    </row>
    <row r="727" spans="1:6" ht="14.25" customHeight="1" x14ac:dyDescent="0.3">
      <c r="A727" s="105">
        <v>46246</v>
      </c>
      <c r="B727" s="88" t="s">
        <v>30</v>
      </c>
      <c r="C727" s="88" t="s">
        <v>8</v>
      </c>
      <c r="D727" s="87" t="s">
        <v>9</v>
      </c>
      <c r="E727" s="106">
        <v>559</v>
      </c>
      <c r="F727" s="95" t="s">
        <v>410</v>
      </c>
    </row>
    <row r="728" spans="1:6" ht="14.25" customHeight="1" x14ac:dyDescent="0.3">
      <c r="A728" s="105">
        <v>46246</v>
      </c>
      <c r="B728" s="88" t="s">
        <v>20</v>
      </c>
      <c r="C728" s="88" t="s">
        <v>8</v>
      </c>
      <c r="D728" s="87" t="s">
        <v>9</v>
      </c>
      <c r="E728" s="106">
        <v>565</v>
      </c>
      <c r="F728" s="95" t="s">
        <v>410</v>
      </c>
    </row>
    <row r="729" spans="1:6" ht="14.25" customHeight="1" x14ac:dyDescent="0.3">
      <c r="A729" s="105">
        <v>46246</v>
      </c>
      <c r="B729" s="88" t="s">
        <v>23</v>
      </c>
      <c r="C729" s="88" t="s">
        <v>8</v>
      </c>
      <c r="D729" s="87" t="s">
        <v>9</v>
      </c>
      <c r="E729" s="106">
        <v>617</v>
      </c>
      <c r="F729" s="95" t="s">
        <v>410</v>
      </c>
    </row>
    <row r="730" spans="1:6" ht="14.25" customHeight="1" x14ac:dyDescent="0.3">
      <c r="A730" s="105">
        <v>46246</v>
      </c>
      <c r="B730" s="88" t="s">
        <v>31</v>
      </c>
      <c r="C730" s="88" t="s">
        <v>8</v>
      </c>
      <c r="D730" s="87" t="s">
        <v>9</v>
      </c>
      <c r="E730" s="106">
        <v>530</v>
      </c>
      <c r="F730" s="95" t="s">
        <v>410</v>
      </c>
    </row>
    <row r="731" spans="1:6" ht="14.25" customHeight="1" x14ac:dyDescent="0.3">
      <c r="A731" s="105">
        <v>46246</v>
      </c>
      <c r="B731" s="88" t="s">
        <v>36</v>
      </c>
      <c r="C731" s="88" t="s">
        <v>8</v>
      </c>
      <c r="D731" s="87" t="s">
        <v>9</v>
      </c>
      <c r="E731" s="106">
        <v>610</v>
      </c>
      <c r="F731" s="95" t="s">
        <v>410</v>
      </c>
    </row>
    <row r="732" spans="1:6" ht="14.25" customHeight="1" x14ac:dyDescent="0.3">
      <c r="A732" s="105">
        <v>46246</v>
      </c>
      <c r="B732" s="88" t="s">
        <v>16</v>
      </c>
      <c r="C732" s="88" t="s">
        <v>8</v>
      </c>
      <c r="D732" s="87" t="s">
        <v>9</v>
      </c>
      <c r="E732" s="106">
        <v>588</v>
      </c>
      <c r="F732" s="95" t="s">
        <v>410</v>
      </c>
    </row>
    <row r="733" spans="1:6" ht="14.25" customHeight="1" x14ac:dyDescent="0.3">
      <c r="A733" s="105">
        <v>46246</v>
      </c>
      <c r="B733" s="88" t="s">
        <v>22</v>
      </c>
      <c r="C733" s="88" t="s">
        <v>8</v>
      </c>
      <c r="D733" s="87" t="s">
        <v>9</v>
      </c>
      <c r="E733" s="106">
        <v>526</v>
      </c>
      <c r="F733" s="95" t="s">
        <v>410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"/>
  <sheetViews>
    <sheetView showGridLines="0" zoomScaleNormal="100" workbookViewId="0">
      <selection activeCell="E676" sqref="E676"/>
    </sheetView>
  </sheetViews>
  <sheetFormatPr defaultColWidth="8.6640625" defaultRowHeight="14.4" x14ac:dyDescent="0.3"/>
  <cols>
    <col min="1" max="1" width="11" customWidth="1"/>
    <col min="2" max="2" width="30" customWidth="1"/>
    <col min="3" max="3" width="12" customWidth="1"/>
    <col min="4" max="4" width="24.77734375" customWidth="1"/>
    <col min="5" max="5" width="22.33203125" customWidth="1"/>
    <col min="6" max="6" width="21.33203125" customWidth="1"/>
    <col min="7" max="7" width="12" customWidth="1"/>
    <col min="8" max="8" width="19.88671875" customWidth="1"/>
    <col min="9" max="9" width="16" customWidth="1"/>
    <col min="10" max="16" width="13" customWidth="1"/>
  </cols>
  <sheetData>
    <row r="1" spans="1:16" ht="21.75" customHeight="1" x14ac:dyDescent="0.3">
      <c r="A1" s="124" t="s">
        <v>619</v>
      </c>
      <c r="B1" s="125"/>
      <c r="C1" s="125"/>
      <c r="D1" s="125"/>
      <c r="E1" s="125"/>
      <c r="F1" s="125"/>
      <c r="G1" s="125"/>
      <c r="H1" s="125"/>
      <c r="I1" s="125"/>
    </row>
    <row r="2" spans="1:16" ht="26.25" customHeight="1" x14ac:dyDescent="0.3">
      <c r="A2" s="8" t="s">
        <v>4</v>
      </c>
      <c r="B2" s="8" t="s">
        <v>620</v>
      </c>
      <c r="C2" s="8" t="s">
        <v>621</v>
      </c>
      <c r="D2" s="8" t="s">
        <v>622</v>
      </c>
      <c r="E2" s="8" t="s">
        <v>623</v>
      </c>
      <c r="F2" s="8" t="s">
        <v>624</v>
      </c>
      <c r="G2" s="8" t="s">
        <v>625</v>
      </c>
      <c r="H2" s="8" t="s">
        <v>587</v>
      </c>
      <c r="I2" s="8" t="s">
        <v>607</v>
      </c>
      <c r="J2" s="15" t="s">
        <v>537</v>
      </c>
      <c r="K2" s="15" t="s">
        <v>538</v>
      </c>
      <c r="L2" s="15" t="s">
        <v>626</v>
      </c>
      <c r="M2" s="15" t="s">
        <v>627</v>
      </c>
      <c r="N2" s="15" t="s">
        <v>628</v>
      </c>
      <c r="O2" s="15" t="s">
        <v>629</v>
      </c>
      <c r="P2" s="15" t="s">
        <v>630</v>
      </c>
    </row>
    <row r="3" spans="1:16" ht="14.25" customHeight="1" x14ac:dyDescent="0.3">
      <c r="A3" s="94" t="s">
        <v>207</v>
      </c>
      <c r="B3" s="95" t="s">
        <v>631</v>
      </c>
      <c r="C3" s="94">
        <f>COUNTIFS(Cadastro_Animais!$E$3:$E$5001,A3)</f>
        <v>38</v>
      </c>
      <c r="D3" s="97">
        <f>IFERROR(AVERAGEIFS(Cadastro_Animais!$G$3:$G$5001,Cadastro_Animais!$E$3:$E$5001,A3),"")</f>
        <v>551.84210526315792</v>
      </c>
      <c r="E3" s="97">
        <f>IFERROR(AVERAGEIFS(Cadastro_Animais!$I$3:$I$5001,Cadastro_Animais!$E$3:$E$5001,A3),"")</f>
        <v>551.84210526315792</v>
      </c>
      <c r="F3" s="97">
        <f>SUMIFS(Cadastro_Animais!$I$3:$I$5001,Cadastro_Animais!$E$3:$E$5001,A3)</f>
        <v>20970</v>
      </c>
      <c r="G3" s="107">
        <f>F3*Parâmetros!$C$8/15</f>
        <v>740.94</v>
      </c>
      <c r="H3" s="98" t="str">
        <f>IFERROR(AVERAGEIFS(Cadastro_Animais!$L$3:$L$5001,Cadastro_Animais!$E$3:$E$5001,A3),"")</f>
        <v/>
      </c>
      <c r="I3" s="97">
        <f>SUMIFS(Cadastro_Animais!$K$3:$K$5001,Cadastro_Animais!$E$3:$E$5001,A3)</f>
        <v>0</v>
      </c>
      <c r="J3" s="51" t="s">
        <v>524</v>
      </c>
      <c r="K3" s="35">
        <f>IFERROR(INDEX(Ingredientes_Dieta!$E$11:$H$11,1,MATCH(J3,Ingredientes_Dieta!$E$5:$H$5,0)),"")</f>
        <v>0.45771000000000006</v>
      </c>
      <c r="L3" s="108">
        <f>IFERROR(INDEX(Ingredientes_Dieta!$E$6:$H$10,MATCH("Silagem de Capim",Ingredientes_Dieta!$B$6:$B$10,0),MATCH($J3,Ingredientes_Dieta!$E$5:$H$5,0)),0)</f>
        <v>0.68</v>
      </c>
      <c r="M3" s="108">
        <f>IFERROR(INDEX(Ingredientes_Dieta!$E$6:$H$10,MATCH("Promill",Ingredientes_Dieta!$B$6:$B$10,0),MATCH($J3,Ingredientes_Dieta!$E$5:$H$5,0)),0)</f>
        <v>0.22</v>
      </c>
      <c r="N3" s="108">
        <f>IFERROR(INDEX(Ingredientes_Dieta!$E$6:$H$10,MATCH("Milho Moído",Ingredientes_Dieta!$B$6:$B$10,0),MATCH($J3,Ingredientes_Dieta!$E$5:$H$5,0)),0)</f>
        <v>8.6999999999999994E-2</v>
      </c>
      <c r="O3" s="108">
        <f>IFERROR(INDEX(Ingredientes_Dieta!$E$6:$H$10,MATCH("Ureia",Ingredientes_Dieta!$B$6:$B$10,0),MATCH($J3,Ingredientes_Dieta!$E$5:$H$5,0)),0)</f>
        <v>5.0000000000000001E-3</v>
      </c>
      <c r="P3" s="108">
        <f>IFERROR(INDEX(Ingredientes_Dieta!$E$6:$H$10,MATCH("Núcleo Flex (Flexbeef MD)",Ingredientes_Dieta!$B$6:$B$10,0),MATCH($J3,Ingredientes_Dieta!$E$5:$H$5,0)),0)</f>
        <v>8.0000000000000002E-3</v>
      </c>
    </row>
    <row r="4" spans="1:16" ht="14.25" customHeight="1" x14ac:dyDescent="0.3">
      <c r="A4" s="94" t="s">
        <v>213</v>
      </c>
      <c r="B4" s="95" t="s">
        <v>632</v>
      </c>
      <c r="C4" s="94">
        <f>COUNTIFS(Cadastro_Animais!$E$3:$E$5001,A4)</f>
        <v>46</v>
      </c>
      <c r="D4" s="97">
        <f>IFERROR(AVERAGEIFS(Cadastro_Animais!$G$3:$G$5001,Cadastro_Animais!$E$3:$E$5001,A4),"")</f>
        <v>450.21739130434781</v>
      </c>
      <c r="E4" s="97">
        <f>IFERROR(AVERAGEIFS(Cadastro_Animais!$I$3:$I$5001,Cadastro_Animais!$E$3:$E$5001,A4),"")</f>
        <v>520.95652173913038</v>
      </c>
      <c r="F4" s="97">
        <f>SUMIFS(Cadastro_Animais!$I$3:$I$5001,Cadastro_Animais!$E$3:$E$5001,A4)</f>
        <v>23964</v>
      </c>
      <c r="G4" s="107">
        <f>F4*Parâmetros!$C$8/15</f>
        <v>846.72799999999995</v>
      </c>
      <c r="H4" s="98">
        <f>IFERROR(AVERAGEIFS(Cadastro_Animais!$L$3:$L$5001,Cadastro_Animais!$E$3:$E$5001,A4),"")</f>
        <v>2.4392803598200898</v>
      </c>
      <c r="I4" s="97">
        <f>SUMIFS(Cadastro_Animais!$K$3:$K$5001,Cadastro_Animais!$E$3:$E$5001,A4)</f>
        <v>3254</v>
      </c>
      <c r="J4" s="51" t="s">
        <v>524</v>
      </c>
      <c r="K4" s="35">
        <f>IFERROR(INDEX(Ingredientes_Dieta!$E$11:$H$11,1,MATCH(J4,Ingredientes_Dieta!$E$5:$H$5,0)),"")</f>
        <v>0.45771000000000006</v>
      </c>
      <c r="L4" s="108">
        <f>IFERROR(INDEX(Ingredientes_Dieta!$E$6:$H$10,MATCH("Silagem de Capim",Ingredientes_Dieta!$B$6:$B$10,0),MATCH($J4,Ingredientes_Dieta!$E$5:$H$5,0)),0)</f>
        <v>0.68</v>
      </c>
      <c r="M4" s="108">
        <f>IFERROR(INDEX(Ingredientes_Dieta!$E$6:$H$10,MATCH("Promill",Ingredientes_Dieta!$B$6:$B$10,0),MATCH($J4,Ingredientes_Dieta!$E$5:$H$5,0)),0)</f>
        <v>0.22</v>
      </c>
      <c r="N4" s="108">
        <f>IFERROR(INDEX(Ingredientes_Dieta!$E$6:$H$10,MATCH("Milho Moído",Ingredientes_Dieta!$B$6:$B$10,0),MATCH($J4,Ingredientes_Dieta!$E$5:$H$5,0)),0)</f>
        <v>8.6999999999999994E-2</v>
      </c>
      <c r="O4" s="108">
        <f>IFERROR(INDEX(Ingredientes_Dieta!$E$6:$H$10,MATCH("Ureia",Ingredientes_Dieta!$B$6:$B$10,0),MATCH($J4,Ingredientes_Dieta!$E$5:$H$5,0)),0)</f>
        <v>5.0000000000000001E-3</v>
      </c>
      <c r="P4" s="108">
        <f>IFERROR(INDEX(Ingredientes_Dieta!$E$6:$H$10,MATCH("Núcleo Flex (Flexbeef MD)",Ingredientes_Dieta!$B$6:$B$10,0),MATCH($J4,Ingredientes_Dieta!$E$5:$H$5,0)),0)</f>
        <v>8.0000000000000002E-3</v>
      </c>
    </row>
    <row r="5" spans="1:16" ht="14.25" customHeight="1" x14ac:dyDescent="0.3">
      <c r="A5" s="94" t="s">
        <v>40</v>
      </c>
      <c r="B5" s="95" t="s">
        <v>633</v>
      </c>
      <c r="C5" s="94">
        <f>COUNTIFS(Cadastro_Animais!$E$3:$E$5001,A5)</f>
        <v>165</v>
      </c>
      <c r="D5" s="97">
        <f>IFERROR(AVERAGEIFS(Cadastro_Animais!$G$3:$G$5001,Cadastro_Animais!$E$3:$E$5001,A5),"")</f>
        <v>219.67878787878789</v>
      </c>
      <c r="E5" s="97">
        <f>IFERROR(AVERAGEIFS(Cadastro_Animais!$I$3:$I$5001,Cadastro_Animais!$E$3:$E$5001,A5),"")</f>
        <v>219.67878787878789</v>
      </c>
      <c r="F5" s="97">
        <f>SUMIFS(Cadastro_Animais!$I$3:$I$5001,Cadastro_Animais!$E$3:$E$5001,A5)</f>
        <v>36247</v>
      </c>
      <c r="G5" s="107">
        <f>F5*Parâmetros!$C$8/15</f>
        <v>1280.7273333333333</v>
      </c>
      <c r="H5" s="98" t="str">
        <f>IFERROR(AVERAGEIFS(Cadastro_Animais!$L$3:$L$5001,Cadastro_Animais!$E$3:$E$5001,A5),"")</f>
        <v/>
      </c>
      <c r="I5" s="97">
        <f>SUMIFS(Cadastro_Animais!$K$3:$K$5001,Cadastro_Animais!$E$3:$E$5001,A5)</f>
        <v>0</v>
      </c>
      <c r="J5" s="51" t="s">
        <v>420</v>
      </c>
      <c r="K5" s="35">
        <f>IFERROR(INDEX(Ingredientes_Dieta!$E$11:$H$11,1,MATCH(J5,Ingredientes_Dieta!$E$5:$H$5,0)),"")</f>
        <v>0.52245000000000008</v>
      </c>
      <c r="L5" s="108">
        <f>IFERROR(INDEX(Ingredientes_Dieta!$E$6:$H$10,MATCH("Silagem de Capim",Ingredientes_Dieta!$B$6:$B$10,0),MATCH($J5,Ingredientes_Dieta!$E$5:$H$5,0)),0)</f>
        <v>0.62</v>
      </c>
      <c r="M5" s="108">
        <f>IFERROR(INDEX(Ingredientes_Dieta!$E$6:$H$10,MATCH("Promill",Ingredientes_Dieta!$B$6:$B$10,0),MATCH($J5,Ingredientes_Dieta!$E$5:$H$5,0)),0)</f>
        <v>0.3</v>
      </c>
      <c r="N5" s="108">
        <f>IFERROR(INDEX(Ingredientes_Dieta!$E$6:$H$10,MATCH("Milho Moído",Ingredientes_Dieta!$B$6:$B$10,0),MATCH($J5,Ingredientes_Dieta!$E$5:$H$5,0)),0)</f>
        <v>6.5000000000000002E-2</v>
      </c>
      <c r="O5" s="108">
        <f>IFERROR(INDEX(Ingredientes_Dieta!$E$6:$H$10,MATCH("Ureia",Ingredientes_Dieta!$B$6:$B$10,0),MATCH($J5,Ingredientes_Dieta!$E$5:$H$5,0)),0)</f>
        <v>5.0000000000000001E-3</v>
      </c>
      <c r="P5" s="108">
        <f>IFERROR(INDEX(Ingredientes_Dieta!$E$6:$H$10,MATCH("Núcleo Flex (Flexbeef MD)",Ingredientes_Dieta!$B$6:$B$10,0),MATCH($J5,Ingredientes_Dieta!$E$5:$H$5,0)),0)</f>
        <v>0.01</v>
      </c>
    </row>
    <row r="6" spans="1:16" ht="14.25" customHeight="1" x14ac:dyDescent="0.3">
      <c r="A6" s="94" t="s">
        <v>9</v>
      </c>
      <c r="B6" s="95" t="s">
        <v>418</v>
      </c>
      <c r="C6" s="94">
        <f>COUNTIFS(Cadastro_Animais!$E$3:$E$5001,A6)</f>
        <v>29</v>
      </c>
      <c r="D6" s="97">
        <f>IFERROR(AVERAGEIFS(Cadastro_Animais!$G$3:$G$5001,Cadastro_Animais!$E$3:$E$5001,A6),"")</f>
        <v>464.20689655172413</v>
      </c>
      <c r="E6" s="97">
        <f>IFERROR(AVERAGEIFS(Cadastro_Animais!$I$3:$I$5001,Cadastro_Animais!$E$3:$E$5001,A6),"")</f>
        <v>558.72413793103453</v>
      </c>
      <c r="F6" s="97">
        <f>SUMIFS(Cadastro_Animais!$I$3:$I$5001,Cadastro_Animais!$E$3:$E$5001,A6)</f>
        <v>16203</v>
      </c>
      <c r="G6" s="107">
        <f>F6*Parâmetros!$C$8/15</f>
        <v>572.50599999999997</v>
      </c>
      <c r="H6" s="98">
        <f>IFERROR(AVERAGEIFS(Cadastro_Animais!$L$3:$L$5001,Cadastro_Animais!$E$3:$E$5001,A6),"")</f>
        <v>2.2591450249830363</v>
      </c>
      <c r="I6" s="97">
        <f>SUMIFS(Cadastro_Animais!$K$3:$K$5001,Cadastro_Animais!$E$3:$E$5001,A6)</f>
        <v>2741</v>
      </c>
      <c r="J6" s="51" t="s">
        <v>525</v>
      </c>
      <c r="K6" s="35">
        <f>IFERROR(INDEX(Ingredientes_Dieta!$E$11:$H$11,1,MATCH(J6,Ingredientes_Dieta!$E$5:$H$5,0)),"")</f>
        <v>0.66905000000000003</v>
      </c>
      <c r="L6" s="108">
        <f>IFERROR(INDEX(Ingredientes_Dieta!$E$6:$H$10,MATCH("Silagem de Capim",Ingredientes_Dieta!$B$6:$B$10,0),MATCH($J6,Ingredientes_Dieta!$E$5:$H$5,0)),0)</f>
        <v>0.48</v>
      </c>
      <c r="M6" s="108">
        <f>IFERROR(INDEX(Ingredientes_Dieta!$E$6:$H$10,MATCH("Promill",Ingredientes_Dieta!$B$6:$B$10,0),MATCH($J6,Ingredientes_Dieta!$E$5:$H$5,0)),0)</f>
        <v>0.22</v>
      </c>
      <c r="N6" s="108">
        <f>IFERROR(INDEX(Ingredientes_Dieta!$E$6:$H$10,MATCH("Milho Moído",Ingredientes_Dieta!$B$6:$B$10,0),MATCH($J6,Ingredientes_Dieta!$E$5:$H$5,0)),0)</f>
        <v>0.28499999999999998</v>
      </c>
      <c r="O6" s="108">
        <f>IFERROR(INDEX(Ingredientes_Dieta!$E$6:$H$10,MATCH("Ureia",Ingredientes_Dieta!$B$6:$B$10,0),MATCH($J6,Ingredientes_Dieta!$E$5:$H$5,0)),0)</f>
        <v>5.0000000000000001E-3</v>
      </c>
      <c r="P6" s="108">
        <f>IFERROR(INDEX(Ingredientes_Dieta!$E$6:$H$10,MATCH("Núcleo Flex (Flexbeef MD)",Ingredientes_Dieta!$B$6:$B$10,0),MATCH($J6,Ingredientes_Dieta!$E$5:$H$5,0)),0)</f>
        <v>0.01</v>
      </c>
    </row>
    <row r="7" spans="1:16" ht="14.25" customHeight="1" x14ac:dyDescent="0.3">
      <c r="A7" s="94" t="s">
        <v>299</v>
      </c>
      <c r="B7" s="95" t="s">
        <v>422</v>
      </c>
      <c r="C7" s="94">
        <f>COUNTIFS(Cadastro_Animais!$E$3:$E$5001,A7)</f>
        <v>70</v>
      </c>
      <c r="D7" s="97">
        <f>IFERROR(AVERAGEIFS(Cadastro_Animais!$G$3:$G$5001,Cadastro_Animais!$E$3:$E$5001,A7),"")</f>
        <v>342.02857142857141</v>
      </c>
      <c r="E7" s="97">
        <f>IFERROR(AVERAGEIFS(Cadastro_Animais!$I$3:$I$5001,Cadastro_Animais!$E$3:$E$5001,A7),"")</f>
        <v>342.02857142857141</v>
      </c>
      <c r="F7" s="97">
        <f>SUMIFS(Cadastro_Animais!$I$3:$I$5001,Cadastro_Animais!$E$3:$E$5001,A7)</f>
        <v>23942</v>
      </c>
      <c r="G7" s="107">
        <f>F7*Parâmetros!$C$8/15</f>
        <v>845.95066666666673</v>
      </c>
      <c r="H7" s="98" t="str">
        <f>IFERROR(AVERAGEIFS(Cadastro_Animais!$L$3:$L$5001,Cadastro_Animais!$E$3:$E$5001,A7),"")</f>
        <v/>
      </c>
      <c r="I7" s="97">
        <f>SUMIFS(Cadastro_Animais!$K$3:$K$5001,Cadastro_Animais!$E$3:$E$5001,A7)</f>
        <v>0</v>
      </c>
      <c r="J7" s="51" t="s">
        <v>525</v>
      </c>
      <c r="K7" s="35">
        <f>IFERROR(INDEX(Ingredientes_Dieta!$E$11:$H$11,1,MATCH(J7,Ingredientes_Dieta!$E$5:$H$5,0)),"")</f>
        <v>0.66905000000000003</v>
      </c>
      <c r="L7" s="108">
        <f>IFERROR(INDEX(Ingredientes_Dieta!$E$6:$H$10,MATCH("Silagem de Capim",Ingredientes_Dieta!$B$6:$B$10,0),MATCH($J7,Ingredientes_Dieta!$E$5:$H$5,0)),0)</f>
        <v>0.48</v>
      </c>
      <c r="M7" s="108">
        <f>IFERROR(INDEX(Ingredientes_Dieta!$E$6:$H$10,MATCH("Promill",Ingredientes_Dieta!$B$6:$B$10,0),MATCH($J7,Ingredientes_Dieta!$E$5:$H$5,0)),0)</f>
        <v>0.22</v>
      </c>
      <c r="N7" s="108">
        <f>IFERROR(INDEX(Ingredientes_Dieta!$E$6:$H$10,MATCH("Milho Moído",Ingredientes_Dieta!$B$6:$B$10,0),MATCH($J7,Ingredientes_Dieta!$E$5:$H$5,0)),0)</f>
        <v>0.28499999999999998</v>
      </c>
      <c r="O7" s="108">
        <f>IFERROR(INDEX(Ingredientes_Dieta!$E$6:$H$10,MATCH("Ureia",Ingredientes_Dieta!$B$6:$B$10,0),MATCH($J7,Ingredientes_Dieta!$E$5:$H$5,0)),0)</f>
        <v>5.0000000000000001E-3</v>
      </c>
      <c r="P7" s="108">
        <f>IFERROR(INDEX(Ingredientes_Dieta!$E$6:$H$10,MATCH("Núcleo Flex (Flexbeef MD)",Ingredientes_Dieta!$B$6:$B$10,0),MATCH($J7,Ingredientes_Dieta!$E$5:$H$5,0)),0)</f>
        <v>0.01</v>
      </c>
    </row>
    <row r="8" spans="1:16" ht="14.25" customHeight="1" x14ac:dyDescent="0.3">
      <c r="A8" s="94" t="s">
        <v>372</v>
      </c>
      <c r="B8" s="95" t="s">
        <v>634</v>
      </c>
      <c r="C8" s="94">
        <f>COUNTIFS(Cadastro_Animais!$E$3:$E$5001,A8)</f>
        <v>37</v>
      </c>
      <c r="D8" s="97">
        <f>IFERROR(AVERAGEIFS(Cadastro_Animais!$G$3:$G$5001,Cadastro_Animais!$E$3:$E$5001,A8),"")</f>
        <v>351.48648648648651</v>
      </c>
      <c r="E8" s="97">
        <f>IFERROR(AVERAGEIFS(Cadastro_Animais!$I$3:$I$5001,Cadastro_Animais!$E$3:$E$5001,A8),"")</f>
        <v>351.48648648648651</v>
      </c>
      <c r="F8" s="97">
        <f>SUMIFS(Cadastro_Animais!$I$3:$I$5001,Cadastro_Animais!$E$3:$E$5001,A8)</f>
        <v>13005</v>
      </c>
      <c r="G8" s="107">
        <f>F8*Parâmetros!$C$8/15</f>
        <v>459.51000000000005</v>
      </c>
      <c r="H8" s="98" t="str">
        <f>IFERROR(AVERAGEIFS(Cadastro_Animais!$L$3:$L$5001,Cadastro_Animais!$E$3:$E$5001,A8),"")</f>
        <v/>
      </c>
      <c r="I8" s="97">
        <f>SUMIFS(Cadastro_Animais!$K$3:$K$5001,Cadastro_Animais!$E$3:$E$5001,A8)</f>
        <v>0</v>
      </c>
      <c r="J8" s="51" t="s">
        <v>526</v>
      </c>
      <c r="K8" s="35">
        <f>IFERROR(INDEX(Ingredientes_Dieta!$E$11:$H$11,1,MATCH(J8,Ingredientes_Dieta!$E$5:$H$5,0)),"")</f>
        <v>0.57515000000000005</v>
      </c>
      <c r="L8" s="108">
        <f>IFERROR(INDEX(Ingredientes_Dieta!$E$6:$H$10,MATCH("Silagem de Capim",Ingredientes_Dieta!$B$6:$B$10,0),MATCH($J8,Ingredientes_Dieta!$E$5:$H$5,0)),0)</f>
        <v>0.56999999999999995</v>
      </c>
      <c r="M8" s="108">
        <f>IFERROR(INDEX(Ingredientes_Dieta!$E$6:$H$10,MATCH("Promill",Ingredientes_Dieta!$B$6:$B$10,0),MATCH($J8,Ingredientes_Dieta!$E$5:$H$5,0)),0)</f>
        <v>0.26</v>
      </c>
      <c r="N8" s="108">
        <f>IFERROR(INDEX(Ingredientes_Dieta!$E$6:$H$10,MATCH("Milho Moído",Ingredientes_Dieta!$B$6:$B$10,0),MATCH($J8,Ingredientes_Dieta!$E$5:$H$5,0)),0)</f>
        <v>0.155</v>
      </c>
      <c r="O8" s="108">
        <f>IFERROR(INDEX(Ingredientes_Dieta!$E$6:$H$10,MATCH("Ureia",Ingredientes_Dieta!$B$6:$B$10,0),MATCH($J8,Ingredientes_Dieta!$E$5:$H$5,0)),0)</f>
        <v>5.0000000000000001E-3</v>
      </c>
      <c r="P8" s="108">
        <f>IFERROR(INDEX(Ingredientes_Dieta!$E$6:$H$10,MATCH("Núcleo Flex (Flexbeef MD)",Ingredientes_Dieta!$B$6:$B$10,0),MATCH($J8,Ingredientes_Dieta!$E$5:$H$5,0)),0)</f>
        <v>0.01</v>
      </c>
    </row>
    <row r="9" spans="1:16" ht="14.25" customHeight="1" x14ac:dyDescent="0.3">
      <c r="A9" s="109"/>
      <c r="B9" s="109" t="s">
        <v>548</v>
      </c>
      <c r="C9" s="110">
        <f>SUM(C3:C8)</f>
        <v>385</v>
      </c>
      <c r="D9" s="109"/>
      <c r="E9" s="109"/>
      <c r="F9" s="110">
        <f>SUM(F3:F8)</f>
        <v>134331</v>
      </c>
      <c r="G9" s="111">
        <f>SUM(G3:G8)</f>
        <v>4746.3620000000001</v>
      </c>
      <c r="H9" s="109"/>
      <c r="I9" s="110">
        <f>SUM(I3:I8)</f>
        <v>5995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2</vt:i4>
      </vt:variant>
    </vt:vector>
  </HeadingPairs>
  <TitlesOfParts>
    <vt:vector size="16" baseType="lpstr">
      <vt:lpstr>Dashboard</vt:lpstr>
      <vt:lpstr>Venda_Nelore</vt:lpstr>
      <vt:lpstr>Parâmetros</vt:lpstr>
      <vt:lpstr>Precos_Insumos</vt:lpstr>
      <vt:lpstr>Estoque_Insumos</vt:lpstr>
      <vt:lpstr>Ingredientes_Dieta</vt:lpstr>
      <vt:lpstr>Calculadora_Trato</vt:lpstr>
      <vt:lpstr>Trato_Diario</vt:lpstr>
      <vt:lpstr>Custo_Nutricao_Lote</vt:lpstr>
      <vt:lpstr>Custo_Diario_Cab</vt:lpstr>
      <vt:lpstr>Historico_KPIs</vt:lpstr>
      <vt:lpstr>Cadastro_Animais</vt:lpstr>
      <vt:lpstr>Pesagens</vt:lpstr>
      <vt:lpstr>Currais</vt:lpstr>
      <vt:lpstr>Cadastro_Animais!Area_de_impressao</vt:lpstr>
      <vt:lpstr>Cadastro_Animais!Titulos_de_impressao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Neira Miras</cp:lastModifiedBy>
  <cp:revision>0</cp:revision>
  <cp:lastPrinted>2026-07-31T12:57:14Z</cp:lastPrinted>
  <dcterms:created xsi:type="dcterms:W3CDTF">2026-07-28T18:57:26Z</dcterms:created>
  <dcterms:modified xsi:type="dcterms:W3CDTF">2026-08-13T19:09:01Z</dcterms:modified>
  <dc:language>en-US</dc:language>
</cp:coreProperties>
</file>